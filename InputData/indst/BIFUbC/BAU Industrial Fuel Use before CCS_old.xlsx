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autoCompressPictures="0" defaultThemeVersion="124226"/>
  <mc:AlternateContent xmlns:mc="http://schemas.openxmlformats.org/markup-compatibility/2006">
    <mc:Choice Requires="x15">
      <x15ac:absPath xmlns:x15ac="http://schemas.microsoft.com/office/spreadsheetml/2010/11/ac" url="C:\Users\administer\Dropbox\kjh\2025\02. EPS\EI\250507_메일회신\"/>
    </mc:Choice>
  </mc:AlternateContent>
  <xr:revisionPtr revIDLastSave="0" documentId="13_ncr:1_{50FD4051-BE92-4C25-A46D-A29DC74D5C63}" xr6:coauthVersionLast="47" xr6:coauthVersionMax="47" xr10:uidLastSave="{00000000-0000-0000-0000-000000000000}"/>
  <bookViews>
    <workbookView xWindow="-25710" yWindow="860" windowWidth="25820" windowHeight="15500" tabRatio="879" firstSheet="22" activeTab="29" xr2:uid="{61E4FAF0-1DCF-4D80-810E-E3964A4D245B}"/>
  </bookViews>
  <sheets>
    <sheet name="About" sheetId="1" r:id="rId1"/>
    <sheet name="KEEI BAU - Overview" sheetId="90" r:id="rId2"/>
    <sheet name="KEEI BAU - Industry" sheetId="74" r:id="rId3"/>
    <sheet name="KEEI BAU - Gas Supply" sheetId="87" r:id="rId4"/>
    <sheet name="KEEI BAU - Coal Supply" sheetId="88" r:id="rId5"/>
    <sheet name="2019 KESIS Energy Balance" sheetId="79" r:id="rId6"/>
    <sheet name="2022 Energy Balance" sheetId="98" r:id="rId7"/>
    <sheet name="BAU Energy Forecast_Transport" sheetId="75" state="hidden" r:id="rId8"/>
    <sheet name="Energy BAU_Residential" sheetId="76" state="hidden" r:id="rId9"/>
    <sheet name="Energy BAU_Service" sheetId="77" state="hidden" r:id="rId10"/>
    <sheet name="Steel Split" sheetId="84" r:id="rId11"/>
    <sheet name="Petrochemicals Split" sheetId="82" r:id="rId12"/>
    <sheet name="Non-ferrous Metals Split" sheetId="85" r:id="rId13"/>
    <sheet name="Others Split" sheetId="81" r:id="rId14"/>
    <sheet name="Machinery Split" sheetId="86" r:id="rId15"/>
    <sheet name="Water and Waste" sheetId="91" r:id="rId16"/>
    <sheet name="CHP" sheetId="93" r:id="rId17"/>
    <sheet name="BIFUbC-coal pre-CHP" sheetId="94" r:id="rId18"/>
    <sheet name="BIFUbC-natural-gas pre-CHP" sheetId="95" r:id="rId19"/>
    <sheet name="BIFUbC-biomass pre-CHP" sheetId="96" r:id="rId20"/>
    <sheet name="BIFUbC-petroleum-diesel pre-CHP" sheetId="97" r:id="rId21"/>
    <sheet name="sum_all" sheetId="92" r:id="rId22"/>
    <sheet name="BIFUbC-coal" sheetId="16" r:id="rId23"/>
    <sheet name="BIFUbC-natural-gas" sheetId="17" r:id="rId24"/>
    <sheet name="BIFUbC-biomass" sheetId="18" r:id="rId25"/>
    <sheet name="BIFUbC-petroleum-diesel" sheetId="19" r:id="rId26"/>
    <sheet name="BIFUbC-electricity" sheetId="15" r:id="rId27"/>
    <sheet name="BIFUbC-heat" sheetId="20" r:id="rId28"/>
    <sheet name="KEEI BAU - Oil Supply" sheetId="89" r:id="rId29"/>
    <sheet name="BIFUbC-crude-oil" sheetId="21" r:id="rId30"/>
    <sheet name="BIFUbC-heavy-or-residual-oil" sheetId="22" r:id="rId31"/>
    <sheet name="BIFUbC-LPG-propane-or-butane" sheetId="23" r:id="rId32"/>
    <sheet name="BIFUbC-hydrogen" sheetId="24" r:id="rId33"/>
  </sheets>
  <externalReferences>
    <externalReference r:id="rId34"/>
  </externalReferences>
  <definedNames>
    <definedName name="gal_per_barrel">[1]About!$A$63</definedName>
    <definedName name="RoundFactor_Growth">2</definedName>
    <definedName name="RoundFactor_Value">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7" i="89" l="1" a="1"/>
  <c r="S7" i="89" s="1"/>
  <c r="P7" i="89" a="1"/>
  <c r="P7" i="89" s="1"/>
  <c r="S6" i="89" a="1"/>
  <c r="S6" i="89" s="1"/>
  <c r="Q6" i="89" a="1"/>
  <c r="Q6" i="89" s="1"/>
  <c r="P6" i="89" a="1"/>
  <c r="P6" i="89" s="1"/>
  <c r="R6" i="89" a="1"/>
  <c r="R6" i="89" s="1"/>
  <c r="Q7" i="89" a="1"/>
  <c r="Q7" i="89" s="1"/>
  <c r="R7" i="89" a="1"/>
  <c r="R7" i="89"/>
  <c r="Q5" i="89" a="1"/>
  <c r="Q5" i="89" s="1"/>
  <c r="R5" i="89" a="1"/>
  <c r="R5" i="89" s="1"/>
  <c r="S5" i="89" a="1"/>
  <c r="S5" i="89" s="1"/>
  <c r="P5" i="89" a="1"/>
  <c r="P5" i="89" s="1"/>
  <c r="AU6" i="89" a="1"/>
  <c r="AU6" i="89"/>
  <c r="AU5" i="89" a="1"/>
  <c r="AU5" i="89" s="1"/>
  <c r="S33" i="89"/>
  <c r="S32" i="89"/>
  <c r="S31" i="89"/>
  <c r="R33" i="89"/>
  <c r="R32" i="89"/>
  <c r="R31" i="89"/>
  <c r="Q33" i="89"/>
  <c r="Q32" i="89"/>
  <c r="Q31" i="89"/>
  <c r="P33" i="89"/>
  <c r="P32" i="89"/>
  <c r="P31" i="89"/>
  <c r="P23" i="89" l="1"/>
  <c r="B11" i="23"/>
  <c r="AV23" i="74"/>
  <c r="AH23" i="74"/>
  <c r="AI23" i="74"/>
  <c r="AJ23" i="74"/>
  <c r="AK23" i="74"/>
  <c r="AL23" i="74"/>
  <c r="AM23" i="74"/>
  <c r="AN23" i="74"/>
  <c r="AO23" i="74"/>
  <c r="AP23" i="74"/>
  <c r="AQ23" i="74"/>
  <c r="AR23" i="74"/>
  <c r="AS23" i="74"/>
  <c r="AT23" i="74"/>
  <c r="AU23" i="74"/>
  <c r="AH24" i="74"/>
  <c r="AI24" i="74"/>
  <c r="AJ24" i="74"/>
  <c r="AK24" i="74"/>
  <c r="AL24" i="74"/>
  <c r="AM24" i="74"/>
  <c r="AN24" i="74"/>
  <c r="AO24" i="74"/>
  <c r="AP24" i="74"/>
  <c r="AQ24" i="74"/>
  <c r="AR24" i="74"/>
  <c r="AS24" i="74"/>
  <c r="AT24" i="74"/>
  <c r="AU24" i="74"/>
  <c r="AV24" i="74"/>
  <c r="AH25" i="74"/>
  <c r="AI25" i="74"/>
  <c r="AJ25" i="74"/>
  <c r="AK25" i="74"/>
  <c r="AL25" i="74"/>
  <c r="AM25" i="74"/>
  <c r="AN25" i="74"/>
  <c r="AO25" i="74"/>
  <c r="AP25" i="74"/>
  <c r="AQ25" i="74"/>
  <c r="AR25" i="74"/>
  <c r="AS25" i="74"/>
  <c r="AT25" i="74"/>
  <c r="AU25" i="74"/>
  <c r="AV25" i="74"/>
  <c r="AH26" i="74"/>
  <c r="AI26" i="74"/>
  <c r="AJ26" i="74"/>
  <c r="AK26" i="74"/>
  <c r="AL26" i="74"/>
  <c r="AM26" i="74"/>
  <c r="AN26" i="74"/>
  <c r="AO26" i="74"/>
  <c r="AP26" i="74"/>
  <c r="AQ26" i="74"/>
  <c r="AR26" i="74"/>
  <c r="AS26" i="74"/>
  <c r="AT26" i="74"/>
  <c r="AU26" i="74"/>
  <c r="AV26" i="74"/>
  <c r="AH27" i="74"/>
  <c r="AI27" i="74"/>
  <c r="AJ27" i="74"/>
  <c r="AK27" i="74"/>
  <c r="AL27" i="74"/>
  <c r="AM27" i="74"/>
  <c r="AN27" i="74"/>
  <c r="AO27" i="74"/>
  <c r="AP27" i="74"/>
  <c r="AQ27" i="74"/>
  <c r="AR27" i="74"/>
  <c r="AS27" i="74"/>
  <c r="AT27" i="74"/>
  <c r="AU27" i="74"/>
  <c r="AV27" i="74"/>
  <c r="AH28" i="74"/>
  <c r="AI28" i="74"/>
  <c r="AJ28" i="74"/>
  <c r="AK28" i="74"/>
  <c r="AL28" i="74"/>
  <c r="AM28" i="74"/>
  <c r="AN28" i="74"/>
  <c r="AO28" i="74"/>
  <c r="AP28" i="74"/>
  <c r="AQ28" i="74"/>
  <c r="AR28" i="74"/>
  <c r="AS28" i="74"/>
  <c r="AT28" i="74"/>
  <c r="AU28" i="74"/>
  <c r="AV28" i="74"/>
  <c r="AH9" i="74"/>
  <c r="AI9" i="74"/>
  <c r="AJ9" i="74"/>
  <c r="AK9" i="74"/>
  <c r="AL9" i="74"/>
  <c r="AM9" i="74"/>
  <c r="AN9" i="74"/>
  <c r="AO9" i="74"/>
  <c r="AP9" i="74"/>
  <c r="AQ9" i="74"/>
  <c r="AR9" i="74"/>
  <c r="AS9" i="74"/>
  <c r="AT9" i="74"/>
  <c r="AU9" i="74"/>
  <c r="AV9" i="74"/>
  <c r="AH10" i="74"/>
  <c r="AI10" i="74"/>
  <c r="AJ10" i="74"/>
  <c r="AK10" i="74"/>
  <c r="AL10" i="74"/>
  <c r="AM10" i="74"/>
  <c r="AN10" i="74"/>
  <c r="AO10" i="74"/>
  <c r="AP10" i="74"/>
  <c r="AQ10" i="74"/>
  <c r="AR10" i="74"/>
  <c r="AS10" i="74"/>
  <c r="AT10" i="74"/>
  <c r="AU10" i="74"/>
  <c r="AV10" i="74"/>
  <c r="AH11" i="74"/>
  <c r="AI11" i="74"/>
  <c r="AJ11" i="74"/>
  <c r="AK11" i="74"/>
  <c r="AL11" i="74"/>
  <c r="AM11" i="74"/>
  <c r="AN11" i="74"/>
  <c r="AO11" i="74"/>
  <c r="AP11" i="74"/>
  <c r="AQ11" i="74"/>
  <c r="AR11" i="74"/>
  <c r="AS11" i="74"/>
  <c r="AT11" i="74"/>
  <c r="AU11" i="74"/>
  <c r="AV11" i="74"/>
  <c r="AH12" i="74"/>
  <c r="AI12" i="74"/>
  <c r="AJ12" i="74"/>
  <c r="AK12" i="74"/>
  <c r="AL12" i="74"/>
  <c r="AM12" i="74"/>
  <c r="AN12" i="74"/>
  <c r="AO12" i="74"/>
  <c r="AP12" i="74"/>
  <c r="AQ12" i="74"/>
  <c r="AR12" i="74"/>
  <c r="AS12" i="74"/>
  <c r="AT12" i="74"/>
  <c r="AU12" i="74"/>
  <c r="AV12" i="74"/>
  <c r="AH13" i="74"/>
  <c r="AI13" i="74"/>
  <c r="AJ13" i="74"/>
  <c r="AK13" i="74"/>
  <c r="AL13" i="74"/>
  <c r="AM13" i="74"/>
  <c r="AN13" i="74"/>
  <c r="AO13" i="74"/>
  <c r="AP13" i="74"/>
  <c r="AQ13" i="74"/>
  <c r="AR13" i="74"/>
  <c r="AS13" i="74"/>
  <c r="AT13" i="74"/>
  <c r="AU13" i="74"/>
  <c r="AV13" i="74"/>
  <c r="AH14" i="74"/>
  <c r="AI14" i="74"/>
  <c r="AJ14" i="74"/>
  <c r="AK14" i="74"/>
  <c r="AL14" i="74"/>
  <c r="AM14" i="74"/>
  <c r="AN14" i="74"/>
  <c r="AO14" i="74"/>
  <c r="AP14" i="74"/>
  <c r="AQ14" i="74"/>
  <c r="AR14" i="74"/>
  <c r="AS14" i="74"/>
  <c r="AT14" i="74"/>
  <c r="AU14" i="74"/>
  <c r="AV14" i="74"/>
  <c r="BC74" i="74"/>
  <c r="BD74" i="74"/>
  <c r="BE74" i="74"/>
  <c r="BF74" i="74"/>
  <c r="BG74" i="74"/>
  <c r="BH74" i="74"/>
  <c r="BI74" i="74"/>
  <c r="BJ74" i="74"/>
  <c r="BK74" i="74"/>
  <c r="BL74" i="74"/>
  <c r="BM74" i="74"/>
  <c r="BN74" i="74"/>
  <c r="BO74" i="74"/>
  <c r="BP74" i="74"/>
  <c r="BQ74" i="74"/>
  <c r="BC75" i="74"/>
  <c r="BD75" i="74"/>
  <c r="BE75" i="74"/>
  <c r="BF75" i="74"/>
  <c r="BG75" i="74"/>
  <c r="BH75" i="74"/>
  <c r="BI75" i="74"/>
  <c r="BJ75" i="74"/>
  <c r="BK75" i="74"/>
  <c r="BL75" i="74"/>
  <c r="BM75" i="74"/>
  <c r="BN75" i="74"/>
  <c r="BO75" i="74"/>
  <c r="BP75" i="74"/>
  <c r="BQ75" i="74"/>
  <c r="BC76" i="74"/>
  <c r="BD76" i="74"/>
  <c r="BE76" i="74"/>
  <c r="BF76" i="74"/>
  <c r="BG76" i="74"/>
  <c r="BH76" i="74"/>
  <c r="BI76" i="74"/>
  <c r="BJ76" i="74"/>
  <c r="BK76" i="74"/>
  <c r="BL76" i="74"/>
  <c r="BM76" i="74"/>
  <c r="BN76" i="74"/>
  <c r="BO76" i="74"/>
  <c r="BP76" i="74"/>
  <c r="BQ76" i="74"/>
  <c r="BC77" i="74"/>
  <c r="BD77" i="74"/>
  <c r="BE77" i="74"/>
  <c r="BF77" i="74"/>
  <c r="BG77" i="74"/>
  <c r="BH77" i="74"/>
  <c r="BI77" i="74"/>
  <c r="BJ77" i="74"/>
  <c r="BK77" i="74"/>
  <c r="BL77" i="74"/>
  <c r="BM77" i="74"/>
  <c r="BN77" i="74"/>
  <c r="BO77" i="74"/>
  <c r="BP77" i="74"/>
  <c r="BQ77" i="74"/>
  <c r="BC78" i="74"/>
  <c r="BD78" i="74"/>
  <c r="BE78" i="74"/>
  <c r="BF78" i="74"/>
  <c r="BG78" i="74"/>
  <c r="BH78" i="74"/>
  <c r="BI78" i="74"/>
  <c r="BJ78" i="74"/>
  <c r="BK78" i="74"/>
  <c r="BL78" i="74"/>
  <c r="BM78" i="74"/>
  <c r="BN78" i="74"/>
  <c r="BO78" i="74"/>
  <c r="BP78" i="74"/>
  <c r="BQ78" i="74"/>
  <c r="BC79" i="74"/>
  <c r="BD79" i="74"/>
  <c r="BE79" i="74"/>
  <c r="BF79" i="74"/>
  <c r="BG79" i="74"/>
  <c r="BH79" i="74"/>
  <c r="BI79" i="74"/>
  <c r="BJ79" i="74"/>
  <c r="BK79" i="74"/>
  <c r="BL79" i="74"/>
  <c r="BM79" i="74"/>
  <c r="BN79" i="74"/>
  <c r="BO79" i="74"/>
  <c r="BP79" i="74"/>
  <c r="BQ79" i="74"/>
  <c r="BC64" i="74"/>
  <c r="BD64" i="74"/>
  <c r="BE64" i="74"/>
  <c r="BF64" i="74"/>
  <c r="BG64" i="74"/>
  <c r="BH64" i="74"/>
  <c r="BI64" i="74"/>
  <c r="BJ64" i="74"/>
  <c r="BK64" i="74"/>
  <c r="BL64" i="74"/>
  <c r="BM64" i="74"/>
  <c r="BN64" i="74"/>
  <c r="BO64" i="74"/>
  <c r="BP64" i="74"/>
  <c r="BQ64" i="74"/>
  <c r="BC65" i="74"/>
  <c r="BD65" i="74"/>
  <c r="BE65" i="74"/>
  <c r="BF65" i="74"/>
  <c r="BG65" i="74"/>
  <c r="BH65" i="74"/>
  <c r="BI65" i="74"/>
  <c r="BJ65" i="74"/>
  <c r="BK65" i="74"/>
  <c r="BL65" i="74"/>
  <c r="BM65" i="74"/>
  <c r="BN65" i="74"/>
  <c r="BO65" i="74"/>
  <c r="BP65" i="74"/>
  <c r="BQ65" i="74"/>
  <c r="BC66" i="74"/>
  <c r="BD66" i="74"/>
  <c r="BE66" i="74"/>
  <c r="BF66" i="74"/>
  <c r="BG66" i="74"/>
  <c r="BH66" i="74"/>
  <c r="BI66" i="74"/>
  <c r="BJ66" i="74"/>
  <c r="BK66" i="74"/>
  <c r="BL66" i="74"/>
  <c r="BM66" i="74"/>
  <c r="BN66" i="74"/>
  <c r="BO66" i="74"/>
  <c r="BP66" i="74"/>
  <c r="BQ66" i="74"/>
  <c r="BC67" i="74"/>
  <c r="BD67" i="74"/>
  <c r="BE67" i="74"/>
  <c r="BF67" i="74"/>
  <c r="BG67" i="74"/>
  <c r="BH67" i="74"/>
  <c r="BI67" i="74"/>
  <c r="BJ67" i="74"/>
  <c r="BK67" i="74"/>
  <c r="BL67" i="74"/>
  <c r="BM67" i="74"/>
  <c r="BN67" i="74"/>
  <c r="BO67" i="74"/>
  <c r="BP67" i="74"/>
  <c r="BQ67" i="74"/>
  <c r="BC68" i="74"/>
  <c r="BD68" i="74"/>
  <c r="BE68" i="74"/>
  <c r="BF68" i="74"/>
  <c r="BG68" i="74"/>
  <c r="BH68" i="74"/>
  <c r="BI68" i="74"/>
  <c r="BJ68" i="74"/>
  <c r="BK68" i="74"/>
  <c r="BL68" i="74"/>
  <c r="BM68" i="74"/>
  <c r="BN68" i="74"/>
  <c r="BO68" i="74"/>
  <c r="BP68" i="74"/>
  <c r="BQ68" i="74"/>
  <c r="BC69" i="74"/>
  <c r="BD69" i="74"/>
  <c r="BE69" i="74"/>
  <c r="BF69" i="74"/>
  <c r="BG69" i="74"/>
  <c r="BH69" i="74"/>
  <c r="BI69" i="74"/>
  <c r="BJ69" i="74"/>
  <c r="BK69" i="74"/>
  <c r="BL69" i="74"/>
  <c r="BM69" i="74"/>
  <c r="BN69" i="74"/>
  <c r="BO69" i="74"/>
  <c r="BP69" i="74"/>
  <c r="BQ69" i="74"/>
  <c r="BB79" i="74" l="1"/>
  <c r="BA79" i="74"/>
  <c r="AZ79" i="74"/>
  <c r="AY79" i="74"/>
  <c r="AX79" i="74"/>
  <c r="AW79" i="74"/>
  <c r="AV79" i="74"/>
  <c r="AU79" i="74"/>
  <c r="AT79" i="74"/>
  <c r="AS79" i="74"/>
  <c r="AR79" i="74"/>
  <c r="AQ79" i="74"/>
  <c r="AP79" i="74"/>
  <c r="AO79" i="74"/>
  <c r="AN79" i="74"/>
  <c r="AM79" i="74"/>
  <c r="AL79" i="74"/>
  <c r="AK79" i="74"/>
  <c r="BB78" i="74"/>
  <c r="BA78" i="74"/>
  <c r="AZ78" i="74"/>
  <c r="AY78" i="74"/>
  <c r="AX78" i="74"/>
  <c r="AW78" i="74"/>
  <c r="AV78" i="74"/>
  <c r="AU78" i="74"/>
  <c r="AT78" i="74"/>
  <c r="AS78" i="74"/>
  <c r="AR78" i="74"/>
  <c r="AQ78" i="74"/>
  <c r="AP78" i="74"/>
  <c r="AO78" i="74"/>
  <c r="AN78" i="74"/>
  <c r="AM78" i="74"/>
  <c r="AL78" i="74"/>
  <c r="AK78" i="74"/>
  <c r="BB77" i="74"/>
  <c r="BA77" i="74"/>
  <c r="AZ77" i="74"/>
  <c r="AY77" i="74"/>
  <c r="AX77" i="74"/>
  <c r="AW77" i="74"/>
  <c r="AV77" i="74"/>
  <c r="AU77" i="74"/>
  <c r="AT77" i="74"/>
  <c r="AS77" i="74"/>
  <c r="AR77" i="74"/>
  <c r="AQ77" i="74"/>
  <c r="AP77" i="74"/>
  <c r="AO77" i="74"/>
  <c r="AN77" i="74"/>
  <c r="AM77" i="74"/>
  <c r="AL77" i="74"/>
  <c r="AK77" i="74"/>
  <c r="BB76" i="74"/>
  <c r="BA76" i="74"/>
  <c r="AZ76" i="74"/>
  <c r="AY76" i="74"/>
  <c r="AX76" i="74"/>
  <c r="AW76" i="74"/>
  <c r="AV76" i="74"/>
  <c r="AU76" i="74"/>
  <c r="AT76" i="74"/>
  <c r="AS76" i="74"/>
  <c r="AR76" i="74"/>
  <c r="AQ76" i="74"/>
  <c r="AP76" i="74"/>
  <c r="AO76" i="74"/>
  <c r="AN76" i="74"/>
  <c r="AM76" i="74"/>
  <c r="AL76" i="74"/>
  <c r="AK76" i="74"/>
  <c r="BB75" i="74"/>
  <c r="BA75" i="74"/>
  <c r="AZ75" i="74"/>
  <c r="AY75" i="74"/>
  <c r="AX75" i="74"/>
  <c r="AW75" i="74"/>
  <c r="AV75" i="74"/>
  <c r="AU75" i="74"/>
  <c r="AT75" i="74"/>
  <c r="AS75" i="74"/>
  <c r="AR75" i="74"/>
  <c r="AQ75" i="74"/>
  <c r="AP75" i="74"/>
  <c r="AO75" i="74"/>
  <c r="AN75" i="74"/>
  <c r="AM75" i="74"/>
  <c r="AL75" i="74"/>
  <c r="AK75" i="74"/>
  <c r="BB74" i="74"/>
  <c r="BA74" i="74"/>
  <c r="AZ74" i="74"/>
  <c r="AY74" i="74"/>
  <c r="AX74" i="74"/>
  <c r="AW74" i="74"/>
  <c r="AV74" i="74"/>
  <c r="AU74" i="74"/>
  <c r="AT74" i="74"/>
  <c r="AS74" i="74"/>
  <c r="AR74" i="74"/>
  <c r="AQ74" i="74"/>
  <c r="AP74" i="74"/>
  <c r="AO74" i="74"/>
  <c r="AN74" i="74"/>
  <c r="AM74" i="74"/>
  <c r="AL74" i="74"/>
  <c r="AK74" i="74"/>
  <c r="AK65" i="74"/>
  <c r="AL65" i="74"/>
  <c r="AM65" i="74"/>
  <c r="AN65" i="74"/>
  <c r="AO65" i="74"/>
  <c r="AP65" i="74"/>
  <c r="AQ65" i="74"/>
  <c r="AR65" i="74"/>
  <c r="AS65" i="74"/>
  <c r="AT65" i="74"/>
  <c r="AU65" i="74"/>
  <c r="AV65" i="74"/>
  <c r="AW65" i="74"/>
  <c r="AX65" i="74"/>
  <c r="AY65" i="74"/>
  <c r="AZ65" i="74"/>
  <c r="BA65" i="74"/>
  <c r="BB65" i="74"/>
  <c r="AK66" i="74"/>
  <c r="AL66" i="74"/>
  <c r="AM66" i="74"/>
  <c r="AN66" i="74"/>
  <c r="AO66" i="74"/>
  <c r="AP66" i="74"/>
  <c r="AQ66" i="74"/>
  <c r="AR66" i="74"/>
  <c r="AS66" i="74"/>
  <c r="AT66" i="74"/>
  <c r="AU66" i="74"/>
  <c r="AV66" i="74"/>
  <c r="AW66" i="74"/>
  <c r="AX66" i="74"/>
  <c r="AY66" i="74"/>
  <c r="AZ66" i="74"/>
  <c r="BA66" i="74"/>
  <c r="BB66" i="74"/>
  <c r="AK67" i="74"/>
  <c r="AL67" i="74"/>
  <c r="AM67" i="74"/>
  <c r="AN67" i="74"/>
  <c r="AO67" i="74"/>
  <c r="AP67" i="74"/>
  <c r="AQ67" i="74"/>
  <c r="AR67" i="74"/>
  <c r="AS67" i="74"/>
  <c r="AT67" i="74"/>
  <c r="AU67" i="74"/>
  <c r="AV67" i="74"/>
  <c r="AW67" i="74"/>
  <c r="AX67" i="74"/>
  <c r="AY67" i="74"/>
  <c r="AZ67" i="74"/>
  <c r="BA67" i="74"/>
  <c r="BB67" i="74"/>
  <c r="AK68" i="74"/>
  <c r="AL68" i="74"/>
  <c r="AM68" i="74"/>
  <c r="AN68" i="74"/>
  <c r="AO68" i="74"/>
  <c r="AP68" i="74"/>
  <c r="AQ68" i="74"/>
  <c r="AR68" i="74"/>
  <c r="AS68" i="74"/>
  <c r="AT68" i="74"/>
  <c r="AU68" i="74"/>
  <c r="AV68" i="74"/>
  <c r="AW68" i="74"/>
  <c r="AX68" i="74"/>
  <c r="AY68" i="74"/>
  <c r="AZ68" i="74"/>
  <c r="BA68" i="74"/>
  <c r="BB68" i="74"/>
  <c r="AK69" i="74"/>
  <c r="AL69" i="74"/>
  <c r="AM69" i="74"/>
  <c r="AN69" i="74"/>
  <c r="AO69" i="74"/>
  <c r="AP69" i="74"/>
  <c r="AQ69" i="74"/>
  <c r="AR69" i="74"/>
  <c r="AS69" i="74"/>
  <c r="AT69" i="74"/>
  <c r="AU69" i="74"/>
  <c r="AV69" i="74"/>
  <c r="AW69" i="74"/>
  <c r="AX69" i="74"/>
  <c r="AY69" i="74"/>
  <c r="AZ69" i="74"/>
  <c r="BA69" i="74"/>
  <c r="BB69" i="74"/>
  <c r="AL64" i="74"/>
  <c r="AM64" i="74"/>
  <c r="AN64" i="74"/>
  <c r="AO64" i="74"/>
  <c r="AP64" i="74"/>
  <c r="AQ64" i="74"/>
  <c r="AR64" i="74"/>
  <c r="AS64" i="74"/>
  <c r="AT64" i="74"/>
  <c r="AU64" i="74"/>
  <c r="AV64" i="74"/>
  <c r="AW64" i="74"/>
  <c r="AX64" i="74"/>
  <c r="AY64" i="74"/>
  <c r="AZ64" i="74"/>
  <c r="BA64" i="74"/>
  <c r="BB64" i="74"/>
  <c r="AK64" i="74"/>
  <c r="B8" i="94"/>
  <c r="H7" i="82"/>
  <c r="H6" i="82" s="1"/>
  <c r="D51" i="74"/>
  <c r="H6" i="85" l="1"/>
  <c r="H7" i="85"/>
  <c r="E7" i="82"/>
  <c r="E2" i="94"/>
  <c r="C47" i="86"/>
  <c r="D47" i="86" s="1"/>
  <c r="C46" i="86"/>
  <c r="D46" i="86" s="1"/>
  <c r="C48" i="86"/>
  <c r="D48" i="86" s="1"/>
  <c r="C54" i="81"/>
  <c r="D54" i="81" s="1"/>
  <c r="C53" i="81"/>
  <c r="D53" i="81" s="1"/>
  <c r="C52" i="81"/>
  <c r="D52" i="81" s="1"/>
  <c r="C46" i="81"/>
  <c r="C40" i="86"/>
  <c r="C52" i="85"/>
  <c r="C50" i="85"/>
  <c r="C44" i="85"/>
  <c r="C45" i="85"/>
  <c r="C51" i="85"/>
  <c r="D51" i="85" s="1"/>
  <c r="C46" i="85"/>
  <c r="C45" i="82"/>
  <c r="C44" i="82"/>
  <c r="C43" i="82"/>
  <c r="C37" i="82"/>
  <c r="C39" i="82"/>
  <c r="C38" i="82"/>
  <c r="C12" i="84"/>
  <c r="C11" i="84"/>
  <c r="C10" i="84"/>
  <c r="C5" i="84"/>
  <c r="D50" i="85" l="1"/>
  <c r="D52" i="85"/>
  <c r="D45" i="82"/>
  <c r="D43" i="82"/>
  <c r="D44" i="82"/>
  <c r="D10" i="84"/>
  <c r="D11" i="84"/>
  <c r="D12" i="84"/>
  <c r="S15" i="23" l="1"/>
  <c r="T15" i="23"/>
  <c r="U15" i="23"/>
  <c r="R15" i="23"/>
  <c r="V15" i="23"/>
  <c r="AC15" i="23"/>
  <c r="W15" i="23"/>
  <c r="X15" i="23"/>
  <c r="Y15" i="23"/>
  <c r="AE15" i="23"/>
  <c r="Z15" i="23"/>
  <c r="AA15" i="23"/>
  <c r="AB15" i="23"/>
  <c r="AD15" i="23"/>
  <c r="AF15" i="23"/>
  <c r="R15" i="97"/>
  <c r="S15" i="97"/>
  <c r="T15" i="97"/>
  <c r="AD15" i="97"/>
  <c r="U15" i="97"/>
  <c r="V15" i="97"/>
  <c r="AF15" i="97"/>
  <c r="W15" i="97"/>
  <c r="AA15" i="97"/>
  <c r="X15" i="97"/>
  <c r="Y15" i="97"/>
  <c r="Z15" i="97"/>
  <c r="AB15" i="97"/>
  <c r="AC15" i="97"/>
  <c r="AE15" i="97"/>
  <c r="R15" i="22"/>
  <c r="S15" i="22"/>
  <c r="AD15" i="22"/>
  <c r="T15" i="22"/>
  <c r="U15" i="22"/>
  <c r="AF15" i="22"/>
  <c r="V15" i="22"/>
  <c r="W15" i="22"/>
  <c r="X15" i="22"/>
  <c r="Y15" i="22"/>
  <c r="Z15" i="22"/>
  <c r="AA15" i="22"/>
  <c r="AB15" i="22"/>
  <c r="AC15" i="22"/>
  <c r="AE15" i="22"/>
  <c r="D37" i="82" l="1"/>
  <c r="U5" i="88" l="1" a="1"/>
  <c r="U5" i="88"/>
  <c r="AV5" i="88"/>
  <c r="AN5" i="88" a="1"/>
  <c r="AN5" i="88"/>
  <c r="AO5" i="88" a="1"/>
  <c r="AO5" i="88"/>
  <c r="AP5" i="88" a="1"/>
  <c r="AP5" i="88"/>
  <c r="AQ5" i="88" a="1"/>
  <c r="AQ5" i="88" s="1"/>
  <c r="AR5" i="88" a="1"/>
  <c r="AR5" i="88" s="1"/>
  <c r="AS5" i="88" a="1"/>
  <c r="AS5" i="88" s="1"/>
  <c r="AT5" i="88" a="1"/>
  <c r="AT5" i="88" s="1"/>
  <c r="AU5" i="88" a="1"/>
  <c r="AU5" i="88" s="1"/>
  <c r="AN6" i="88" a="1"/>
  <c r="AN6" i="88"/>
  <c r="AO6" i="88" a="1"/>
  <c r="AO6" i="88"/>
  <c r="AP6" i="88" a="1"/>
  <c r="AP6" i="88" s="1"/>
  <c r="AQ6" i="88" a="1"/>
  <c r="AQ6" i="88" s="1"/>
  <c r="AR6" i="88" a="1"/>
  <c r="AR6" i="88" s="1"/>
  <c r="AS6" i="88" a="1"/>
  <c r="AS6" i="88" s="1"/>
  <c r="AT6" i="88" a="1"/>
  <c r="AT6" i="88" s="1"/>
  <c r="AU6" i="88" a="1"/>
  <c r="AU6" i="88" s="1"/>
  <c r="AN7" i="88" a="1"/>
  <c r="AN7" i="88"/>
  <c r="AO7" i="88" a="1"/>
  <c r="AO7" i="88"/>
  <c r="AP7" i="88" a="1"/>
  <c r="AP7" i="88" s="1"/>
  <c r="AQ7" i="88" a="1"/>
  <c r="AQ7" i="88" s="1"/>
  <c r="AR7" i="88" a="1"/>
  <c r="AR7" i="88" s="1"/>
  <c r="AS7" i="88" a="1"/>
  <c r="AS7" i="88" s="1"/>
  <c r="AT7" i="88" a="1"/>
  <c r="AT7" i="88" s="1"/>
  <c r="AU7" i="88" a="1"/>
  <c r="AU7" i="88"/>
  <c r="AM6" i="88" a="1"/>
  <c r="AM6" i="88" s="1"/>
  <c r="AM7" i="88" a="1"/>
  <c r="AM7" i="88" s="1"/>
  <c r="AM5" i="88" a="1"/>
  <c r="AM5" i="88" s="1"/>
  <c r="AK5" i="88" a="1"/>
  <c r="AK5" i="88" s="1"/>
  <c r="AG7" i="88" a="1"/>
  <c r="AG7" i="88" s="1"/>
  <c r="AF7" i="88" a="1"/>
  <c r="AF7" i="88" s="1"/>
  <c r="AD7" i="88" a="1"/>
  <c r="AD7" i="88" s="1"/>
  <c r="AE7" i="88" a="1"/>
  <c r="AE7" i="88"/>
  <c r="AH7" i="88" a="1"/>
  <c r="AH7" i="88" s="1"/>
  <c r="AI7" i="88" a="1"/>
  <c r="AI7" i="88" s="1"/>
  <c r="AJ7" i="88" a="1"/>
  <c r="AJ7" i="88" s="1"/>
  <c r="AK7" i="88" a="1"/>
  <c r="AK7" i="88" s="1"/>
  <c r="AC7" i="88" a="1"/>
  <c r="AC7" i="88" s="1"/>
  <c r="AD6" i="88" a="1"/>
  <c r="AD6" i="88"/>
  <c r="AE6" i="88" a="1"/>
  <c r="AE6" i="88" s="1"/>
  <c r="AF6" i="88" a="1"/>
  <c r="AF6" i="88" s="1"/>
  <c r="AG6" i="88" a="1"/>
  <c r="AG6" i="88" s="1"/>
  <c r="AH6" i="88" a="1"/>
  <c r="AH6" i="88" s="1"/>
  <c r="AI6" i="88" a="1"/>
  <c r="AI6" i="88" s="1"/>
  <c r="AJ6" i="88" a="1"/>
  <c r="AJ6" i="88" s="1"/>
  <c r="AK6" i="88" a="1"/>
  <c r="AK6" i="88" s="1"/>
  <c r="AC6" i="88" a="1"/>
  <c r="AC6" i="88" s="1"/>
  <c r="AD5" i="88" a="1"/>
  <c r="AD5" i="88"/>
  <c r="AE5" i="88" a="1"/>
  <c r="AE5" i="88" s="1"/>
  <c r="AF5" i="88" a="1"/>
  <c r="AF5" i="88" s="1"/>
  <c r="AG5" i="88" a="1"/>
  <c r="AG5" i="88" s="1"/>
  <c r="AH5" i="88" a="1"/>
  <c r="AH5" i="88" s="1"/>
  <c r="AI5" i="88" a="1"/>
  <c r="AI5" i="88"/>
  <c r="AJ5" i="88" a="1"/>
  <c r="AJ5" i="88"/>
  <c r="AC5" i="88" a="1"/>
  <c r="AC5" i="88" s="1"/>
  <c r="V7" i="88" a="1"/>
  <c r="V7" i="88"/>
  <c r="W7" i="88" a="1"/>
  <c r="W7" i="88" s="1"/>
  <c r="X7" i="88" a="1"/>
  <c r="X7" i="88" s="1"/>
  <c r="Y7" i="88" a="1"/>
  <c r="Y7" i="88" s="1"/>
  <c r="Z7" i="88" a="1"/>
  <c r="Z7" i="88" s="1"/>
  <c r="AA7" i="88" a="1"/>
  <c r="AA7" i="88" s="1"/>
  <c r="U7" i="88" a="1"/>
  <c r="U7" i="88"/>
  <c r="V6" i="88" a="1"/>
  <c r="V6" i="88"/>
  <c r="W6" i="88" a="1"/>
  <c r="W6" i="88" s="1"/>
  <c r="X6" i="88" a="1"/>
  <c r="X6" i="88" s="1"/>
  <c r="Y6" i="88" a="1"/>
  <c r="Y6" i="88"/>
  <c r="Z6" i="88" a="1"/>
  <c r="Z6" i="88" s="1"/>
  <c r="AA6" i="88" a="1"/>
  <c r="AA6" i="88" s="1"/>
  <c r="U6" i="88" a="1"/>
  <c r="U6" i="88" s="1"/>
  <c r="AA5" i="88" a="1"/>
  <c r="AA5" i="88"/>
  <c r="V5" i="88" a="1"/>
  <c r="V5" i="88" s="1"/>
  <c r="W5" i="88" a="1"/>
  <c r="W5" i="88" s="1"/>
  <c r="X5" i="88" a="1"/>
  <c r="X5" i="88"/>
  <c r="Y5" i="88" a="1"/>
  <c r="Y5" i="88" s="1"/>
  <c r="Z5" i="88" a="1"/>
  <c r="Z5" i="88"/>
  <c r="AV7" i="88"/>
  <c r="AV6" i="88"/>
  <c r="AL5" i="88"/>
  <c r="AL7" i="88"/>
  <c r="AL6" i="88"/>
  <c r="R30" i="88"/>
  <c r="AB5" i="88"/>
  <c r="R31" i="88"/>
  <c r="R32" i="88"/>
  <c r="AB7" i="88"/>
  <c r="AB6" i="88"/>
  <c r="Q30" i="88"/>
  <c r="Q32" i="88"/>
  <c r="Q31" i="88"/>
  <c r="T7" i="88"/>
  <c r="P32" i="88" s="1"/>
  <c r="T6" i="88"/>
  <c r="T5" i="88"/>
  <c r="P30" i="88" s="1"/>
  <c r="P5" i="88"/>
  <c r="P31" i="88"/>
  <c r="O32" i="88"/>
  <c r="O31" i="88"/>
  <c r="O30" i="88"/>
  <c r="U5" i="87" a="1"/>
  <c r="U5" i="87" s="1"/>
  <c r="AN7" i="87" a="1"/>
  <c r="AN7" i="87" s="1"/>
  <c r="AO7" i="87" a="1"/>
  <c r="AO7" i="87" s="1"/>
  <c r="AP7" i="87" a="1"/>
  <c r="AP7" i="87" s="1"/>
  <c r="AQ7" i="87" a="1"/>
  <c r="AQ7" i="87" s="1"/>
  <c r="AR7" i="87" a="1"/>
  <c r="AR7" i="87" s="1"/>
  <c r="AS7" i="87" a="1"/>
  <c r="AS7" i="87" s="1"/>
  <c r="AT7" i="87" a="1"/>
  <c r="AT7" i="87" s="1"/>
  <c r="AU7" i="87" a="1"/>
  <c r="AU7" i="87" s="1"/>
  <c r="AM7" i="87" a="1"/>
  <c r="AM7" i="87" s="1"/>
  <c r="AM6" i="87" a="1"/>
  <c r="AM6" i="87" s="1"/>
  <c r="AN6" i="87" a="1"/>
  <c r="AN6" i="87" s="1"/>
  <c r="AO6" i="87" a="1"/>
  <c r="AO6" i="87" s="1"/>
  <c r="AP6" i="87" a="1"/>
  <c r="AP6" i="87" s="1"/>
  <c r="AQ6" i="87" a="1"/>
  <c r="AQ6" i="87" s="1"/>
  <c r="AR6" i="87" a="1"/>
  <c r="AR6" i="87" s="1"/>
  <c r="AS6" i="87" a="1"/>
  <c r="AS6" i="87"/>
  <c r="AT6" i="87" a="1"/>
  <c r="AT6" i="87"/>
  <c r="AU6" i="87" a="1"/>
  <c r="AU6" i="87"/>
  <c r="AM5" i="87" a="1"/>
  <c r="AM5" i="87" s="1"/>
  <c r="AN5" i="87" a="1"/>
  <c r="AN5" i="87" s="1"/>
  <c r="AO5" i="87" a="1"/>
  <c r="AO5" i="87" s="1"/>
  <c r="AP5" i="87" a="1"/>
  <c r="AP5" i="87" s="1"/>
  <c r="AQ5" i="87" a="1"/>
  <c r="AQ5" i="87" s="1"/>
  <c r="AR5" i="87" a="1"/>
  <c r="AR5" i="87" s="1"/>
  <c r="AS5" i="87" a="1"/>
  <c r="AS5" i="87" s="1"/>
  <c r="AT5" i="87" a="1"/>
  <c r="AT5" i="87" s="1"/>
  <c r="AU5" i="87" a="1"/>
  <c r="AU5" i="87" s="1"/>
  <c r="AK5" i="87" a="1"/>
  <c r="AK5" i="87" s="1"/>
  <c r="AH7" i="87" a="1"/>
  <c r="AH7" i="87" s="1"/>
  <c r="AH6" i="87" a="1"/>
  <c r="AH6" i="87" s="1"/>
  <c r="AH5" i="87" a="1"/>
  <c r="AH5" i="87" s="1"/>
  <c r="X6" i="87" a="1"/>
  <c r="X6" i="87" s="1"/>
  <c r="X7" i="87" a="1"/>
  <c r="X7" i="87" s="1"/>
  <c r="X5" i="87" a="1"/>
  <c r="X5" i="87" s="1"/>
  <c r="AD7" i="87" a="1"/>
  <c r="AD7" i="87" s="1"/>
  <c r="AE7" i="87" a="1"/>
  <c r="AE7" i="87" s="1"/>
  <c r="AF7" i="87" a="1"/>
  <c r="AF7" i="87"/>
  <c r="AG7" i="87" a="1"/>
  <c r="AG7" i="87" s="1"/>
  <c r="AI7" i="87" a="1"/>
  <c r="AI7" i="87" s="1"/>
  <c r="AJ7" i="87" a="1"/>
  <c r="AJ7" i="87" s="1"/>
  <c r="AK7" i="87" a="1"/>
  <c r="AK7" i="87" s="1"/>
  <c r="AC7" i="87" a="1"/>
  <c r="AC7" i="87" s="1"/>
  <c r="AD6" i="87" a="1"/>
  <c r="AD6" i="87" s="1"/>
  <c r="AE6" i="87" a="1"/>
  <c r="AE6" i="87" s="1"/>
  <c r="AF6" i="87" a="1"/>
  <c r="AF6" i="87" s="1"/>
  <c r="AG6" i="87" a="1"/>
  <c r="AG6" i="87" s="1"/>
  <c r="AI6" i="87" a="1"/>
  <c r="AI6" i="87" s="1"/>
  <c r="AJ6" i="87" a="1"/>
  <c r="AJ6" i="87" s="1"/>
  <c r="AK6" i="87" a="1"/>
  <c r="AK6" i="87" s="1"/>
  <c r="AC6" i="87" a="1"/>
  <c r="AC6" i="87" s="1"/>
  <c r="AD5" i="87" a="1"/>
  <c r="AD5" i="87" s="1"/>
  <c r="AE5" i="87" a="1"/>
  <c r="AE5" i="87" s="1"/>
  <c r="AF5" i="87" a="1"/>
  <c r="AF5" i="87" s="1"/>
  <c r="AG5" i="87" a="1"/>
  <c r="AG5" i="87" s="1"/>
  <c r="AI5" i="87" a="1"/>
  <c r="AI5" i="87" s="1"/>
  <c r="AJ5" i="87" a="1"/>
  <c r="AJ5" i="87" s="1"/>
  <c r="AC5" i="87" a="1"/>
  <c r="AC5" i="87" s="1"/>
  <c r="D56" i="74"/>
  <c r="D55" i="74"/>
  <c r="D54" i="74"/>
  <c r="D53" i="74"/>
  <c r="D52" i="74"/>
  <c r="B56" i="74"/>
  <c r="B55" i="74"/>
  <c r="B54" i="74"/>
  <c r="B53" i="74"/>
  <c r="B52" i="74"/>
  <c r="C51" i="74"/>
  <c r="B51" i="74"/>
  <c r="Q97" i="74"/>
  <c r="Q96" i="74"/>
  <c r="O97" i="74"/>
  <c r="F30" i="74"/>
  <c r="F51" i="74" s="1"/>
  <c r="G30" i="74"/>
  <c r="G51" i="74" s="1"/>
  <c r="F31" i="74"/>
  <c r="F52" i="74" s="1"/>
  <c r="G31" i="74"/>
  <c r="G52" i="74" s="1"/>
  <c r="F32" i="74"/>
  <c r="F53" i="74" s="1"/>
  <c r="G32" i="74"/>
  <c r="G53" i="74" s="1"/>
  <c r="F33" i="74"/>
  <c r="F54" i="74" s="1"/>
  <c r="G33" i="74"/>
  <c r="G54" i="74" s="1"/>
  <c r="F34" i="74"/>
  <c r="F55" i="74" s="1"/>
  <c r="G34" i="74"/>
  <c r="G55" i="74" s="1"/>
  <c r="F35" i="74"/>
  <c r="F56" i="74" s="1"/>
  <c r="G35" i="74"/>
  <c r="G56" i="74" s="1"/>
  <c r="E31" i="74"/>
  <c r="E52" i="74" s="1"/>
  <c r="E32" i="74"/>
  <c r="E53" i="74" s="1"/>
  <c r="E33" i="74"/>
  <c r="E54" i="74" s="1"/>
  <c r="E34" i="74"/>
  <c r="E55" i="74" s="1"/>
  <c r="E35" i="74"/>
  <c r="E56" i="74" s="1"/>
  <c r="E30" i="74"/>
  <c r="E51" i="74" s="1"/>
  <c r="R23" i="88" l="1"/>
  <c r="AF26" i="96"/>
  <c r="AE26" i="96"/>
  <c r="AD26" i="96"/>
  <c r="AC26" i="96"/>
  <c r="AB26" i="96"/>
  <c r="AA26" i="96"/>
  <c r="Z26" i="96"/>
  <c r="Y26" i="96"/>
  <c r="X26" i="96"/>
  <c r="W26" i="96"/>
  <c r="V26" i="96"/>
  <c r="U26" i="96"/>
  <c r="T26" i="96"/>
  <c r="S26" i="96"/>
  <c r="R26" i="96"/>
  <c r="Q26" i="96"/>
  <c r="P26" i="96"/>
  <c r="O26" i="96"/>
  <c r="N26" i="96"/>
  <c r="M26" i="96"/>
  <c r="L26" i="96"/>
  <c r="K26" i="96"/>
  <c r="J26" i="96"/>
  <c r="I26" i="96"/>
  <c r="H26" i="96"/>
  <c r="G26" i="96"/>
  <c r="F26" i="96"/>
  <c r="E26" i="96"/>
  <c r="D26" i="96"/>
  <c r="C26" i="96"/>
  <c r="B26" i="96"/>
  <c r="AF23" i="96"/>
  <c r="AE23" i="96"/>
  <c r="AD23" i="96"/>
  <c r="AC23" i="96"/>
  <c r="AB23" i="96"/>
  <c r="AA23" i="96"/>
  <c r="Z23" i="96"/>
  <c r="Y23" i="96"/>
  <c r="X23" i="96"/>
  <c r="W23" i="96"/>
  <c r="V23" i="96"/>
  <c r="U23" i="96"/>
  <c r="T23" i="96"/>
  <c r="S23" i="96"/>
  <c r="R23" i="96"/>
  <c r="Q23" i="96"/>
  <c r="P23" i="96"/>
  <c r="O23" i="96"/>
  <c r="N23" i="96"/>
  <c r="M23" i="96"/>
  <c r="L23" i="96"/>
  <c r="K23" i="96"/>
  <c r="J23" i="96"/>
  <c r="I23" i="96"/>
  <c r="H23" i="96"/>
  <c r="G23" i="96"/>
  <c r="F23" i="96"/>
  <c r="E23" i="96"/>
  <c r="D23" i="96"/>
  <c r="C23" i="96"/>
  <c r="B23" i="96"/>
  <c r="AF22" i="96"/>
  <c r="AE22" i="96"/>
  <c r="AD22" i="96"/>
  <c r="AC22" i="96"/>
  <c r="AB22" i="96"/>
  <c r="AA22" i="96"/>
  <c r="Z22" i="96"/>
  <c r="Y22" i="96"/>
  <c r="X22" i="96"/>
  <c r="W22" i="96"/>
  <c r="V22" i="96"/>
  <c r="U22" i="96"/>
  <c r="T22" i="96"/>
  <c r="S22" i="96"/>
  <c r="R22" i="96"/>
  <c r="Q22" i="96"/>
  <c r="P22" i="96"/>
  <c r="O22" i="96"/>
  <c r="N22" i="96"/>
  <c r="M22" i="96"/>
  <c r="L22" i="96"/>
  <c r="K22" i="96"/>
  <c r="J22" i="96"/>
  <c r="I22" i="96"/>
  <c r="H22" i="96"/>
  <c r="G22" i="96"/>
  <c r="F22" i="96"/>
  <c r="E22" i="96"/>
  <c r="C22" i="96"/>
  <c r="B22" i="96"/>
  <c r="AF21" i="96"/>
  <c r="AE21" i="96"/>
  <c r="AD21" i="96"/>
  <c r="AC21" i="96"/>
  <c r="AB21" i="96"/>
  <c r="AA21" i="96"/>
  <c r="Z21" i="96"/>
  <c r="Y21" i="96"/>
  <c r="X21" i="96"/>
  <c r="W21" i="96"/>
  <c r="V21" i="96"/>
  <c r="U21" i="96"/>
  <c r="T21" i="96"/>
  <c r="S21" i="96"/>
  <c r="R21" i="96"/>
  <c r="Q21" i="96"/>
  <c r="P21" i="96"/>
  <c r="O21" i="96"/>
  <c r="N21" i="96"/>
  <c r="M21" i="96"/>
  <c r="L21" i="96"/>
  <c r="K21" i="96"/>
  <c r="J21" i="96"/>
  <c r="I21" i="96"/>
  <c r="H21" i="96"/>
  <c r="G21" i="96"/>
  <c r="F21" i="96"/>
  <c r="E21" i="96"/>
  <c r="C21" i="96"/>
  <c r="B21" i="96"/>
  <c r="AF20" i="96"/>
  <c r="AE20" i="96"/>
  <c r="AD20" i="96"/>
  <c r="AC20" i="96"/>
  <c r="AB20" i="96"/>
  <c r="AA20" i="96"/>
  <c r="Z20" i="96"/>
  <c r="Y20" i="96"/>
  <c r="X20" i="96"/>
  <c r="W20" i="96"/>
  <c r="V20" i="96"/>
  <c r="U20" i="96"/>
  <c r="T20" i="96"/>
  <c r="S20" i="96"/>
  <c r="R20" i="96"/>
  <c r="Q20" i="96"/>
  <c r="P20" i="96"/>
  <c r="O20" i="96"/>
  <c r="N20" i="96"/>
  <c r="M20" i="96"/>
  <c r="L20" i="96"/>
  <c r="K20" i="96"/>
  <c r="J20" i="96"/>
  <c r="I20" i="96"/>
  <c r="H20" i="96"/>
  <c r="G20" i="96"/>
  <c r="F20" i="96"/>
  <c r="E20" i="96"/>
  <c r="C20" i="96"/>
  <c r="B20" i="96"/>
  <c r="AF19" i="96"/>
  <c r="AE19" i="96"/>
  <c r="AD19" i="96"/>
  <c r="AC19" i="96"/>
  <c r="AB19" i="96"/>
  <c r="AA19" i="96"/>
  <c r="Z19" i="96"/>
  <c r="Y19" i="96"/>
  <c r="X19" i="96"/>
  <c r="W19" i="96"/>
  <c r="V19" i="96"/>
  <c r="U19" i="96"/>
  <c r="T19" i="96"/>
  <c r="S19" i="96"/>
  <c r="R19" i="96"/>
  <c r="Q19" i="96"/>
  <c r="P19" i="96"/>
  <c r="O19" i="96"/>
  <c r="N19" i="96"/>
  <c r="M19" i="96"/>
  <c r="L19" i="96"/>
  <c r="K19" i="96"/>
  <c r="J19" i="96"/>
  <c r="I19" i="96"/>
  <c r="H19" i="96"/>
  <c r="G19" i="96"/>
  <c r="F19" i="96"/>
  <c r="E19" i="96"/>
  <c r="C19" i="96"/>
  <c r="B19" i="96"/>
  <c r="AF18" i="96"/>
  <c r="AE18" i="96"/>
  <c r="AD18" i="96"/>
  <c r="AC18" i="96"/>
  <c r="AB18" i="96"/>
  <c r="AA18" i="96"/>
  <c r="Z18" i="96"/>
  <c r="Y18" i="96"/>
  <c r="X18" i="96"/>
  <c r="W18" i="96"/>
  <c r="V18" i="96"/>
  <c r="U18" i="96"/>
  <c r="T18" i="96"/>
  <c r="S18" i="96"/>
  <c r="R18" i="96"/>
  <c r="Q18" i="96"/>
  <c r="P18" i="96"/>
  <c r="O18" i="96"/>
  <c r="N18" i="96"/>
  <c r="M18" i="96"/>
  <c r="L18" i="96"/>
  <c r="K18" i="96"/>
  <c r="J18" i="96"/>
  <c r="I18" i="96"/>
  <c r="H18" i="96"/>
  <c r="G18" i="96"/>
  <c r="F18" i="96"/>
  <c r="E18" i="96"/>
  <c r="C18" i="96"/>
  <c r="B18" i="96"/>
  <c r="AF17" i="96"/>
  <c r="AE17" i="96"/>
  <c r="AD17" i="96"/>
  <c r="AC17" i="96"/>
  <c r="AB17" i="96"/>
  <c r="AA17" i="96"/>
  <c r="Z17" i="96"/>
  <c r="Y17" i="96"/>
  <c r="X17" i="96"/>
  <c r="W17" i="96"/>
  <c r="V17" i="96"/>
  <c r="U17" i="96"/>
  <c r="T17" i="96"/>
  <c r="S17" i="96"/>
  <c r="R17" i="96"/>
  <c r="Q17" i="96"/>
  <c r="P17" i="96"/>
  <c r="O17" i="96"/>
  <c r="N17" i="96"/>
  <c r="M17" i="96"/>
  <c r="L17" i="96"/>
  <c r="K17" i="96"/>
  <c r="J17" i="96"/>
  <c r="I17" i="96"/>
  <c r="H17" i="96"/>
  <c r="G17" i="96"/>
  <c r="F17" i="96"/>
  <c r="E17" i="96"/>
  <c r="C17" i="96"/>
  <c r="B17" i="96"/>
  <c r="AF16" i="96"/>
  <c r="AE16" i="96"/>
  <c r="AD16" i="96"/>
  <c r="AC16" i="96"/>
  <c r="AB16" i="96"/>
  <c r="AA16" i="96"/>
  <c r="Z16" i="96"/>
  <c r="Y16" i="96"/>
  <c r="X16" i="96"/>
  <c r="W16" i="96"/>
  <c r="V16" i="96"/>
  <c r="U16" i="96"/>
  <c r="T16" i="96"/>
  <c r="S16" i="96"/>
  <c r="R16" i="96"/>
  <c r="Q16" i="96"/>
  <c r="P16" i="96"/>
  <c r="O16" i="96"/>
  <c r="N16" i="96"/>
  <c r="M16" i="96"/>
  <c r="L16" i="96"/>
  <c r="K16" i="96"/>
  <c r="J16" i="96"/>
  <c r="I16" i="96"/>
  <c r="H16" i="96"/>
  <c r="G16" i="96"/>
  <c r="F16" i="96"/>
  <c r="E16" i="96"/>
  <c r="C16" i="96"/>
  <c r="B16" i="96"/>
  <c r="AF15" i="96"/>
  <c r="AE15" i="96"/>
  <c r="AD15" i="96"/>
  <c r="AC15" i="96"/>
  <c r="AB15" i="96"/>
  <c r="AA15" i="96"/>
  <c r="Z15" i="96"/>
  <c r="Y15" i="96"/>
  <c r="X15" i="96"/>
  <c r="W15" i="96"/>
  <c r="V15" i="96"/>
  <c r="U15" i="96"/>
  <c r="T15" i="96"/>
  <c r="S15" i="96"/>
  <c r="R15" i="96"/>
  <c r="AF14" i="96"/>
  <c r="AE14" i="96"/>
  <c r="AD14" i="96"/>
  <c r="AC14" i="96"/>
  <c r="AB14" i="96"/>
  <c r="AA14" i="96"/>
  <c r="Z14" i="96"/>
  <c r="Y14" i="96"/>
  <c r="X14" i="96"/>
  <c r="W14" i="96"/>
  <c r="V14" i="96"/>
  <c r="U14" i="96"/>
  <c r="T14" i="96"/>
  <c r="S14" i="96"/>
  <c r="R14" i="96"/>
  <c r="Q14" i="96"/>
  <c r="P14" i="96"/>
  <c r="O14" i="96"/>
  <c r="N14" i="96"/>
  <c r="M14" i="96"/>
  <c r="L14" i="96"/>
  <c r="K14" i="96"/>
  <c r="J14" i="96"/>
  <c r="I14" i="96"/>
  <c r="H14" i="96"/>
  <c r="G14" i="96"/>
  <c r="F14" i="96"/>
  <c r="E14" i="96"/>
  <c r="D14" i="96"/>
  <c r="C14" i="96"/>
  <c r="B14" i="96"/>
  <c r="AF13" i="96"/>
  <c r="AE13" i="96"/>
  <c r="AD13" i="96"/>
  <c r="AC13" i="96"/>
  <c r="AB13" i="96"/>
  <c r="AA13" i="96"/>
  <c r="Z13" i="96"/>
  <c r="Y13" i="96"/>
  <c r="X13" i="96"/>
  <c r="W13" i="96"/>
  <c r="V13" i="96"/>
  <c r="U13" i="96"/>
  <c r="T13" i="96"/>
  <c r="S13" i="96"/>
  <c r="R13" i="96"/>
  <c r="Q13" i="96"/>
  <c r="P13" i="96"/>
  <c r="O13" i="96"/>
  <c r="N13" i="96"/>
  <c r="M13" i="96"/>
  <c r="L13" i="96"/>
  <c r="K13" i="96"/>
  <c r="J13" i="96"/>
  <c r="I13" i="96"/>
  <c r="H13" i="96"/>
  <c r="G13" i="96"/>
  <c r="F13" i="96"/>
  <c r="E13" i="96"/>
  <c r="D13" i="96"/>
  <c r="C13" i="96"/>
  <c r="B13" i="96"/>
  <c r="AF12" i="96"/>
  <c r="AE12" i="96"/>
  <c r="AD12" i="96"/>
  <c r="AC12" i="96"/>
  <c r="AB12" i="96"/>
  <c r="AA12" i="96"/>
  <c r="Z12" i="96"/>
  <c r="Y12" i="96"/>
  <c r="X12" i="96"/>
  <c r="W12" i="96"/>
  <c r="V12" i="96"/>
  <c r="U12" i="96"/>
  <c r="T12" i="96"/>
  <c r="S12" i="96"/>
  <c r="R12" i="96"/>
  <c r="AF9" i="96"/>
  <c r="AE9" i="96"/>
  <c r="AD9" i="96"/>
  <c r="AC9" i="96"/>
  <c r="AB9" i="96"/>
  <c r="AA9" i="96"/>
  <c r="Z9" i="96"/>
  <c r="Y9" i="96"/>
  <c r="X9" i="96"/>
  <c r="W9" i="96"/>
  <c r="V9" i="96"/>
  <c r="U9" i="96"/>
  <c r="T9" i="96"/>
  <c r="S9" i="96"/>
  <c r="R9" i="96"/>
  <c r="Q9" i="96"/>
  <c r="P9" i="96"/>
  <c r="O9" i="96"/>
  <c r="N9" i="96"/>
  <c r="M9" i="96"/>
  <c r="L9" i="96"/>
  <c r="K9" i="96"/>
  <c r="J9" i="96"/>
  <c r="I9" i="96"/>
  <c r="H9" i="96"/>
  <c r="G9" i="96"/>
  <c r="F9" i="96"/>
  <c r="E9" i="96"/>
  <c r="D9" i="96"/>
  <c r="C9" i="96"/>
  <c r="B9" i="96"/>
  <c r="AF8" i="96"/>
  <c r="AE8" i="96"/>
  <c r="AD8" i="96"/>
  <c r="AC8" i="96"/>
  <c r="AB8" i="96"/>
  <c r="AA8" i="96"/>
  <c r="Z8" i="96"/>
  <c r="Y8" i="96"/>
  <c r="X8" i="96"/>
  <c r="W8" i="96"/>
  <c r="V8" i="96"/>
  <c r="U8" i="96"/>
  <c r="T8" i="96"/>
  <c r="S8" i="96"/>
  <c r="R8" i="96"/>
  <c r="Q8" i="96"/>
  <c r="P8" i="96"/>
  <c r="O8" i="96"/>
  <c r="N8" i="96"/>
  <c r="M8" i="96"/>
  <c r="L8" i="96"/>
  <c r="K8" i="96"/>
  <c r="J8" i="96"/>
  <c r="I8" i="96"/>
  <c r="H8" i="96"/>
  <c r="G8" i="96"/>
  <c r="F8" i="96"/>
  <c r="E8" i="96"/>
  <c r="D8" i="96"/>
  <c r="C8" i="96"/>
  <c r="B8" i="96"/>
  <c r="AF7" i="96"/>
  <c r="AE7" i="96"/>
  <c r="AD7" i="96"/>
  <c r="AC7" i="96"/>
  <c r="AB7" i="96"/>
  <c r="AA7" i="96"/>
  <c r="Z7" i="96"/>
  <c r="Y7" i="96"/>
  <c r="X7" i="96"/>
  <c r="W7" i="96"/>
  <c r="V7" i="96"/>
  <c r="U7" i="96"/>
  <c r="T7" i="96"/>
  <c r="S7" i="96"/>
  <c r="R7" i="96"/>
  <c r="Q7" i="96"/>
  <c r="P7" i="96"/>
  <c r="O7" i="96"/>
  <c r="N7" i="96"/>
  <c r="M7" i="96"/>
  <c r="L7" i="96"/>
  <c r="K7" i="96"/>
  <c r="J7" i="96"/>
  <c r="I7" i="96"/>
  <c r="H7" i="96"/>
  <c r="G7" i="96"/>
  <c r="F7" i="96"/>
  <c r="E7" i="96"/>
  <c r="D7" i="96"/>
  <c r="C7" i="96"/>
  <c r="B7" i="96"/>
  <c r="AF6" i="96"/>
  <c r="AE6" i="96"/>
  <c r="AD6" i="96"/>
  <c r="AC6" i="96"/>
  <c r="AB6" i="96"/>
  <c r="AA6" i="96"/>
  <c r="Z6" i="96"/>
  <c r="Y6" i="96"/>
  <c r="X6" i="96"/>
  <c r="W6" i="96"/>
  <c r="V6" i="96"/>
  <c r="U6" i="96"/>
  <c r="T6" i="96"/>
  <c r="S6" i="96"/>
  <c r="R6" i="96"/>
  <c r="Q6" i="96"/>
  <c r="P6" i="96"/>
  <c r="O6" i="96"/>
  <c r="N6" i="96"/>
  <c r="M6" i="96"/>
  <c r="L6" i="96"/>
  <c r="K6" i="96"/>
  <c r="J6" i="96"/>
  <c r="I6" i="96"/>
  <c r="H6" i="96"/>
  <c r="G6" i="96"/>
  <c r="F6" i="96"/>
  <c r="E6" i="96"/>
  <c r="D6" i="96"/>
  <c r="C6" i="96"/>
  <c r="B6" i="96"/>
  <c r="AF5" i="96"/>
  <c r="AE5" i="96"/>
  <c r="AD5" i="96"/>
  <c r="AC5" i="96"/>
  <c r="AB5" i="96"/>
  <c r="AA5" i="96"/>
  <c r="Z5" i="96"/>
  <c r="Y5" i="96"/>
  <c r="X5" i="96"/>
  <c r="W5" i="96"/>
  <c r="V5" i="96"/>
  <c r="U5" i="96"/>
  <c r="T5" i="96"/>
  <c r="S5" i="96"/>
  <c r="R5" i="96"/>
  <c r="Q5" i="96"/>
  <c r="P5" i="96"/>
  <c r="O5" i="96"/>
  <c r="N5" i="96"/>
  <c r="M5" i="96"/>
  <c r="L5" i="96"/>
  <c r="K5" i="96"/>
  <c r="J5" i="96"/>
  <c r="I5" i="96"/>
  <c r="H5" i="96"/>
  <c r="G5" i="96"/>
  <c r="F5" i="96"/>
  <c r="E5" i="96"/>
  <c r="D5" i="96"/>
  <c r="C5" i="96"/>
  <c r="B5" i="96"/>
  <c r="AF2" i="96"/>
  <c r="AE2" i="96"/>
  <c r="AD2" i="96"/>
  <c r="AC2" i="96"/>
  <c r="AB2" i="96"/>
  <c r="AA2" i="96"/>
  <c r="Z2" i="96"/>
  <c r="Y2" i="96"/>
  <c r="X2" i="96"/>
  <c r="W2" i="96"/>
  <c r="V2" i="96"/>
  <c r="U2" i="96"/>
  <c r="T2" i="96"/>
  <c r="S2" i="96"/>
  <c r="R2" i="96"/>
  <c r="Q2" i="96"/>
  <c r="P2" i="96"/>
  <c r="O2" i="96"/>
  <c r="N2" i="96"/>
  <c r="M2" i="96"/>
  <c r="L2" i="96"/>
  <c r="K2" i="96"/>
  <c r="J2" i="96"/>
  <c r="I2" i="96"/>
  <c r="H2" i="96"/>
  <c r="G2" i="96"/>
  <c r="F2" i="96"/>
  <c r="E2" i="96"/>
  <c r="D2" i="96"/>
  <c r="C2" i="96"/>
  <c r="B2" i="96"/>
  <c r="AF26" i="95"/>
  <c r="AE26" i="95"/>
  <c r="AD26" i="95"/>
  <c r="AC26" i="95"/>
  <c r="AB26" i="95"/>
  <c r="AA26" i="95"/>
  <c r="Z26" i="95"/>
  <c r="Y26" i="95"/>
  <c r="X26" i="95"/>
  <c r="W26" i="95"/>
  <c r="V26" i="95"/>
  <c r="U26" i="95"/>
  <c r="T26" i="95"/>
  <c r="S26" i="95"/>
  <c r="R26" i="95"/>
  <c r="Q26" i="95"/>
  <c r="P26" i="95"/>
  <c r="O26" i="95"/>
  <c r="N26" i="95"/>
  <c r="M26" i="95"/>
  <c r="L26" i="95"/>
  <c r="K26" i="95"/>
  <c r="J26" i="95"/>
  <c r="I26" i="95"/>
  <c r="H26" i="95"/>
  <c r="G26" i="95"/>
  <c r="AF23" i="95"/>
  <c r="AE23" i="95"/>
  <c r="AD23" i="95"/>
  <c r="AC23" i="95"/>
  <c r="AB23" i="95"/>
  <c r="AA23" i="95"/>
  <c r="Z23" i="95"/>
  <c r="Y23" i="95"/>
  <c r="X23" i="95"/>
  <c r="W23" i="95"/>
  <c r="V23" i="95"/>
  <c r="U23" i="95"/>
  <c r="T23" i="95"/>
  <c r="S23" i="95"/>
  <c r="R23" i="95"/>
  <c r="Q23" i="95"/>
  <c r="P23" i="95"/>
  <c r="O23" i="95"/>
  <c r="N23" i="95"/>
  <c r="M23" i="95"/>
  <c r="L23" i="95"/>
  <c r="K23" i="95"/>
  <c r="J23" i="95"/>
  <c r="I23" i="95"/>
  <c r="H23" i="95"/>
  <c r="G23" i="95"/>
  <c r="AF22" i="95"/>
  <c r="AE22" i="95"/>
  <c r="AD22" i="95"/>
  <c r="AC22" i="95"/>
  <c r="AB22" i="95"/>
  <c r="AA22" i="95"/>
  <c r="Z22" i="95"/>
  <c r="Y22" i="95"/>
  <c r="X22" i="95"/>
  <c r="W22" i="95"/>
  <c r="V22" i="95"/>
  <c r="U22" i="95"/>
  <c r="T22" i="95"/>
  <c r="S22" i="95"/>
  <c r="R22" i="95"/>
  <c r="Q22" i="95"/>
  <c r="P22" i="95"/>
  <c r="O22" i="95"/>
  <c r="N22" i="95"/>
  <c r="M22" i="95"/>
  <c r="L22" i="95"/>
  <c r="K22" i="95"/>
  <c r="J22" i="95"/>
  <c r="I22" i="95"/>
  <c r="H22" i="95"/>
  <c r="G22" i="95"/>
  <c r="AF21" i="95"/>
  <c r="AE21" i="95"/>
  <c r="AD21" i="95"/>
  <c r="AC21" i="95"/>
  <c r="AB21" i="95"/>
  <c r="AA21" i="95"/>
  <c r="Z21" i="95"/>
  <c r="Y21" i="95"/>
  <c r="X21" i="95"/>
  <c r="W21" i="95"/>
  <c r="V21" i="95"/>
  <c r="U21" i="95"/>
  <c r="T21" i="95"/>
  <c r="S21" i="95"/>
  <c r="R21" i="95"/>
  <c r="Q21" i="95"/>
  <c r="P21" i="95"/>
  <c r="O21" i="95"/>
  <c r="N21" i="95"/>
  <c r="M21" i="95"/>
  <c r="L21" i="95"/>
  <c r="K21" i="95"/>
  <c r="J21" i="95"/>
  <c r="I21" i="95"/>
  <c r="H21" i="95"/>
  <c r="G21" i="95"/>
  <c r="AF20" i="95"/>
  <c r="AE20" i="95"/>
  <c r="AD20" i="95"/>
  <c r="AC20" i="95"/>
  <c r="AB20" i="95"/>
  <c r="AA20" i="95"/>
  <c r="Z20" i="95"/>
  <c r="Y20" i="95"/>
  <c r="X20" i="95"/>
  <c r="W20" i="95"/>
  <c r="V20" i="95"/>
  <c r="U20" i="95"/>
  <c r="T20" i="95"/>
  <c r="S20" i="95"/>
  <c r="R20" i="95"/>
  <c r="Q20" i="95"/>
  <c r="P20" i="95"/>
  <c r="O20" i="95"/>
  <c r="N20" i="95"/>
  <c r="M20" i="95"/>
  <c r="L20" i="95"/>
  <c r="K20" i="95"/>
  <c r="J20" i="95"/>
  <c r="I20" i="95"/>
  <c r="H20" i="95"/>
  <c r="G20" i="95"/>
  <c r="AF19" i="95"/>
  <c r="AE19" i="95"/>
  <c r="AD19" i="95"/>
  <c r="AC19" i="95"/>
  <c r="AB19" i="95"/>
  <c r="AA19" i="95"/>
  <c r="Z19" i="95"/>
  <c r="Y19" i="95"/>
  <c r="X19" i="95"/>
  <c r="W19" i="95"/>
  <c r="V19" i="95"/>
  <c r="U19" i="95"/>
  <c r="T19" i="95"/>
  <c r="S19" i="95"/>
  <c r="R19" i="95"/>
  <c r="Q19" i="95"/>
  <c r="P19" i="95"/>
  <c r="O19" i="95"/>
  <c r="N19" i="95"/>
  <c r="M19" i="95"/>
  <c r="L19" i="95"/>
  <c r="K19" i="95"/>
  <c r="J19" i="95"/>
  <c r="I19" i="95"/>
  <c r="H19" i="95"/>
  <c r="G19" i="95"/>
  <c r="AF18" i="95"/>
  <c r="AE18" i="95"/>
  <c r="AD18" i="95"/>
  <c r="AC18" i="95"/>
  <c r="AB18" i="95"/>
  <c r="AA18" i="95"/>
  <c r="Z18" i="95"/>
  <c r="Y18" i="95"/>
  <c r="X18" i="95"/>
  <c r="W18" i="95"/>
  <c r="V18" i="95"/>
  <c r="U18" i="95"/>
  <c r="T18" i="95"/>
  <c r="S18" i="95"/>
  <c r="R18" i="95"/>
  <c r="Q18" i="95"/>
  <c r="P18" i="95"/>
  <c r="O18" i="95"/>
  <c r="N18" i="95"/>
  <c r="M18" i="95"/>
  <c r="L18" i="95"/>
  <c r="K18" i="95"/>
  <c r="J18" i="95"/>
  <c r="I18" i="95"/>
  <c r="H18" i="95"/>
  <c r="G18" i="95"/>
  <c r="AF17" i="95"/>
  <c r="AE17" i="95"/>
  <c r="AD17" i="95"/>
  <c r="AC17" i="95"/>
  <c r="AB17" i="95"/>
  <c r="AA17" i="95"/>
  <c r="Z17" i="95"/>
  <c r="Y17" i="95"/>
  <c r="X17" i="95"/>
  <c r="W17" i="95"/>
  <c r="V17" i="95"/>
  <c r="U17" i="95"/>
  <c r="T17" i="95"/>
  <c r="S17" i="95"/>
  <c r="R17" i="95"/>
  <c r="Q17" i="95"/>
  <c r="P17" i="95"/>
  <c r="O17" i="95"/>
  <c r="N17" i="95"/>
  <c r="M17" i="95"/>
  <c r="L17" i="95"/>
  <c r="K17" i="95"/>
  <c r="J17" i="95"/>
  <c r="I17" i="95"/>
  <c r="H17" i="95"/>
  <c r="G17" i="95"/>
  <c r="AF16" i="95"/>
  <c r="AE16" i="95"/>
  <c r="AD16" i="95"/>
  <c r="AC16" i="95"/>
  <c r="AB16" i="95"/>
  <c r="AA16" i="95"/>
  <c r="Z16" i="95"/>
  <c r="Y16" i="95"/>
  <c r="X16" i="95"/>
  <c r="W16" i="95"/>
  <c r="V16" i="95"/>
  <c r="U16" i="95"/>
  <c r="T16" i="95"/>
  <c r="S16" i="95"/>
  <c r="R16" i="95"/>
  <c r="Q16" i="95"/>
  <c r="P16" i="95"/>
  <c r="O16" i="95"/>
  <c r="N16" i="95"/>
  <c r="M16" i="95"/>
  <c r="L16" i="95"/>
  <c r="K16" i="95"/>
  <c r="J16" i="95"/>
  <c r="I16" i="95"/>
  <c r="H16" i="95"/>
  <c r="G16" i="95"/>
  <c r="AF15" i="95"/>
  <c r="AE15" i="95"/>
  <c r="AD15" i="95"/>
  <c r="AC15" i="95"/>
  <c r="AB15" i="95"/>
  <c r="AA15" i="95"/>
  <c r="Z15" i="95"/>
  <c r="Y15" i="95"/>
  <c r="X15" i="95"/>
  <c r="W15" i="95"/>
  <c r="V15" i="95"/>
  <c r="U15" i="95"/>
  <c r="T15" i="95"/>
  <c r="S15" i="95"/>
  <c r="R15" i="95"/>
  <c r="AF14" i="95"/>
  <c r="AE14" i="95"/>
  <c r="AD14" i="95"/>
  <c r="AC14" i="95"/>
  <c r="AB14" i="95"/>
  <c r="AA14" i="95"/>
  <c r="Z14" i="95"/>
  <c r="Y14" i="95"/>
  <c r="X14" i="95"/>
  <c r="W14" i="95"/>
  <c r="V14" i="95"/>
  <c r="U14" i="95"/>
  <c r="T14" i="95"/>
  <c r="S14" i="95"/>
  <c r="R14" i="95"/>
  <c r="Q14" i="95"/>
  <c r="P14" i="95"/>
  <c r="O14" i="95"/>
  <c r="N14" i="95"/>
  <c r="M14" i="95"/>
  <c r="L14" i="95"/>
  <c r="K14" i="95"/>
  <c r="J14" i="95"/>
  <c r="I14" i="95"/>
  <c r="H14" i="95"/>
  <c r="G14" i="95"/>
  <c r="AF13" i="95"/>
  <c r="AE13" i="95"/>
  <c r="AD13" i="95"/>
  <c r="AC13" i="95"/>
  <c r="AB13" i="95"/>
  <c r="AA13" i="95"/>
  <c r="Z13" i="95"/>
  <c r="Y13" i="95"/>
  <c r="X13" i="95"/>
  <c r="W13" i="95"/>
  <c r="V13" i="95"/>
  <c r="U13" i="95"/>
  <c r="T13" i="95"/>
  <c r="S13" i="95"/>
  <c r="R13" i="95"/>
  <c r="Q13" i="95"/>
  <c r="P13" i="95"/>
  <c r="O13" i="95"/>
  <c r="N13" i="95"/>
  <c r="M13" i="95"/>
  <c r="L13" i="95"/>
  <c r="K13" i="95"/>
  <c r="J13" i="95"/>
  <c r="I13" i="95"/>
  <c r="H13" i="95"/>
  <c r="G13" i="95"/>
  <c r="AF12" i="95"/>
  <c r="AE12" i="95"/>
  <c r="AD12" i="95"/>
  <c r="AC12" i="95"/>
  <c r="AB12" i="95"/>
  <c r="AA12" i="95"/>
  <c r="Z12" i="95"/>
  <c r="Y12" i="95"/>
  <c r="X12" i="95"/>
  <c r="W12" i="95"/>
  <c r="V12" i="95"/>
  <c r="U12" i="95"/>
  <c r="T12" i="95"/>
  <c r="S12" i="95"/>
  <c r="R12" i="95"/>
  <c r="AF11" i="95"/>
  <c r="AE11" i="95"/>
  <c r="AD11" i="95"/>
  <c r="AC11" i="95"/>
  <c r="AB11" i="95"/>
  <c r="AA11" i="95"/>
  <c r="Z11" i="95"/>
  <c r="Y11" i="95"/>
  <c r="X11" i="95"/>
  <c r="W11" i="95"/>
  <c r="V11" i="95"/>
  <c r="U11" i="95"/>
  <c r="T11" i="95"/>
  <c r="S11" i="95"/>
  <c r="R11" i="95"/>
  <c r="F10" i="95"/>
  <c r="F10" i="95" a="1"/>
  <c r="E10" i="95"/>
  <c r="E10" i="95" a="1"/>
  <c r="D10" i="95" a="1"/>
  <c r="D10" i="95" s="1"/>
  <c r="C10" i="95" a="1"/>
  <c r="C10" i="95" s="1"/>
  <c r="B10" i="95"/>
  <c r="B10" i="95" a="1"/>
  <c r="AF9" i="95"/>
  <c r="AE9" i="95"/>
  <c r="AD9" i="95"/>
  <c r="AC9" i="95"/>
  <c r="AB9" i="95"/>
  <c r="AA9" i="95"/>
  <c r="Z9" i="95"/>
  <c r="Y9" i="95"/>
  <c r="X9" i="95"/>
  <c r="W9" i="95"/>
  <c r="V9" i="95"/>
  <c r="U9" i="95"/>
  <c r="T9" i="95"/>
  <c r="S9" i="95"/>
  <c r="R9" i="95"/>
  <c r="Q9" i="95"/>
  <c r="P9" i="95"/>
  <c r="O9" i="95"/>
  <c r="N9" i="95"/>
  <c r="M9" i="95"/>
  <c r="L9" i="95"/>
  <c r="K9" i="95"/>
  <c r="J9" i="95"/>
  <c r="I9" i="95"/>
  <c r="H9" i="95"/>
  <c r="G9" i="95"/>
  <c r="AF8" i="95"/>
  <c r="AE8" i="95"/>
  <c r="AD8" i="95"/>
  <c r="AC8" i="95"/>
  <c r="AB8" i="95"/>
  <c r="AA8" i="95"/>
  <c r="Z8" i="95"/>
  <c r="Y8" i="95"/>
  <c r="X8" i="95"/>
  <c r="W8" i="95"/>
  <c r="V8" i="95"/>
  <c r="U8" i="95"/>
  <c r="T8" i="95"/>
  <c r="S8" i="95"/>
  <c r="R8" i="95"/>
  <c r="Q8" i="95"/>
  <c r="P8" i="95"/>
  <c r="O8" i="95"/>
  <c r="N8" i="95"/>
  <c r="M8" i="95"/>
  <c r="L8" i="95"/>
  <c r="K8" i="95"/>
  <c r="J8" i="95"/>
  <c r="I8" i="95"/>
  <c r="H8" i="95"/>
  <c r="G8" i="95"/>
  <c r="AF7" i="95"/>
  <c r="AE7" i="95"/>
  <c r="AD7" i="95"/>
  <c r="AC7" i="95"/>
  <c r="AB7" i="95"/>
  <c r="AA7" i="95"/>
  <c r="Z7" i="95"/>
  <c r="Y7" i="95"/>
  <c r="X7" i="95"/>
  <c r="W7" i="95"/>
  <c r="V7" i="95"/>
  <c r="U7" i="95"/>
  <c r="T7" i="95"/>
  <c r="S7" i="95"/>
  <c r="R7" i="95"/>
  <c r="Q7" i="95"/>
  <c r="P7" i="95"/>
  <c r="O7" i="95"/>
  <c r="N7" i="95"/>
  <c r="M7" i="95"/>
  <c r="L7" i="95"/>
  <c r="K7" i="95"/>
  <c r="J7" i="95"/>
  <c r="I7" i="95"/>
  <c r="H7" i="95"/>
  <c r="G7" i="95"/>
  <c r="AF6" i="95"/>
  <c r="AE6" i="95"/>
  <c r="AD6" i="95"/>
  <c r="AC6" i="95"/>
  <c r="AB6" i="95"/>
  <c r="AA6" i="95"/>
  <c r="Z6" i="95"/>
  <c r="Y6" i="95"/>
  <c r="X6" i="95"/>
  <c r="W6" i="95"/>
  <c r="V6" i="95"/>
  <c r="U6" i="95"/>
  <c r="T6" i="95"/>
  <c r="S6" i="95"/>
  <c r="R6" i="95"/>
  <c r="Q6" i="95"/>
  <c r="P6" i="95"/>
  <c r="O6" i="95"/>
  <c r="N6" i="95"/>
  <c r="M6" i="95"/>
  <c r="L6" i="95"/>
  <c r="K6" i="95"/>
  <c r="J6" i="95"/>
  <c r="I6" i="95"/>
  <c r="H6" i="95"/>
  <c r="G6" i="95"/>
  <c r="AF5" i="95"/>
  <c r="AE5" i="95"/>
  <c r="AD5" i="95"/>
  <c r="AC5" i="95"/>
  <c r="AB5" i="95"/>
  <c r="AA5" i="95"/>
  <c r="Z5" i="95"/>
  <c r="Y5" i="95"/>
  <c r="X5" i="95"/>
  <c r="W5" i="95"/>
  <c r="V5" i="95"/>
  <c r="U5" i="95"/>
  <c r="T5" i="95"/>
  <c r="S5" i="95"/>
  <c r="R5" i="95"/>
  <c r="Q5" i="95"/>
  <c r="P5" i="95"/>
  <c r="O5" i="95"/>
  <c r="N5" i="95"/>
  <c r="M5" i="95"/>
  <c r="L5" i="95"/>
  <c r="K5" i="95"/>
  <c r="J5" i="95"/>
  <c r="I5" i="95"/>
  <c r="H5" i="95"/>
  <c r="G5" i="95"/>
  <c r="F4" i="95" a="1"/>
  <c r="F4" i="95" s="1"/>
  <c r="E4" i="95" a="1"/>
  <c r="E4" i="95" s="1"/>
  <c r="D4" i="95"/>
  <c r="D4" i="95" a="1"/>
  <c r="C4" i="95" a="1"/>
  <c r="C4" i="95" s="1"/>
  <c r="B4" i="95" a="1"/>
  <c r="B4" i="95" s="1"/>
  <c r="F3" i="95" a="1"/>
  <c r="F3" i="95" s="1"/>
  <c r="E3" i="95"/>
  <c r="E3" i="95" a="1"/>
  <c r="D3" i="95" a="1"/>
  <c r="D3" i="95" s="1"/>
  <c r="C3" i="95" a="1"/>
  <c r="C3" i="95" s="1"/>
  <c r="B3" i="95" a="1"/>
  <c r="B3" i="95" s="1"/>
  <c r="AF2" i="95"/>
  <c r="AE2" i="95"/>
  <c r="AD2" i="95"/>
  <c r="AC2" i="95"/>
  <c r="AB2" i="95"/>
  <c r="AA2" i="95"/>
  <c r="Z2" i="95"/>
  <c r="Y2" i="95"/>
  <c r="X2" i="95"/>
  <c r="W2" i="95"/>
  <c r="V2" i="95"/>
  <c r="U2" i="95"/>
  <c r="T2" i="95"/>
  <c r="S2" i="95"/>
  <c r="R2" i="95"/>
  <c r="Q2" i="95"/>
  <c r="P2" i="95"/>
  <c r="O2" i="95"/>
  <c r="N2" i="95"/>
  <c r="M2" i="95"/>
  <c r="L2" i="95"/>
  <c r="K2" i="95"/>
  <c r="J2" i="95"/>
  <c r="I2" i="95"/>
  <c r="H2" i="95"/>
  <c r="G2" i="95"/>
  <c r="AC12" i="93"/>
  <c r="AD12" i="93"/>
  <c r="AE12" i="93"/>
  <c r="AF12" i="93"/>
  <c r="AC13" i="93"/>
  <c r="AD13" i="93"/>
  <c r="AE13" i="93"/>
  <c r="AF13" i="93"/>
  <c r="AC19" i="93"/>
  <c r="AD19" i="93"/>
  <c r="AE19" i="93"/>
  <c r="AF19" i="93"/>
  <c r="AC33" i="93"/>
  <c r="AD33" i="93"/>
  <c r="AE33" i="93"/>
  <c r="AF33" i="93"/>
  <c r="C12" i="93"/>
  <c r="D12" i="93"/>
  <c r="E12" i="93"/>
  <c r="F12" i="93"/>
  <c r="G12" i="93"/>
  <c r="H12" i="93"/>
  <c r="I12" i="93"/>
  <c r="J12" i="93"/>
  <c r="K12" i="93"/>
  <c r="L12" i="93"/>
  <c r="M12" i="93"/>
  <c r="N12" i="93"/>
  <c r="O12" i="93"/>
  <c r="P12" i="93"/>
  <c r="Q12" i="93"/>
  <c r="R12" i="93"/>
  <c r="S12" i="93"/>
  <c r="T12" i="93"/>
  <c r="U12" i="93"/>
  <c r="V12" i="93"/>
  <c r="W12" i="93"/>
  <c r="X12" i="93"/>
  <c r="Y12" i="93"/>
  <c r="Z12" i="93"/>
  <c r="AA12" i="93"/>
  <c r="AB12" i="93"/>
  <c r="C13" i="93"/>
  <c r="D13" i="93"/>
  <c r="E13" i="93"/>
  <c r="F13" i="93"/>
  <c r="G13" i="93"/>
  <c r="H13" i="93"/>
  <c r="I13" i="93"/>
  <c r="J13" i="93"/>
  <c r="K13" i="93"/>
  <c r="L13" i="93"/>
  <c r="M13" i="93"/>
  <c r="N13" i="93"/>
  <c r="O13" i="93"/>
  <c r="P13" i="93"/>
  <c r="Q13" i="93"/>
  <c r="R13" i="93"/>
  <c r="S13" i="93"/>
  <c r="T13" i="93"/>
  <c r="U13" i="93"/>
  <c r="V13" i="93"/>
  <c r="W13" i="93"/>
  <c r="X13" i="93"/>
  <c r="Y13" i="93"/>
  <c r="Z13" i="93"/>
  <c r="AA13" i="93"/>
  <c r="AB13" i="93"/>
  <c r="C19" i="93"/>
  <c r="D19" i="93"/>
  <c r="E19" i="93"/>
  <c r="F19" i="93"/>
  <c r="G19" i="93"/>
  <c r="H19" i="93"/>
  <c r="I19" i="93"/>
  <c r="J19" i="93"/>
  <c r="K19" i="93"/>
  <c r="L19" i="93"/>
  <c r="M19" i="93"/>
  <c r="N19" i="93"/>
  <c r="O19" i="93"/>
  <c r="P19" i="93"/>
  <c r="Q19" i="93"/>
  <c r="R19" i="93"/>
  <c r="S19" i="93"/>
  <c r="T19" i="93"/>
  <c r="U19" i="93"/>
  <c r="V19" i="93"/>
  <c r="W19" i="93"/>
  <c r="X19" i="93"/>
  <c r="Y19" i="93"/>
  <c r="Z19" i="93"/>
  <c r="AA19" i="93"/>
  <c r="AB19" i="93"/>
  <c r="C33" i="93"/>
  <c r="D33" i="93"/>
  <c r="E33" i="93"/>
  <c r="F33" i="93"/>
  <c r="G33" i="93"/>
  <c r="H33" i="93"/>
  <c r="I33" i="93"/>
  <c r="J33" i="93"/>
  <c r="K33" i="93"/>
  <c r="L33" i="93"/>
  <c r="M33" i="93"/>
  <c r="N33" i="93"/>
  <c r="O33" i="93"/>
  <c r="P33" i="93"/>
  <c r="Q33" i="93"/>
  <c r="R33" i="93"/>
  <c r="S33" i="93"/>
  <c r="T33" i="93"/>
  <c r="U33" i="93"/>
  <c r="V33" i="93"/>
  <c r="W33" i="93"/>
  <c r="X33" i="93"/>
  <c r="Y33" i="93"/>
  <c r="Z33" i="93"/>
  <c r="AA33" i="93"/>
  <c r="AB33" i="93"/>
  <c r="AF26" i="94"/>
  <c r="AE26" i="94"/>
  <c r="AD26" i="94"/>
  <c r="AC26" i="94"/>
  <c r="AB26" i="94"/>
  <c r="AA26" i="94"/>
  <c r="Z26" i="94"/>
  <c r="Y26" i="94"/>
  <c r="X26" i="94"/>
  <c r="W26" i="94"/>
  <c r="V26" i="94"/>
  <c r="U26" i="94"/>
  <c r="T26" i="94"/>
  <c r="S26" i="94"/>
  <c r="R26" i="94"/>
  <c r="Q26" i="94"/>
  <c r="P26" i="94"/>
  <c r="O26" i="94"/>
  <c r="N26" i="94"/>
  <c r="M26" i="94"/>
  <c r="L26" i="94"/>
  <c r="K26" i="94"/>
  <c r="J26" i="94"/>
  <c r="I26" i="94"/>
  <c r="H26" i="94"/>
  <c r="G26" i="94"/>
  <c r="F26" i="94"/>
  <c r="E26" i="94"/>
  <c r="D26" i="94"/>
  <c r="C26" i="94"/>
  <c r="B26" i="94"/>
  <c r="AF23" i="94"/>
  <c r="AE23" i="94"/>
  <c r="AD23" i="94"/>
  <c r="AC23" i="94"/>
  <c r="AB23" i="94"/>
  <c r="AA23" i="94"/>
  <c r="Z23" i="94"/>
  <c r="Y23" i="94"/>
  <c r="X23" i="94"/>
  <c r="W23" i="94"/>
  <c r="V23" i="94"/>
  <c r="U23" i="94"/>
  <c r="T23" i="94"/>
  <c r="S23" i="94"/>
  <c r="R23" i="94"/>
  <c r="Q23" i="94"/>
  <c r="P23" i="94"/>
  <c r="O23" i="94"/>
  <c r="N23" i="94"/>
  <c r="M23" i="94"/>
  <c r="L23" i="94"/>
  <c r="K23" i="94"/>
  <c r="J23" i="94"/>
  <c r="I23" i="94"/>
  <c r="H23" i="94"/>
  <c r="G23" i="94"/>
  <c r="F23" i="94"/>
  <c r="E23" i="94"/>
  <c r="D23" i="94"/>
  <c r="C23" i="94"/>
  <c r="B23" i="94"/>
  <c r="AF22" i="94"/>
  <c r="AE22" i="94"/>
  <c r="AD22" i="94"/>
  <c r="AC22" i="94"/>
  <c r="AB22" i="94"/>
  <c r="AA22" i="94"/>
  <c r="Z22" i="94"/>
  <c r="Y22" i="94"/>
  <c r="X22" i="94"/>
  <c r="W22" i="94"/>
  <c r="V22" i="94"/>
  <c r="U22" i="94"/>
  <c r="T22" i="94"/>
  <c r="S22" i="94"/>
  <c r="R22" i="94"/>
  <c r="Q22" i="94"/>
  <c r="P22" i="94"/>
  <c r="O22" i="94"/>
  <c r="N22" i="94"/>
  <c r="M22" i="94"/>
  <c r="L22" i="94"/>
  <c r="K22" i="94"/>
  <c r="J22" i="94"/>
  <c r="I22" i="94"/>
  <c r="H22" i="94"/>
  <c r="G22" i="94"/>
  <c r="F22" i="94"/>
  <c r="E22" i="94"/>
  <c r="C22" i="94"/>
  <c r="B22" i="94"/>
  <c r="AF21" i="94"/>
  <c r="AE21" i="94"/>
  <c r="AD21" i="94"/>
  <c r="AC21" i="94"/>
  <c r="AB21" i="94"/>
  <c r="AA21" i="94"/>
  <c r="Z21" i="94"/>
  <c r="Y21" i="94"/>
  <c r="X21" i="94"/>
  <c r="W21" i="94"/>
  <c r="V21" i="94"/>
  <c r="U21" i="94"/>
  <c r="T21" i="94"/>
  <c r="S21" i="94"/>
  <c r="R21" i="94"/>
  <c r="Q21" i="94"/>
  <c r="P21" i="94"/>
  <c r="O21" i="94"/>
  <c r="N21" i="94"/>
  <c r="M21" i="94"/>
  <c r="L21" i="94"/>
  <c r="K21" i="94"/>
  <c r="J21" i="94"/>
  <c r="I21" i="94"/>
  <c r="H21" i="94"/>
  <c r="G21" i="94"/>
  <c r="F21" i="94"/>
  <c r="E21" i="94"/>
  <c r="C21" i="94"/>
  <c r="B21" i="94"/>
  <c r="AF20" i="94"/>
  <c r="AE20" i="94"/>
  <c r="AD20" i="94"/>
  <c r="AC20" i="94"/>
  <c r="AB20" i="94"/>
  <c r="AA20" i="94"/>
  <c r="Z20" i="94"/>
  <c r="Y20" i="94"/>
  <c r="X20" i="94"/>
  <c r="W20" i="94"/>
  <c r="V20" i="94"/>
  <c r="U20" i="94"/>
  <c r="T20" i="94"/>
  <c r="S20" i="94"/>
  <c r="R20" i="94"/>
  <c r="Q20" i="94"/>
  <c r="P20" i="94"/>
  <c r="O20" i="94"/>
  <c r="N20" i="94"/>
  <c r="M20" i="94"/>
  <c r="L20" i="94"/>
  <c r="K20" i="94"/>
  <c r="J20" i="94"/>
  <c r="I20" i="94"/>
  <c r="H20" i="94"/>
  <c r="G20" i="94"/>
  <c r="F20" i="94"/>
  <c r="E20" i="94"/>
  <c r="C20" i="94"/>
  <c r="B20" i="94"/>
  <c r="AF19" i="94"/>
  <c r="AE19" i="94"/>
  <c r="AD19" i="94"/>
  <c r="AC19" i="94"/>
  <c r="AB19" i="94"/>
  <c r="AA19" i="94"/>
  <c r="Z19" i="94"/>
  <c r="Y19" i="94"/>
  <c r="X19" i="94"/>
  <c r="W19" i="94"/>
  <c r="V19" i="94"/>
  <c r="U19" i="94"/>
  <c r="T19" i="94"/>
  <c r="S19" i="94"/>
  <c r="R19" i="94"/>
  <c r="Q19" i="94"/>
  <c r="P19" i="94"/>
  <c r="O19" i="94"/>
  <c r="N19" i="94"/>
  <c r="M19" i="94"/>
  <c r="L19" i="94"/>
  <c r="K19" i="94"/>
  <c r="J19" i="94"/>
  <c r="I19" i="94"/>
  <c r="H19" i="94"/>
  <c r="G19" i="94"/>
  <c r="F19" i="94"/>
  <c r="E19" i="94"/>
  <c r="C19" i="94"/>
  <c r="B19" i="94"/>
  <c r="AF18" i="94"/>
  <c r="AE18" i="94"/>
  <c r="AD18" i="94"/>
  <c r="AC18" i="94"/>
  <c r="AB18" i="94"/>
  <c r="AA18" i="94"/>
  <c r="Z18" i="94"/>
  <c r="Y18" i="94"/>
  <c r="X18" i="94"/>
  <c r="W18" i="94"/>
  <c r="V18" i="94"/>
  <c r="U18" i="94"/>
  <c r="T18" i="94"/>
  <c r="S18" i="94"/>
  <c r="R18" i="94"/>
  <c r="Q18" i="94"/>
  <c r="P18" i="94"/>
  <c r="O18" i="94"/>
  <c r="N18" i="94"/>
  <c r="M18" i="94"/>
  <c r="L18" i="94"/>
  <c r="K18" i="94"/>
  <c r="J18" i="94"/>
  <c r="I18" i="94"/>
  <c r="H18" i="94"/>
  <c r="G18" i="94"/>
  <c r="F18" i="94"/>
  <c r="E18" i="94"/>
  <c r="C18" i="94"/>
  <c r="B18" i="94"/>
  <c r="AF17" i="94"/>
  <c r="AE17" i="94"/>
  <c r="AD17" i="94"/>
  <c r="AC17" i="94"/>
  <c r="AB17" i="94"/>
  <c r="AA17" i="94"/>
  <c r="Z17" i="94"/>
  <c r="Y17" i="94"/>
  <c r="X17" i="94"/>
  <c r="W17" i="94"/>
  <c r="V17" i="94"/>
  <c r="U17" i="94"/>
  <c r="T17" i="94"/>
  <c r="S17" i="94"/>
  <c r="R17" i="94"/>
  <c r="Q17" i="94"/>
  <c r="P17" i="94"/>
  <c r="O17" i="94"/>
  <c r="N17" i="94"/>
  <c r="M17" i="94"/>
  <c r="L17" i="94"/>
  <c r="K17" i="94"/>
  <c r="J17" i="94"/>
  <c r="I17" i="94"/>
  <c r="H17" i="94"/>
  <c r="G17" i="94"/>
  <c r="F17" i="94"/>
  <c r="E17" i="94"/>
  <c r="C17" i="94"/>
  <c r="B17" i="94"/>
  <c r="AF16" i="94"/>
  <c r="AE16" i="94"/>
  <c r="AD16" i="94"/>
  <c r="AC16" i="94"/>
  <c r="AB16" i="94"/>
  <c r="AA16" i="94"/>
  <c r="Z16" i="94"/>
  <c r="Y16" i="94"/>
  <c r="X16" i="94"/>
  <c r="W16" i="94"/>
  <c r="V16" i="94"/>
  <c r="U16" i="94"/>
  <c r="T16" i="94"/>
  <c r="S16" i="94"/>
  <c r="R16" i="94"/>
  <c r="Q16" i="94"/>
  <c r="P16" i="94"/>
  <c r="O16" i="94"/>
  <c r="N16" i="94"/>
  <c r="M16" i="94"/>
  <c r="L16" i="94"/>
  <c r="K16" i="94"/>
  <c r="J16" i="94"/>
  <c r="I16" i="94"/>
  <c r="H16" i="94"/>
  <c r="G16" i="94"/>
  <c r="F16" i="94"/>
  <c r="E16" i="94"/>
  <c r="C16" i="94"/>
  <c r="B16" i="94"/>
  <c r="AF15" i="94"/>
  <c r="AE15" i="94"/>
  <c r="AD15" i="94"/>
  <c r="AC15" i="94"/>
  <c r="AB15" i="94"/>
  <c r="AA15" i="94"/>
  <c r="Z15" i="94"/>
  <c r="Y15" i="94"/>
  <c r="X15" i="94"/>
  <c r="W15" i="94"/>
  <c r="V15" i="94"/>
  <c r="U15" i="94"/>
  <c r="T15" i="94"/>
  <c r="S15" i="94"/>
  <c r="R15" i="94"/>
  <c r="AF14" i="94"/>
  <c r="AE14" i="94"/>
  <c r="AD14" i="94"/>
  <c r="AC14" i="94"/>
  <c r="AB14" i="94"/>
  <c r="AA14" i="94"/>
  <c r="Z14" i="94"/>
  <c r="Y14" i="94"/>
  <c r="X14" i="94"/>
  <c r="W14" i="94"/>
  <c r="V14" i="94"/>
  <c r="U14" i="94"/>
  <c r="T14" i="94"/>
  <c r="S14" i="94"/>
  <c r="R14" i="94"/>
  <c r="Q14" i="94"/>
  <c r="P14" i="94"/>
  <c r="O14" i="94"/>
  <c r="N14" i="94"/>
  <c r="M14" i="94"/>
  <c r="L14" i="94"/>
  <c r="K14" i="94"/>
  <c r="J14" i="94"/>
  <c r="I14" i="94"/>
  <c r="H14" i="94"/>
  <c r="G14" i="94"/>
  <c r="F14" i="94"/>
  <c r="E14" i="94"/>
  <c r="D14" i="94"/>
  <c r="C14" i="94"/>
  <c r="B14" i="94"/>
  <c r="AF13" i="94"/>
  <c r="AE13" i="94"/>
  <c r="AD13" i="94"/>
  <c r="AC13" i="94"/>
  <c r="AB13" i="94"/>
  <c r="AA13" i="94"/>
  <c r="Z13" i="94"/>
  <c r="Y13" i="94"/>
  <c r="X13" i="94"/>
  <c r="W13" i="94"/>
  <c r="V13" i="94"/>
  <c r="U13" i="94"/>
  <c r="T13" i="94"/>
  <c r="S13" i="94"/>
  <c r="R13" i="94"/>
  <c r="Q13" i="94"/>
  <c r="P13" i="94"/>
  <c r="O13" i="94"/>
  <c r="N13" i="94"/>
  <c r="M13" i="94"/>
  <c r="L13" i="94"/>
  <c r="K13" i="94"/>
  <c r="J13" i="94"/>
  <c r="I13" i="94"/>
  <c r="H13" i="94"/>
  <c r="G13" i="94"/>
  <c r="F13" i="94"/>
  <c r="E13" i="94"/>
  <c r="D13" i="94"/>
  <c r="C13" i="94"/>
  <c r="B13" i="94"/>
  <c r="AF12" i="94"/>
  <c r="AE12" i="94"/>
  <c r="AD12" i="94"/>
  <c r="AC12" i="94"/>
  <c r="AB12" i="94"/>
  <c r="AA12" i="94"/>
  <c r="Z12" i="94"/>
  <c r="Y12" i="94"/>
  <c r="X12" i="94"/>
  <c r="W12" i="94"/>
  <c r="V12" i="94"/>
  <c r="U12" i="94"/>
  <c r="T12" i="94"/>
  <c r="S12" i="94"/>
  <c r="R12" i="94"/>
  <c r="AF11" i="94"/>
  <c r="AE11" i="94"/>
  <c r="AD11" i="94"/>
  <c r="AC11" i="94"/>
  <c r="AB11" i="94"/>
  <c r="AA11" i="94"/>
  <c r="Z11" i="94"/>
  <c r="Y11" i="94"/>
  <c r="X11" i="94"/>
  <c r="W11" i="94"/>
  <c r="V11" i="94"/>
  <c r="U11" i="94"/>
  <c r="T11" i="94"/>
  <c r="S11" i="94"/>
  <c r="R11" i="94"/>
  <c r="AF9" i="94"/>
  <c r="AE9" i="94"/>
  <c r="AD9" i="94"/>
  <c r="AC9" i="94"/>
  <c r="AB9" i="94"/>
  <c r="AA9" i="94"/>
  <c r="Z9" i="94"/>
  <c r="Y9" i="94"/>
  <c r="X9" i="94"/>
  <c r="W9" i="94"/>
  <c r="V9" i="94"/>
  <c r="U9" i="94"/>
  <c r="T9" i="94"/>
  <c r="S9" i="94"/>
  <c r="R9" i="94"/>
  <c r="Q9" i="94"/>
  <c r="P9" i="94"/>
  <c r="O9" i="94"/>
  <c r="N9" i="94"/>
  <c r="M9" i="94"/>
  <c r="L9" i="94"/>
  <c r="K9" i="94"/>
  <c r="J9" i="94"/>
  <c r="I9" i="94"/>
  <c r="H9" i="94"/>
  <c r="G9" i="94"/>
  <c r="F9" i="94"/>
  <c r="E9" i="94"/>
  <c r="D9" i="94"/>
  <c r="C9" i="94"/>
  <c r="B9" i="94"/>
  <c r="AF8" i="94"/>
  <c r="AE8" i="94"/>
  <c r="AD8" i="94"/>
  <c r="AC8" i="94"/>
  <c r="AB8" i="94"/>
  <c r="AA8" i="94"/>
  <c r="Z8" i="94"/>
  <c r="Y8" i="94"/>
  <c r="X8" i="94"/>
  <c r="W8" i="94"/>
  <c r="V8" i="94"/>
  <c r="U8" i="94"/>
  <c r="T8" i="94"/>
  <c r="S8" i="94"/>
  <c r="R8" i="94"/>
  <c r="Q8" i="94"/>
  <c r="P8" i="94"/>
  <c r="O8" i="94"/>
  <c r="N8" i="94"/>
  <c r="M8" i="94"/>
  <c r="L8" i="94"/>
  <c r="K8" i="94"/>
  <c r="J8" i="94"/>
  <c r="I8" i="94"/>
  <c r="H8" i="94"/>
  <c r="G8" i="94"/>
  <c r="F8" i="94"/>
  <c r="E8" i="94"/>
  <c r="D8" i="94"/>
  <c r="C8" i="94"/>
  <c r="AF7" i="94"/>
  <c r="AE7" i="94"/>
  <c r="AD7" i="94"/>
  <c r="AC7" i="94"/>
  <c r="AB7" i="94"/>
  <c r="AA7" i="94"/>
  <c r="Z7" i="94"/>
  <c r="Y7" i="94"/>
  <c r="X7" i="94"/>
  <c r="W7" i="94"/>
  <c r="V7" i="94"/>
  <c r="U7" i="94"/>
  <c r="T7" i="94"/>
  <c r="S7" i="94"/>
  <c r="R7" i="94"/>
  <c r="Q7" i="94"/>
  <c r="P7" i="94"/>
  <c r="O7" i="94"/>
  <c r="N7" i="94"/>
  <c r="M7" i="94"/>
  <c r="L7" i="94"/>
  <c r="K7" i="94"/>
  <c r="J7" i="94"/>
  <c r="I7" i="94"/>
  <c r="H7" i="94"/>
  <c r="G7" i="94"/>
  <c r="F7" i="94"/>
  <c r="E7" i="94"/>
  <c r="D7" i="94"/>
  <c r="C7" i="94"/>
  <c r="B7" i="94"/>
  <c r="AF6" i="94"/>
  <c r="AE6" i="94"/>
  <c r="AD6" i="94"/>
  <c r="AC6" i="94"/>
  <c r="AB6" i="94"/>
  <c r="AA6" i="94"/>
  <c r="Z6" i="94"/>
  <c r="Y6" i="94"/>
  <c r="X6" i="94"/>
  <c r="W6" i="94"/>
  <c r="V6" i="94"/>
  <c r="U6" i="94"/>
  <c r="T6" i="94"/>
  <c r="S6" i="94"/>
  <c r="R6" i="94"/>
  <c r="Q6" i="94"/>
  <c r="P6" i="94"/>
  <c r="O6" i="94"/>
  <c r="N6" i="94"/>
  <c r="M6" i="94"/>
  <c r="L6" i="94"/>
  <c r="K6" i="94"/>
  <c r="J6" i="94"/>
  <c r="I6" i="94"/>
  <c r="H6" i="94"/>
  <c r="G6" i="94"/>
  <c r="F6" i="94"/>
  <c r="E6" i="94"/>
  <c r="D6" i="94"/>
  <c r="C6" i="94"/>
  <c r="B6" i="94"/>
  <c r="AF5" i="94"/>
  <c r="AE5" i="94"/>
  <c r="AD5" i="94"/>
  <c r="AC5" i="94"/>
  <c r="AB5" i="94"/>
  <c r="AA5" i="94"/>
  <c r="Z5" i="94"/>
  <c r="Y5" i="94"/>
  <c r="X5" i="94"/>
  <c r="W5" i="94"/>
  <c r="V5" i="94"/>
  <c r="U5" i="94"/>
  <c r="T5" i="94"/>
  <c r="S5" i="94"/>
  <c r="R5" i="94"/>
  <c r="Q5" i="94"/>
  <c r="P5" i="94"/>
  <c r="O5" i="94"/>
  <c r="N5" i="94"/>
  <c r="M5" i="94"/>
  <c r="L5" i="94"/>
  <c r="K5" i="94"/>
  <c r="J5" i="94"/>
  <c r="I5" i="94"/>
  <c r="H5" i="94"/>
  <c r="G5" i="94"/>
  <c r="F5" i="94"/>
  <c r="E5" i="94"/>
  <c r="D5" i="94"/>
  <c r="C5" i="94"/>
  <c r="B5" i="94"/>
  <c r="AF2" i="94"/>
  <c r="AE2" i="94"/>
  <c r="AD2" i="94"/>
  <c r="AC2" i="94"/>
  <c r="AB2" i="94"/>
  <c r="AA2" i="94"/>
  <c r="Z2" i="94"/>
  <c r="Y2" i="94"/>
  <c r="X2" i="94"/>
  <c r="W2" i="94"/>
  <c r="V2" i="94"/>
  <c r="U2" i="94"/>
  <c r="T2" i="94"/>
  <c r="S2" i="94"/>
  <c r="R2" i="94"/>
  <c r="Q2" i="94"/>
  <c r="P2" i="94"/>
  <c r="O2" i="94"/>
  <c r="N2" i="94"/>
  <c r="M2" i="94"/>
  <c r="L2" i="94"/>
  <c r="K2" i="94"/>
  <c r="J2" i="94"/>
  <c r="I2" i="94"/>
  <c r="H2" i="94"/>
  <c r="G2" i="94"/>
  <c r="F2" i="94"/>
  <c r="D2" i="94"/>
  <c r="C2" i="94"/>
  <c r="B12" i="93"/>
  <c r="B13" i="93"/>
  <c r="B19" i="93"/>
  <c r="B33" i="93"/>
  <c r="B2" i="15"/>
  <c r="B11" i="93" s="1"/>
  <c r="E23" i="95" l="1" a="1"/>
  <c r="E23" i="95" s="1"/>
  <c r="D6" i="95" a="1"/>
  <c r="D6" i="95" s="1"/>
  <c r="C17" i="95" a="1"/>
  <c r="C17" i="95" s="1"/>
  <c r="C13" i="95" a="1"/>
  <c r="C13" i="95" s="1"/>
  <c r="C21" i="95" a="1"/>
  <c r="C21" i="95" s="1"/>
  <c r="C5" i="95" a="1"/>
  <c r="C5" i="95" s="1"/>
  <c r="D13" i="95" a="1"/>
  <c r="D13" i="95" s="1"/>
  <c r="F18" i="95" a="1"/>
  <c r="F18" i="95" s="1"/>
  <c r="D21" i="95" a="1"/>
  <c r="D21" i="95" s="1"/>
  <c r="E8" i="95" a="1"/>
  <c r="E8" i="95" s="1"/>
  <c r="C7" i="95" a="1"/>
  <c r="C7" i="95" s="1"/>
  <c r="F20" i="95" a="1"/>
  <c r="F20" i="95" s="1"/>
  <c r="D23" i="95" a="1"/>
  <c r="D23" i="95" s="1"/>
  <c r="C9" i="95" a="1"/>
  <c r="C9" i="95" s="1"/>
  <c r="F14" i="95" a="1"/>
  <c r="F14" i="95" s="1"/>
  <c r="D17" i="95" a="1"/>
  <c r="D17" i="95" s="1"/>
  <c r="F22" i="95" a="1"/>
  <c r="F22" i="95" s="1"/>
  <c r="C2" i="95" a="1"/>
  <c r="C2" i="95" s="1"/>
  <c r="E6" i="95" a="1"/>
  <c r="E6" i="95" s="1"/>
  <c r="C19" i="95" a="1"/>
  <c r="C19" i="95" s="1"/>
  <c r="F16" i="95" a="1"/>
  <c r="F16" i="95" s="1"/>
  <c r="D19" i="95" a="1"/>
  <c r="D19" i="95" s="1"/>
  <c r="F26" i="95" a="1"/>
  <c r="F26" i="95" s="1"/>
  <c r="D2" i="95" a="1"/>
  <c r="D2" i="95" s="1"/>
  <c r="D5" i="95" a="1"/>
  <c r="D5" i="95" s="1"/>
  <c r="B6" i="95" a="1"/>
  <c r="B6" i="95" s="1"/>
  <c r="F6" i="95" a="1"/>
  <c r="F6" i="95" s="1"/>
  <c r="D7" i="95" a="1"/>
  <c r="D7" i="95" s="1"/>
  <c r="B8" i="95" a="1"/>
  <c r="B8" i="95" s="1"/>
  <c r="F8" i="95" a="1"/>
  <c r="F8" i="95" s="1"/>
  <c r="D9" i="95" a="1"/>
  <c r="D9" i="95" s="1"/>
  <c r="E13" i="95" a="1"/>
  <c r="E13" i="95" s="1"/>
  <c r="C14" i="95" a="1"/>
  <c r="C14" i="95" s="1"/>
  <c r="C16" i="95" a="1"/>
  <c r="C16" i="95" s="1"/>
  <c r="E17" i="95" a="1"/>
  <c r="E17" i="95" s="1"/>
  <c r="C18" i="95" a="1"/>
  <c r="C18" i="95" s="1"/>
  <c r="E19" i="95" a="1"/>
  <c r="E19" i="95" s="1"/>
  <c r="C20" i="95" a="1"/>
  <c r="C20" i="95" s="1"/>
  <c r="E21" i="95" a="1"/>
  <c r="E21" i="95" s="1"/>
  <c r="C22" i="95" a="1"/>
  <c r="C22" i="95" s="1"/>
  <c r="C26" i="95" a="1"/>
  <c r="C26" i="95" s="1"/>
  <c r="E2" i="95" a="1"/>
  <c r="E2" i="95" s="1"/>
  <c r="E5" i="95" a="1"/>
  <c r="E5" i="95" s="1"/>
  <c r="C6" i="95" a="1"/>
  <c r="C6" i="95" s="1"/>
  <c r="E7" i="95" a="1"/>
  <c r="E7" i="95" s="1"/>
  <c r="C8" i="95" a="1"/>
  <c r="C8" i="95" s="1"/>
  <c r="E9" i="95" a="1"/>
  <c r="E9" i="95" s="1"/>
  <c r="B13" i="95" a="1"/>
  <c r="B13" i="95" s="1"/>
  <c r="F13" i="95" a="1"/>
  <c r="F13" i="95" s="1"/>
  <c r="D14" i="95" a="1"/>
  <c r="D14" i="95" s="1"/>
  <c r="D16" i="95" a="1"/>
  <c r="D16" i="95" s="1"/>
  <c r="B17" i="95" a="1"/>
  <c r="B17" i="95" s="1"/>
  <c r="F17" i="95" a="1"/>
  <c r="F17" i="95" s="1"/>
  <c r="D18" i="95" a="1"/>
  <c r="D18" i="95" s="1"/>
  <c r="B19" i="95" a="1"/>
  <c r="B19" i="95" s="1"/>
  <c r="F19" i="95" a="1"/>
  <c r="F19" i="95" s="1"/>
  <c r="D20" i="95" a="1"/>
  <c r="D20" i="95" s="1"/>
  <c r="B21" i="95" a="1"/>
  <c r="B21" i="95" s="1"/>
  <c r="F21" i="95" a="1"/>
  <c r="F21" i="95" s="1"/>
  <c r="D22" i="95" a="1"/>
  <c r="D22" i="95" s="1"/>
  <c r="B23" i="95" a="1"/>
  <c r="B23" i="95" s="1"/>
  <c r="F23" i="95" a="1"/>
  <c r="F23" i="95" s="1"/>
  <c r="D26" i="95" a="1"/>
  <c r="D26" i="95" s="1"/>
  <c r="B2" i="95" a="1"/>
  <c r="B2" i="95" s="1"/>
  <c r="F2" i="95" a="1"/>
  <c r="F2" i="95" s="1"/>
  <c r="B5" i="95" a="1"/>
  <c r="B5" i="95" s="1"/>
  <c r="F5" i="95" a="1"/>
  <c r="F5" i="95" s="1"/>
  <c r="B7" i="95" a="1"/>
  <c r="B7" i="95" s="1"/>
  <c r="F7" i="95" a="1"/>
  <c r="F7" i="95" s="1"/>
  <c r="D8" i="95" a="1"/>
  <c r="D8" i="95" s="1"/>
  <c r="B9" i="95" a="1"/>
  <c r="B9" i="95" s="1"/>
  <c r="F9" i="95" a="1"/>
  <c r="F9" i="95" s="1"/>
  <c r="E14" i="95" a="1"/>
  <c r="E14" i="95" s="1"/>
  <c r="E16" i="95" a="1"/>
  <c r="E16" i="95" s="1"/>
  <c r="E18" i="95" a="1"/>
  <c r="E18" i="95" s="1"/>
  <c r="E20" i="95" a="1"/>
  <c r="E20" i="95" s="1"/>
  <c r="E22" i="95" a="1"/>
  <c r="E22" i="95" s="1"/>
  <c r="C23" i="95" a="1"/>
  <c r="C23" i="95" s="1"/>
  <c r="E26" i="95" a="1"/>
  <c r="E26" i="95" s="1"/>
  <c r="B14" i="95" a="1"/>
  <c r="B14" i="95" s="1"/>
  <c r="B16" i="95" a="1"/>
  <c r="B16" i="95" s="1"/>
  <c r="B18" i="95" a="1"/>
  <c r="B18" i="95" s="1"/>
  <c r="B20" i="95" a="1"/>
  <c r="B20" i="95" s="1"/>
  <c r="B22" i="95" a="1"/>
  <c r="B22" i="95" s="1"/>
  <c r="B26" i="95" a="1"/>
  <c r="B26" i="95" s="1"/>
  <c r="C5" i="93"/>
  <c r="D5" i="93"/>
  <c r="E5" i="93"/>
  <c r="G5" i="93"/>
  <c r="B5" i="93"/>
  <c r="B7" i="93"/>
  <c r="Q102" i="74" l="1"/>
  <c r="P102" i="74"/>
  <c r="O102" i="74"/>
  <c r="Q101" i="74"/>
  <c r="P101" i="74"/>
  <c r="O101" i="74"/>
  <c r="Q100" i="74"/>
  <c r="P100" i="74"/>
  <c r="O100" i="74"/>
  <c r="Q99" i="74"/>
  <c r="P99" i="74"/>
  <c r="O99" i="74"/>
  <c r="Q98" i="74"/>
  <c r="P98" i="74"/>
  <c r="O98" i="74"/>
  <c r="P97" i="74"/>
  <c r="P96" i="74"/>
  <c r="O96" i="74"/>
  <c r="C89" i="1"/>
  <c r="A24" i="88" s="1"/>
  <c r="F5" i="91"/>
  <c r="F9" i="91"/>
  <c r="F10" i="91"/>
  <c r="F11" i="91"/>
  <c r="F12" i="91"/>
  <c r="F13" i="91"/>
  <c r="F14" i="91"/>
  <c r="F15" i="91"/>
  <c r="F16" i="91"/>
  <c r="F17" i="91"/>
  <c r="F18" i="91"/>
  <c r="F19" i="91"/>
  <c r="F20" i="91"/>
  <c r="F21" i="91"/>
  <c r="F22" i="91"/>
  <c r="F23" i="91"/>
  <c r="D24" i="91"/>
  <c r="E40" i="91"/>
  <c r="F40" i="91"/>
  <c r="G40" i="91"/>
  <c r="H40" i="91"/>
  <c r="I40" i="91"/>
  <c r="J40" i="91"/>
  <c r="K40" i="91"/>
  <c r="L40" i="91"/>
  <c r="M40" i="91"/>
  <c r="N40" i="91"/>
  <c r="O40" i="91"/>
  <c r="P40" i="91"/>
  <c r="Q40" i="91"/>
  <c r="R40" i="91"/>
  <c r="S40" i="91"/>
  <c r="T40" i="91"/>
  <c r="U40" i="91"/>
  <c r="V40" i="91"/>
  <c r="W40" i="91"/>
  <c r="X40" i="91"/>
  <c r="Y40" i="91"/>
  <c r="Z40" i="91"/>
  <c r="AA40" i="91"/>
  <c r="AB40" i="91"/>
  <c r="AC40" i="91"/>
  <c r="AD40" i="91"/>
  <c r="AE40" i="91"/>
  <c r="AF40" i="91"/>
  <c r="AG40" i="91"/>
  <c r="AH40" i="91"/>
  <c r="AI40" i="91"/>
  <c r="D40" i="91"/>
  <c r="Q110" i="74" l="1"/>
  <c r="Q118" i="74" s="1"/>
  <c r="A22" i="87"/>
  <c r="C29" i="91"/>
  <c r="P110" i="74"/>
  <c r="P118" i="74" s="1"/>
  <c r="Q107" i="74"/>
  <c r="Q115" i="74" s="1"/>
  <c r="P108" i="74"/>
  <c r="P116" i="74" s="1"/>
  <c r="P106" i="74"/>
  <c r="P114" i="74" s="1"/>
  <c r="P104" i="74"/>
  <c r="P112" i="74" s="1"/>
  <c r="Q105" i="74"/>
  <c r="Q113" i="74" s="1"/>
  <c r="Q104" i="74"/>
  <c r="Q112" i="74" s="1"/>
  <c r="P107" i="74"/>
  <c r="P115" i="74" s="1"/>
  <c r="P109" i="74"/>
  <c r="P117" i="74" s="1"/>
  <c r="Q106" i="74"/>
  <c r="Q114" i="74" s="1"/>
  <c r="P105" i="74"/>
  <c r="P113" i="74" s="1"/>
  <c r="Q108" i="74"/>
  <c r="Q116" i="74" s="1"/>
  <c r="Q109" i="74"/>
  <c r="Q117" i="74" s="1"/>
  <c r="N3" i="74"/>
  <c r="A33" i="89"/>
  <c r="J15" i="91"/>
  <c r="J21" i="91" s="1"/>
  <c r="H15" i="91"/>
  <c r="H21" i="91" s="1"/>
  <c r="I17" i="91"/>
  <c r="I15" i="91" s="1"/>
  <c r="I21" i="91" s="1"/>
  <c r="G16" i="91"/>
  <c r="G15" i="91" s="1"/>
  <c r="G21" i="91" s="1"/>
  <c r="I12" i="91"/>
  <c r="I18" i="91" s="1"/>
  <c r="J12" i="91"/>
  <c r="J18" i="91" s="1"/>
  <c r="H12" i="91"/>
  <c r="H18" i="91" s="1"/>
  <c r="G12" i="91"/>
  <c r="G18" i="91" s="1"/>
  <c r="E21" i="91"/>
  <c r="O5" i="89" l="1"/>
  <c r="T6" i="89"/>
  <c r="O6" i="89"/>
  <c r="O32" i="89" s="1"/>
  <c r="O7" i="89"/>
  <c r="O33" i="89" s="1"/>
  <c r="T7" i="89"/>
  <c r="AV5" i="89"/>
  <c r="AB5" i="89"/>
  <c r="AL5" i="89"/>
  <c r="T5" i="89"/>
  <c r="AV7" i="89"/>
  <c r="AV6" i="89"/>
  <c r="AL6" i="89"/>
  <c r="AB7" i="89"/>
  <c r="AB6" i="89"/>
  <c r="AL7" i="89"/>
  <c r="Y24" i="74"/>
  <c r="Z24" i="74"/>
  <c r="AA14" i="74"/>
  <c r="K12" i="96" s="1"/>
  <c r="R11" i="74"/>
  <c r="AG13" i="74"/>
  <c r="AF25" i="74"/>
  <c r="T11" i="74"/>
  <c r="R24" i="74"/>
  <c r="AF26" i="74"/>
  <c r="T12" i="74"/>
  <c r="S13" i="74"/>
  <c r="U23" i="74"/>
  <c r="T25" i="74"/>
  <c r="Y10" i="74"/>
  <c r="T26" i="74"/>
  <c r="Y11" i="74"/>
  <c r="X25" i="74"/>
  <c r="AA23" i="74"/>
  <c r="P28" i="74"/>
  <c r="AE9" i="74"/>
  <c r="AF9" i="74"/>
  <c r="AA28" i="74"/>
  <c r="Q12" i="74"/>
  <c r="AF13" i="74"/>
  <c r="AC27" i="74"/>
  <c r="R12" i="74"/>
  <c r="Q24" i="74"/>
  <c r="AC28" i="74"/>
  <c r="M15" i="96" s="1"/>
  <c r="U10" i="74"/>
  <c r="Q14" i="74"/>
  <c r="Q25" i="74"/>
  <c r="AD28" i="74"/>
  <c r="N15" i="96" s="1"/>
  <c r="U11" i="74"/>
  <c r="S24" i="74"/>
  <c r="C15" i="94" s="1"/>
  <c r="AG26" i="74"/>
  <c r="Q15" i="95" s="1"/>
  <c r="V11" i="74"/>
  <c r="R26" i="74"/>
  <c r="AF28" i="74"/>
  <c r="X10" i="74"/>
  <c r="W11" i="74"/>
  <c r="P12" i="74"/>
  <c r="R27" i="74"/>
  <c r="X11" i="74"/>
  <c r="P13" i="74"/>
  <c r="U25" i="74"/>
  <c r="Z10" i="74"/>
  <c r="AB23" i="74"/>
  <c r="AG12" i="74"/>
  <c r="AB28" i="74"/>
  <c r="Q13" i="74"/>
  <c r="AG24" i="74"/>
  <c r="AD27" i="74"/>
  <c r="R13" i="74"/>
  <c r="AG14" i="74"/>
  <c r="S23" i="74"/>
  <c r="AG25" i="74"/>
  <c r="AE27" i="74"/>
  <c r="V10" i="74"/>
  <c r="R14" i="74"/>
  <c r="B12" i="96" s="1"/>
  <c r="T23" i="74"/>
  <c r="Q26" i="74"/>
  <c r="AF27" i="74"/>
  <c r="W10" i="74"/>
  <c r="T13" i="74"/>
  <c r="S25" i="74"/>
  <c r="T14" i="74"/>
  <c r="U24" i="74"/>
  <c r="AG28" i="74"/>
  <c r="W12" i="74"/>
  <c r="W23" i="74"/>
  <c r="R28" i="74"/>
  <c r="AA9" i="74"/>
  <c r="W13" i="74"/>
  <c r="P14" i="74"/>
  <c r="AE14" i="74"/>
  <c r="AD26" i="74"/>
  <c r="N15" i="95" s="1"/>
  <c r="T10" i="74"/>
  <c r="AF14" i="74"/>
  <c r="P12" i="96" s="1"/>
  <c r="R25" i="74"/>
  <c r="U12" i="74"/>
  <c r="Q27" i="74"/>
  <c r="V12" i="74"/>
  <c r="S26" i="74"/>
  <c r="Z9" i="74"/>
  <c r="U14" i="74"/>
  <c r="S27" i="74"/>
  <c r="X12" i="74"/>
  <c r="AE12" i="74"/>
  <c r="AD13" i="74"/>
  <c r="Q11" i="74"/>
  <c r="AG11" i="74"/>
  <c r="AF12" i="74"/>
  <c r="AE13" i="74"/>
  <c r="AD14" i="74"/>
  <c r="S10" i="74"/>
  <c r="S11" i="74"/>
  <c r="AE26" i="74"/>
  <c r="S12" i="74"/>
  <c r="AE28" i="74"/>
  <c r="O15" i="96" s="1"/>
  <c r="S14" i="74"/>
  <c r="C12" i="96" s="1"/>
  <c r="T24" i="74"/>
  <c r="D15" i="94" s="1"/>
  <c r="AG27" i="74"/>
  <c r="U13" i="74"/>
  <c r="V23" i="74"/>
  <c r="Q28" i="74"/>
  <c r="V13" i="74"/>
  <c r="V24" i="74"/>
  <c r="F15" i="94" s="1"/>
  <c r="P24" i="74"/>
  <c r="V14" i="74"/>
  <c r="F12" i="96" s="1"/>
  <c r="P27" i="74"/>
  <c r="AB24" i="74"/>
  <c r="L15" i="94" s="1"/>
  <c r="S28" i="74"/>
  <c r="C15" i="96" s="1"/>
  <c r="W27" i="74"/>
  <c r="X23" i="74"/>
  <c r="AE24" i="74"/>
  <c r="O15" i="94" s="1"/>
  <c r="AB10" i="74"/>
  <c r="U27" i="74"/>
  <c r="AE11" i="74"/>
  <c r="AG23" i="74"/>
  <c r="Y23" i="74"/>
  <c r="Z25" i="74"/>
  <c r="X9" i="74"/>
  <c r="U28" i="74"/>
  <c r="AC9" i="74"/>
  <c r="AC25" i="74"/>
  <c r="AE25" i="74"/>
  <c r="V25" i="74"/>
  <c r="X26" i="74"/>
  <c r="H15" i="95" s="1"/>
  <c r="AC12" i="74"/>
  <c r="Q9" i="74"/>
  <c r="AC14" i="74"/>
  <c r="M12" i="96" s="1"/>
  <c r="AA26" i="74"/>
  <c r="K15" i="95" s="1"/>
  <c r="AC26" i="74"/>
  <c r="M15" i="95" s="1"/>
  <c r="U26" i="74"/>
  <c r="V27" i="74"/>
  <c r="AG10" i="74"/>
  <c r="AD9" i="74"/>
  <c r="V9" i="74"/>
  <c r="W28" i="74"/>
  <c r="AA27" i="74"/>
  <c r="V26" i="74"/>
  <c r="T28" i="74"/>
  <c r="AD23" i="74"/>
  <c r="W24" i="74"/>
  <c r="G15" i="94" s="1"/>
  <c r="Y13" i="74"/>
  <c r="T9" i="74"/>
  <c r="Y28" i="74"/>
  <c r="I15" i="96" s="1"/>
  <c r="AB25" i="74"/>
  <c r="AC23" i="74"/>
  <c r="V28" i="74"/>
  <c r="T27" i="74"/>
  <c r="U9" i="74"/>
  <c r="P10" i="74"/>
  <c r="AB26" i="74"/>
  <c r="AB11" i="74"/>
  <c r="Z12" i="74"/>
  <c r="AA13" i="74"/>
  <c r="X28" i="74"/>
  <c r="H15" i="96" s="1"/>
  <c r="Q23" i="74"/>
  <c r="P26" i="74"/>
  <c r="Z11" i="74"/>
  <c r="Y25" i="74"/>
  <c r="Z28" i="74"/>
  <c r="J15" i="96" s="1"/>
  <c r="X13" i="74"/>
  <c r="Y14" i="74"/>
  <c r="I12" i="96" s="1"/>
  <c r="Y27" i="74"/>
  <c r="AA24" i="74"/>
  <c r="W26" i="74"/>
  <c r="Y9" i="74"/>
  <c r="AB9" i="74"/>
  <c r="W9" i="74"/>
  <c r="X24" i="74"/>
  <c r="AC11" i="74"/>
  <c r="Y12" i="74"/>
  <c r="P9" i="74"/>
  <c r="AB14" i="74"/>
  <c r="L12" i="96" s="1"/>
  <c r="Z13" i="74"/>
  <c r="AF23" i="74"/>
  <c r="AA10" i="74"/>
  <c r="W25" i="74"/>
  <c r="R23" i="74"/>
  <c r="AD11" i="74"/>
  <c r="AF24" i="74"/>
  <c r="AF10" i="74"/>
  <c r="AD25" i="74"/>
  <c r="X27" i="74"/>
  <c r="AF11" i="74"/>
  <c r="AC24" i="74"/>
  <c r="AA25" i="74"/>
  <c r="Q10" i="74"/>
  <c r="AB13" i="74"/>
  <c r="Z23" i="74"/>
  <c r="X14" i="74"/>
  <c r="W14" i="74"/>
  <c r="G12" i="96" s="1"/>
  <c r="AE10" i="74"/>
  <c r="AA11" i="74"/>
  <c r="R9" i="74"/>
  <c r="AW9" i="74" s="1"/>
  <c r="AD12" i="74"/>
  <c r="AA12" i="74"/>
  <c r="AC10" i="74"/>
  <c r="P11" i="74"/>
  <c r="AB12" i="74"/>
  <c r="P23" i="74"/>
  <c r="P25" i="74"/>
  <c r="AC13" i="74"/>
  <c r="AD24" i="74"/>
  <c r="N15" i="94" s="1"/>
  <c r="AB27" i="74"/>
  <c r="Z26" i="74"/>
  <c r="J15" i="95" s="1"/>
  <c r="Z14" i="74"/>
  <c r="J12" i="96" s="1"/>
  <c r="AE23" i="74"/>
  <c r="Z27" i="74"/>
  <c r="R10" i="74"/>
  <c r="AD10" i="74"/>
  <c r="AG9" i="74"/>
  <c r="S9" i="74"/>
  <c r="Y26" i="74"/>
  <c r="I15" i="95" s="1"/>
  <c r="P15" i="94"/>
  <c r="L15" i="96"/>
  <c r="O12" i="96"/>
  <c r="E15" i="96"/>
  <c r="J15" i="94"/>
  <c r="F15" i="96"/>
  <c r="Q15" i="94"/>
  <c r="O15" i="95"/>
  <c r="B15" i="94"/>
  <c r="P15" i="95"/>
  <c r="P15" i="96"/>
  <c r="E15" i="94"/>
  <c r="Q15" i="96"/>
  <c r="E12" i="96"/>
  <c r="G15" i="95"/>
  <c r="G15" i="96"/>
  <c r="I15" i="94"/>
  <c r="B15" i="96"/>
  <c r="H15" i="94"/>
  <c r="H12" i="96"/>
  <c r="K15" i="94"/>
  <c r="N12" i="96"/>
  <c r="M15" i="94"/>
  <c r="K15" i="96"/>
  <c r="Q12" i="96"/>
  <c r="L15" i="95"/>
  <c r="O9" i="74"/>
  <c r="AV7" i="87"/>
  <c r="S31" i="87" s="1"/>
  <c r="T7" i="87"/>
  <c r="P31" i="87" s="1"/>
  <c r="AV6" i="87"/>
  <c r="S30" i="87" s="1"/>
  <c r="T6" i="87"/>
  <c r="P30" i="87" s="1"/>
  <c r="AV5" i="87"/>
  <c r="S29" i="87" s="1"/>
  <c r="T5" i="87"/>
  <c r="P29" i="87" s="1"/>
  <c r="AB5" i="87"/>
  <c r="AL5" i="87"/>
  <c r="R29" i="87" s="1"/>
  <c r="P5" i="87"/>
  <c r="AL7" i="87"/>
  <c r="R31" i="87" s="1"/>
  <c r="O7" i="87"/>
  <c r="O31" i="87" s="1"/>
  <c r="AL6" i="87"/>
  <c r="R30" i="87" s="1"/>
  <c r="O6" i="87"/>
  <c r="O30" i="87" s="1"/>
  <c r="AB7" i="87"/>
  <c r="Q31" i="87" s="1"/>
  <c r="AA7" i="87" s="1" a="1"/>
  <c r="AA7" i="87" s="1"/>
  <c r="O5" i="87"/>
  <c r="AB6" i="87"/>
  <c r="Q30" i="87" s="1"/>
  <c r="V6" i="87" s="1" a="1"/>
  <c r="V6" i="87" s="1"/>
  <c r="T32" i="74"/>
  <c r="T35" i="74"/>
  <c r="T19" i="74"/>
  <c r="T21" i="74"/>
  <c r="T30" i="74"/>
  <c r="P35" i="74"/>
  <c r="Q35" i="74" s="1"/>
  <c r="T33" i="74"/>
  <c r="T34" i="74"/>
  <c r="T16" i="74"/>
  <c r="T17" i="74"/>
  <c r="T20" i="74"/>
  <c r="D15" i="96"/>
  <c r="T31" i="74"/>
  <c r="T18" i="74"/>
  <c r="O10" i="74"/>
  <c r="O34" i="74"/>
  <c r="O30" i="74"/>
  <c r="O26" i="74"/>
  <c r="O18" i="74"/>
  <c r="O14" i="74"/>
  <c r="O32" i="74"/>
  <c r="O24" i="74"/>
  <c r="O12" i="74"/>
  <c r="P31" i="74"/>
  <c r="Q31" i="74" s="1"/>
  <c r="P34" i="74"/>
  <c r="Q34" i="74" s="1"/>
  <c r="P33" i="74"/>
  <c r="Q33" i="74" s="1"/>
  <c r="P21" i="74"/>
  <c r="Q21" i="74" s="1"/>
  <c r="P17" i="74"/>
  <c r="Q17" i="74" s="1"/>
  <c r="O20" i="74"/>
  <c r="P19" i="74"/>
  <c r="Q19" i="74" s="1"/>
  <c r="O35" i="74"/>
  <c r="O27" i="74"/>
  <c r="O19" i="74"/>
  <c r="O11" i="74"/>
  <c r="O33" i="74"/>
  <c r="O25" i="74"/>
  <c r="O21" i="74"/>
  <c r="O17" i="74"/>
  <c r="O13" i="74"/>
  <c r="O28" i="74"/>
  <c r="O16" i="74"/>
  <c r="O23" i="74"/>
  <c r="P32" i="74"/>
  <c r="Q32" i="74" s="1"/>
  <c r="P20" i="74"/>
  <c r="Q20" i="74" s="1"/>
  <c r="P16" i="74"/>
  <c r="O31" i="74"/>
  <c r="P30" i="74"/>
  <c r="P18" i="74"/>
  <c r="Q18" i="74" s="1"/>
  <c r="H24" i="91"/>
  <c r="D34" i="91" s="1"/>
  <c r="B25" i="97" s="1"/>
  <c r="G24" i="91"/>
  <c r="C34" i="91" s="1"/>
  <c r="B25" i="15" s="1"/>
  <c r="J24" i="91"/>
  <c r="F34" i="91" s="1"/>
  <c r="B25" i="96" s="1"/>
  <c r="I24" i="91"/>
  <c r="E34" i="91" s="1"/>
  <c r="E5" i="91"/>
  <c r="E9" i="91"/>
  <c r="E15" i="91"/>
  <c r="E18" i="91"/>
  <c r="E12" i="91"/>
  <c r="AD7" i="89" l="1" a="1"/>
  <c r="AD7" i="89" s="1"/>
  <c r="AH7" i="89" a="1"/>
  <c r="AH7" i="89" s="1"/>
  <c r="AG7" i="89" a="1"/>
  <c r="AG7" i="89" s="1"/>
  <c r="AK7" i="89" a="1"/>
  <c r="AK7" i="89" s="1"/>
  <c r="AE7" i="89" a="1"/>
  <c r="AE7" i="89" s="1"/>
  <c r="AC7" i="89" a="1"/>
  <c r="AC7" i="89" s="1"/>
  <c r="AF7" i="89" a="1"/>
  <c r="AF7" i="89" s="1"/>
  <c r="AI7" i="89" a="1"/>
  <c r="AI7" i="89" s="1"/>
  <c r="AJ7" i="89" a="1"/>
  <c r="AJ7" i="89" s="1"/>
  <c r="AI6" i="89" a="1"/>
  <c r="AI6" i="89" s="1"/>
  <c r="AJ6" i="89" a="1"/>
  <c r="AJ6" i="89" s="1"/>
  <c r="AD6" i="89" a="1"/>
  <c r="AD6" i="89" s="1"/>
  <c r="AE6" i="89" a="1"/>
  <c r="AE6" i="89" s="1"/>
  <c r="AK6" i="89" a="1"/>
  <c r="AK6" i="89" s="1"/>
  <c r="AC6" i="89" a="1"/>
  <c r="AC6" i="89" s="1"/>
  <c r="AF6" i="89" a="1"/>
  <c r="AF6" i="89" s="1"/>
  <c r="AG6" i="89" a="1"/>
  <c r="AG6" i="89" s="1"/>
  <c r="AH6" i="89" a="1"/>
  <c r="AH6" i="89" s="1"/>
  <c r="T23" i="89"/>
  <c r="U7" i="89" a="1"/>
  <c r="U7" i="89" s="1"/>
  <c r="Z7" i="89" a="1"/>
  <c r="Z7" i="89" s="1"/>
  <c r="AA7" i="89" a="1"/>
  <c r="AA7" i="89" s="1"/>
  <c r="W7" i="89" a="1"/>
  <c r="W7" i="89" s="1"/>
  <c r="X7" i="89" a="1"/>
  <c r="X7" i="89" s="1"/>
  <c r="Y7" i="89" a="1"/>
  <c r="Y7" i="89" s="1"/>
  <c r="V7" i="89" a="1"/>
  <c r="V7" i="89" s="1"/>
  <c r="R23" i="89"/>
  <c r="AA5" i="89" a="1"/>
  <c r="AA5" i="89" s="1"/>
  <c r="X5" i="89" a="1"/>
  <c r="X5" i="89" s="1"/>
  <c r="W5" i="89" a="1"/>
  <c r="W5" i="89" s="1"/>
  <c r="Q23" i="89" s="1"/>
  <c r="V5" i="89" a="1"/>
  <c r="V5" i="89" s="1"/>
  <c r="Y5" i="89" a="1"/>
  <c r="Y5" i="89" s="1"/>
  <c r="U5" i="89" a="1"/>
  <c r="U5" i="89" s="1"/>
  <c r="Z5" i="89" a="1"/>
  <c r="Z5" i="89" s="1"/>
  <c r="AA6" i="89" a="1"/>
  <c r="AA6" i="89" s="1"/>
  <c r="U6" i="89" a="1"/>
  <c r="U6" i="89" s="1"/>
  <c r="V6" i="89" a="1"/>
  <c r="V6" i="89" s="1"/>
  <c r="Y6" i="89" a="1"/>
  <c r="Y6" i="89" s="1"/>
  <c r="Z6" i="89" a="1"/>
  <c r="Z6" i="89" s="1"/>
  <c r="W6" i="89" a="1"/>
  <c r="W6" i="89" s="1"/>
  <c r="X6" i="89" a="1"/>
  <c r="X6" i="89" s="1"/>
  <c r="O31" i="89"/>
  <c r="O23" i="89"/>
  <c r="E12" i="94"/>
  <c r="E11" i="94"/>
  <c r="I15" i="97"/>
  <c r="I15" i="22"/>
  <c r="I15" i="23"/>
  <c r="B11" i="94"/>
  <c r="B12" i="94"/>
  <c r="M15" i="23"/>
  <c r="M15" i="22"/>
  <c r="M15" i="97"/>
  <c r="N12" i="95"/>
  <c r="N11" i="95"/>
  <c r="I11" i="95"/>
  <c r="I12" i="95"/>
  <c r="L12" i="95"/>
  <c r="L11" i="95"/>
  <c r="P11" i="94"/>
  <c r="P12" i="94"/>
  <c r="Q15" i="97"/>
  <c r="Q15" i="22"/>
  <c r="Q15" i="23"/>
  <c r="J12" i="94"/>
  <c r="J11" i="94"/>
  <c r="G11" i="94"/>
  <c r="G12" i="94"/>
  <c r="C15" i="22"/>
  <c r="C15" i="23"/>
  <c r="C15" i="97"/>
  <c r="E15" i="22"/>
  <c r="E15" i="23"/>
  <c r="E15" i="97"/>
  <c r="L15" i="22"/>
  <c r="L15" i="97"/>
  <c r="L15" i="23"/>
  <c r="C12" i="94"/>
  <c r="C11" i="94"/>
  <c r="M11" i="95"/>
  <c r="M12" i="95"/>
  <c r="H15" i="22"/>
  <c r="H15" i="97"/>
  <c r="H15" i="23"/>
  <c r="O15" i="22"/>
  <c r="O15" i="23"/>
  <c r="O15" i="97"/>
  <c r="G12" i="95"/>
  <c r="G11" i="95"/>
  <c r="O11" i="95"/>
  <c r="O12" i="95"/>
  <c r="L12" i="94"/>
  <c r="L11" i="94"/>
  <c r="H11" i="94"/>
  <c r="H12" i="94"/>
  <c r="P11" i="95"/>
  <c r="P12" i="95"/>
  <c r="K11" i="94"/>
  <c r="K12" i="94"/>
  <c r="M12" i="94"/>
  <c r="M11" i="94"/>
  <c r="H11" i="95"/>
  <c r="H12" i="95"/>
  <c r="Q12" i="95"/>
  <c r="Q11" i="95"/>
  <c r="N15" i="22"/>
  <c r="N15" i="23"/>
  <c r="N15" i="97"/>
  <c r="K15" i="22"/>
  <c r="K15" i="23"/>
  <c r="K15" i="97"/>
  <c r="J15" i="23"/>
  <c r="J15" i="22"/>
  <c r="J15" i="97"/>
  <c r="O11" i="94"/>
  <c r="O12" i="94"/>
  <c r="F15" i="23"/>
  <c r="F15" i="22"/>
  <c r="F15" i="97"/>
  <c r="B15" i="22"/>
  <c r="B15" i="23"/>
  <c r="B15" i="97"/>
  <c r="G15" i="23"/>
  <c r="G15" i="97"/>
  <c r="G15" i="22"/>
  <c r="I11" i="94"/>
  <c r="I12" i="94"/>
  <c r="N12" i="94"/>
  <c r="N11" i="94"/>
  <c r="F12" i="94"/>
  <c r="F11" i="94"/>
  <c r="P15" i="97"/>
  <c r="P15" i="22"/>
  <c r="P15" i="23"/>
  <c r="Q11" i="94"/>
  <c r="Q12" i="94"/>
  <c r="K12" i="95"/>
  <c r="K11" i="95"/>
  <c r="B15" i="95" a="1"/>
  <c r="B15" i="95" s="1"/>
  <c r="E15" i="95" a="1"/>
  <c r="E15" i="95" s="1"/>
  <c r="C15" i="95" a="1"/>
  <c r="C15" i="95" s="1"/>
  <c r="F15" i="95" a="1"/>
  <c r="F15" i="95" s="1"/>
  <c r="D15" i="95" a="1"/>
  <c r="D15" i="95" s="1"/>
  <c r="J12" i="95"/>
  <c r="J11" i="95"/>
  <c r="D15" i="97"/>
  <c r="D15" i="23"/>
  <c r="D15" i="22"/>
  <c r="Q29" i="87"/>
  <c r="AA5" i="87" s="1" a="1"/>
  <c r="AA5" i="87" s="1"/>
  <c r="R23" i="87"/>
  <c r="O29" i="87"/>
  <c r="O23" i="87"/>
  <c r="U6" i="87" a="1"/>
  <c r="U6" i="87" s="1"/>
  <c r="W6" i="87" a="1"/>
  <c r="W6" i="87" s="1"/>
  <c r="Q24" i="87" s="1"/>
  <c r="Z6" i="87" a="1"/>
  <c r="Z6" i="87" s="1"/>
  <c r="Y6" i="87" a="1"/>
  <c r="Y6" i="87" s="1"/>
  <c r="AA6" i="87" a="1"/>
  <c r="AA6" i="87" s="1"/>
  <c r="Z7" i="87" a="1"/>
  <c r="Z7" i="87" s="1"/>
  <c r="W7" i="87" a="1"/>
  <c r="W7" i="87" s="1"/>
  <c r="V7" i="87" a="1"/>
  <c r="V7" i="87" s="1"/>
  <c r="U7" i="87" a="1"/>
  <c r="U7" i="87" s="1"/>
  <c r="Y7" i="87" a="1"/>
  <c r="Y7" i="87" s="1"/>
  <c r="D18" i="94"/>
  <c r="D19" i="94"/>
  <c r="D20" i="94"/>
  <c r="D21" i="94"/>
  <c r="D22" i="94"/>
  <c r="D12" i="96"/>
  <c r="D16" i="96"/>
  <c r="D17" i="96"/>
  <c r="D18" i="96"/>
  <c r="D19" i="96"/>
  <c r="D20" i="96"/>
  <c r="D21" i="96"/>
  <c r="D22" i="96"/>
  <c r="D11" i="94"/>
  <c r="D12" i="94"/>
  <c r="D16" i="94"/>
  <c r="D17" i="94"/>
  <c r="C25" i="96"/>
  <c r="C25" i="97"/>
  <c r="C25" i="15"/>
  <c r="B34" i="93"/>
  <c r="Q16" i="74"/>
  <c r="Q30" i="74"/>
  <c r="T24" i="89"/>
  <c r="T25" i="89"/>
  <c r="S24" i="89"/>
  <c r="S25" i="89"/>
  <c r="R24" i="89"/>
  <c r="R25" i="89"/>
  <c r="Q24" i="89"/>
  <c r="Q25" i="89"/>
  <c r="O24" i="89"/>
  <c r="P24" i="89"/>
  <c r="O25" i="89"/>
  <c r="P25" i="89"/>
  <c r="M13" i="81"/>
  <c r="M12" i="81"/>
  <c r="J13" i="81"/>
  <c r="J12" i="81"/>
  <c r="L13" i="81"/>
  <c r="L12" i="81"/>
  <c r="I13" i="81"/>
  <c r="I12" i="81"/>
  <c r="H13" i="81"/>
  <c r="H12" i="81"/>
  <c r="G13" i="81"/>
  <c r="G12" i="81"/>
  <c r="F13" i="81"/>
  <c r="F12" i="81"/>
  <c r="E13" i="81"/>
  <c r="E12" i="81"/>
  <c r="C7" i="81"/>
  <c r="D7" i="81"/>
  <c r="C8" i="81"/>
  <c r="D8" i="81"/>
  <c r="C9" i="81"/>
  <c r="D9" i="81"/>
  <c r="C10" i="81"/>
  <c r="D10" i="81"/>
  <c r="C11" i="81"/>
  <c r="D11" i="81"/>
  <c r="C12" i="81"/>
  <c r="D12" i="81"/>
  <c r="C13" i="81"/>
  <c r="D13" i="81"/>
  <c r="C14" i="81"/>
  <c r="D14" i="81"/>
  <c r="C15" i="81"/>
  <c r="D15" i="81"/>
  <c r="D6" i="81"/>
  <c r="C6" i="81"/>
  <c r="D7" i="82"/>
  <c r="C7" i="82"/>
  <c r="D6" i="82"/>
  <c r="C6" i="82"/>
  <c r="D7" i="85"/>
  <c r="C7" i="85"/>
  <c r="D6" i="85"/>
  <c r="C6" i="85"/>
  <c r="C7" i="86"/>
  <c r="D7" i="86"/>
  <c r="C8" i="86"/>
  <c r="D8" i="86"/>
  <c r="C9" i="86"/>
  <c r="D9" i="86"/>
  <c r="C10" i="86"/>
  <c r="D10" i="86"/>
  <c r="D6" i="86"/>
  <c r="C6" i="86"/>
  <c r="C56" i="74"/>
  <c r="P56" i="74" s="1"/>
  <c r="Q56" i="74" s="1"/>
  <c r="O56" i="74"/>
  <c r="C52" i="74"/>
  <c r="P52" i="74" s="1"/>
  <c r="Q52" i="74" s="1"/>
  <c r="C53" i="74"/>
  <c r="P53" i="74" s="1"/>
  <c r="Q53" i="74" s="1"/>
  <c r="C54" i="74"/>
  <c r="P54" i="74" s="1"/>
  <c r="Q54" i="74" s="1"/>
  <c r="C55" i="74"/>
  <c r="P55" i="74" s="1"/>
  <c r="Q55" i="74" s="1"/>
  <c r="O52" i="74"/>
  <c r="O53" i="74"/>
  <c r="O54" i="74"/>
  <c r="O55" i="74"/>
  <c r="P51" i="74"/>
  <c r="O51" i="74"/>
  <c r="AH5" i="89" l="1" a="1"/>
  <c r="AH5" i="89" s="1"/>
  <c r="AI5" i="89" a="1"/>
  <c r="AI5" i="89" s="1"/>
  <c r="AG5" i="89" a="1"/>
  <c r="AG5" i="89" s="1"/>
  <c r="S23" i="89" s="1"/>
  <c r="AK5" i="89" a="1"/>
  <c r="AK5" i="89" s="1"/>
  <c r="AD5" i="89" a="1"/>
  <c r="AD5" i="89" s="1"/>
  <c r="AE5" i="89" a="1"/>
  <c r="AE5" i="89" s="1"/>
  <c r="AF5" i="89" a="1"/>
  <c r="AF5" i="89" s="1"/>
  <c r="AJ5" i="89" a="1"/>
  <c r="AJ5" i="89" s="1"/>
  <c r="AC5" i="89" a="1"/>
  <c r="AC5" i="89" s="1"/>
  <c r="C12" i="95" a="1"/>
  <c r="C12" i="95" s="1"/>
  <c r="E12" i="95" a="1"/>
  <c r="E12" i="95" s="1"/>
  <c r="F12" i="95" a="1"/>
  <c r="F12" i="95" s="1"/>
  <c r="B12" i="95" a="1"/>
  <c r="B12" i="95" s="1"/>
  <c r="D12" i="95" a="1"/>
  <c r="D12" i="95" s="1"/>
  <c r="E11" i="95" a="1"/>
  <c r="E11" i="95" s="1"/>
  <c r="C11" i="95" a="1"/>
  <c r="C11" i="95" s="1"/>
  <c r="F11" i="95" a="1"/>
  <c r="F11" i="95" s="1"/>
  <c r="B11" i="95" a="1"/>
  <c r="B11" i="95" s="1"/>
  <c r="D11" i="95" a="1"/>
  <c r="D11" i="95" s="1"/>
  <c r="W5" i="87" a="1"/>
  <c r="W5" i="87" s="1"/>
  <c r="Q23" i="87" s="1"/>
  <c r="Y5" i="87" a="1"/>
  <c r="Y5" i="87" s="1"/>
  <c r="Z5" i="87" a="1"/>
  <c r="Z5" i="87" s="1"/>
  <c r="V5" i="87" a="1"/>
  <c r="V5" i="87" s="1"/>
  <c r="D25" i="15"/>
  <c r="C34" i="93"/>
  <c r="D25" i="97"/>
  <c r="D25" i="96"/>
  <c r="Q51" i="74"/>
  <c r="S23" i="88"/>
  <c r="T25" i="88"/>
  <c r="S25" i="88"/>
  <c r="R25" i="88"/>
  <c r="Q25" i="88"/>
  <c r="P7" i="88"/>
  <c r="P25" i="88" s="1"/>
  <c r="O7" i="88"/>
  <c r="O25" i="88" s="1"/>
  <c r="S24" i="88"/>
  <c r="Q24" i="88"/>
  <c r="P6" i="88"/>
  <c r="P24" i="88" s="1"/>
  <c r="O6" i="88"/>
  <c r="O24" i="88" s="1"/>
  <c r="Q23" i="88"/>
  <c r="P23" i="88"/>
  <c r="O5" i="88"/>
  <c r="O23" i="88" s="1"/>
  <c r="C48" i="81"/>
  <c r="C47" i="81"/>
  <c r="M15" i="81"/>
  <c r="L15" i="81"/>
  <c r="J15" i="81"/>
  <c r="I15" i="81"/>
  <c r="M14" i="81"/>
  <c r="M11" i="81"/>
  <c r="M10" i="81"/>
  <c r="M9" i="81"/>
  <c r="M8" i="81"/>
  <c r="M7" i="81"/>
  <c r="M6" i="81"/>
  <c r="L14" i="81"/>
  <c r="L11" i="81"/>
  <c r="L10" i="81"/>
  <c r="L9" i="81"/>
  <c r="L8" i="81"/>
  <c r="L7" i="81"/>
  <c r="L6" i="81"/>
  <c r="J14" i="81"/>
  <c r="J11" i="81"/>
  <c r="J10" i="81"/>
  <c r="J9" i="81"/>
  <c r="J8" i="81"/>
  <c r="J7" i="81"/>
  <c r="J6" i="81"/>
  <c r="I14" i="81"/>
  <c r="I11" i="81"/>
  <c r="I10" i="81"/>
  <c r="I9" i="81"/>
  <c r="I8" i="81"/>
  <c r="I7" i="81"/>
  <c r="I6" i="81"/>
  <c r="H15" i="81"/>
  <c r="H14" i="81"/>
  <c r="H11" i="81"/>
  <c r="H10" i="81"/>
  <c r="H9" i="81"/>
  <c r="H8" i="81"/>
  <c r="H7" i="81"/>
  <c r="H6" i="81"/>
  <c r="G15" i="81"/>
  <c r="G14" i="81"/>
  <c r="G11" i="81"/>
  <c r="G10" i="81"/>
  <c r="G9" i="81"/>
  <c r="G8" i="81"/>
  <c r="G7" i="81"/>
  <c r="G6" i="81"/>
  <c r="F15" i="81"/>
  <c r="F14" i="81"/>
  <c r="F11" i="81"/>
  <c r="F10" i="81"/>
  <c r="F9" i="81"/>
  <c r="F8" i="81"/>
  <c r="F7" i="81"/>
  <c r="F6" i="81"/>
  <c r="K16" i="81"/>
  <c r="N16" i="81"/>
  <c r="E15" i="81"/>
  <c r="E14" i="81"/>
  <c r="E11" i="81"/>
  <c r="E10" i="81"/>
  <c r="E9" i="81"/>
  <c r="E8" i="81"/>
  <c r="E7" i="81"/>
  <c r="E6" i="81"/>
  <c r="T23" i="87"/>
  <c r="S23" i="87"/>
  <c r="P23" i="87"/>
  <c r="T25" i="87"/>
  <c r="S25" i="87"/>
  <c r="R25" i="87"/>
  <c r="Q25" i="87"/>
  <c r="P7" i="87"/>
  <c r="P25" i="87" s="1"/>
  <c r="O25" i="87"/>
  <c r="T24" i="87"/>
  <c r="S24" i="87"/>
  <c r="R24" i="87"/>
  <c r="P6" i="87"/>
  <c r="P24" i="87" s="1"/>
  <c r="Q6" i="87" s="1" a="1"/>
  <c r="Q6" i="87" s="1"/>
  <c r="O24" i="87"/>
  <c r="J10" i="86"/>
  <c r="J9" i="86"/>
  <c r="J8" i="86"/>
  <c r="J7" i="86"/>
  <c r="J6" i="86"/>
  <c r="M10" i="86"/>
  <c r="M9" i="86"/>
  <c r="M8" i="86"/>
  <c r="M7" i="86"/>
  <c r="M6" i="86"/>
  <c r="L10" i="86"/>
  <c r="L9" i="86"/>
  <c r="L8" i="86"/>
  <c r="L7" i="86"/>
  <c r="L6" i="86"/>
  <c r="I10" i="86"/>
  <c r="I9" i="86"/>
  <c r="I8" i="86"/>
  <c r="I7" i="86"/>
  <c r="I6" i="86"/>
  <c r="C42" i="86"/>
  <c r="C41" i="86"/>
  <c r="H10" i="86"/>
  <c r="H9" i="86"/>
  <c r="H8" i="86"/>
  <c r="H7" i="86"/>
  <c r="H6" i="86"/>
  <c r="G10" i="86"/>
  <c r="G9" i="86"/>
  <c r="G8" i="86"/>
  <c r="G7" i="86"/>
  <c r="G6" i="86"/>
  <c r="F10" i="86"/>
  <c r="F9" i="86"/>
  <c r="F8" i="86"/>
  <c r="F7" i="86"/>
  <c r="F6" i="86"/>
  <c r="E10" i="86"/>
  <c r="E9" i="86"/>
  <c r="E8" i="86"/>
  <c r="E7" i="86"/>
  <c r="E6" i="86"/>
  <c r="J6" i="85"/>
  <c r="J7" i="85" s="1"/>
  <c r="M6" i="85"/>
  <c r="M7" i="85" s="1"/>
  <c r="L6" i="85"/>
  <c r="L7" i="85" s="1"/>
  <c r="I6" i="85"/>
  <c r="I7" i="85" s="1"/>
  <c r="G6" i="85"/>
  <c r="G7" i="85" s="1"/>
  <c r="F6" i="85"/>
  <c r="F7" i="85" s="1"/>
  <c r="E6" i="85"/>
  <c r="R24" i="88" l="1"/>
  <c r="T24" i="88"/>
  <c r="T23" i="88"/>
  <c r="AL9" i="88" s="1"/>
  <c r="E25" i="97"/>
  <c r="E25" i="15"/>
  <c r="D34" i="93"/>
  <c r="E25" i="96"/>
  <c r="AD9" i="89"/>
  <c r="AG9" i="88"/>
  <c r="V9" i="89"/>
  <c r="R9" i="89"/>
  <c r="AG9" i="89"/>
  <c r="AE9" i="89"/>
  <c r="Q9" i="89"/>
  <c r="T9" i="89"/>
  <c r="X9" i="89"/>
  <c r="AH9" i="89"/>
  <c r="H11" i="86"/>
  <c r="L11" i="86"/>
  <c r="G11" i="86"/>
  <c r="E11" i="86"/>
  <c r="E7" i="85"/>
  <c r="AG9" i="87"/>
  <c r="W9" i="87"/>
  <c r="S5" i="87" a="1"/>
  <c r="S5" i="87" s="1"/>
  <c r="T9" i="87" s="1"/>
  <c r="R5" i="87" a="1"/>
  <c r="R5" i="87" s="1"/>
  <c r="Q5" i="87" a="1"/>
  <c r="Q5" i="87" s="1"/>
  <c r="Q9" i="87" s="1"/>
  <c r="AH9" i="87"/>
  <c r="X9" i="87"/>
  <c r="R6" i="87" a="1"/>
  <c r="R6" i="87" s="1"/>
  <c r="S6" i="87" a="1"/>
  <c r="S6" i="87" s="1"/>
  <c r="Q6" i="88" a="1"/>
  <c r="Q6" i="88" s="1"/>
  <c r="R7" i="87" a="1"/>
  <c r="R7" i="87" s="1"/>
  <c r="Q7" i="87" a="1"/>
  <c r="Q7" i="87" s="1"/>
  <c r="S7" i="87" a="1"/>
  <c r="S7" i="87" s="1"/>
  <c r="AB9" i="88"/>
  <c r="Q7" i="88" a="1"/>
  <c r="Q7" i="88" s="1"/>
  <c r="S7" i="88" a="1"/>
  <c r="S7" i="88" s="1"/>
  <c r="R7" i="88" a="1"/>
  <c r="R7" i="88" s="1"/>
  <c r="Q5" i="88" a="1"/>
  <c r="Q5" i="88" s="1"/>
  <c r="Q9" i="88" s="1"/>
  <c r="W9" i="88"/>
  <c r="X9" i="88"/>
  <c r="R6" i="88" a="1"/>
  <c r="R6" i="88" s="1"/>
  <c r="S6" i="88" a="1"/>
  <c r="S6" i="88" s="1"/>
  <c r="R5" i="88" a="1"/>
  <c r="R5" i="88" s="1"/>
  <c r="S5" i="88" a="1"/>
  <c r="S5" i="88" s="1"/>
  <c r="J11" i="86"/>
  <c r="M11" i="86"/>
  <c r="I11" i="86"/>
  <c r="F11" i="86"/>
  <c r="D40" i="86"/>
  <c r="D42" i="86"/>
  <c r="D41" i="86"/>
  <c r="AM6" i="89" l="1" a="1"/>
  <c r="AM6" i="89" s="1"/>
  <c r="AS6" i="89" a="1"/>
  <c r="AS6" i="89" s="1"/>
  <c r="AN6" i="89" a="1"/>
  <c r="AN6" i="89" s="1"/>
  <c r="AO6" i="89" a="1"/>
  <c r="AO6" i="89" s="1"/>
  <c r="AP6" i="89" a="1"/>
  <c r="AP6" i="89" s="1"/>
  <c r="AQ6" i="89" a="1"/>
  <c r="AQ6" i="89" s="1"/>
  <c r="AR6" i="89" a="1"/>
  <c r="AR6" i="89" s="1"/>
  <c r="AT6" i="89" a="1"/>
  <c r="AT6" i="89" s="1"/>
  <c r="AU7" i="89" a="1"/>
  <c r="AU7" i="89" s="1"/>
  <c r="AM7" i="89" a="1"/>
  <c r="AM7" i="89" s="1"/>
  <c r="AP7" i="89" a="1"/>
  <c r="AP7" i="89" s="1"/>
  <c r="AQ7" i="89" a="1"/>
  <c r="AQ7" i="89" s="1"/>
  <c r="AN7" i="89" a="1"/>
  <c r="AN7" i="89" s="1"/>
  <c r="AO7" i="89" a="1"/>
  <c r="AO7" i="89" s="1"/>
  <c r="AR7" i="89" a="1"/>
  <c r="AR7" i="89" s="1"/>
  <c r="AS7" i="89" a="1"/>
  <c r="AS7" i="89" s="1"/>
  <c r="AT7" i="89" a="1"/>
  <c r="AT7" i="89" s="1"/>
  <c r="Q22" i="97"/>
  <c r="AE21" i="97"/>
  <c r="O21" i="97"/>
  <c r="AC20" i="97"/>
  <c r="M20" i="97"/>
  <c r="AA19" i="97"/>
  <c r="K19" i="97"/>
  <c r="Y18" i="97"/>
  <c r="I18" i="97"/>
  <c r="AF22" i="97"/>
  <c r="P22" i="97"/>
  <c r="AD21" i="97"/>
  <c r="N21" i="97"/>
  <c r="AB20" i="97"/>
  <c r="L20" i="97"/>
  <c r="Z19" i="97"/>
  <c r="J19" i="97"/>
  <c r="X18" i="97"/>
  <c r="H18" i="97"/>
  <c r="AE22" i="97"/>
  <c r="O22" i="97"/>
  <c r="AC21" i="97"/>
  <c r="M21" i="97"/>
  <c r="AA20" i="97"/>
  <c r="K20" i="97"/>
  <c r="Y19" i="97"/>
  <c r="I19" i="97"/>
  <c r="W18" i="97"/>
  <c r="G18" i="97"/>
  <c r="AD22" i="97"/>
  <c r="N22" i="97"/>
  <c r="AB21" i="97"/>
  <c r="L21" i="97"/>
  <c r="Z20" i="97"/>
  <c r="J20" i="97"/>
  <c r="X19" i="97"/>
  <c r="H19" i="97"/>
  <c r="V18" i="97"/>
  <c r="F18" i="97"/>
  <c r="AC22" i="97"/>
  <c r="M22" i="97"/>
  <c r="AA21" i="97"/>
  <c r="K21" i="97"/>
  <c r="Y20" i="97"/>
  <c r="I20" i="97"/>
  <c r="W19" i="97"/>
  <c r="G19" i="97"/>
  <c r="U18" i="97"/>
  <c r="E18" i="97"/>
  <c r="AB22" i="97"/>
  <c r="L22" i="97"/>
  <c r="Z21" i="97"/>
  <c r="J21" i="97"/>
  <c r="X20" i="97"/>
  <c r="H20" i="97"/>
  <c r="V19" i="97"/>
  <c r="F19" i="97"/>
  <c r="T18" i="97"/>
  <c r="C18" i="97"/>
  <c r="AA22" i="97"/>
  <c r="K22" i="97"/>
  <c r="Y21" i="97"/>
  <c r="I21" i="97"/>
  <c r="W20" i="97"/>
  <c r="G20" i="97"/>
  <c r="U19" i="97"/>
  <c r="E19" i="97"/>
  <c r="S18" i="97"/>
  <c r="B18" i="97"/>
  <c r="Z22" i="97"/>
  <c r="J22" i="97"/>
  <c r="X21" i="97"/>
  <c r="H21" i="97"/>
  <c r="V20" i="97"/>
  <c r="F20" i="97"/>
  <c r="T19" i="97"/>
  <c r="C19" i="97"/>
  <c r="R18" i="97"/>
  <c r="Y22" i="97"/>
  <c r="I22" i="97"/>
  <c r="W21" i="97"/>
  <c r="G21" i="97"/>
  <c r="U20" i="97"/>
  <c r="E20" i="97"/>
  <c r="S19" i="97"/>
  <c r="B19" i="97"/>
  <c r="Q18" i="97"/>
  <c r="X22" i="97"/>
  <c r="H22" i="97"/>
  <c r="V21" i="97"/>
  <c r="F21" i="97"/>
  <c r="T20" i="97"/>
  <c r="C20" i="97"/>
  <c r="R19" i="97"/>
  <c r="AF18" i="97"/>
  <c r="P18" i="97"/>
  <c r="W22" i="97"/>
  <c r="G22" i="97"/>
  <c r="U21" i="97"/>
  <c r="E21" i="97"/>
  <c r="S20" i="97"/>
  <c r="B20" i="97"/>
  <c r="Q19" i="97"/>
  <c r="AE18" i="97"/>
  <c r="O18" i="97"/>
  <c r="V22" i="97"/>
  <c r="F22" i="97"/>
  <c r="T21" i="97"/>
  <c r="C21" i="97"/>
  <c r="R20" i="97"/>
  <c r="AF19" i="97"/>
  <c r="P19" i="97"/>
  <c r="AD18" i="97"/>
  <c r="N18" i="97"/>
  <c r="U22" i="97"/>
  <c r="E22" i="97"/>
  <c r="S21" i="97"/>
  <c r="B21" i="97"/>
  <c r="Q20" i="97"/>
  <c r="AE19" i="97"/>
  <c r="O19" i="97"/>
  <c r="AC18" i="97"/>
  <c r="M18" i="97"/>
  <c r="T22" i="97"/>
  <c r="C22" i="97"/>
  <c r="R21" i="97"/>
  <c r="AF20" i="97"/>
  <c r="P20" i="97"/>
  <c r="AD19" i="97"/>
  <c r="N19" i="97"/>
  <c r="AB18" i="97"/>
  <c r="L18" i="97"/>
  <c r="S22" i="97"/>
  <c r="B22" i="97"/>
  <c r="Q21" i="97"/>
  <c r="AE20" i="97"/>
  <c r="O20" i="97"/>
  <c r="AC19" i="97"/>
  <c r="M19" i="97"/>
  <c r="AA18" i="97"/>
  <c r="K18" i="97"/>
  <c r="R22" i="97"/>
  <c r="AF21" i="97"/>
  <c r="P21" i="97"/>
  <c r="AD20" i="97"/>
  <c r="N20" i="97"/>
  <c r="AB19" i="97"/>
  <c r="L19" i="97"/>
  <c r="Z18" i="97"/>
  <c r="J18" i="97"/>
  <c r="D19" i="97"/>
  <c r="D22" i="97"/>
  <c r="D18" i="97"/>
  <c r="D21" i="97"/>
  <c r="D20" i="97"/>
  <c r="AK9" i="88"/>
  <c r="AH9" i="88"/>
  <c r="W9" i="89"/>
  <c r="F25" i="97"/>
  <c r="F25" i="15"/>
  <c r="E34" i="93"/>
  <c r="F25" i="96"/>
  <c r="AD9" i="87"/>
  <c r="AC9" i="87"/>
  <c r="AE9" i="88"/>
  <c r="AC9" i="89"/>
  <c r="AK9" i="87"/>
  <c r="R9" i="88"/>
  <c r="Z9" i="88"/>
  <c r="Z9" i="89"/>
  <c r="S9" i="87"/>
  <c r="AL9" i="87"/>
  <c r="AW5" i="87"/>
  <c r="S32" i="88"/>
  <c r="Y9" i="87"/>
  <c r="AF9" i="89"/>
  <c r="AF9" i="87"/>
  <c r="AM9" i="87"/>
  <c r="T9" i="88"/>
  <c r="S9" i="88"/>
  <c r="Z9" i="87"/>
  <c r="S9" i="89"/>
  <c r="AI9" i="89"/>
  <c r="U9" i="89"/>
  <c r="AK9" i="89"/>
  <c r="AL9" i="89"/>
  <c r="AJ9" i="89"/>
  <c r="AA9" i="89"/>
  <c r="AB9" i="89"/>
  <c r="Y9" i="89"/>
  <c r="U9" i="87"/>
  <c r="AA9" i="87"/>
  <c r="AJ9" i="87"/>
  <c r="AI9" i="87"/>
  <c r="V9" i="87"/>
  <c r="R9" i="87"/>
  <c r="AE9" i="87"/>
  <c r="AB9" i="87"/>
  <c r="V9" i="88"/>
  <c r="S31" i="88"/>
  <c r="AC9" i="88"/>
  <c r="AD9" i="88"/>
  <c r="AA9" i="88"/>
  <c r="Y9" i="88"/>
  <c r="AF9" i="88"/>
  <c r="U9" i="88"/>
  <c r="AM5" i="89" l="1" a="1"/>
  <c r="AM5" i="89" s="1"/>
  <c r="AM9" i="89" s="1"/>
  <c r="AO5" i="89" a="1"/>
  <c r="AO5" i="89" s="1"/>
  <c r="AT5" i="89" a="1"/>
  <c r="AT5" i="89" s="1"/>
  <c r="AT9" i="89" s="1"/>
  <c r="AQ5" i="89" a="1"/>
  <c r="AQ5" i="89" s="1"/>
  <c r="AQ9" i="89" s="1"/>
  <c r="AP5" i="89" a="1"/>
  <c r="AP5" i="89" s="1"/>
  <c r="AP9" i="89" s="1"/>
  <c r="AR5" i="89" a="1"/>
  <c r="AR5" i="89" s="1"/>
  <c r="AV9" i="89"/>
  <c r="AS5" i="89" a="1"/>
  <c r="AS5" i="89" s="1"/>
  <c r="AS9" i="89" s="1"/>
  <c r="AN5" i="89" a="1"/>
  <c r="AN5" i="89" s="1"/>
  <c r="AO9" i="89" s="1"/>
  <c r="AJ9" i="88"/>
  <c r="AM9" i="88"/>
  <c r="S30" i="88"/>
  <c r="AO9" i="88"/>
  <c r="AI9" i="88"/>
  <c r="AU9" i="87"/>
  <c r="AP9" i="87"/>
  <c r="B3" i="22"/>
  <c r="C3" i="22" s="1"/>
  <c r="D3" i="22" s="1"/>
  <c r="E3" i="22" s="1"/>
  <c r="F3" i="22" s="1"/>
  <c r="G3" i="22" s="1"/>
  <c r="H3" i="22" s="1"/>
  <c r="I3" i="22" s="1"/>
  <c r="J3" i="22" s="1"/>
  <c r="K3" i="22" s="1"/>
  <c r="L3" i="22" s="1"/>
  <c r="M3" i="22" s="1"/>
  <c r="N3" i="22" s="1"/>
  <c r="O3" i="22" s="1"/>
  <c r="P3" i="22" s="1"/>
  <c r="Q3" i="22" s="1"/>
  <c r="R3" i="22" s="1"/>
  <c r="S3" i="22" s="1"/>
  <c r="T3" i="22" s="1"/>
  <c r="U3" i="22" s="1"/>
  <c r="V3" i="22" s="1"/>
  <c r="W3" i="22" s="1"/>
  <c r="B3" i="97"/>
  <c r="G25" i="96"/>
  <c r="G25" i="15"/>
  <c r="F34" i="93"/>
  <c r="G25" i="97"/>
  <c r="B10" i="21"/>
  <c r="C10" i="21" s="1"/>
  <c r="B4" i="23"/>
  <c r="AT9" i="87"/>
  <c r="AS9" i="87"/>
  <c r="AR9" i="89"/>
  <c r="AO9" i="87"/>
  <c r="AR9" i="87"/>
  <c r="AN9" i="87"/>
  <c r="AV9" i="87"/>
  <c r="AQ9" i="87"/>
  <c r="AW5" i="89"/>
  <c r="B24" i="23"/>
  <c r="C24" i="23" s="1"/>
  <c r="AN9" i="89" l="1"/>
  <c r="AU9" i="89"/>
  <c r="AT9" i="88"/>
  <c r="AN9" i="88"/>
  <c r="AS9" i="88"/>
  <c r="AU9" i="88"/>
  <c r="AP9" i="88"/>
  <c r="AR9" i="88"/>
  <c r="AV9" i="88"/>
  <c r="AW5" i="88"/>
  <c r="AQ9" i="88"/>
  <c r="H25" i="15"/>
  <c r="G34" i="93"/>
  <c r="H25" i="96"/>
  <c r="H25" i="97"/>
  <c r="C3" i="97"/>
  <c r="C4" i="23"/>
  <c r="D4" i="23" s="1"/>
  <c r="D10" i="21"/>
  <c r="D24" i="23"/>
  <c r="X3" i="22"/>
  <c r="Y3" i="22" s="1"/>
  <c r="Z3" i="22" s="1"/>
  <c r="AA3" i="22" s="1"/>
  <c r="AB3" i="22" s="1"/>
  <c r="AC3" i="22" s="1"/>
  <c r="AD3" i="22" s="1"/>
  <c r="AE3" i="22" s="1"/>
  <c r="AF3" i="22" s="1"/>
  <c r="N8" i="85"/>
  <c r="K8" i="85"/>
  <c r="C7" i="84"/>
  <c r="C6" i="84"/>
  <c r="J7" i="82"/>
  <c r="J6" i="82" s="1"/>
  <c r="M7" i="82"/>
  <c r="M6" i="82" s="1"/>
  <c r="L7" i="82"/>
  <c r="L6" i="82" s="1"/>
  <c r="I7" i="82"/>
  <c r="I6" i="82" s="1"/>
  <c r="G7" i="82"/>
  <c r="G6" i="82" s="1"/>
  <c r="F7" i="82"/>
  <c r="F6" i="82" s="1"/>
  <c r="E6" i="82"/>
  <c r="AA11" i="96" l="1"/>
  <c r="K11" i="96"/>
  <c r="Z11" i="96"/>
  <c r="J11" i="96"/>
  <c r="Y11" i="96"/>
  <c r="I11" i="96"/>
  <c r="X11" i="96"/>
  <c r="H11" i="96"/>
  <c r="W11" i="96"/>
  <c r="G11" i="96"/>
  <c r="V11" i="96"/>
  <c r="F11" i="96"/>
  <c r="U11" i="96"/>
  <c r="E11" i="96"/>
  <c r="T11" i="96"/>
  <c r="C11" i="96"/>
  <c r="S11" i="96"/>
  <c r="B11" i="96"/>
  <c r="R11" i="96"/>
  <c r="Q11" i="96"/>
  <c r="AF11" i="96"/>
  <c r="P11" i="96"/>
  <c r="AE11" i="96"/>
  <c r="O11" i="96"/>
  <c r="AD11" i="96"/>
  <c r="N11" i="96"/>
  <c r="AC11" i="96"/>
  <c r="M11" i="96"/>
  <c r="AB11" i="96"/>
  <c r="L11" i="96"/>
  <c r="D11" i="96"/>
  <c r="D3" i="97"/>
  <c r="I25" i="97"/>
  <c r="I25" i="96"/>
  <c r="I25" i="15"/>
  <c r="H34" i="93"/>
  <c r="E10" i="21"/>
  <c r="E24" i="23"/>
  <c r="E4" i="23"/>
  <c r="D39" i="82"/>
  <c r="D38" i="82"/>
  <c r="D46" i="85"/>
  <c r="D45" i="85"/>
  <c r="L8" i="85"/>
  <c r="M8" i="85"/>
  <c r="J8" i="85"/>
  <c r="I8" i="85"/>
  <c r="H8" i="85"/>
  <c r="G8" i="85"/>
  <c r="F8" i="85"/>
  <c r="E8" i="85"/>
  <c r="D44" i="85"/>
  <c r="D6" i="84"/>
  <c r="D5" i="84"/>
  <c r="D7" i="84"/>
  <c r="G8" i="82"/>
  <c r="I8" i="82"/>
  <c r="F8" i="82"/>
  <c r="E8" i="82"/>
  <c r="M8" i="82"/>
  <c r="L8" i="82"/>
  <c r="H8" i="82"/>
  <c r="J8" i="82"/>
  <c r="U17" i="97" l="1"/>
  <c r="E17" i="97"/>
  <c r="S16" i="97"/>
  <c r="B16" i="97"/>
  <c r="V17" i="97"/>
  <c r="T17" i="97"/>
  <c r="C17" i="97"/>
  <c r="R16" i="97"/>
  <c r="S17" i="97"/>
  <c r="B17" i="97"/>
  <c r="Q16" i="97"/>
  <c r="R17" i="97"/>
  <c r="AF16" i="97"/>
  <c r="P16" i="97"/>
  <c r="Q17" i="97"/>
  <c r="AE16" i="97"/>
  <c r="O16" i="97"/>
  <c r="F17" i="97"/>
  <c r="AF17" i="97"/>
  <c r="P17" i="97"/>
  <c r="AD16" i="97"/>
  <c r="N16" i="97"/>
  <c r="AE17" i="97"/>
  <c r="O17" i="97"/>
  <c r="AC16" i="97"/>
  <c r="M16" i="97"/>
  <c r="AD17" i="97"/>
  <c r="N17" i="97"/>
  <c r="AB16" i="97"/>
  <c r="L16" i="97"/>
  <c r="AC17" i="97"/>
  <c r="M17" i="97"/>
  <c r="AA16" i="97"/>
  <c r="K16" i="97"/>
  <c r="AB17" i="97"/>
  <c r="L17" i="97"/>
  <c r="Z16" i="97"/>
  <c r="J16" i="97"/>
  <c r="AA17" i="97"/>
  <c r="K17" i="97"/>
  <c r="Y16" i="97"/>
  <c r="I16" i="97"/>
  <c r="T16" i="97"/>
  <c r="Z17" i="97"/>
  <c r="J17" i="97"/>
  <c r="X16" i="97"/>
  <c r="H16" i="97"/>
  <c r="Y17" i="97"/>
  <c r="I17" i="97"/>
  <c r="W16" i="97"/>
  <c r="G16" i="97"/>
  <c r="X17" i="97"/>
  <c r="H17" i="97"/>
  <c r="V16" i="97"/>
  <c r="F16" i="97"/>
  <c r="W17" i="97"/>
  <c r="G17" i="97"/>
  <c r="U16" i="97"/>
  <c r="E16" i="97"/>
  <c r="C16" i="97"/>
  <c r="D16" i="97"/>
  <c r="D17" i="97"/>
  <c r="AC12" i="97"/>
  <c r="M12" i="97"/>
  <c r="AA11" i="97"/>
  <c r="K11" i="97"/>
  <c r="AB12" i="97"/>
  <c r="L12" i="97"/>
  <c r="Z11" i="97"/>
  <c r="J11" i="97"/>
  <c r="AA12" i="97"/>
  <c r="K12" i="97"/>
  <c r="Y11" i="97"/>
  <c r="Z12" i="97"/>
  <c r="X12" i="97"/>
  <c r="H12" i="97"/>
  <c r="V11" i="97"/>
  <c r="F11" i="97"/>
  <c r="W12" i="97"/>
  <c r="G12" i="97"/>
  <c r="U11" i="97"/>
  <c r="E11" i="97"/>
  <c r="V12" i="97"/>
  <c r="F12" i="97"/>
  <c r="T11" i="97"/>
  <c r="C11" i="97"/>
  <c r="T12" i="97"/>
  <c r="R11" i="97"/>
  <c r="U12" i="97"/>
  <c r="E12" i="97"/>
  <c r="S11" i="97"/>
  <c r="B11" i="97"/>
  <c r="C12" i="97"/>
  <c r="S12" i="97"/>
  <c r="B12" i="97"/>
  <c r="Q11" i="97"/>
  <c r="Q12" i="97"/>
  <c r="O11" i="97"/>
  <c r="J12" i="97"/>
  <c r="Y12" i="97"/>
  <c r="G11" i="97"/>
  <c r="R12" i="97"/>
  <c r="AF11" i="97"/>
  <c r="P11" i="97"/>
  <c r="AE11" i="97"/>
  <c r="I11" i="97"/>
  <c r="X11" i="97"/>
  <c r="I12" i="97"/>
  <c r="W11" i="97"/>
  <c r="AF12" i="97"/>
  <c r="P12" i="97"/>
  <c r="AD11" i="97"/>
  <c r="N11" i="97"/>
  <c r="AD12" i="97"/>
  <c r="AB11" i="97"/>
  <c r="AE12" i="97"/>
  <c r="O12" i="97"/>
  <c r="AC11" i="97"/>
  <c r="M11" i="97"/>
  <c r="N12" i="97"/>
  <c r="L11" i="97"/>
  <c r="H11" i="97"/>
  <c r="D12" i="97"/>
  <c r="D11" i="97"/>
  <c r="J25" i="96"/>
  <c r="J25" i="97"/>
  <c r="J25" i="15"/>
  <c r="I34" i="93"/>
  <c r="E3" i="97"/>
  <c r="F10" i="21"/>
  <c r="F4" i="23"/>
  <c r="F24" i="23"/>
  <c r="L16" i="81"/>
  <c r="F16" i="81"/>
  <c r="J16" i="81"/>
  <c r="I16" i="81"/>
  <c r="H16" i="81"/>
  <c r="E16" i="81"/>
  <c r="G16" i="81"/>
  <c r="M16" i="81"/>
  <c r="AW36" i="74"/>
  <c r="K25" i="15" l="1"/>
  <c r="J34" i="93"/>
  <c r="K25" i="97"/>
  <c r="F3" i="97"/>
  <c r="K25" i="96"/>
  <c r="G10" i="21"/>
  <c r="G24" i="23"/>
  <c r="G4" i="23"/>
  <c r="D46" i="81"/>
  <c r="Q26" i="97" l="1"/>
  <c r="AF23" i="97"/>
  <c r="P23" i="97"/>
  <c r="U14" i="97"/>
  <c r="E14" i="97"/>
  <c r="T13" i="97"/>
  <c r="D13" i="97"/>
  <c r="S9" i="97"/>
  <c r="C9" i="97"/>
  <c r="R8" i="97"/>
  <c r="B8" i="97"/>
  <c r="Q7" i="97"/>
  <c r="AF6" i="97"/>
  <c r="P6" i="97"/>
  <c r="AE5" i="97"/>
  <c r="O5" i="97"/>
  <c r="AD2" i="97"/>
  <c r="N2" i="97"/>
  <c r="AF26" i="97"/>
  <c r="P26" i="97"/>
  <c r="AE23" i="97"/>
  <c r="O23" i="97"/>
  <c r="T14" i="97"/>
  <c r="D14" i="97"/>
  <c r="S13" i="97"/>
  <c r="C13" i="97"/>
  <c r="R9" i="97"/>
  <c r="B9" i="97"/>
  <c r="Q8" i="97"/>
  <c r="AF7" i="97"/>
  <c r="P7" i="97"/>
  <c r="AE6" i="97"/>
  <c r="O6" i="97"/>
  <c r="AD5" i="97"/>
  <c r="N5" i="97"/>
  <c r="AC2" i="97"/>
  <c r="M2" i="97"/>
  <c r="AE26" i="97"/>
  <c r="O26" i="97"/>
  <c r="AD23" i="97"/>
  <c r="N23" i="97"/>
  <c r="S14" i="97"/>
  <c r="C14" i="97"/>
  <c r="R13" i="97"/>
  <c r="B13" i="97"/>
  <c r="Q9" i="97"/>
  <c r="AF8" i="97"/>
  <c r="P8" i="97"/>
  <c r="AE7" i="97"/>
  <c r="O7" i="97"/>
  <c r="AD6" i="97"/>
  <c r="N6" i="97"/>
  <c r="AC5" i="97"/>
  <c r="M5" i="97"/>
  <c r="AB2" i="97"/>
  <c r="L2" i="97"/>
  <c r="AD26" i="97"/>
  <c r="N26" i="97"/>
  <c r="AC23" i="97"/>
  <c r="M23" i="97"/>
  <c r="R14" i="97"/>
  <c r="B14" i="97"/>
  <c r="Q13" i="97"/>
  <c r="AF9" i="97"/>
  <c r="P9" i="97"/>
  <c r="AE8" i="97"/>
  <c r="O8" i="97"/>
  <c r="AD7" i="97"/>
  <c r="N7" i="97"/>
  <c r="AC6" i="97"/>
  <c r="M6" i="97"/>
  <c r="AB5" i="97"/>
  <c r="L5" i="97"/>
  <c r="AA2" i="97"/>
  <c r="K2" i="97"/>
  <c r="AC26" i="97"/>
  <c r="M26" i="97"/>
  <c r="AB23" i="97"/>
  <c r="L23" i="97"/>
  <c r="Q14" i="97"/>
  <c r="AF13" i="97"/>
  <c r="P13" i="97"/>
  <c r="AE9" i="97"/>
  <c r="O9" i="97"/>
  <c r="AD8" i="97"/>
  <c r="N8" i="97"/>
  <c r="AC7" i="97"/>
  <c r="M7" i="97"/>
  <c r="AB6" i="97"/>
  <c r="L6" i="97"/>
  <c r="AA5" i="97"/>
  <c r="K5" i="97"/>
  <c r="Z2" i="97"/>
  <c r="J2" i="97"/>
  <c r="AB26" i="97"/>
  <c r="L26" i="97"/>
  <c r="AA23" i="97"/>
  <c r="K23" i="97"/>
  <c r="AF14" i="97"/>
  <c r="P14" i="97"/>
  <c r="AE13" i="97"/>
  <c r="O13" i="97"/>
  <c r="AD9" i="97"/>
  <c r="N9" i="97"/>
  <c r="AC8" i="97"/>
  <c r="M8" i="97"/>
  <c r="AB7" i="97"/>
  <c r="L7" i="97"/>
  <c r="AA6" i="97"/>
  <c r="K6" i="97"/>
  <c r="Z5" i="97"/>
  <c r="J5" i="97"/>
  <c r="Y2" i="97"/>
  <c r="I2" i="97"/>
  <c r="AA26" i="97"/>
  <c r="K26" i="97"/>
  <c r="Z23" i="97"/>
  <c r="J23" i="97"/>
  <c r="AE14" i="97"/>
  <c r="O14" i="97"/>
  <c r="AD13" i="97"/>
  <c r="N13" i="97"/>
  <c r="AC9" i="97"/>
  <c r="M9" i="97"/>
  <c r="AB8" i="97"/>
  <c r="L8" i="97"/>
  <c r="AA7" i="97"/>
  <c r="K7" i="97"/>
  <c r="Z6" i="97"/>
  <c r="J6" i="97"/>
  <c r="Y5" i="97"/>
  <c r="I5" i="97"/>
  <c r="X2" i="97"/>
  <c r="H2" i="97"/>
  <c r="Z26" i="97"/>
  <c r="J26" i="97"/>
  <c r="Y23" i="97"/>
  <c r="I23" i="97"/>
  <c r="AD14" i="97"/>
  <c r="N14" i="97"/>
  <c r="AC13" i="97"/>
  <c r="M13" i="97"/>
  <c r="AB9" i="97"/>
  <c r="L9" i="97"/>
  <c r="AA8" i="97"/>
  <c r="K8" i="97"/>
  <c r="Z7" i="97"/>
  <c r="J7" i="97"/>
  <c r="Y6" i="97"/>
  <c r="I6" i="97"/>
  <c r="X5" i="97"/>
  <c r="H5" i="97"/>
  <c r="W2" i="97"/>
  <c r="G2" i="97"/>
  <c r="Y26" i="97"/>
  <c r="I26" i="97"/>
  <c r="X23" i="97"/>
  <c r="H23" i="97"/>
  <c r="AC14" i="97"/>
  <c r="M14" i="97"/>
  <c r="AB13" i="97"/>
  <c r="L13" i="97"/>
  <c r="AA9" i="97"/>
  <c r="K9" i="97"/>
  <c r="Z8" i="97"/>
  <c r="J8" i="97"/>
  <c r="Y7" i="97"/>
  <c r="I7" i="97"/>
  <c r="X6" i="97"/>
  <c r="H6" i="97"/>
  <c r="W5" i="97"/>
  <c r="G5" i="97"/>
  <c r="V2" i="97"/>
  <c r="F2" i="97"/>
  <c r="X26" i="97"/>
  <c r="H26" i="97"/>
  <c r="W23" i="97"/>
  <c r="G23" i="97"/>
  <c r="AB14" i="97"/>
  <c r="L14" i="97"/>
  <c r="AA13" i="97"/>
  <c r="K13" i="97"/>
  <c r="Z9" i="97"/>
  <c r="J9" i="97"/>
  <c r="Y8" i="97"/>
  <c r="I8" i="97"/>
  <c r="X7" i="97"/>
  <c r="H7" i="97"/>
  <c r="W6" i="97"/>
  <c r="G6" i="97"/>
  <c r="V5" i="97"/>
  <c r="F5" i="97"/>
  <c r="U2" i="97"/>
  <c r="E2" i="97"/>
  <c r="W26" i="97"/>
  <c r="G26" i="97"/>
  <c r="V23" i="97"/>
  <c r="F23" i="97"/>
  <c r="AA14" i="97"/>
  <c r="K14" i="97"/>
  <c r="Z13" i="97"/>
  <c r="J13" i="97"/>
  <c r="Y9" i="97"/>
  <c r="I9" i="97"/>
  <c r="X8" i="97"/>
  <c r="H8" i="97"/>
  <c r="W7" i="97"/>
  <c r="G7" i="97"/>
  <c r="V6" i="97"/>
  <c r="F6" i="97"/>
  <c r="U5" i="97"/>
  <c r="E5" i="97"/>
  <c r="T2" i="97"/>
  <c r="D2" i="97"/>
  <c r="V26" i="97"/>
  <c r="F26" i="97"/>
  <c r="U23" i="97"/>
  <c r="E23" i="97"/>
  <c r="Z14" i="97"/>
  <c r="J14" i="97"/>
  <c r="Y13" i="97"/>
  <c r="I13" i="97"/>
  <c r="X9" i="97"/>
  <c r="H9" i="97"/>
  <c r="W8" i="97"/>
  <c r="G8" i="97"/>
  <c r="V7" i="97"/>
  <c r="F7" i="97"/>
  <c r="U6" i="97"/>
  <c r="E6" i="97"/>
  <c r="T5" i="97"/>
  <c r="D5" i="97"/>
  <c r="S2" i="97"/>
  <c r="C2" i="97"/>
  <c r="U26" i="97"/>
  <c r="E26" i="97"/>
  <c r="T23" i="97"/>
  <c r="D23" i="97"/>
  <c r="Y14" i="97"/>
  <c r="I14" i="97"/>
  <c r="X13" i="97"/>
  <c r="H13" i="97"/>
  <c r="W9" i="97"/>
  <c r="G9" i="97"/>
  <c r="V8" i="97"/>
  <c r="F8" i="97"/>
  <c r="U7" i="97"/>
  <c r="E7" i="97"/>
  <c r="T6" i="97"/>
  <c r="D6" i="97"/>
  <c r="S5" i="97"/>
  <c r="C5" i="97"/>
  <c r="R2" i="97"/>
  <c r="B2" i="97"/>
  <c r="T26" i="97"/>
  <c r="D26" i="97"/>
  <c r="S23" i="97"/>
  <c r="C23" i="97"/>
  <c r="X14" i="97"/>
  <c r="H14" i="97"/>
  <c r="W13" i="97"/>
  <c r="G13" i="97"/>
  <c r="V9" i="97"/>
  <c r="F9" i="97"/>
  <c r="U8" i="97"/>
  <c r="E8" i="97"/>
  <c r="T7" i="97"/>
  <c r="D7" i="97"/>
  <c r="S6" i="97"/>
  <c r="C6" i="97"/>
  <c r="R5" i="97"/>
  <c r="B5" i="97"/>
  <c r="Q2" i="97"/>
  <c r="S26" i="97"/>
  <c r="C26" i="97"/>
  <c r="R23" i="97"/>
  <c r="B23" i="97"/>
  <c r="W14" i="97"/>
  <c r="G14" i="97"/>
  <c r="V13" i="97"/>
  <c r="F13" i="97"/>
  <c r="U9" i="97"/>
  <c r="E9" i="97"/>
  <c r="T8" i="97"/>
  <c r="D8" i="97"/>
  <c r="S7" i="97"/>
  <c r="C7" i="97"/>
  <c r="R6" i="97"/>
  <c r="B6" i="97"/>
  <c r="Q5" i="97"/>
  <c r="AF2" i="97"/>
  <c r="P2" i="97"/>
  <c r="R26" i="97"/>
  <c r="B26" i="97"/>
  <c r="Q23" i="97"/>
  <c r="V14" i="97"/>
  <c r="F14" i="97"/>
  <c r="U13" i="97"/>
  <c r="E13" i="97"/>
  <c r="T9" i="97"/>
  <c r="D9" i="97"/>
  <c r="S8" i="97"/>
  <c r="C8" i="97"/>
  <c r="R7" i="97"/>
  <c r="B7" i="97"/>
  <c r="Q6" i="97"/>
  <c r="AF5" i="97"/>
  <c r="P5" i="97"/>
  <c r="AE2" i="97"/>
  <c r="O2" i="97"/>
  <c r="G3" i="97"/>
  <c r="L25" i="97"/>
  <c r="L25" i="96"/>
  <c r="L25" i="15"/>
  <c r="K34" i="93"/>
  <c r="H10" i="21"/>
  <c r="H4" i="23"/>
  <c r="H24" i="23"/>
  <c r="D48" i="81"/>
  <c r="D47" i="81"/>
  <c r="R15" i="15"/>
  <c r="R24" i="93" s="1"/>
  <c r="S15" i="15"/>
  <c r="S24" i="93" s="1"/>
  <c r="T15" i="15"/>
  <c r="T24" i="93" s="1"/>
  <c r="U15" i="15"/>
  <c r="U24" i="93" s="1"/>
  <c r="R26" i="15"/>
  <c r="R35" i="93" s="1"/>
  <c r="S26" i="15"/>
  <c r="S35" i="93" s="1"/>
  <c r="T26" i="15"/>
  <c r="T35" i="93" s="1"/>
  <c r="U26" i="15"/>
  <c r="U35" i="93" s="1"/>
  <c r="M15" i="15"/>
  <c r="M24" i="93" s="1"/>
  <c r="N15" i="15"/>
  <c r="N24" i="93" s="1"/>
  <c r="O15" i="15"/>
  <c r="O24" i="93" s="1"/>
  <c r="P15" i="15"/>
  <c r="P24" i="93" s="1"/>
  <c r="M26" i="15"/>
  <c r="M35" i="93" s="1"/>
  <c r="N26" i="15"/>
  <c r="N35" i="93" s="1"/>
  <c r="O26" i="15"/>
  <c r="O35" i="93" s="1"/>
  <c r="P26" i="15"/>
  <c r="P35" i="93" s="1"/>
  <c r="H15" i="15"/>
  <c r="H24" i="93" s="1"/>
  <c r="I15" i="15"/>
  <c r="I24" i="93" s="1"/>
  <c r="J15" i="15"/>
  <c r="J24" i="93" s="1"/>
  <c r="K15" i="15"/>
  <c r="K24" i="93" s="1"/>
  <c r="H26" i="15"/>
  <c r="H35" i="93" s="1"/>
  <c r="I26" i="15"/>
  <c r="I35" i="93" s="1"/>
  <c r="J26" i="15"/>
  <c r="J35" i="93" s="1"/>
  <c r="K26" i="15"/>
  <c r="K35" i="93" s="1"/>
  <c r="B15" i="15"/>
  <c r="B24" i="93" s="1"/>
  <c r="C15" i="15"/>
  <c r="C24" i="93" s="1"/>
  <c r="D15" i="15"/>
  <c r="D24" i="93" s="1"/>
  <c r="E15" i="15"/>
  <c r="E24" i="93" s="1"/>
  <c r="F15" i="15"/>
  <c r="F24" i="93" s="1"/>
  <c r="B26" i="15"/>
  <c r="B35" i="93" s="1"/>
  <c r="C26" i="15"/>
  <c r="C35" i="93" s="1"/>
  <c r="D26" i="15"/>
  <c r="D35" i="93" s="1"/>
  <c r="E26" i="15"/>
  <c r="E35" i="93" s="1"/>
  <c r="F26" i="15"/>
  <c r="F35" i="93" s="1"/>
  <c r="M25" i="96" l="1"/>
  <c r="M25" i="97"/>
  <c r="M25" i="15"/>
  <c r="L34" i="93"/>
  <c r="H3" i="97"/>
  <c r="I10" i="21"/>
  <c r="I24" i="23"/>
  <c r="I4" i="23"/>
  <c r="K16" i="23"/>
  <c r="K17" i="23"/>
  <c r="K16" i="22"/>
  <c r="K17" i="22"/>
  <c r="F16" i="23"/>
  <c r="F16" i="22"/>
  <c r="F17" i="23"/>
  <c r="F17" i="22"/>
  <c r="P12" i="23"/>
  <c r="P11" i="23"/>
  <c r="P11" i="22"/>
  <c r="P12" i="22"/>
  <c r="U16" i="15"/>
  <c r="U25" i="93" s="1"/>
  <c r="U17" i="15"/>
  <c r="U26" i="93" s="1"/>
  <c r="B22" i="15"/>
  <c r="B20" i="15"/>
  <c r="B29" i="93" s="1"/>
  <c r="B21" i="15"/>
  <c r="B30" i="93" s="1"/>
  <c r="B18" i="15"/>
  <c r="B27" i="93" s="1"/>
  <c r="B19" i="15"/>
  <c r="B28" i="93" s="1"/>
  <c r="K11" i="23"/>
  <c r="K12" i="23"/>
  <c r="K11" i="22"/>
  <c r="K12" i="22"/>
  <c r="D21" i="22"/>
  <c r="D21" i="23"/>
  <c r="D22" i="22"/>
  <c r="D22" i="23"/>
  <c r="D19" i="23"/>
  <c r="D18" i="22"/>
  <c r="D18" i="23"/>
  <c r="D19" i="22"/>
  <c r="D20" i="22"/>
  <c r="D20" i="23"/>
  <c r="P16" i="15"/>
  <c r="P25" i="93" s="1"/>
  <c r="P17" i="15"/>
  <c r="P26" i="93" s="1"/>
  <c r="P16" i="23"/>
  <c r="P16" i="22"/>
  <c r="P17" i="22"/>
  <c r="P17" i="23"/>
  <c r="C12" i="15"/>
  <c r="C21" i="93" s="1"/>
  <c r="C11" i="15"/>
  <c r="C20" i="93" s="1"/>
  <c r="M12" i="23"/>
  <c r="M11" i="23"/>
  <c r="M12" i="22"/>
  <c r="M11" i="22"/>
  <c r="P18" i="22"/>
  <c r="P18" i="23"/>
  <c r="P19" i="23"/>
  <c r="P20" i="23"/>
  <c r="P19" i="22"/>
  <c r="P21" i="23"/>
  <c r="P21" i="22"/>
  <c r="P22" i="23"/>
  <c r="P22" i="22"/>
  <c r="P20" i="22"/>
  <c r="U22" i="15"/>
  <c r="U31" i="93" s="1"/>
  <c r="U21" i="15"/>
  <c r="U30" i="93" s="1"/>
  <c r="U20" i="15"/>
  <c r="U29" i="93" s="1"/>
  <c r="U19" i="15"/>
  <c r="U28" i="93" s="1"/>
  <c r="U18" i="15"/>
  <c r="U27" i="93" s="1"/>
  <c r="R17" i="23"/>
  <c r="R16" i="23"/>
  <c r="R16" i="22"/>
  <c r="R17" i="22"/>
  <c r="R11" i="15"/>
  <c r="R20" i="93" s="1"/>
  <c r="R12" i="15"/>
  <c r="R21" i="93" s="1"/>
  <c r="E16" i="22"/>
  <c r="E17" i="22"/>
  <c r="E17" i="23"/>
  <c r="E16" i="23"/>
  <c r="I11" i="23"/>
  <c r="I12" i="23"/>
  <c r="I12" i="22"/>
  <c r="I11" i="22"/>
  <c r="N20" i="23"/>
  <c r="N21" i="22"/>
  <c r="N21" i="23"/>
  <c r="N19" i="22"/>
  <c r="N22" i="22"/>
  <c r="N22" i="23"/>
  <c r="N19" i="23"/>
  <c r="N18" i="22"/>
  <c r="N18" i="23"/>
  <c r="N20" i="22"/>
  <c r="O16" i="22"/>
  <c r="O17" i="22"/>
  <c r="O17" i="23"/>
  <c r="O16" i="23"/>
  <c r="S18" i="15"/>
  <c r="S27" i="93" s="1"/>
  <c r="S22" i="15"/>
  <c r="S31" i="93" s="1"/>
  <c r="S21" i="15"/>
  <c r="S30" i="93" s="1"/>
  <c r="S20" i="15"/>
  <c r="S29" i="93" s="1"/>
  <c r="S19" i="15"/>
  <c r="S28" i="93" s="1"/>
  <c r="B18" i="22"/>
  <c r="B21" i="23"/>
  <c r="B21" i="22"/>
  <c r="B20" i="22"/>
  <c r="B20" i="23"/>
  <c r="B22" i="22"/>
  <c r="B18" i="23"/>
  <c r="B19" i="22"/>
  <c r="B22" i="23"/>
  <c r="B19" i="23"/>
  <c r="D16" i="23"/>
  <c r="D16" i="22"/>
  <c r="D17" i="23"/>
  <c r="D17" i="22"/>
  <c r="K18" i="23"/>
  <c r="K18" i="22"/>
  <c r="K20" i="23"/>
  <c r="K22" i="23"/>
  <c r="K19" i="22"/>
  <c r="K20" i="22"/>
  <c r="K21" i="22"/>
  <c r="K19" i="23"/>
  <c r="K21" i="23"/>
  <c r="K22" i="22"/>
  <c r="H12" i="23"/>
  <c r="H11" i="23"/>
  <c r="H12" i="22"/>
  <c r="H11" i="22"/>
  <c r="M18" i="22"/>
  <c r="M19" i="22"/>
  <c r="M21" i="23"/>
  <c r="M20" i="22"/>
  <c r="M21" i="22"/>
  <c r="M18" i="23"/>
  <c r="M22" i="22"/>
  <c r="M20" i="23"/>
  <c r="M22" i="23"/>
  <c r="M19" i="23"/>
  <c r="N17" i="23"/>
  <c r="N16" i="23"/>
  <c r="N16" i="22"/>
  <c r="N17" i="22"/>
  <c r="R22" i="15"/>
  <c r="R31" i="93" s="1"/>
  <c r="R20" i="15"/>
  <c r="R29" i="93" s="1"/>
  <c r="R18" i="15"/>
  <c r="R27" i="93" s="1"/>
  <c r="R21" i="15"/>
  <c r="R30" i="93" s="1"/>
  <c r="R19" i="15"/>
  <c r="R28" i="93" s="1"/>
  <c r="T20" i="15"/>
  <c r="T29" i="93" s="1"/>
  <c r="T19" i="15"/>
  <c r="T28" i="93" s="1"/>
  <c r="T18" i="15"/>
  <c r="T27" i="93" s="1"/>
  <c r="T22" i="15"/>
  <c r="T31" i="93" s="1"/>
  <c r="T21" i="15"/>
  <c r="T30" i="93" s="1"/>
  <c r="F16" i="15"/>
  <c r="F25" i="93" s="1"/>
  <c r="F17" i="15"/>
  <c r="F26" i="93" s="1"/>
  <c r="C17" i="22"/>
  <c r="C16" i="22"/>
  <c r="C16" i="23"/>
  <c r="C17" i="23"/>
  <c r="P11" i="15"/>
  <c r="P20" i="93" s="1"/>
  <c r="P12" i="15"/>
  <c r="P21" i="93" s="1"/>
  <c r="P19" i="15"/>
  <c r="P28" i="93" s="1"/>
  <c r="P18" i="15"/>
  <c r="P27" i="93" s="1"/>
  <c r="P22" i="15"/>
  <c r="P31" i="93" s="1"/>
  <c r="P21" i="15"/>
  <c r="P30" i="93" s="1"/>
  <c r="P20" i="15"/>
  <c r="P29" i="93" s="1"/>
  <c r="M16" i="23"/>
  <c r="M16" i="22"/>
  <c r="M17" i="23"/>
  <c r="M17" i="22"/>
  <c r="F19" i="15"/>
  <c r="F28" i="93" s="1"/>
  <c r="F18" i="15"/>
  <c r="F27" i="93" s="1"/>
  <c r="F22" i="15"/>
  <c r="F31" i="93" s="1"/>
  <c r="F21" i="15"/>
  <c r="F30" i="93" s="1"/>
  <c r="F20" i="15"/>
  <c r="F29" i="93" s="1"/>
  <c r="E16" i="15"/>
  <c r="E25" i="93" s="1"/>
  <c r="E17" i="15"/>
  <c r="E26" i="93" s="1"/>
  <c r="B16" i="23"/>
  <c r="B17" i="22"/>
  <c r="B17" i="23"/>
  <c r="B16" i="22"/>
  <c r="J21" i="22"/>
  <c r="J18" i="23"/>
  <c r="J22" i="22"/>
  <c r="J19" i="23"/>
  <c r="J20" i="23"/>
  <c r="J21" i="23"/>
  <c r="J22" i="23"/>
  <c r="J19" i="22"/>
  <c r="J18" i="22"/>
  <c r="J20" i="22"/>
  <c r="O11" i="15"/>
  <c r="O20" i="93" s="1"/>
  <c r="O12" i="15"/>
  <c r="O21" i="93" s="1"/>
  <c r="O18" i="15"/>
  <c r="O27" i="93" s="1"/>
  <c r="O21" i="15"/>
  <c r="O30" i="93" s="1"/>
  <c r="O19" i="15"/>
  <c r="O28" i="93" s="1"/>
  <c r="O22" i="15"/>
  <c r="O31" i="93" s="1"/>
  <c r="O20" i="15"/>
  <c r="O29" i="93" s="1"/>
  <c r="U11" i="23"/>
  <c r="U12" i="23"/>
  <c r="U11" i="22"/>
  <c r="U12" i="22"/>
  <c r="E18" i="15"/>
  <c r="E27" i="93" s="1"/>
  <c r="E22" i="15"/>
  <c r="E31" i="93" s="1"/>
  <c r="E20" i="15"/>
  <c r="E29" i="93" s="1"/>
  <c r="E21" i="15"/>
  <c r="E30" i="93" s="1"/>
  <c r="E19" i="15"/>
  <c r="E28" i="93" s="1"/>
  <c r="D16" i="15"/>
  <c r="D25" i="93" s="1"/>
  <c r="D17" i="15"/>
  <c r="D26" i="93" s="1"/>
  <c r="I18" i="22"/>
  <c r="I19" i="22"/>
  <c r="I21" i="23"/>
  <c r="I20" i="22"/>
  <c r="I21" i="22"/>
  <c r="I18" i="23"/>
  <c r="I22" i="22"/>
  <c r="I19" i="23"/>
  <c r="I20" i="23"/>
  <c r="I22" i="23"/>
  <c r="J16" i="22"/>
  <c r="J17" i="23"/>
  <c r="J17" i="22"/>
  <c r="J16" i="23"/>
  <c r="K12" i="15"/>
  <c r="K21" i="93" s="1"/>
  <c r="K11" i="15"/>
  <c r="K20" i="93" s="1"/>
  <c r="N12" i="15"/>
  <c r="N21" i="93" s="1"/>
  <c r="N11" i="15"/>
  <c r="N20" i="93" s="1"/>
  <c r="N18" i="15"/>
  <c r="N27" i="93" s="1"/>
  <c r="N22" i="15"/>
  <c r="N31" i="93" s="1"/>
  <c r="N21" i="15"/>
  <c r="N30" i="93" s="1"/>
  <c r="N20" i="15"/>
  <c r="N29" i="93" s="1"/>
  <c r="N19" i="15"/>
  <c r="N28" i="93" s="1"/>
  <c r="T16" i="15"/>
  <c r="T25" i="93" s="1"/>
  <c r="T17" i="15"/>
  <c r="T26" i="93" s="1"/>
  <c r="T11" i="23"/>
  <c r="T12" i="23"/>
  <c r="T11" i="22"/>
  <c r="T12" i="22"/>
  <c r="J11" i="23"/>
  <c r="J12" i="23"/>
  <c r="J12" i="22"/>
  <c r="J11" i="22"/>
  <c r="D18" i="15"/>
  <c r="D27" i="93" s="1"/>
  <c r="D22" i="15"/>
  <c r="D31" i="93" s="1"/>
  <c r="D21" i="15"/>
  <c r="D30" i="93" s="1"/>
  <c r="D20" i="15"/>
  <c r="D29" i="93" s="1"/>
  <c r="D19" i="15"/>
  <c r="D28" i="93" s="1"/>
  <c r="C16" i="15"/>
  <c r="C25" i="93" s="1"/>
  <c r="C17" i="15"/>
  <c r="C26" i="93" s="1"/>
  <c r="H20" i="23"/>
  <c r="H21" i="23"/>
  <c r="H22" i="23"/>
  <c r="H19" i="23"/>
  <c r="H18" i="22"/>
  <c r="H19" i="22"/>
  <c r="H20" i="22"/>
  <c r="H21" i="22"/>
  <c r="H18" i="23"/>
  <c r="H22" i="22"/>
  <c r="I17" i="23"/>
  <c r="I16" i="22"/>
  <c r="I16" i="23"/>
  <c r="I17" i="22"/>
  <c r="J11" i="15"/>
  <c r="J20" i="93" s="1"/>
  <c r="J12" i="15"/>
  <c r="J21" i="93" s="1"/>
  <c r="M12" i="15"/>
  <c r="M21" i="93" s="1"/>
  <c r="M11" i="15"/>
  <c r="M20" i="93" s="1"/>
  <c r="M22" i="15"/>
  <c r="M31" i="93" s="1"/>
  <c r="M19" i="15"/>
  <c r="M28" i="93" s="1"/>
  <c r="M21" i="15"/>
  <c r="M30" i="93" s="1"/>
  <c r="M20" i="15"/>
  <c r="M29" i="93" s="1"/>
  <c r="M18" i="15"/>
  <c r="M27" i="93" s="1"/>
  <c r="S16" i="15"/>
  <c r="S25" i="93" s="1"/>
  <c r="S17" i="15"/>
  <c r="S26" i="93" s="1"/>
  <c r="S11" i="23"/>
  <c r="S12" i="23"/>
  <c r="S11" i="22"/>
  <c r="S12" i="22"/>
  <c r="B11" i="15"/>
  <c r="B20" i="93" s="1"/>
  <c r="B12" i="15"/>
  <c r="B21" i="93" s="1"/>
  <c r="B16" i="15"/>
  <c r="B25" i="93" s="1"/>
  <c r="B17" i="15"/>
  <c r="B26" i="93" s="1"/>
  <c r="K22" i="15"/>
  <c r="K31" i="93" s="1"/>
  <c r="K21" i="15"/>
  <c r="K30" i="93" s="1"/>
  <c r="K20" i="15"/>
  <c r="K29" i="93" s="1"/>
  <c r="K19" i="15"/>
  <c r="K28" i="93" s="1"/>
  <c r="K18" i="15"/>
  <c r="K27" i="93" s="1"/>
  <c r="H17" i="23"/>
  <c r="H16" i="22"/>
  <c r="H17" i="22"/>
  <c r="H16" i="23"/>
  <c r="I11" i="15"/>
  <c r="I20" i="93" s="1"/>
  <c r="I12" i="15"/>
  <c r="I21" i="93" s="1"/>
  <c r="R16" i="15"/>
  <c r="R25" i="93" s="1"/>
  <c r="R17" i="15"/>
  <c r="R26" i="93" s="1"/>
  <c r="R12" i="23"/>
  <c r="R11" i="23"/>
  <c r="R12" i="22"/>
  <c r="R11" i="22"/>
  <c r="C22" i="15"/>
  <c r="C31" i="93" s="1"/>
  <c r="C21" i="15"/>
  <c r="C30" i="93" s="1"/>
  <c r="C20" i="15"/>
  <c r="C29" i="93" s="1"/>
  <c r="C19" i="15"/>
  <c r="C28" i="93" s="1"/>
  <c r="C18" i="15"/>
  <c r="C27" i="93" s="1"/>
  <c r="F11" i="23"/>
  <c r="F12" i="23"/>
  <c r="F11" i="22"/>
  <c r="F12" i="22"/>
  <c r="J20" i="15"/>
  <c r="J29" i="93" s="1"/>
  <c r="J19" i="15"/>
  <c r="J28" i="93" s="1"/>
  <c r="J18" i="15"/>
  <c r="J27" i="93" s="1"/>
  <c r="J22" i="15"/>
  <c r="J31" i="93" s="1"/>
  <c r="J21" i="15"/>
  <c r="J30" i="93" s="1"/>
  <c r="H11" i="15"/>
  <c r="H20" i="93" s="1"/>
  <c r="H12" i="15"/>
  <c r="H21" i="93" s="1"/>
  <c r="O16" i="15"/>
  <c r="O25" i="93" s="1"/>
  <c r="O17" i="15"/>
  <c r="O26" i="93" s="1"/>
  <c r="E11" i="23"/>
  <c r="E12" i="23"/>
  <c r="E11" i="22"/>
  <c r="E12" i="22"/>
  <c r="I18" i="15"/>
  <c r="I27" i="93" s="1"/>
  <c r="I22" i="15"/>
  <c r="I31" i="93" s="1"/>
  <c r="I21" i="15"/>
  <c r="I30" i="93" s="1"/>
  <c r="I20" i="15"/>
  <c r="I29" i="93" s="1"/>
  <c r="I19" i="15"/>
  <c r="I28" i="93" s="1"/>
  <c r="N16" i="15"/>
  <c r="N25" i="93" s="1"/>
  <c r="N17" i="15"/>
  <c r="N26" i="93" s="1"/>
  <c r="D11" i="23"/>
  <c r="D12" i="23"/>
  <c r="D12" i="22"/>
  <c r="D11" i="22"/>
  <c r="H18" i="15"/>
  <c r="H27" i="93" s="1"/>
  <c r="H19" i="15"/>
  <c r="H28" i="93" s="1"/>
  <c r="H22" i="15"/>
  <c r="H31" i="93" s="1"/>
  <c r="H20" i="15"/>
  <c r="H29" i="93" s="1"/>
  <c r="H21" i="15"/>
  <c r="H30" i="93" s="1"/>
  <c r="K16" i="15"/>
  <c r="K25" i="93" s="1"/>
  <c r="K17" i="15"/>
  <c r="K26" i="93" s="1"/>
  <c r="M16" i="15"/>
  <c r="M25" i="93" s="1"/>
  <c r="M17" i="15"/>
  <c r="M26" i="93" s="1"/>
  <c r="C19" i="22"/>
  <c r="C18" i="23"/>
  <c r="C20" i="23"/>
  <c r="C20" i="22"/>
  <c r="C22" i="23"/>
  <c r="C21" i="22"/>
  <c r="C22" i="22"/>
  <c r="C21" i="23"/>
  <c r="C18" i="22"/>
  <c r="C19" i="23"/>
  <c r="C11" i="23"/>
  <c r="C12" i="23"/>
  <c r="C12" i="22"/>
  <c r="C11" i="22"/>
  <c r="J16" i="15"/>
  <c r="J25" i="93" s="1"/>
  <c r="J17" i="15"/>
  <c r="J26" i="93" s="1"/>
  <c r="U21" i="23"/>
  <c r="U18" i="22"/>
  <c r="U19" i="22"/>
  <c r="U20" i="22"/>
  <c r="U22" i="23"/>
  <c r="U18" i="23"/>
  <c r="U22" i="22"/>
  <c r="U21" i="22"/>
  <c r="U20" i="23"/>
  <c r="U19" i="23"/>
  <c r="I16" i="15"/>
  <c r="I25" i="93" s="1"/>
  <c r="I17" i="15"/>
  <c r="I26" i="93" s="1"/>
  <c r="T20" i="22"/>
  <c r="T19" i="22"/>
  <c r="T21" i="22"/>
  <c r="T18" i="23"/>
  <c r="T22" i="22"/>
  <c r="T19" i="23"/>
  <c r="T20" i="23"/>
  <c r="T21" i="23"/>
  <c r="T22" i="23"/>
  <c r="T18" i="22"/>
  <c r="U16" i="23"/>
  <c r="U16" i="22"/>
  <c r="U17" i="22"/>
  <c r="U17" i="23"/>
  <c r="U11" i="15"/>
  <c r="U20" i="93" s="1"/>
  <c r="U12" i="15"/>
  <c r="U21" i="93" s="1"/>
  <c r="O20" i="22"/>
  <c r="O21" i="23"/>
  <c r="O18" i="23"/>
  <c r="O19" i="22"/>
  <c r="O21" i="22"/>
  <c r="O19" i="23"/>
  <c r="O22" i="22"/>
  <c r="O20" i="23"/>
  <c r="O18" i="22"/>
  <c r="O22" i="23"/>
  <c r="E12" i="15"/>
  <c r="E21" i="93" s="1"/>
  <c r="E11" i="15"/>
  <c r="E20" i="93" s="1"/>
  <c r="F18" i="23"/>
  <c r="F19" i="23"/>
  <c r="F19" i="22"/>
  <c r="F21" i="22"/>
  <c r="F20" i="23"/>
  <c r="F21" i="23"/>
  <c r="F18" i="22"/>
  <c r="F20" i="22"/>
  <c r="F22" i="23"/>
  <c r="F22" i="22"/>
  <c r="H16" i="15"/>
  <c r="H25" i="93" s="1"/>
  <c r="H17" i="15"/>
  <c r="H26" i="93" s="1"/>
  <c r="O12" i="23"/>
  <c r="O11" i="23"/>
  <c r="O12" i="22"/>
  <c r="O11" i="22"/>
  <c r="S22" i="23"/>
  <c r="S18" i="22"/>
  <c r="S19" i="22"/>
  <c r="S20" i="22"/>
  <c r="S21" i="23"/>
  <c r="S21" i="22"/>
  <c r="S18" i="23"/>
  <c r="S22" i="22"/>
  <c r="S19" i="23"/>
  <c r="S20" i="23"/>
  <c r="T16" i="23"/>
  <c r="T16" i="22"/>
  <c r="T17" i="22"/>
  <c r="T17" i="23"/>
  <c r="T12" i="15"/>
  <c r="T21" i="93" s="1"/>
  <c r="T11" i="15"/>
  <c r="T20" i="93" s="1"/>
  <c r="F11" i="15"/>
  <c r="F20" i="93" s="1"/>
  <c r="F12" i="15"/>
  <c r="F21" i="93" s="1"/>
  <c r="B12" i="23"/>
  <c r="B11" i="22"/>
  <c r="B12" i="22"/>
  <c r="D12" i="15"/>
  <c r="D21" i="93" s="1"/>
  <c r="D11" i="15"/>
  <c r="D20" i="93" s="1"/>
  <c r="E19" i="22"/>
  <c r="E21" i="22"/>
  <c r="E18" i="22"/>
  <c r="E20" i="22"/>
  <c r="E18" i="23"/>
  <c r="E22" i="22"/>
  <c r="E19" i="23"/>
  <c r="E22" i="23"/>
  <c r="E20" i="23"/>
  <c r="E21" i="23"/>
  <c r="N11" i="23"/>
  <c r="N12" i="23"/>
  <c r="N11" i="22"/>
  <c r="N12" i="22"/>
  <c r="R20" i="23"/>
  <c r="R21" i="23"/>
  <c r="R22" i="23"/>
  <c r="R18" i="22"/>
  <c r="R19" i="22"/>
  <c r="R21" i="22"/>
  <c r="R18" i="23"/>
  <c r="R20" i="22"/>
  <c r="R22" i="22"/>
  <c r="R19" i="23"/>
  <c r="S16" i="23"/>
  <c r="S17" i="23"/>
  <c r="S17" i="22"/>
  <c r="S16" i="22"/>
  <c r="S12" i="15"/>
  <c r="S21" i="93" s="1"/>
  <c r="S11" i="15"/>
  <c r="S20" i="93" s="1"/>
  <c r="H26" i="22"/>
  <c r="R26" i="22"/>
  <c r="F23" i="22"/>
  <c r="P23" i="22"/>
  <c r="F13" i="22"/>
  <c r="P13" i="22"/>
  <c r="F14" i="22"/>
  <c r="P14" i="22"/>
  <c r="F5" i="22"/>
  <c r="P5" i="22"/>
  <c r="F6" i="22"/>
  <c r="P6" i="22"/>
  <c r="F7" i="22"/>
  <c r="P7" i="22"/>
  <c r="F8" i="22"/>
  <c r="P8" i="22"/>
  <c r="F9" i="22"/>
  <c r="P9" i="22"/>
  <c r="B9" i="22"/>
  <c r="I26" i="22"/>
  <c r="S26" i="22"/>
  <c r="H23" i="22"/>
  <c r="R23" i="22"/>
  <c r="H13" i="22"/>
  <c r="R13" i="22"/>
  <c r="H14" i="22"/>
  <c r="R14" i="22"/>
  <c r="H5" i="22"/>
  <c r="R5" i="22"/>
  <c r="H6" i="22"/>
  <c r="R6" i="22"/>
  <c r="H7" i="22"/>
  <c r="R7" i="22"/>
  <c r="H8" i="22"/>
  <c r="R8" i="22"/>
  <c r="H9" i="22"/>
  <c r="R9" i="22"/>
  <c r="B8" i="22"/>
  <c r="J26" i="22"/>
  <c r="T26" i="22"/>
  <c r="I23" i="22"/>
  <c r="S23" i="22"/>
  <c r="I13" i="22"/>
  <c r="S13" i="22"/>
  <c r="I14" i="22"/>
  <c r="S14" i="22"/>
  <c r="I5" i="22"/>
  <c r="S5" i="22"/>
  <c r="I6" i="22"/>
  <c r="S6" i="22"/>
  <c r="I7" i="22"/>
  <c r="S7" i="22"/>
  <c r="I8" i="22"/>
  <c r="S8" i="22"/>
  <c r="I9" i="22"/>
  <c r="S9" i="22"/>
  <c r="B7" i="22"/>
  <c r="K26" i="22"/>
  <c r="U26" i="22"/>
  <c r="J23" i="22"/>
  <c r="T23" i="22"/>
  <c r="J13" i="22"/>
  <c r="T13" i="22"/>
  <c r="J14" i="22"/>
  <c r="T14" i="22"/>
  <c r="J5" i="22"/>
  <c r="T5" i="22"/>
  <c r="J6" i="22"/>
  <c r="T6" i="22"/>
  <c r="J7" i="22"/>
  <c r="T7" i="22"/>
  <c r="J8" i="22"/>
  <c r="T8" i="22"/>
  <c r="J9" i="22"/>
  <c r="T9" i="22"/>
  <c r="B6" i="22"/>
  <c r="C26" i="22"/>
  <c r="M26" i="22"/>
  <c r="B26" i="22"/>
  <c r="K23" i="22"/>
  <c r="U23" i="22"/>
  <c r="K13" i="22"/>
  <c r="U13" i="22"/>
  <c r="K14" i="22"/>
  <c r="U14" i="22"/>
  <c r="K5" i="22"/>
  <c r="U5" i="22"/>
  <c r="K6" i="22"/>
  <c r="U6" i="22"/>
  <c r="K7" i="22"/>
  <c r="U7" i="22"/>
  <c r="K8" i="22"/>
  <c r="U8" i="22"/>
  <c r="K9" i="22"/>
  <c r="U9" i="22"/>
  <c r="D26" i="22"/>
  <c r="N26" i="22"/>
  <c r="C23" i="22"/>
  <c r="M23" i="22"/>
  <c r="C13" i="22"/>
  <c r="M13" i="22"/>
  <c r="C14" i="22"/>
  <c r="M14" i="22"/>
  <c r="C5" i="22"/>
  <c r="M5" i="22"/>
  <c r="C6" i="22"/>
  <c r="M6" i="22"/>
  <c r="C7" i="22"/>
  <c r="M7" i="22"/>
  <c r="C8" i="22"/>
  <c r="M8" i="22"/>
  <c r="C9" i="22"/>
  <c r="M9" i="22"/>
  <c r="B23" i="22"/>
  <c r="F26" i="22"/>
  <c r="O13" i="22"/>
  <c r="O5" i="22"/>
  <c r="O7" i="22"/>
  <c r="O9" i="22"/>
  <c r="O26" i="22"/>
  <c r="D23" i="22"/>
  <c r="D14" i="22"/>
  <c r="D6" i="22"/>
  <c r="D8" i="22"/>
  <c r="B14" i="22"/>
  <c r="P26" i="22"/>
  <c r="E23" i="22"/>
  <c r="E14" i="22"/>
  <c r="E6" i="22"/>
  <c r="E8" i="22"/>
  <c r="B13" i="22"/>
  <c r="N23" i="22"/>
  <c r="N14" i="22"/>
  <c r="N6" i="22"/>
  <c r="N8" i="22"/>
  <c r="O23" i="22"/>
  <c r="O14" i="22"/>
  <c r="O6" i="22"/>
  <c r="O8" i="22"/>
  <c r="D13" i="22"/>
  <c r="D5" i="22"/>
  <c r="D7" i="22"/>
  <c r="D9" i="22"/>
  <c r="E26" i="22"/>
  <c r="N5" i="22"/>
  <c r="N9" i="22"/>
  <c r="E13" i="22"/>
  <c r="E5" i="22"/>
  <c r="E7" i="22"/>
  <c r="E9" i="22"/>
  <c r="N13" i="22"/>
  <c r="N7" i="22"/>
  <c r="I26" i="23"/>
  <c r="S26" i="23"/>
  <c r="E23" i="23"/>
  <c r="O23" i="23"/>
  <c r="E13" i="23"/>
  <c r="O13" i="23"/>
  <c r="E14" i="23"/>
  <c r="O14" i="23"/>
  <c r="E5" i="23"/>
  <c r="O5" i="23"/>
  <c r="E6" i="23"/>
  <c r="O6" i="23"/>
  <c r="E7" i="23"/>
  <c r="O7" i="23"/>
  <c r="E8" i="23"/>
  <c r="O8" i="23"/>
  <c r="E9" i="23"/>
  <c r="O9" i="23"/>
  <c r="B13" i="23"/>
  <c r="J26" i="23"/>
  <c r="T26" i="23"/>
  <c r="F23" i="23"/>
  <c r="P23" i="23"/>
  <c r="F13" i="23"/>
  <c r="P13" i="23"/>
  <c r="F14" i="23"/>
  <c r="P14" i="23"/>
  <c r="F5" i="23"/>
  <c r="P5" i="23"/>
  <c r="F6" i="23"/>
  <c r="P6" i="23"/>
  <c r="F7" i="23"/>
  <c r="P7" i="23"/>
  <c r="F8" i="23"/>
  <c r="P8" i="23"/>
  <c r="F9" i="23"/>
  <c r="P9" i="23"/>
  <c r="B9" i="23"/>
  <c r="K26" i="23"/>
  <c r="U26" i="23"/>
  <c r="H23" i="23"/>
  <c r="R23" i="23"/>
  <c r="H13" i="23"/>
  <c r="R13" i="23"/>
  <c r="H14" i="23"/>
  <c r="R14" i="23"/>
  <c r="H5" i="23"/>
  <c r="R5" i="23"/>
  <c r="H6" i="23"/>
  <c r="R6" i="23"/>
  <c r="H7" i="23"/>
  <c r="R7" i="23"/>
  <c r="H8" i="23"/>
  <c r="R8" i="23"/>
  <c r="H9" i="23"/>
  <c r="R9" i="23"/>
  <c r="B8" i="23"/>
  <c r="C26" i="23"/>
  <c r="M26" i="23"/>
  <c r="B26" i="23"/>
  <c r="I23" i="23"/>
  <c r="S23" i="23"/>
  <c r="I13" i="23"/>
  <c r="S13" i="23"/>
  <c r="I14" i="23"/>
  <c r="S14" i="23"/>
  <c r="I5" i="23"/>
  <c r="S5" i="23"/>
  <c r="I6" i="23"/>
  <c r="S6" i="23"/>
  <c r="I7" i="23"/>
  <c r="S7" i="23"/>
  <c r="I8" i="23"/>
  <c r="S8" i="23"/>
  <c r="I9" i="23"/>
  <c r="S9" i="23"/>
  <c r="B7" i="23"/>
  <c r="D26" i="23"/>
  <c r="N26" i="23"/>
  <c r="J23" i="23"/>
  <c r="T23" i="23"/>
  <c r="J13" i="23"/>
  <c r="T13" i="23"/>
  <c r="J14" i="23"/>
  <c r="T14" i="23"/>
  <c r="J5" i="23"/>
  <c r="T5" i="23"/>
  <c r="J6" i="23"/>
  <c r="T6" i="23"/>
  <c r="J7" i="23"/>
  <c r="T7" i="23"/>
  <c r="J8" i="23"/>
  <c r="T8" i="23"/>
  <c r="J9" i="23"/>
  <c r="T9" i="23"/>
  <c r="B6" i="23"/>
  <c r="E26" i="23"/>
  <c r="O26" i="23"/>
  <c r="K23" i="23"/>
  <c r="U23" i="23"/>
  <c r="K13" i="23"/>
  <c r="U13" i="23"/>
  <c r="K14" i="23"/>
  <c r="U14" i="23"/>
  <c r="K5" i="23"/>
  <c r="U5" i="23"/>
  <c r="K6" i="23"/>
  <c r="U6" i="23"/>
  <c r="K7" i="23"/>
  <c r="U7" i="23"/>
  <c r="K8" i="23"/>
  <c r="U8" i="23"/>
  <c r="K9" i="23"/>
  <c r="U9" i="23"/>
  <c r="D23" i="23"/>
  <c r="D14" i="23"/>
  <c r="D6" i="23"/>
  <c r="D8" i="23"/>
  <c r="B14" i="23"/>
  <c r="M23" i="23"/>
  <c r="M14" i="23"/>
  <c r="M6" i="23"/>
  <c r="M8" i="23"/>
  <c r="N23" i="23"/>
  <c r="N14" i="23"/>
  <c r="N6" i="23"/>
  <c r="N8" i="23"/>
  <c r="F26" i="23"/>
  <c r="C13" i="23"/>
  <c r="C5" i="23"/>
  <c r="C7" i="23"/>
  <c r="C9" i="23"/>
  <c r="H26" i="23"/>
  <c r="D13" i="23"/>
  <c r="D5" i="23"/>
  <c r="D7" i="23"/>
  <c r="D9" i="23"/>
  <c r="P26" i="23"/>
  <c r="M13" i="23"/>
  <c r="M5" i="23"/>
  <c r="M7" i="23"/>
  <c r="M9" i="23"/>
  <c r="C23" i="23"/>
  <c r="C6" i="23"/>
  <c r="B23" i="23"/>
  <c r="R26" i="23"/>
  <c r="N13" i="23"/>
  <c r="N5" i="23"/>
  <c r="N7" i="23"/>
  <c r="N9" i="23"/>
  <c r="C14" i="23"/>
  <c r="C8" i="23"/>
  <c r="P14" i="15"/>
  <c r="P23" i="93" s="1"/>
  <c r="P13" i="15"/>
  <c r="P22" i="93" s="1"/>
  <c r="K14" i="15"/>
  <c r="K23" i="93" s="1"/>
  <c r="K13" i="15"/>
  <c r="K22" i="93" s="1"/>
  <c r="C13" i="15"/>
  <c r="C22" i="93" s="1"/>
  <c r="C14" i="15"/>
  <c r="C23" i="93" s="1"/>
  <c r="B13" i="15"/>
  <c r="B22" i="93" s="1"/>
  <c r="B14" i="15"/>
  <c r="J13" i="15"/>
  <c r="J22" i="93" s="1"/>
  <c r="J14" i="15"/>
  <c r="J23" i="93" s="1"/>
  <c r="U14" i="15"/>
  <c r="U23" i="93" s="1"/>
  <c r="U13" i="15"/>
  <c r="U22" i="93" s="1"/>
  <c r="I13" i="15"/>
  <c r="I22" i="93" s="1"/>
  <c r="I14" i="15"/>
  <c r="I23" i="93" s="1"/>
  <c r="D14" i="15"/>
  <c r="D23" i="93" s="1"/>
  <c r="D13" i="15"/>
  <c r="D22" i="93" s="1"/>
  <c r="S14" i="15"/>
  <c r="S23" i="93" s="1"/>
  <c r="S13" i="15"/>
  <c r="S22" i="93" s="1"/>
  <c r="R14" i="15"/>
  <c r="R23" i="93" s="1"/>
  <c r="R13" i="15"/>
  <c r="R22" i="93" s="1"/>
  <c r="O14" i="15"/>
  <c r="O23" i="93" s="1"/>
  <c r="O13" i="15"/>
  <c r="O22" i="93" s="1"/>
  <c r="E14" i="15"/>
  <c r="E23" i="93" s="1"/>
  <c r="E13" i="15"/>
  <c r="E22" i="93" s="1"/>
  <c r="N14" i="15"/>
  <c r="N23" i="93" s="1"/>
  <c r="N13" i="15"/>
  <c r="N22" i="93" s="1"/>
  <c r="M14" i="15"/>
  <c r="M23" i="93" s="1"/>
  <c r="M13" i="15"/>
  <c r="M22" i="93" s="1"/>
  <c r="T14" i="15"/>
  <c r="T23" i="93" s="1"/>
  <c r="T13" i="15"/>
  <c r="T22" i="93" s="1"/>
  <c r="H13" i="15"/>
  <c r="H22" i="93" s="1"/>
  <c r="H14" i="15"/>
  <c r="H23" i="93" s="1"/>
  <c r="F13" i="15"/>
  <c r="F22" i="93" s="1"/>
  <c r="F14" i="15"/>
  <c r="F23" i="93" s="1"/>
  <c r="G15" i="15"/>
  <c r="G24" i="93" s="1"/>
  <c r="L15" i="15"/>
  <c r="L24" i="93" s="1"/>
  <c r="V15" i="15"/>
  <c r="V24" i="93" s="1"/>
  <c r="G26" i="15"/>
  <c r="G35" i="93" s="1"/>
  <c r="L26" i="15"/>
  <c r="L35" i="93" s="1"/>
  <c r="Q26" i="15"/>
  <c r="Q35" i="93" s="1"/>
  <c r="V26" i="15"/>
  <c r="V35" i="93" s="1"/>
  <c r="N25" i="15" l="1"/>
  <c r="M34" i="93"/>
  <c r="N25" i="97"/>
  <c r="I3" i="97"/>
  <c r="N25" i="96"/>
  <c r="B23" i="93"/>
  <c r="B31" i="93"/>
  <c r="J10" i="21"/>
  <c r="J4" i="23"/>
  <c r="J24" i="23"/>
  <c r="X16" i="15"/>
  <c r="X25" i="93" s="1"/>
  <c r="AA17" i="23"/>
  <c r="Y12" i="15"/>
  <c r="Y21" i="93" s="1"/>
  <c r="AE15" i="15"/>
  <c r="AE24" i="93" s="1"/>
  <c r="AE23" i="23"/>
  <c r="AA18" i="15"/>
  <c r="AA27" i="93" s="1"/>
  <c r="Q19" i="22"/>
  <c r="Q21" i="23"/>
  <c r="Q18" i="22"/>
  <c r="Q22" i="22"/>
  <c r="Q20" i="23"/>
  <c r="Q21" i="22"/>
  <c r="Q19" i="23"/>
  <c r="Q20" i="22"/>
  <c r="Q22" i="23"/>
  <c r="Q18" i="23"/>
  <c r="L19" i="23"/>
  <c r="L20" i="22"/>
  <c r="L18" i="23"/>
  <c r="L22" i="23"/>
  <c r="L19" i="22"/>
  <c r="L21" i="23"/>
  <c r="L18" i="22"/>
  <c r="L22" i="22"/>
  <c r="L20" i="23"/>
  <c r="L21" i="22"/>
  <c r="G18" i="22"/>
  <c r="G22" i="22"/>
  <c r="G20" i="23"/>
  <c r="G21" i="22"/>
  <c r="G19" i="23"/>
  <c r="G20" i="22"/>
  <c r="G18" i="23"/>
  <c r="G22" i="23"/>
  <c r="G19" i="22"/>
  <c r="G21" i="23"/>
  <c r="V19" i="15"/>
  <c r="V28" i="93" s="1"/>
  <c r="V18" i="15"/>
  <c r="V27" i="93" s="1"/>
  <c r="V22" i="15"/>
  <c r="V31" i="93" s="1"/>
  <c r="V21" i="15"/>
  <c r="V30" i="93" s="1"/>
  <c r="V20" i="15"/>
  <c r="V29" i="93" s="1"/>
  <c r="V12" i="15"/>
  <c r="V21" i="93" s="1"/>
  <c r="V11" i="15"/>
  <c r="V20" i="93" s="1"/>
  <c r="AC15" i="15"/>
  <c r="AC24" i="93" s="1"/>
  <c r="Q15" i="15"/>
  <c r="Q24" i="93" s="1"/>
  <c r="Q16" i="15"/>
  <c r="Q25" i="93" s="1"/>
  <c r="Q17" i="15"/>
  <c r="Q26" i="93" s="1"/>
  <c r="Q17" i="23"/>
  <c r="Q16" i="22"/>
  <c r="Q16" i="23"/>
  <c r="Q17" i="22"/>
  <c r="Q12" i="15"/>
  <c r="Q21" i="93" s="1"/>
  <c r="Q11" i="15"/>
  <c r="Q20" i="93" s="1"/>
  <c r="Q12" i="22"/>
  <c r="Q12" i="23"/>
  <c r="Q11" i="22"/>
  <c r="Q11" i="23"/>
  <c r="V17" i="15"/>
  <c r="V26" i="93" s="1"/>
  <c r="V16" i="15"/>
  <c r="V25" i="93" s="1"/>
  <c r="L18" i="15"/>
  <c r="L27" i="93" s="1"/>
  <c r="L22" i="15"/>
  <c r="L31" i="93" s="1"/>
  <c r="L21" i="15"/>
  <c r="L30" i="93" s="1"/>
  <c r="L20" i="15"/>
  <c r="L29" i="93" s="1"/>
  <c r="L19" i="15"/>
  <c r="L28" i="93" s="1"/>
  <c r="L17" i="15"/>
  <c r="L26" i="93" s="1"/>
  <c r="L16" i="15"/>
  <c r="L25" i="93" s="1"/>
  <c r="L17" i="22"/>
  <c r="L17" i="23"/>
  <c r="L16" i="22"/>
  <c r="L16" i="23"/>
  <c r="L11" i="15"/>
  <c r="L20" i="93" s="1"/>
  <c r="L12" i="15"/>
  <c r="L21" i="93" s="1"/>
  <c r="L12" i="22"/>
  <c r="L12" i="23"/>
  <c r="L11" i="22"/>
  <c r="L11" i="23"/>
  <c r="V17" i="22"/>
  <c r="V17" i="23"/>
  <c r="V16" i="22"/>
  <c r="V16" i="23"/>
  <c r="G20" i="15"/>
  <c r="G29" i="93" s="1"/>
  <c r="G19" i="15"/>
  <c r="G28" i="93" s="1"/>
  <c r="G18" i="15"/>
  <c r="G27" i="93" s="1"/>
  <c r="G22" i="15"/>
  <c r="G31" i="93" s="1"/>
  <c r="G21" i="15"/>
  <c r="G30" i="93" s="1"/>
  <c r="G17" i="15"/>
  <c r="G26" i="93" s="1"/>
  <c r="G16" i="15"/>
  <c r="G25" i="93" s="1"/>
  <c r="G16" i="23"/>
  <c r="G17" i="22"/>
  <c r="G17" i="23"/>
  <c r="G16" i="22"/>
  <c r="G12" i="15"/>
  <c r="G21" i="93" s="1"/>
  <c r="G11" i="15"/>
  <c r="G20" i="93" s="1"/>
  <c r="G12" i="23"/>
  <c r="G11" i="22"/>
  <c r="G11" i="23"/>
  <c r="G12" i="22"/>
  <c r="V11" i="22"/>
  <c r="V11" i="23"/>
  <c r="V12" i="22"/>
  <c r="V12" i="23"/>
  <c r="Q21" i="15"/>
  <c r="Q30" i="93" s="1"/>
  <c r="Q20" i="15"/>
  <c r="Q29" i="93" s="1"/>
  <c r="Q19" i="15"/>
  <c r="Q28" i="93" s="1"/>
  <c r="Q18" i="15"/>
  <c r="Q27" i="93" s="1"/>
  <c r="Q22" i="15"/>
  <c r="Q31" i="93" s="1"/>
  <c r="V20" i="23"/>
  <c r="V21" i="22"/>
  <c r="V19" i="23"/>
  <c r="V20" i="22"/>
  <c r="V18" i="23"/>
  <c r="V22" i="23"/>
  <c r="V19" i="22"/>
  <c r="V21" i="23"/>
  <c r="V22" i="22"/>
  <c r="V18" i="22"/>
  <c r="AC26" i="15"/>
  <c r="AC35" i="93" s="1"/>
  <c r="V26" i="23"/>
  <c r="V14" i="22"/>
  <c r="V8" i="22"/>
  <c r="V14" i="23"/>
  <c r="V8" i="23"/>
  <c r="V5" i="22"/>
  <c r="V13" i="22"/>
  <c r="V7" i="22"/>
  <c r="V13" i="23"/>
  <c r="V7" i="23"/>
  <c r="V23" i="22"/>
  <c r="V6" i="22"/>
  <c r="V9" i="22"/>
  <c r="V23" i="23"/>
  <c r="V6" i="23"/>
  <c r="V26" i="22"/>
  <c r="V5" i="23"/>
  <c r="V9" i="23"/>
  <c r="Q23" i="23"/>
  <c r="Q6" i="23"/>
  <c r="Q5" i="22"/>
  <c r="Q9" i="22"/>
  <c r="Q7" i="23"/>
  <c r="Q26" i="22"/>
  <c r="Q5" i="23"/>
  <c r="Q9" i="23"/>
  <c r="Q13" i="23"/>
  <c r="Q26" i="23"/>
  <c r="Q14" i="22"/>
  <c r="Q8" i="22"/>
  <c r="Q14" i="23"/>
  <c r="Q8" i="23"/>
  <c r="Q13" i="22"/>
  <c r="Q7" i="22"/>
  <c r="Q23" i="22"/>
  <c r="Q6" i="22"/>
  <c r="L13" i="22"/>
  <c r="L7" i="22"/>
  <c r="L13" i="23"/>
  <c r="L7" i="23"/>
  <c r="L23" i="22"/>
  <c r="L6" i="22"/>
  <c r="L26" i="23"/>
  <c r="L23" i="23"/>
  <c r="L6" i="23"/>
  <c r="L5" i="22"/>
  <c r="L9" i="22"/>
  <c r="L14" i="22"/>
  <c r="L8" i="22"/>
  <c r="L26" i="22"/>
  <c r="L5" i="23"/>
  <c r="L9" i="23"/>
  <c r="L14" i="23"/>
  <c r="L8" i="23"/>
  <c r="G26" i="22"/>
  <c r="G5" i="23"/>
  <c r="G9" i="23"/>
  <c r="G26" i="23"/>
  <c r="G14" i="22"/>
  <c r="G8" i="22"/>
  <c r="G14" i="23"/>
  <c r="G8" i="23"/>
  <c r="G23" i="23"/>
  <c r="G13" i="22"/>
  <c r="G7" i="22"/>
  <c r="G13" i="23"/>
  <c r="G7" i="23"/>
  <c r="G23" i="22"/>
  <c r="G6" i="22"/>
  <c r="G6" i="23"/>
  <c r="G5" i="22"/>
  <c r="G9" i="22"/>
  <c r="V14" i="15"/>
  <c r="V23" i="93" s="1"/>
  <c r="V13" i="15"/>
  <c r="V22" i="93" s="1"/>
  <c r="AB15" i="15"/>
  <c r="AB24" i="93" s="1"/>
  <c r="L13" i="15"/>
  <c r="L22" i="93" s="1"/>
  <c r="L14" i="15"/>
  <c r="L23" i="93" s="1"/>
  <c r="Y15" i="15"/>
  <c r="Y24" i="93" s="1"/>
  <c r="AF15" i="15"/>
  <c r="AF24" i="93" s="1"/>
  <c r="AW30" i="74"/>
  <c r="G13" i="15"/>
  <c r="G22" i="93" s="1"/>
  <c r="G14" i="15"/>
  <c r="G23" i="93" s="1"/>
  <c r="AA15" i="15"/>
  <c r="AA24" i="93" s="1"/>
  <c r="AD15" i="15"/>
  <c r="AD24" i="93" s="1"/>
  <c r="AW23" i="74"/>
  <c r="Q14" i="15"/>
  <c r="Q23" i="93" s="1"/>
  <c r="Q13" i="15"/>
  <c r="Q22" i="93" s="1"/>
  <c r="Z15" i="15"/>
  <c r="Z24" i="93" s="1"/>
  <c r="AA26" i="15"/>
  <c r="AA35" i="93" s="1"/>
  <c r="X15" i="15"/>
  <c r="X24" i="93" s="1"/>
  <c r="W26" i="15"/>
  <c r="W35" i="93" s="1"/>
  <c r="AW51" i="74"/>
  <c r="AE26" i="15"/>
  <c r="AE35" i="93" s="1"/>
  <c r="X26" i="15"/>
  <c r="X35" i="93" s="1"/>
  <c r="AB26" i="15"/>
  <c r="AB35" i="93" s="1"/>
  <c r="AA2" i="23"/>
  <c r="W15" i="15"/>
  <c r="W24" i="93" s="1"/>
  <c r="Z26" i="15"/>
  <c r="Z35" i="93" s="1"/>
  <c r="AF2" i="23"/>
  <c r="AF26" i="15"/>
  <c r="AF35" i="93" s="1"/>
  <c r="AD26" i="15"/>
  <c r="AD35" i="93" s="1"/>
  <c r="Y26" i="15"/>
  <c r="Y35" i="93" s="1"/>
  <c r="AW16" i="74"/>
  <c r="J2" i="22"/>
  <c r="K2" i="22"/>
  <c r="R2" i="22"/>
  <c r="U2" i="22"/>
  <c r="C2" i="22"/>
  <c r="Q2" i="22"/>
  <c r="O2" i="22"/>
  <c r="M2" i="22"/>
  <c r="I2" i="22"/>
  <c r="G2" i="22"/>
  <c r="E2" i="22"/>
  <c r="V2" i="22"/>
  <c r="T2" i="22"/>
  <c r="H2" i="22"/>
  <c r="F2" i="22"/>
  <c r="D2" i="22"/>
  <c r="S2" i="22"/>
  <c r="B2" i="22"/>
  <c r="N2" i="22"/>
  <c r="P2" i="22"/>
  <c r="L2" i="22"/>
  <c r="U2" i="23"/>
  <c r="S2" i="23"/>
  <c r="J2" i="23"/>
  <c r="B2" i="23"/>
  <c r="O2" i="23"/>
  <c r="M2" i="23"/>
  <c r="K2" i="23"/>
  <c r="G2" i="23"/>
  <c r="E2" i="23"/>
  <c r="C2" i="23"/>
  <c r="R2" i="23"/>
  <c r="Q2" i="23"/>
  <c r="I2" i="23"/>
  <c r="V2" i="23"/>
  <c r="T2" i="23"/>
  <c r="H2" i="23"/>
  <c r="F2" i="23"/>
  <c r="D2" i="23"/>
  <c r="N2" i="23"/>
  <c r="L2" i="23"/>
  <c r="P2" i="23"/>
  <c r="B5" i="22"/>
  <c r="B5" i="23"/>
  <c r="B15" i="20" l="1"/>
  <c r="C15" i="20" s="1"/>
  <c r="D15" i="20"/>
  <c r="J3" i="97"/>
  <c r="O25" i="97"/>
  <c r="O25" i="96"/>
  <c r="O25" i="15"/>
  <c r="N34" i="93"/>
  <c r="K10" i="21"/>
  <c r="K24" i="23"/>
  <c r="K4" i="23"/>
  <c r="X2" i="22"/>
  <c r="X17" i="15"/>
  <c r="X26" i="93" s="1"/>
  <c r="AA16" i="22"/>
  <c r="Y11" i="15"/>
  <c r="Y20" i="93" s="1"/>
  <c r="AE9" i="23"/>
  <c r="AA17" i="22"/>
  <c r="AE2" i="23"/>
  <c r="B26" i="20"/>
  <c r="C26" i="20" s="1"/>
  <c r="B14" i="20"/>
  <c r="C14" i="20" s="1"/>
  <c r="B13" i="20"/>
  <c r="C13" i="20" s="1"/>
  <c r="AE23" i="22"/>
  <c r="AE5" i="23"/>
  <c r="AE26" i="22"/>
  <c r="AE13" i="23"/>
  <c r="AE6" i="23"/>
  <c r="AE7" i="23"/>
  <c r="AE9" i="22"/>
  <c r="AE7" i="22"/>
  <c r="AE5" i="22"/>
  <c r="AE13" i="22"/>
  <c r="AE2" i="22"/>
  <c r="AE8" i="23"/>
  <c r="AE6" i="22"/>
  <c r="AE26" i="23"/>
  <c r="AE14" i="23"/>
  <c r="AE8" i="22"/>
  <c r="AE14" i="22"/>
  <c r="AA21" i="15"/>
  <c r="AA30" i="93" s="1"/>
  <c r="Y2" i="22"/>
  <c r="AA22" i="15"/>
  <c r="AA31" i="93" s="1"/>
  <c r="W2" i="22"/>
  <c r="W2" i="23"/>
  <c r="X2" i="23"/>
  <c r="AA16" i="23"/>
  <c r="AA19" i="15"/>
  <c r="AA28" i="93" s="1"/>
  <c r="AA20" i="15"/>
  <c r="AA29" i="93" s="1"/>
  <c r="Y2" i="23"/>
  <c r="AC14" i="15"/>
  <c r="AC23" i="93" s="1"/>
  <c r="AC13" i="15"/>
  <c r="AC22" i="93" s="1"/>
  <c r="AB2" i="22"/>
  <c r="AD2" i="22"/>
  <c r="AB2" i="23"/>
  <c r="AF2" i="22"/>
  <c r="AD2" i="23"/>
  <c r="AA2" i="22"/>
  <c r="AC2" i="22"/>
  <c r="AB18" i="15"/>
  <c r="AB27" i="93" s="1"/>
  <c r="AB22" i="15"/>
  <c r="AB31" i="93" s="1"/>
  <c r="AB21" i="15"/>
  <c r="AB30" i="93" s="1"/>
  <c r="AB20" i="15"/>
  <c r="AB29" i="93" s="1"/>
  <c r="AB19" i="15"/>
  <c r="AB28" i="93" s="1"/>
  <c r="X12" i="23"/>
  <c r="X11" i="22"/>
  <c r="X11" i="23"/>
  <c r="X12" i="22"/>
  <c r="AC17" i="22"/>
  <c r="AC17" i="23"/>
  <c r="AC16" i="22"/>
  <c r="AC16" i="23"/>
  <c r="Y21" i="15"/>
  <c r="Y30" i="93" s="1"/>
  <c r="Y20" i="15"/>
  <c r="Y29" i="93" s="1"/>
  <c r="Y19" i="15"/>
  <c r="Y28" i="93" s="1"/>
  <c r="Y18" i="15"/>
  <c r="Y27" i="93" s="1"/>
  <c r="Y22" i="15"/>
  <c r="Y31" i="93" s="1"/>
  <c r="W18" i="22"/>
  <c r="W22" i="22"/>
  <c r="W20" i="23"/>
  <c r="W21" i="22"/>
  <c r="W19" i="23"/>
  <c r="W20" i="22"/>
  <c r="W18" i="23"/>
  <c r="W22" i="23"/>
  <c r="W19" i="22"/>
  <c r="W21" i="23"/>
  <c r="AE18" i="22"/>
  <c r="AE22" i="22"/>
  <c r="AE20" i="23"/>
  <c r="AE21" i="22"/>
  <c r="AE19" i="23"/>
  <c r="AE20" i="22"/>
  <c r="AE18" i="23"/>
  <c r="AE22" i="23"/>
  <c r="AE19" i="22"/>
  <c r="AE21" i="23"/>
  <c r="AB17" i="22"/>
  <c r="AB17" i="23"/>
  <c r="AB16" i="22"/>
  <c r="AB16" i="23"/>
  <c r="AE12" i="23"/>
  <c r="AE11" i="22"/>
  <c r="AE11" i="23"/>
  <c r="AE12" i="22"/>
  <c r="B12" i="20"/>
  <c r="C12" i="20" s="1"/>
  <c r="B11" i="20"/>
  <c r="C11" i="20" s="1"/>
  <c r="AC11" i="23"/>
  <c r="AC12" i="22"/>
  <c r="AC12" i="23"/>
  <c r="AC11" i="22"/>
  <c r="AA17" i="15"/>
  <c r="AA26" i="93" s="1"/>
  <c r="AA16" i="15"/>
  <c r="AA25" i="93" s="1"/>
  <c r="Z12" i="15"/>
  <c r="Z21" i="93" s="1"/>
  <c r="Z11" i="15"/>
  <c r="Z20" i="93" s="1"/>
  <c r="X21" i="23"/>
  <c r="X18" i="22"/>
  <c r="X22" i="22"/>
  <c r="X20" i="23"/>
  <c r="X21" i="22"/>
  <c r="X19" i="23"/>
  <c r="X20" i="22"/>
  <c r="X18" i="23"/>
  <c r="X22" i="23"/>
  <c r="X19" i="22"/>
  <c r="X16" i="23"/>
  <c r="X17" i="22"/>
  <c r="X16" i="22"/>
  <c r="X17" i="23"/>
  <c r="W20" i="15"/>
  <c r="W29" i="93" s="1"/>
  <c r="W19" i="15"/>
  <c r="W28" i="93" s="1"/>
  <c r="W18" i="15"/>
  <c r="W27" i="93" s="1"/>
  <c r="W22" i="15"/>
  <c r="W31" i="93" s="1"/>
  <c r="W21" i="15"/>
  <c r="W30" i="93" s="1"/>
  <c r="W17" i="15"/>
  <c r="W26" i="93" s="1"/>
  <c r="W16" i="15"/>
  <c r="W25" i="93" s="1"/>
  <c r="AB11" i="15"/>
  <c r="AB20" i="93" s="1"/>
  <c r="AB12" i="15"/>
  <c r="AB21" i="93" s="1"/>
  <c r="AF17" i="15"/>
  <c r="AF26" i="93" s="1"/>
  <c r="AF16" i="15"/>
  <c r="AF25" i="93" s="1"/>
  <c r="B17" i="20"/>
  <c r="C17" i="20" s="1"/>
  <c r="B16" i="20"/>
  <c r="C16" i="20" s="1"/>
  <c r="AD17" i="15"/>
  <c r="AD26" i="93" s="1"/>
  <c r="AD16" i="15"/>
  <c r="AD25" i="93" s="1"/>
  <c r="AF21" i="23"/>
  <c r="AF18" i="22"/>
  <c r="AF22" i="22"/>
  <c r="AF20" i="23"/>
  <c r="AF21" i="22"/>
  <c r="AF19" i="23"/>
  <c r="AF20" i="22"/>
  <c r="AF18" i="23"/>
  <c r="AF22" i="23"/>
  <c r="AF19" i="22"/>
  <c r="AF12" i="15"/>
  <c r="AF21" i="93" s="1"/>
  <c r="AF11" i="15"/>
  <c r="AF20" i="93" s="1"/>
  <c r="B19" i="20"/>
  <c r="C19" i="20" s="1"/>
  <c r="B20" i="20"/>
  <c r="C20" i="20" s="1"/>
  <c r="B21" i="20"/>
  <c r="C21" i="20" s="1"/>
  <c r="B22" i="20"/>
  <c r="C22" i="20" s="1"/>
  <c r="B18" i="20"/>
  <c r="C18" i="20" s="1"/>
  <c r="Z12" i="22"/>
  <c r="Z12" i="23"/>
  <c r="Z11" i="22"/>
  <c r="Z11" i="23"/>
  <c r="W12" i="15"/>
  <c r="W21" i="93" s="1"/>
  <c r="W11" i="15"/>
  <c r="W20" i="93" s="1"/>
  <c r="Z16" i="15"/>
  <c r="Z25" i="93" s="1"/>
  <c r="Z17" i="15"/>
  <c r="Z26" i="93" s="1"/>
  <c r="AB17" i="15"/>
  <c r="AB26" i="93" s="1"/>
  <c r="AB16" i="15"/>
  <c r="AB25" i="93" s="1"/>
  <c r="AA12" i="15"/>
  <c r="AA21" i="93" s="1"/>
  <c r="AA11" i="15"/>
  <c r="AA20" i="93" s="1"/>
  <c r="W12" i="23"/>
  <c r="W11" i="22"/>
  <c r="W11" i="23"/>
  <c r="W12" i="22"/>
  <c r="AC2" i="23"/>
  <c r="AE20" i="15"/>
  <c r="AE29" i="93" s="1"/>
  <c r="AE19" i="15"/>
  <c r="AE28" i="93" s="1"/>
  <c r="AE18" i="15"/>
  <c r="AE27" i="93" s="1"/>
  <c r="AE22" i="15"/>
  <c r="AE31" i="93" s="1"/>
  <c r="AE21" i="15"/>
  <c r="AE30" i="93" s="1"/>
  <c r="Z21" i="15"/>
  <c r="Z30" i="93" s="1"/>
  <c r="Z20" i="15"/>
  <c r="Z29" i="93" s="1"/>
  <c r="Z19" i="15"/>
  <c r="Z28" i="93" s="1"/>
  <c r="Z22" i="15"/>
  <c r="Z31" i="93" s="1"/>
  <c r="Z18" i="15"/>
  <c r="Z27" i="93" s="1"/>
  <c r="Y19" i="22"/>
  <c r="Y21" i="23"/>
  <c r="Y18" i="22"/>
  <c r="Y22" i="22"/>
  <c r="Y20" i="23"/>
  <c r="Y21" i="22"/>
  <c r="Y19" i="23"/>
  <c r="Y20" i="22"/>
  <c r="Y22" i="23"/>
  <c r="Y18" i="23"/>
  <c r="AA12" i="22"/>
  <c r="AA12" i="23"/>
  <c r="AA11" i="22"/>
  <c r="AA11" i="23"/>
  <c r="AB11" i="23"/>
  <c r="AB12" i="22"/>
  <c r="AB12" i="23"/>
  <c r="AB11" i="22"/>
  <c r="AC17" i="15"/>
  <c r="AC26" i="93" s="1"/>
  <c r="AC16" i="15"/>
  <c r="AC25" i="93" s="1"/>
  <c r="X20" i="15"/>
  <c r="X29" i="93" s="1"/>
  <c r="X19" i="15"/>
  <c r="X28" i="93" s="1"/>
  <c r="X18" i="15"/>
  <c r="X27" i="93" s="1"/>
  <c r="X22" i="15"/>
  <c r="X31" i="93" s="1"/>
  <c r="X21" i="15"/>
  <c r="X30" i="93" s="1"/>
  <c r="W16" i="23"/>
  <c r="W17" i="22"/>
  <c r="W17" i="23"/>
  <c r="W16" i="22"/>
  <c r="Z2" i="22"/>
  <c r="AE16" i="23"/>
  <c r="AE17" i="22"/>
  <c r="AE17" i="23"/>
  <c r="AE16" i="22"/>
  <c r="AF20" i="15"/>
  <c r="AF29" i="93" s="1"/>
  <c r="AF19" i="15"/>
  <c r="AF28" i="93" s="1"/>
  <c r="AF18" i="15"/>
  <c r="AF27" i="93" s="1"/>
  <c r="AF22" i="15"/>
  <c r="AF31" i="93" s="1"/>
  <c r="AF21" i="15"/>
  <c r="AF30" i="93" s="1"/>
  <c r="Z18" i="23"/>
  <c r="Z22" i="23"/>
  <c r="Z19" i="22"/>
  <c r="Z21" i="23"/>
  <c r="Z18" i="22"/>
  <c r="Z22" i="22"/>
  <c r="Z20" i="23"/>
  <c r="Z21" i="22"/>
  <c r="Z19" i="23"/>
  <c r="Z20" i="22"/>
  <c r="AF12" i="23"/>
  <c r="AF11" i="22"/>
  <c r="AF12" i="22"/>
  <c r="AF11" i="23"/>
  <c r="AD19" i="15"/>
  <c r="AD28" i="93" s="1"/>
  <c r="AD18" i="15"/>
  <c r="AD27" i="93" s="1"/>
  <c r="AD22" i="15"/>
  <c r="AD31" i="93" s="1"/>
  <c r="AD21" i="15"/>
  <c r="AD30" i="93" s="1"/>
  <c r="AD20" i="15"/>
  <c r="AD29" i="93" s="1"/>
  <c r="AD17" i="22"/>
  <c r="AD17" i="23"/>
  <c r="AD16" i="22"/>
  <c r="AD16" i="23"/>
  <c r="AA20" i="22"/>
  <c r="AA18" i="23"/>
  <c r="AA22" i="23"/>
  <c r="AA19" i="22"/>
  <c r="AA21" i="23"/>
  <c r="AA18" i="22"/>
  <c r="AA22" i="22"/>
  <c r="AA20" i="23"/>
  <c r="AA21" i="22"/>
  <c r="AA19" i="23"/>
  <c r="AD11" i="23"/>
  <c r="AD12" i="22"/>
  <c r="AD11" i="22"/>
  <c r="AD12" i="23"/>
  <c r="AB19" i="23"/>
  <c r="AB20" i="22"/>
  <c r="AB18" i="23"/>
  <c r="AB22" i="23"/>
  <c r="AB19" i="22"/>
  <c r="AB21" i="23"/>
  <c r="AB18" i="22"/>
  <c r="AB22" i="22"/>
  <c r="AB20" i="23"/>
  <c r="AB21" i="22"/>
  <c r="AD20" i="23"/>
  <c r="AD21" i="22"/>
  <c r="AD19" i="23"/>
  <c r="AD20" i="22"/>
  <c r="AD18" i="23"/>
  <c r="AD22" i="23"/>
  <c r="AD19" i="22"/>
  <c r="AD21" i="23"/>
  <c r="AD22" i="22"/>
  <c r="AD18" i="22"/>
  <c r="Z2" i="23"/>
  <c r="AC11" i="15"/>
  <c r="AC20" i="93" s="1"/>
  <c r="AC12" i="15"/>
  <c r="AC21" i="93" s="1"/>
  <c r="X12" i="15"/>
  <c r="X21" i="93" s="1"/>
  <c r="X11" i="15"/>
  <c r="X20" i="93" s="1"/>
  <c r="AD12" i="15"/>
  <c r="AD21" i="93" s="1"/>
  <c r="AD11" i="15"/>
  <c r="AD20" i="93" s="1"/>
  <c r="Y17" i="23"/>
  <c r="Y16" i="22"/>
  <c r="Y16" i="23"/>
  <c r="Y17" i="22"/>
  <c r="Y12" i="22"/>
  <c r="Y12" i="23"/>
  <c r="Y11" i="22"/>
  <c r="Y11" i="23"/>
  <c r="Z17" i="23"/>
  <c r="Z16" i="22"/>
  <c r="Z16" i="23"/>
  <c r="Z17" i="22"/>
  <c r="Y16" i="15"/>
  <c r="Y25" i="93" s="1"/>
  <c r="Y17" i="15"/>
  <c r="Y26" i="93" s="1"/>
  <c r="AC19" i="15"/>
  <c r="AC28" i="93" s="1"/>
  <c r="AC18" i="15"/>
  <c r="AC27" i="93" s="1"/>
  <c r="AC22" i="15"/>
  <c r="AC31" i="93" s="1"/>
  <c r="AC21" i="15"/>
  <c r="AC30" i="93" s="1"/>
  <c r="AC20" i="15"/>
  <c r="AC29" i="93" s="1"/>
  <c r="AC21" i="22"/>
  <c r="AC19" i="23"/>
  <c r="AC20" i="22"/>
  <c r="AC18" i="23"/>
  <c r="AC22" i="23"/>
  <c r="AC19" i="22"/>
  <c r="AC21" i="23"/>
  <c r="AC18" i="22"/>
  <c r="AC22" i="22"/>
  <c r="AC20" i="23"/>
  <c r="AE17" i="15"/>
  <c r="AE26" i="93" s="1"/>
  <c r="AE16" i="15"/>
  <c r="AE25" i="93" s="1"/>
  <c r="AE12" i="15"/>
  <c r="AE21" i="93" s="1"/>
  <c r="AE11" i="15"/>
  <c r="AE20" i="93" s="1"/>
  <c r="AF16" i="23"/>
  <c r="AF17" i="22"/>
  <c r="AF17" i="23"/>
  <c r="AF16" i="22"/>
  <c r="AD26" i="23"/>
  <c r="AD14" i="22"/>
  <c r="AD8" i="22"/>
  <c r="AD9" i="22"/>
  <c r="AD14" i="23"/>
  <c r="AD8" i="23"/>
  <c r="AD13" i="22"/>
  <c r="AD7" i="22"/>
  <c r="AD13" i="23"/>
  <c r="AD7" i="23"/>
  <c r="AD23" i="22"/>
  <c r="AD6" i="22"/>
  <c r="AD23" i="23"/>
  <c r="AD6" i="23"/>
  <c r="AD5" i="22"/>
  <c r="AD26" i="22"/>
  <c r="AD5" i="23"/>
  <c r="AD9" i="23"/>
  <c r="AF5" i="22"/>
  <c r="AF9" i="22"/>
  <c r="AF26" i="22"/>
  <c r="AF5" i="23"/>
  <c r="AF9" i="23"/>
  <c r="AF26" i="23"/>
  <c r="AF14" i="22"/>
  <c r="AF8" i="22"/>
  <c r="AF23" i="22"/>
  <c r="AF14" i="23"/>
  <c r="AF8" i="23"/>
  <c r="AF13" i="22"/>
  <c r="AF7" i="22"/>
  <c r="AF6" i="22"/>
  <c r="AF13" i="23"/>
  <c r="AF7" i="23"/>
  <c r="AF23" i="23"/>
  <c r="AF6" i="23"/>
  <c r="AA13" i="23"/>
  <c r="AA7" i="23"/>
  <c r="AA8" i="23"/>
  <c r="AA23" i="22"/>
  <c r="AA6" i="22"/>
  <c r="AA14" i="23"/>
  <c r="AA23" i="23"/>
  <c r="AA6" i="23"/>
  <c r="AA5" i="22"/>
  <c r="AA9" i="22"/>
  <c r="AA26" i="22"/>
  <c r="AA5" i="23"/>
  <c r="AA9" i="23"/>
  <c r="AA26" i="23"/>
  <c r="AA14" i="22"/>
  <c r="AA8" i="22"/>
  <c r="AA13" i="22"/>
  <c r="AA7" i="22"/>
  <c r="AC14" i="23"/>
  <c r="AC8" i="23"/>
  <c r="AC13" i="22"/>
  <c r="AC7" i="22"/>
  <c r="AC5" i="23"/>
  <c r="AC13" i="23"/>
  <c r="AC7" i="23"/>
  <c r="AC23" i="22"/>
  <c r="AC6" i="22"/>
  <c r="AC23" i="23"/>
  <c r="AC6" i="23"/>
  <c r="AC9" i="23"/>
  <c r="AC5" i="22"/>
  <c r="AC9" i="22"/>
  <c r="AC26" i="22"/>
  <c r="AC26" i="23"/>
  <c r="AC14" i="22"/>
  <c r="AC8" i="22"/>
  <c r="W26" i="22"/>
  <c r="W5" i="23"/>
  <c r="W9" i="23"/>
  <c r="W26" i="23"/>
  <c r="W14" i="22"/>
  <c r="W8" i="22"/>
  <c r="W6" i="23"/>
  <c r="W14" i="23"/>
  <c r="W8" i="23"/>
  <c r="W13" i="22"/>
  <c r="W7" i="22"/>
  <c r="W23" i="22"/>
  <c r="W13" i="23"/>
  <c r="W7" i="23"/>
  <c r="W23" i="23"/>
  <c r="W6" i="22"/>
  <c r="W5" i="22"/>
  <c r="W9" i="22"/>
  <c r="X5" i="22"/>
  <c r="X9" i="22"/>
  <c r="X26" i="22"/>
  <c r="X5" i="23"/>
  <c r="X9" i="23"/>
  <c r="X6" i="22"/>
  <c r="X26" i="23"/>
  <c r="X14" i="22"/>
  <c r="X8" i="22"/>
  <c r="X14" i="23"/>
  <c r="X8" i="23"/>
  <c r="X13" i="22"/>
  <c r="X7" i="22"/>
  <c r="X23" i="22"/>
  <c r="X13" i="23"/>
  <c r="X7" i="23"/>
  <c r="X23" i="23"/>
  <c r="X6" i="23"/>
  <c r="Z23" i="22"/>
  <c r="Z6" i="22"/>
  <c r="Z23" i="23"/>
  <c r="Z6" i="23"/>
  <c r="Z13" i="22"/>
  <c r="Z5" i="22"/>
  <c r="Z9" i="22"/>
  <c r="Z26" i="22"/>
  <c r="Z5" i="23"/>
  <c r="Z9" i="23"/>
  <c r="Z7" i="22"/>
  <c r="Z26" i="23"/>
  <c r="Z14" i="22"/>
  <c r="Z8" i="22"/>
  <c r="Z14" i="23"/>
  <c r="Z8" i="23"/>
  <c r="Z13" i="23"/>
  <c r="Z7" i="23"/>
  <c r="Y23" i="23"/>
  <c r="Y6" i="23"/>
  <c r="Y5" i="22"/>
  <c r="Y9" i="22"/>
  <c r="Y26" i="22"/>
  <c r="Y5" i="23"/>
  <c r="Y9" i="23"/>
  <c r="Y26" i="23"/>
  <c r="Y14" i="22"/>
  <c r="Y8" i="22"/>
  <c r="Y13" i="23"/>
  <c r="Y14" i="23"/>
  <c r="Y8" i="23"/>
  <c r="Y13" i="22"/>
  <c r="Y7" i="22"/>
  <c r="Y7" i="23"/>
  <c r="Y23" i="22"/>
  <c r="Y6" i="22"/>
  <c r="AB13" i="22"/>
  <c r="AB7" i="22"/>
  <c r="AB13" i="23"/>
  <c r="AB7" i="23"/>
  <c r="AB14" i="22"/>
  <c r="AB23" i="22"/>
  <c r="AB6" i="22"/>
  <c r="AB26" i="23"/>
  <c r="AB23" i="23"/>
  <c r="AB6" i="23"/>
  <c r="AB5" i="22"/>
  <c r="AB9" i="22"/>
  <c r="AB26" i="22"/>
  <c r="AB5" i="23"/>
  <c r="AB9" i="23"/>
  <c r="AB8" i="22"/>
  <c r="AB14" i="23"/>
  <c r="AB8" i="23"/>
  <c r="AA14" i="15"/>
  <c r="AA23" i="93" s="1"/>
  <c r="AA13" i="15"/>
  <c r="AA22" i="93" s="1"/>
  <c r="AB14" i="15"/>
  <c r="AB23" i="93" s="1"/>
  <c r="AB13" i="15"/>
  <c r="AB22" i="93" s="1"/>
  <c r="X14" i="15"/>
  <c r="X23" i="93" s="1"/>
  <c r="X13" i="15"/>
  <c r="X22" i="93" s="1"/>
  <c r="Y13" i="15"/>
  <c r="Y22" i="93" s="1"/>
  <c r="Y14" i="15"/>
  <c r="Y23" i="93" s="1"/>
  <c r="AE14" i="15"/>
  <c r="AE23" i="93" s="1"/>
  <c r="AE13" i="15"/>
  <c r="AE22" i="93" s="1"/>
  <c r="AD14" i="15"/>
  <c r="AD23" i="93" s="1"/>
  <c r="AD13" i="15"/>
  <c r="AD22" i="93" s="1"/>
  <c r="B8" i="20"/>
  <c r="C8" i="20" s="1"/>
  <c r="B2" i="20"/>
  <c r="C2" i="20" s="1"/>
  <c r="B5" i="20"/>
  <c r="C5" i="20" s="1"/>
  <c r="B23" i="20"/>
  <c r="C23" i="20" s="1"/>
  <c r="B7" i="20"/>
  <c r="C7" i="20" s="1"/>
  <c r="B6" i="20"/>
  <c r="C6" i="20" s="1"/>
  <c r="B9" i="20"/>
  <c r="C9" i="20" s="1"/>
  <c r="AF14" i="15"/>
  <c r="AF23" i="93" s="1"/>
  <c r="AF13" i="15"/>
  <c r="AF22" i="93" s="1"/>
  <c r="Z13" i="15"/>
  <c r="Z22" i="93" s="1"/>
  <c r="Z14" i="15"/>
  <c r="Z23" i="93" s="1"/>
  <c r="W14" i="15"/>
  <c r="W23" i="93" s="1"/>
  <c r="W13" i="15"/>
  <c r="W22" i="93" s="1"/>
  <c r="J23" i="15"/>
  <c r="J32" i="93" s="1"/>
  <c r="R23" i="15"/>
  <c r="R32" i="93" s="1"/>
  <c r="Z23" i="15"/>
  <c r="Z32" i="93" s="1"/>
  <c r="G23" i="15"/>
  <c r="G32" i="93" s="1"/>
  <c r="AF23" i="15"/>
  <c r="AF32" i="93" s="1"/>
  <c r="K23" i="15"/>
  <c r="K32" i="93" s="1"/>
  <c r="S23" i="15"/>
  <c r="S32" i="93" s="1"/>
  <c r="AA23" i="15"/>
  <c r="AA32" i="93" s="1"/>
  <c r="O23" i="15"/>
  <c r="O32" i="93" s="1"/>
  <c r="X23" i="15"/>
  <c r="X32" i="93" s="1"/>
  <c r="I23" i="15"/>
  <c r="I32" i="93" s="1"/>
  <c r="D23" i="15"/>
  <c r="D32" i="93" s="1"/>
  <c r="L23" i="15"/>
  <c r="L32" i="93" s="1"/>
  <c r="T23" i="15"/>
  <c r="T32" i="93" s="1"/>
  <c r="AB23" i="15"/>
  <c r="AB32" i="93" s="1"/>
  <c r="H23" i="15"/>
  <c r="H32" i="93" s="1"/>
  <c r="E23" i="15"/>
  <c r="E32" i="93" s="1"/>
  <c r="M23" i="15"/>
  <c r="M32" i="93" s="1"/>
  <c r="U23" i="15"/>
  <c r="U32" i="93" s="1"/>
  <c r="AC23" i="15"/>
  <c r="AC32" i="93" s="1"/>
  <c r="C23" i="15"/>
  <c r="C32" i="93" s="1"/>
  <c r="Q23" i="15"/>
  <c r="Q32" i="93" s="1"/>
  <c r="F23" i="15"/>
  <c r="F32" i="93" s="1"/>
  <c r="N23" i="15"/>
  <c r="N32" i="93" s="1"/>
  <c r="V23" i="15"/>
  <c r="V32" i="93" s="1"/>
  <c r="AD23" i="15"/>
  <c r="AD32" i="93" s="1"/>
  <c r="B23" i="15"/>
  <c r="B32" i="93" s="1"/>
  <c r="W23" i="15"/>
  <c r="W32" i="93" s="1"/>
  <c r="AE23" i="15"/>
  <c r="AE32" i="93" s="1"/>
  <c r="P23" i="15"/>
  <c r="P32" i="93" s="1"/>
  <c r="Y23" i="15"/>
  <c r="Y32" i="93" s="1"/>
  <c r="H2" i="15"/>
  <c r="H11" i="93" s="1"/>
  <c r="P2" i="15"/>
  <c r="P11" i="93" s="1"/>
  <c r="X2" i="15"/>
  <c r="X11" i="93" s="1"/>
  <c r="AF2" i="15"/>
  <c r="AF11" i="93" s="1"/>
  <c r="I2" i="15"/>
  <c r="I11" i="93" s="1"/>
  <c r="Q2" i="15"/>
  <c r="Q11" i="93" s="1"/>
  <c r="Y2" i="15"/>
  <c r="Y11" i="93" s="1"/>
  <c r="AA2" i="15"/>
  <c r="AA11" i="93" s="1"/>
  <c r="D2" i="15"/>
  <c r="D11" i="93" s="1"/>
  <c r="T2" i="15"/>
  <c r="T11" i="93" s="1"/>
  <c r="M2" i="15"/>
  <c r="M11" i="93" s="1"/>
  <c r="N2" i="15"/>
  <c r="N11" i="93" s="1"/>
  <c r="V2" i="15"/>
  <c r="V11" i="93" s="1"/>
  <c r="AD2" i="15"/>
  <c r="AD11" i="93" s="1"/>
  <c r="O2" i="15"/>
  <c r="O11" i="93" s="1"/>
  <c r="AE2" i="15"/>
  <c r="AE11" i="93" s="1"/>
  <c r="J2" i="15"/>
  <c r="J11" i="93" s="1"/>
  <c r="R2" i="15"/>
  <c r="R11" i="93" s="1"/>
  <c r="Z2" i="15"/>
  <c r="Z11" i="93" s="1"/>
  <c r="C2" i="15"/>
  <c r="C11" i="93" s="1"/>
  <c r="K2" i="15"/>
  <c r="K11" i="93" s="1"/>
  <c r="S2" i="15"/>
  <c r="S11" i="93" s="1"/>
  <c r="L2" i="15"/>
  <c r="L11" i="93" s="1"/>
  <c r="AB2" i="15"/>
  <c r="AB11" i="93" s="1"/>
  <c r="E2" i="15"/>
  <c r="E11" i="93" s="1"/>
  <c r="U2" i="15"/>
  <c r="U11" i="93" s="1"/>
  <c r="AC2" i="15"/>
  <c r="AC11" i="93" s="1"/>
  <c r="F2" i="15"/>
  <c r="F11" i="93" s="1"/>
  <c r="G2" i="15"/>
  <c r="G11" i="93" s="1"/>
  <c r="W2" i="15"/>
  <c r="W11" i="93" s="1"/>
  <c r="K5" i="15"/>
  <c r="K14" i="93" s="1"/>
  <c r="S5" i="15"/>
  <c r="S14" i="93" s="1"/>
  <c r="AA5" i="15"/>
  <c r="AA14" i="93" s="1"/>
  <c r="E5" i="15"/>
  <c r="E14" i="93" s="1"/>
  <c r="M5" i="15"/>
  <c r="M14" i="93" s="1"/>
  <c r="U5" i="15"/>
  <c r="U14" i="93" s="1"/>
  <c r="AC5" i="15"/>
  <c r="AC14" i="93" s="1"/>
  <c r="F5" i="15"/>
  <c r="F14" i="93" s="1"/>
  <c r="N5" i="15"/>
  <c r="N14" i="93" s="1"/>
  <c r="V5" i="15"/>
  <c r="V14" i="93" s="1"/>
  <c r="AD5" i="15"/>
  <c r="AD14" i="93" s="1"/>
  <c r="H5" i="15"/>
  <c r="H14" i="93" s="1"/>
  <c r="T5" i="15"/>
  <c r="T14" i="93" s="1"/>
  <c r="B5" i="15"/>
  <c r="B14" i="93" s="1"/>
  <c r="AB5" i="15"/>
  <c r="AB14" i="93" s="1"/>
  <c r="Q5" i="15"/>
  <c r="Q14" i="93" s="1"/>
  <c r="I5" i="15"/>
  <c r="I14" i="93" s="1"/>
  <c r="W5" i="15"/>
  <c r="W14" i="93" s="1"/>
  <c r="AF5" i="15"/>
  <c r="AF14" i="93" s="1"/>
  <c r="J5" i="15"/>
  <c r="J14" i="93" s="1"/>
  <c r="X5" i="15"/>
  <c r="X14" i="93" s="1"/>
  <c r="AE5" i="15"/>
  <c r="AE14" i="93" s="1"/>
  <c r="L5" i="15"/>
  <c r="L14" i="93" s="1"/>
  <c r="Y5" i="15"/>
  <c r="Y14" i="93" s="1"/>
  <c r="D5" i="15"/>
  <c r="D14" i="93" s="1"/>
  <c r="R5" i="15"/>
  <c r="R14" i="93" s="1"/>
  <c r="O5" i="15"/>
  <c r="O14" i="93" s="1"/>
  <c r="Z5" i="15"/>
  <c r="Z14" i="93" s="1"/>
  <c r="P5" i="15"/>
  <c r="P14" i="93" s="1"/>
  <c r="C5" i="15"/>
  <c r="C14" i="93" s="1"/>
  <c r="G5" i="15"/>
  <c r="G14" i="93" s="1"/>
  <c r="F6" i="15"/>
  <c r="F15" i="93" s="1"/>
  <c r="N6" i="15"/>
  <c r="N15" i="93" s="1"/>
  <c r="V6" i="15"/>
  <c r="V15" i="93" s="1"/>
  <c r="AD6" i="15"/>
  <c r="AD15" i="93" s="1"/>
  <c r="H6" i="15"/>
  <c r="H15" i="93" s="1"/>
  <c r="P6" i="15"/>
  <c r="P15" i="93" s="1"/>
  <c r="X6" i="15"/>
  <c r="X15" i="93" s="1"/>
  <c r="AF6" i="15"/>
  <c r="AF15" i="93" s="1"/>
  <c r="I6" i="15"/>
  <c r="I15" i="93" s="1"/>
  <c r="Q6" i="15"/>
  <c r="Q15" i="93" s="1"/>
  <c r="Y6" i="15"/>
  <c r="Y15" i="93" s="1"/>
  <c r="D6" i="15"/>
  <c r="D15" i="93" s="1"/>
  <c r="R6" i="15"/>
  <c r="R15" i="93" s="1"/>
  <c r="AC6" i="15"/>
  <c r="AC15" i="93" s="1"/>
  <c r="C6" i="15"/>
  <c r="C15" i="93" s="1"/>
  <c r="O6" i="15"/>
  <c r="O15" i="93" s="1"/>
  <c r="E6" i="15"/>
  <c r="E15" i="93" s="1"/>
  <c r="S6" i="15"/>
  <c r="S15" i="93" s="1"/>
  <c r="AE6" i="15"/>
  <c r="AE15" i="93" s="1"/>
  <c r="G6" i="15"/>
  <c r="G15" i="93" s="1"/>
  <c r="T6" i="15"/>
  <c r="T15" i="93" s="1"/>
  <c r="B6" i="15"/>
  <c r="J6" i="15"/>
  <c r="J15" i="93" s="1"/>
  <c r="U6" i="15"/>
  <c r="U15" i="93" s="1"/>
  <c r="L6" i="15"/>
  <c r="L15" i="93" s="1"/>
  <c r="K6" i="15"/>
  <c r="K15" i="93" s="1"/>
  <c r="W6" i="15"/>
  <c r="W15" i="93" s="1"/>
  <c r="Z6" i="15"/>
  <c r="Z15" i="93" s="1"/>
  <c r="M6" i="15"/>
  <c r="M15" i="93" s="1"/>
  <c r="AA6" i="15"/>
  <c r="AA15" i="93" s="1"/>
  <c r="AB6" i="15"/>
  <c r="AB15" i="93" s="1"/>
  <c r="I7" i="15"/>
  <c r="I16" i="93" s="1"/>
  <c r="Q7" i="15"/>
  <c r="Q16" i="93" s="1"/>
  <c r="Y7" i="15"/>
  <c r="Y16" i="93" s="1"/>
  <c r="K7" i="15"/>
  <c r="K16" i="93" s="1"/>
  <c r="S7" i="15"/>
  <c r="S16" i="93" s="1"/>
  <c r="AA7" i="15"/>
  <c r="AA16" i="93" s="1"/>
  <c r="D7" i="15"/>
  <c r="D16" i="93" s="1"/>
  <c r="L7" i="15"/>
  <c r="L16" i="93" s="1"/>
  <c r="T7" i="15"/>
  <c r="T16" i="93" s="1"/>
  <c r="AB7" i="15"/>
  <c r="AB16" i="93" s="1"/>
  <c r="N7" i="15"/>
  <c r="N16" i="93" s="1"/>
  <c r="Z7" i="15"/>
  <c r="Z16" i="93" s="1"/>
  <c r="H7" i="15"/>
  <c r="H16" i="93" s="1"/>
  <c r="J7" i="15"/>
  <c r="J16" i="93" s="1"/>
  <c r="O7" i="15"/>
  <c r="O16" i="93" s="1"/>
  <c r="AC7" i="15"/>
  <c r="AC16" i="93" s="1"/>
  <c r="C7" i="15"/>
  <c r="C16" i="93" s="1"/>
  <c r="X7" i="15"/>
  <c r="X16" i="93" s="1"/>
  <c r="E7" i="15"/>
  <c r="E16" i="93" s="1"/>
  <c r="P7" i="15"/>
  <c r="P16" i="93" s="1"/>
  <c r="AD7" i="15"/>
  <c r="AD16" i="93" s="1"/>
  <c r="V7" i="15"/>
  <c r="V16" i="93" s="1"/>
  <c r="W7" i="15"/>
  <c r="W16" i="93" s="1"/>
  <c r="B7" i="15"/>
  <c r="B16" i="93" s="1"/>
  <c r="M7" i="15"/>
  <c r="M16" i="93" s="1"/>
  <c r="F7" i="15"/>
  <c r="F16" i="93" s="1"/>
  <c r="R7" i="15"/>
  <c r="R16" i="93" s="1"/>
  <c r="AE7" i="15"/>
  <c r="AE16" i="93" s="1"/>
  <c r="G7" i="15"/>
  <c r="G16" i="93" s="1"/>
  <c r="U7" i="15"/>
  <c r="U16" i="93" s="1"/>
  <c r="AF7" i="15"/>
  <c r="AF16" i="93" s="1"/>
  <c r="G9" i="15"/>
  <c r="G18" i="93" s="1"/>
  <c r="O9" i="15"/>
  <c r="O18" i="93" s="1"/>
  <c r="W9" i="15"/>
  <c r="W18" i="93" s="1"/>
  <c r="AE9" i="15"/>
  <c r="AE18" i="93" s="1"/>
  <c r="H9" i="15"/>
  <c r="H18" i="93" s="1"/>
  <c r="P9" i="15"/>
  <c r="P18" i="93" s="1"/>
  <c r="X9" i="15"/>
  <c r="X18" i="93" s="1"/>
  <c r="AF9" i="15"/>
  <c r="AF18" i="93" s="1"/>
  <c r="I9" i="15"/>
  <c r="I18" i="93" s="1"/>
  <c r="Q9" i="15"/>
  <c r="Q18" i="93" s="1"/>
  <c r="Y9" i="15"/>
  <c r="Y18" i="93" s="1"/>
  <c r="B9" i="15"/>
  <c r="B18" i="93" s="1"/>
  <c r="J9" i="15"/>
  <c r="J18" i="93" s="1"/>
  <c r="R9" i="15"/>
  <c r="R18" i="93" s="1"/>
  <c r="Z9" i="15"/>
  <c r="Z18" i="93" s="1"/>
  <c r="N9" i="15"/>
  <c r="N18" i="93" s="1"/>
  <c r="AD9" i="15"/>
  <c r="AD18" i="93" s="1"/>
  <c r="C9" i="15"/>
  <c r="C18" i="93" s="1"/>
  <c r="S9" i="15"/>
  <c r="S18" i="93" s="1"/>
  <c r="K9" i="15"/>
  <c r="K18" i="93" s="1"/>
  <c r="D9" i="15"/>
  <c r="D18" i="93" s="1"/>
  <c r="T9" i="15"/>
  <c r="T18" i="93" s="1"/>
  <c r="M9" i="15"/>
  <c r="M18" i="93" s="1"/>
  <c r="E9" i="15"/>
  <c r="E18" i="93" s="1"/>
  <c r="U9" i="15"/>
  <c r="U18" i="93" s="1"/>
  <c r="AA9" i="15"/>
  <c r="AA18" i="93" s="1"/>
  <c r="AC9" i="15"/>
  <c r="AC18" i="93" s="1"/>
  <c r="F9" i="15"/>
  <c r="F18" i="93" s="1"/>
  <c r="V9" i="15"/>
  <c r="V18" i="93" s="1"/>
  <c r="L9" i="15"/>
  <c r="L18" i="93" s="1"/>
  <c r="AB9" i="15"/>
  <c r="AB18" i="93" s="1"/>
  <c r="G8" i="15"/>
  <c r="G17" i="93" s="1"/>
  <c r="O8" i="15"/>
  <c r="O17" i="93" s="1"/>
  <c r="W8" i="15"/>
  <c r="W17" i="93" s="1"/>
  <c r="AE8" i="15"/>
  <c r="AE17" i="93" s="1"/>
  <c r="U8" i="15"/>
  <c r="U17" i="93" s="1"/>
  <c r="AD8" i="15"/>
  <c r="AD17" i="93" s="1"/>
  <c r="H8" i="15"/>
  <c r="H17" i="93" s="1"/>
  <c r="P8" i="15"/>
  <c r="P17" i="93" s="1"/>
  <c r="X8" i="15"/>
  <c r="X17" i="93" s="1"/>
  <c r="AF8" i="15"/>
  <c r="AF17" i="93" s="1"/>
  <c r="D8" i="15"/>
  <c r="D17" i="93" s="1"/>
  <c r="M8" i="15"/>
  <c r="M17" i="93" s="1"/>
  <c r="I8" i="15"/>
  <c r="I17" i="93" s="1"/>
  <c r="Q8" i="15"/>
  <c r="Q17" i="93" s="1"/>
  <c r="Y8" i="15"/>
  <c r="Y17" i="93" s="1"/>
  <c r="C8" i="15"/>
  <c r="C17" i="93" s="1"/>
  <c r="J8" i="15"/>
  <c r="J17" i="93" s="1"/>
  <c r="R8" i="15"/>
  <c r="R17" i="93" s="1"/>
  <c r="Z8" i="15"/>
  <c r="Z17" i="93" s="1"/>
  <c r="L8" i="15"/>
  <c r="L17" i="93" s="1"/>
  <c r="T8" i="15"/>
  <c r="T17" i="93" s="1"/>
  <c r="B8" i="15"/>
  <c r="B17" i="93" s="1"/>
  <c r="AC8" i="15"/>
  <c r="AC17" i="93" s="1"/>
  <c r="F8" i="15"/>
  <c r="F17" i="93" s="1"/>
  <c r="K8" i="15"/>
  <c r="K17" i="93" s="1"/>
  <c r="S8" i="15"/>
  <c r="S17" i="93" s="1"/>
  <c r="AA8" i="15"/>
  <c r="AA17" i="93" s="1"/>
  <c r="AB8" i="15"/>
  <c r="AB17" i="93" s="1"/>
  <c r="E8" i="15"/>
  <c r="E17" i="93" s="1"/>
  <c r="N8" i="15"/>
  <c r="N17" i="93" s="1"/>
  <c r="V8" i="15"/>
  <c r="V17" i="93" s="1"/>
  <c r="P25" i="96" l="1"/>
  <c r="P25" i="97"/>
  <c r="P25" i="15"/>
  <c r="O34" i="93"/>
  <c r="K3" i="97"/>
  <c r="B15" i="93"/>
  <c r="B74" i="93" s="1"/>
  <c r="L10" i="21"/>
  <c r="D7" i="20"/>
  <c r="D22" i="20"/>
  <c r="D26" i="20"/>
  <c r="D6" i="20"/>
  <c r="D18" i="20"/>
  <c r="D23" i="20"/>
  <c r="D21" i="20"/>
  <c r="D16" i="20"/>
  <c r="D20" i="20"/>
  <c r="D17" i="20"/>
  <c r="D9" i="20"/>
  <c r="D5" i="20"/>
  <c r="D2" i="20"/>
  <c r="D19" i="20"/>
  <c r="D14" i="20"/>
  <c r="D8" i="20"/>
  <c r="D11" i="20"/>
  <c r="D13" i="20"/>
  <c r="D12" i="20"/>
  <c r="E15" i="20"/>
  <c r="L4" i="23"/>
  <c r="L24" i="23"/>
  <c r="B144" i="93" l="1"/>
  <c r="W144" i="93" s="1"/>
  <c r="W23" i="18" s="1"/>
  <c r="B116" i="93"/>
  <c r="L116" i="93" s="1"/>
  <c r="L23" i="17" s="1"/>
  <c r="B88" i="93"/>
  <c r="Y88" i="93" s="1"/>
  <c r="Y23" i="19" s="1"/>
  <c r="B84" i="93"/>
  <c r="F84" i="93" s="1"/>
  <c r="F19" i="19" s="1"/>
  <c r="B78" i="93"/>
  <c r="H78" i="93" s="1"/>
  <c r="H13" i="19" s="1"/>
  <c r="B141" i="93"/>
  <c r="Z141" i="93" s="1"/>
  <c r="Z20" i="18" s="1"/>
  <c r="B45" i="93"/>
  <c r="C45" i="93" s="1"/>
  <c r="C8" i="16" s="1"/>
  <c r="B73" i="93"/>
  <c r="J73" i="93" s="1"/>
  <c r="J8" i="19" s="1"/>
  <c r="B133" i="93"/>
  <c r="AC133" i="93" s="1"/>
  <c r="AC12" i="18" s="1"/>
  <c r="B83" i="93"/>
  <c r="B18" i="19" s="1"/>
  <c r="B105" i="93"/>
  <c r="P105" i="93" s="1"/>
  <c r="P12" i="17" s="1"/>
  <c r="B139" i="93"/>
  <c r="L139" i="93" s="1"/>
  <c r="L18" i="18" s="1"/>
  <c r="B77" i="93"/>
  <c r="O77" i="93" s="1"/>
  <c r="O12" i="19" s="1"/>
  <c r="B75" i="93"/>
  <c r="C75" i="93" s="1"/>
  <c r="C10" i="19" s="1"/>
  <c r="B124" i="93"/>
  <c r="W124" i="93" s="1"/>
  <c r="W3" i="18" s="1"/>
  <c r="B146" i="93"/>
  <c r="N146" i="93" s="1"/>
  <c r="N25" i="18" s="1"/>
  <c r="B89" i="93"/>
  <c r="T89" i="93" s="1"/>
  <c r="T24" i="19" s="1"/>
  <c r="B95" i="93"/>
  <c r="S95" i="93" s="1"/>
  <c r="S2" i="17" s="1"/>
  <c r="B106" i="93"/>
  <c r="J106" i="93" s="1"/>
  <c r="J13" i="17" s="1"/>
  <c r="B111" i="93"/>
  <c r="L111" i="93" s="1"/>
  <c r="L18" i="17" s="1"/>
  <c r="B68" i="93"/>
  <c r="J68" i="93" s="1"/>
  <c r="J3" i="19" s="1"/>
  <c r="B138" i="93"/>
  <c r="AC138" i="93" s="1"/>
  <c r="AC17" i="18" s="1"/>
  <c r="B125" i="93"/>
  <c r="U125" i="93" s="1"/>
  <c r="U4" i="18" s="1"/>
  <c r="B134" i="93"/>
  <c r="Z134" i="93" s="1"/>
  <c r="Z13" i="18" s="1"/>
  <c r="B140" i="93"/>
  <c r="M140" i="93" s="1"/>
  <c r="M19" i="18" s="1"/>
  <c r="B39" i="93"/>
  <c r="O39" i="93" s="1"/>
  <c r="O2" i="16" s="1"/>
  <c r="B109" i="93"/>
  <c r="O109" i="93" s="1"/>
  <c r="O16" i="17" s="1"/>
  <c r="B136" i="93"/>
  <c r="H136" i="93" s="1"/>
  <c r="H15" i="18" s="1"/>
  <c r="B90" i="93"/>
  <c r="C90" i="93" s="1"/>
  <c r="C25" i="19" s="1"/>
  <c r="B80" i="93"/>
  <c r="B15" i="19" s="1"/>
  <c r="B103" i="93"/>
  <c r="Y103" i="93" s="1"/>
  <c r="Y10" i="17" s="1"/>
  <c r="B81" i="93"/>
  <c r="P81" i="93" s="1"/>
  <c r="P16" i="19" s="1"/>
  <c r="B91" i="93"/>
  <c r="X91" i="93" s="1"/>
  <c r="X26" i="19" s="1"/>
  <c r="B97" i="93"/>
  <c r="H97" i="93" s="1"/>
  <c r="H4" i="17" s="1"/>
  <c r="B113" i="93"/>
  <c r="P113" i="93" s="1"/>
  <c r="P20" i="17" s="1"/>
  <c r="B147" i="93"/>
  <c r="T147" i="93" s="1"/>
  <c r="T26" i="18" s="1"/>
  <c r="B131" i="93"/>
  <c r="AA131" i="93" s="1"/>
  <c r="AA10" i="18" s="1"/>
  <c r="B143" i="93"/>
  <c r="AD143" i="93" s="1"/>
  <c r="AD22" i="18" s="1"/>
  <c r="B86" i="93"/>
  <c r="I86" i="93" s="1"/>
  <c r="I21" i="19" s="1"/>
  <c r="B119" i="93"/>
  <c r="B26" i="17" s="1"/>
  <c r="B145" i="93"/>
  <c r="W145" i="93" s="1"/>
  <c r="W24" i="18" s="1"/>
  <c r="B87" i="93"/>
  <c r="U87" i="93" s="1"/>
  <c r="U22" i="19" s="1"/>
  <c r="B114" i="93"/>
  <c r="W114" i="93" s="1"/>
  <c r="W21" i="17" s="1"/>
  <c r="B123" i="93"/>
  <c r="C123" i="93" s="1"/>
  <c r="C2" i="18" s="1"/>
  <c r="B69" i="93"/>
  <c r="F69" i="93" s="1"/>
  <c r="F4" i="19" s="1"/>
  <c r="B115" i="93"/>
  <c r="B132" i="93"/>
  <c r="L132" i="93" s="1"/>
  <c r="L11" i="18" s="1"/>
  <c r="B117" i="93"/>
  <c r="M117" i="93" s="1"/>
  <c r="B126" i="93"/>
  <c r="E126" i="93" s="1"/>
  <c r="E5" i="18" s="1"/>
  <c r="B79" i="93"/>
  <c r="R79" i="93" s="1"/>
  <c r="R14" i="19" s="1"/>
  <c r="B142" i="93"/>
  <c r="D142" i="93" s="1"/>
  <c r="D21" i="18" s="1"/>
  <c r="B98" i="93"/>
  <c r="AB98" i="93" s="1"/>
  <c r="AB5" i="17" s="1"/>
  <c r="B130" i="93"/>
  <c r="AB130" i="93" s="1"/>
  <c r="AB9" i="18" s="1"/>
  <c r="L74" i="93"/>
  <c r="L9" i="19" s="1"/>
  <c r="B9" i="19"/>
  <c r="T74" i="93"/>
  <c r="T9" i="19" s="1"/>
  <c r="H74" i="93"/>
  <c r="H9" i="19" s="1"/>
  <c r="AB74" i="93"/>
  <c r="AB9" i="19" s="1"/>
  <c r="P74" i="93"/>
  <c r="P9" i="19" s="1"/>
  <c r="E74" i="93"/>
  <c r="E9" i="19" s="1"/>
  <c r="X74" i="93"/>
  <c r="X9" i="19" s="1"/>
  <c r="M74" i="93"/>
  <c r="M9" i="19" s="1"/>
  <c r="AF74" i="93"/>
  <c r="AF9" i="19" s="1"/>
  <c r="U74" i="93"/>
  <c r="U9" i="19" s="1"/>
  <c r="I74" i="93"/>
  <c r="I9" i="19" s="1"/>
  <c r="AC74" i="93"/>
  <c r="AC9" i="19" s="1"/>
  <c r="Q74" i="93"/>
  <c r="Q9" i="19" s="1"/>
  <c r="F74" i="93"/>
  <c r="F9" i="19" s="1"/>
  <c r="Y74" i="93"/>
  <c r="Y9" i="19" s="1"/>
  <c r="N74" i="93"/>
  <c r="N9" i="19" s="1"/>
  <c r="J74" i="93"/>
  <c r="J9" i="19" s="1"/>
  <c r="V74" i="93"/>
  <c r="V9" i="19" s="1"/>
  <c r="R74" i="93"/>
  <c r="R9" i="19" s="1"/>
  <c r="AD74" i="93"/>
  <c r="AD9" i="19" s="1"/>
  <c r="Z74" i="93"/>
  <c r="Z9" i="19" s="1"/>
  <c r="G74" i="93"/>
  <c r="G9" i="19" s="1"/>
  <c r="K74" i="93"/>
  <c r="K9" i="19" s="1"/>
  <c r="O74" i="93"/>
  <c r="O9" i="19" s="1"/>
  <c r="S74" i="93"/>
  <c r="S9" i="19" s="1"/>
  <c r="W74" i="93"/>
  <c r="W9" i="19" s="1"/>
  <c r="AA74" i="93"/>
  <c r="AA9" i="19" s="1"/>
  <c r="AE74" i="93"/>
  <c r="AE9" i="19" s="1"/>
  <c r="D74" i="93"/>
  <c r="D9" i="19" s="1"/>
  <c r="C74" i="93"/>
  <c r="C9" i="19" s="1"/>
  <c r="X68" i="93"/>
  <c r="H144" i="93"/>
  <c r="H23" i="18" s="1"/>
  <c r="J144" i="93"/>
  <c r="J23" i="18" s="1"/>
  <c r="P144" i="93"/>
  <c r="P23" i="18" s="1"/>
  <c r="AB144" i="93"/>
  <c r="AB23" i="18" s="1"/>
  <c r="C144" i="93"/>
  <c r="C23" i="18" s="1"/>
  <c r="E144" i="93"/>
  <c r="E23" i="18" s="1"/>
  <c r="K144" i="93"/>
  <c r="K23" i="18" s="1"/>
  <c r="N144" i="93"/>
  <c r="N23" i="18" s="1"/>
  <c r="T144" i="93"/>
  <c r="T23" i="18" s="1"/>
  <c r="O144" i="93"/>
  <c r="O23" i="18" s="1"/>
  <c r="U144" i="93"/>
  <c r="U23" i="18" s="1"/>
  <c r="Y144" i="93"/>
  <c r="Y23" i="18" s="1"/>
  <c r="AD144" i="93"/>
  <c r="AD23" i="18" s="1"/>
  <c r="Q144" i="93"/>
  <c r="Q23" i="18" s="1"/>
  <c r="Z144" i="93"/>
  <c r="Z23" i="18" s="1"/>
  <c r="V144" i="93"/>
  <c r="V23" i="18" s="1"/>
  <c r="I144" i="93"/>
  <c r="I23" i="18" s="1"/>
  <c r="AE144" i="93"/>
  <c r="AE23" i="18" s="1"/>
  <c r="B23" i="18"/>
  <c r="AA144" i="93"/>
  <c r="AA23" i="18" s="1"/>
  <c r="AA116" i="93"/>
  <c r="AA23" i="17" s="1"/>
  <c r="W116" i="93"/>
  <c r="W23" i="17" s="1"/>
  <c r="D116" i="93"/>
  <c r="D23" i="17" s="1"/>
  <c r="AE116" i="93"/>
  <c r="AE23" i="17" s="1"/>
  <c r="T116" i="93"/>
  <c r="T23" i="17" s="1"/>
  <c r="AB116" i="93"/>
  <c r="AB23" i="17" s="1"/>
  <c r="X116" i="93"/>
  <c r="X23" i="17" s="1"/>
  <c r="C116" i="93"/>
  <c r="C23" i="17" s="1"/>
  <c r="AF116" i="93"/>
  <c r="AF23" i="17" s="1"/>
  <c r="B23" i="17"/>
  <c r="M116" i="93"/>
  <c r="M23" i="17" s="1"/>
  <c r="I116" i="93"/>
  <c r="I23" i="17" s="1"/>
  <c r="U116" i="93"/>
  <c r="U23" i="17" s="1"/>
  <c r="Z116" i="93"/>
  <c r="Z23" i="17" s="1"/>
  <c r="AC116" i="93"/>
  <c r="AC23" i="17" s="1"/>
  <c r="N116" i="93"/>
  <c r="N23" i="17" s="1"/>
  <c r="G116" i="93"/>
  <c r="G23" i="17" s="1"/>
  <c r="Q116" i="93"/>
  <c r="Q23" i="17" s="1"/>
  <c r="Y116" i="93"/>
  <c r="Y23" i="17" s="1"/>
  <c r="J116" i="93"/>
  <c r="J23" i="17" s="1"/>
  <c r="AE91" i="93"/>
  <c r="AE26" i="19" s="1"/>
  <c r="D91" i="93"/>
  <c r="D26" i="19" s="1"/>
  <c r="H91" i="93"/>
  <c r="H26" i="19" s="1"/>
  <c r="L91" i="93"/>
  <c r="L26" i="19" s="1"/>
  <c r="P91" i="93"/>
  <c r="P26" i="19" s="1"/>
  <c r="T91" i="93"/>
  <c r="T26" i="19" s="1"/>
  <c r="AF91" i="93"/>
  <c r="AF26" i="19" s="1"/>
  <c r="C91" i="93"/>
  <c r="C26" i="19" s="1"/>
  <c r="M91" i="93"/>
  <c r="M26" i="19" s="1"/>
  <c r="I91" i="93"/>
  <c r="I26" i="19" s="1"/>
  <c r="U91" i="93"/>
  <c r="U26" i="19" s="1"/>
  <c r="Q91" i="93"/>
  <c r="Q26" i="19" s="1"/>
  <c r="AC91" i="93"/>
  <c r="AC26" i="19" s="1"/>
  <c r="N91" i="93"/>
  <c r="N26" i="19" s="1"/>
  <c r="R91" i="93"/>
  <c r="R26" i="19" s="1"/>
  <c r="V91" i="93"/>
  <c r="V26" i="19" s="1"/>
  <c r="B26" i="19"/>
  <c r="K91" i="93"/>
  <c r="K26" i="19" s="1"/>
  <c r="O91" i="93"/>
  <c r="O26" i="19" s="1"/>
  <c r="S91" i="93"/>
  <c r="S26" i="19" s="1"/>
  <c r="W91" i="93"/>
  <c r="W26" i="19" s="1"/>
  <c r="AA84" i="93"/>
  <c r="AA19" i="19" s="1"/>
  <c r="H84" i="93"/>
  <c r="H19" i="19" s="1"/>
  <c r="P84" i="93"/>
  <c r="P19" i="19" s="1"/>
  <c r="C84" i="93"/>
  <c r="C19" i="19" s="1"/>
  <c r="M84" i="93"/>
  <c r="M19" i="19" s="1"/>
  <c r="E147" i="93"/>
  <c r="E26" i="18" s="1"/>
  <c r="C147" i="93"/>
  <c r="C26" i="18" s="1"/>
  <c r="M147" i="93"/>
  <c r="M26" i="18" s="1"/>
  <c r="AC147" i="93"/>
  <c r="AC26" i="18" s="1"/>
  <c r="AE147" i="93"/>
  <c r="AE26" i="18" s="1"/>
  <c r="B4" i="17"/>
  <c r="W97" i="93"/>
  <c r="W4" i="17" s="1"/>
  <c r="AA97" i="93"/>
  <c r="AA4" i="17" s="1"/>
  <c r="AE97" i="93"/>
  <c r="AE4" i="17" s="1"/>
  <c r="AB97" i="93"/>
  <c r="AB4" i="17" s="1"/>
  <c r="AF97" i="93"/>
  <c r="AF4" i="17" s="1"/>
  <c r="C97" i="93"/>
  <c r="C4" i="17" s="1"/>
  <c r="J97" i="93"/>
  <c r="J4" i="17" s="1"/>
  <c r="R97" i="93"/>
  <c r="R4" i="17" s="1"/>
  <c r="X97" i="93"/>
  <c r="X4" i="17" s="1"/>
  <c r="K97" i="93"/>
  <c r="K4" i="17" s="1"/>
  <c r="D97" i="93"/>
  <c r="D4" i="17" s="1"/>
  <c r="L97" i="93"/>
  <c r="L4" i="17" s="1"/>
  <c r="U97" i="93"/>
  <c r="U4" i="17" s="1"/>
  <c r="AC97" i="93"/>
  <c r="AC4" i="17" s="1"/>
  <c r="F97" i="93"/>
  <c r="F4" i="17" s="1"/>
  <c r="N97" i="93"/>
  <c r="N4" i="17" s="1"/>
  <c r="V97" i="93"/>
  <c r="V4" i="17" s="1"/>
  <c r="AD97" i="93"/>
  <c r="AD4" i="17" s="1"/>
  <c r="G97" i="93"/>
  <c r="G4" i="17" s="1"/>
  <c r="O97" i="93"/>
  <c r="O4" i="17" s="1"/>
  <c r="L142" i="93"/>
  <c r="L21" i="18" s="1"/>
  <c r="B21" i="18"/>
  <c r="T142" i="93"/>
  <c r="T21" i="18" s="1"/>
  <c r="AB142" i="93"/>
  <c r="AB21" i="18" s="1"/>
  <c r="E142" i="93"/>
  <c r="E21" i="18" s="1"/>
  <c r="X142" i="93"/>
  <c r="X21" i="18" s="1"/>
  <c r="M142" i="93"/>
  <c r="M21" i="18" s="1"/>
  <c r="I142" i="93"/>
  <c r="I21" i="18" s="1"/>
  <c r="G142" i="93"/>
  <c r="G21" i="18" s="1"/>
  <c r="Z142" i="93"/>
  <c r="Z21" i="18" s="1"/>
  <c r="O142" i="93"/>
  <c r="O21" i="18" s="1"/>
  <c r="K142" i="93"/>
  <c r="K21" i="18" s="1"/>
  <c r="W142" i="93"/>
  <c r="W21" i="18" s="1"/>
  <c r="AE142" i="93"/>
  <c r="AE21" i="18" s="1"/>
  <c r="S142" i="93"/>
  <c r="S21" i="18" s="1"/>
  <c r="AC143" i="93"/>
  <c r="AC22" i="18" s="1"/>
  <c r="AA143" i="93"/>
  <c r="AA22" i="18" s="1"/>
  <c r="F143" i="93"/>
  <c r="F22" i="18" s="1"/>
  <c r="H143" i="93"/>
  <c r="H22" i="18" s="1"/>
  <c r="G143" i="93"/>
  <c r="G22" i="18" s="1"/>
  <c r="AE143" i="93"/>
  <c r="AE22" i="18" s="1"/>
  <c r="P143" i="93"/>
  <c r="P22" i="18" s="1"/>
  <c r="I143" i="93"/>
  <c r="I22" i="18" s="1"/>
  <c r="B22" i="18"/>
  <c r="AF88" i="93"/>
  <c r="AF23" i="19" s="1"/>
  <c r="AC88" i="93"/>
  <c r="AC23" i="19" s="1"/>
  <c r="E88" i="93"/>
  <c r="E23" i="19" s="1"/>
  <c r="O88" i="93"/>
  <c r="O23" i="19" s="1"/>
  <c r="U88" i="93"/>
  <c r="U23" i="19" s="1"/>
  <c r="X88" i="93"/>
  <c r="X23" i="19" s="1"/>
  <c r="AD88" i="93"/>
  <c r="AD23" i="19" s="1"/>
  <c r="C88" i="93"/>
  <c r="C23" i="19" s="1"/>
  <c r="J88" i="93"/>
  <c r="J23" i="19" s="1"/>
  <c r="R88" i="93"/>
  <c r="R23" i="19" s="1"/>
  <c r="AA88" i="93"/>
  <c r="AA23" i="19" s="1"/>
  <c r="V88" i="93"/>
  <c r="V23" i="19" s="1"/>
  <c r="I88" i="93"/>
  <c r="I23" i="19" s="1"/>
  <c r="D88" i="93"/>
  <c r="D23" i="19" s="1"/>
  <c r="AB88" i="93"/>
  <c r="AB23" i="19" s="1"/>
  <c r="N88" i="93"/>
  <c r="N23" i="19" s="1"/>
  <c r="P79" i="93"/>
  <c r="P14" i="19" s="1"/>
  <c r="E79" i="93"/>
  <c r="E14" i="19" s="1"/>
  <c r="X79" i="93"/>
  <c r="X14" i="19" s="1"/>
  <c r="U79" i="93"/>
  <c r="U14" i="19" s="1"/>
  <c r="I79" i="93"/>
  <c r="I14" i="19" s="1"/>
  <c r="AC79" i="93"/>
  <c r="AC14" i="19" s="1"/>
  <c r="Q79" i="93"/>
  <c r="Q14" i="19" s="1"/>
  <c r="F79" i="93"/>
  <c r="F14" i="19" s="1"/>
  <c r="Y79" i="93"/>
  <c r="Y14" i="19" s="1"/>
  <c r="N79" i="93"/>
  <c r="N14" i="19" s="1"/>
  <c r="J79" i="93"/>
  <c r="J14" i="19" s="1"/>
  <c r="V79" i="93"/>
  <c r="V14" i="19" s="1"/>
  <c r="AD79" i="93"/>
  <c r="AD14" i="19" s="1"/>
  <c r="Z79" i="93"/>
  <c r="Z14" i="19" s="1"/>
  <c r="C79" i="93"/>
  <c r="C14" i="19" s="1"/>
  <c r="K79" i="93"/>
  <c r="K14" i="19" s="1"/>
  <c r="G79" i="93"/>
  <c r="G14" i="19" s="1"/>
  <c r="AA79" i="93"/>
  <c r="AA14" i="19" s="1"/>
  <c r="O79" i="93"/>
  <c r="O14" i="19" s="1"/>
  <c r="D79" i="93"/>
  <c r="D14" i="19" s="1"/>
  <c r="W79" i="93"/>
  <c r="W14" i="19" s="1"/>
  <c r="L79" i="93"/>
  <c r="L14" i="19" s="1"/>
  <c r="AE79" i="93"/>
  <c r="AE14" i="19" s="1"/>
  <c r="T79" i="93"/>
  <c r="T14" i="19" s="1"/>
  <c r="H79" i="93"/>
  <c r="H14" i="19" s="1"/>
  <c r="Z106" i="93"/>
  <c r="Z13" i="17" s="1"/>
  <c r="K106" i="93"/>
  <c r="K13" i="17" s="1"/>
  <c r="AD106" i="93"/>
  <c r="AD13" i="17" s="1"/>
  <c r="S106" i="93"/>
  <c r="S13" i="17" s="1"/>
  <c r="G106" i="93"/>
  <c r="G13" i="17" s="1"/>
  <c r="AA106" i="93"/>
  <c r="AA13" i="17" s="1"/>
  <c r="O106" i="93"/>
  <c r="O13" i="17" s="1"/>
  <c r="C106" i="93"/>
  <c r="C13" i="17" s="1"/>
  <c r="AE106" i="93"/>
  <c r="AE13" i="17" s="1"/>
  <c r="P106" i="93"/>
  <c r="P13" i="17" s="1"/>
  <c r="E106" i="93"/>
  <c r="E13" i="17" s="1"/>
  <c r="I106" i="93"/>
  <c r="I13" i="17" s="1"/>
  <c r="M106" i="93"/>
  <c r="M13" i="17" s="1"/>
  <c r="T98" i="93"/>
  <c r="T5" i="17" s="1"/>
  <c r="X98" i="93"/>
  <c r="X5" i="17" s="1"/>
  <c r="F98" i="93"/>
  <c r="F5" i="17" s="1"/>
  <c r="R98" i="93"/>
  <c r="R5" i="17" s="1"/>
  <c r="AA98" i="93"/>
  <c r="AA5" i="17" s="1"/>
  <c r="O98" i="93"/>
  <c r="O5" i="17" s="1"/>
  <c r="W98" i="93"/>
  <c r="W5" i="17" s="1"/>
  <c r="B5" i="17"/>
  <c r="B5" i="18"/>
  <c r="T126" i="93"/>
  <c r="T5" i="18" s="1"/>
  <c r="H126" i="93"/>
  <c r="H5" i="18" s="1"/>
  <c r="AB126" i="93"/>
  <c r="AB5" i="18" s="1"/>
  <c r="P126" i="93"/>
  <c r="P5" i="18" s="1"/>
  <c r="M126" i="93"/>
  <c r="M5" i="18" s="1"/>
  <c r="AF126" i="93"/>
  <c r="AF5" i="18" s="1"/>
  <c r="U126" i="93"/>
  <c r="U5" i="18" s="1"/>
  <c r="I126" i="93"/>
  <c r="I5" i="18" s="1"/>
  <c r="AC126" i="93"/>
  <c r="AC5" i="18" s="1"/>
  <c r="Q126" i="93"/>
  <c r="Q5" i="18" s="1"/>
  <c r="F126" i="93"/>
  <c r="F5" i="18" s="1"/>
  <c r="Y126" i="93"/>
  <c r="Y5" i="18" s="1"/>
  <c r="N126" i="93"/>
  <c r="N5" i="18" s="1"/>
  <c r="J126" i="93"/>
  <c r="J5" i="18" s="1"/>
  <c r="V126" i="93"/>
  <c r="V5" i="18" s="1"/>
  <c r="R126" i="93"/>
  <c r="R5" i="18" s="1"/>
  <c r="AD126" i="93"/>
  <c r="AD5" i="18" s="1"/>
  <c r="Z126" i="93"/>
  <c r="Z5" i="18" s="1"/>
  <c r="O126" i="93"/>
  <c r="O5" i="18" s="1"/>
  <c r="S126" i="93"/>
  <c r="S5" i="18" s="1"/>
  <c r="W126" i="93"/>
  <c r="W5" i="18" s="1"/>
  <c r="AA126" i="93"/>
  <c r="AA5" i="18" s="1"/>
  <c r="AE126" i="93"/>
  <c r="AE5" i="18" s="1"/>
  <c r="D126" i="93"/>
  <c r="D5" i="18" s="1"/>
  <c r="C126" i="93"/>
  <c r="C5" i="18" s="1"/>
  <c r="L126" i="93"/>
  <c r="L5" i="18" s="1"/>
  <c r="Y113" i="93"/>
  <c r="Y20" i="17" s="1"/>
  <c r="AA113" i="93"/>
  <c r="AA20" i="17" s="1"/>
  <c r="C113" i="93"/>
  <c r="C20" i="17" s="1"/>
  <c r="L113" i="93"/>
  <c r="L20" i="17" s="1"/>
  <c r="AE113" i="93"/>
  <c r="AE20" i="17" s="1"/>
  <c r="E113" i="93"/>
  <c r="E20" i="17" s="1"/>
  <c r="AF113" i="93"/>
  <c r="AF20" i="17" s="1"/>
  <c r="U113" i="93"/>
  <c r="U20" i="17" s="1"/>
  <c r="X113" i="93"/>
  <c r="X20" i="17" s="1"/>
  <c r="B20" i="17"/>
  <c r="G113" i="93"/>
  <c r="G20" i="17" s="1"/>
  <c r="I113" i="93"/>
  <c r="I20" i="17" s="1"/>
  <c r="R130" i="93"/>
  <c r="R9" i="18" s="1"/>
  <c r="B107" i="93"/>
  <c r="B137" i="93"/>
  <c r="B110" i="93"/>
  <c r="B70" i="93"/>
  <c r="B102" i="93"/>
  <c r="W111" i="93"/>
  <c r="W18" i="17" s="1"/>
  <c r="Y111" i="93"/>
  <c r="Y18" i="17" s="1"/>
  <c r="U111" i="93"/>
  <c r="U18" i="17" s="1"/>
  <c r="AC111" i="93"/>
  <c r="AC18" i="17" s="1"/>
  <c r="J111" i="93"/>
  <c r="J18" i="17" s="1"/>
  <c r="F111" i="93"/>
  <c r="F18" i="17" s="1"/>
  <c r="G111" i="93"/>
  <c r="G18" i="17" s="1"/>
  <c r="K111" i="93"/>
  <c r="K18" i="17" s="1"/>
  <c r="B59" i="93"/>
  <c r="R59" i="93" s="1"/>
  <c r="R22" i="16" s="1"/>
  <c r="B135" i="93"/>
  <c r="B85" i="93"/>
  <c r="B112" i="93"/>
  <c r="B67" i="93"/>
  <c r="Y141" i="93"/>
  <c r="Y20" i="18" s="1"/>
  <c r="AC141" i="93"/>
  <c r="AC20" i="18" s="1"/>
  <c r="J141" i="93"/>
  <c r="J20" i="18" s="1"/>
  <c r="F141" i="93"/>
  <c r="F20" i="18" s="1"/>
  <c r="R141" i="93"/>
  <c r="R20" i="18" s="1"/>
  <c r="W141" i="93"/>
  <c r="W20" i="18" s="1"/>
  <c r="L141" i="93"/>
  <c r="L20" i="18" s="1"/>
  <c r="P138" i="93"/>
  <c r="P17" i="18" s="1"/>
  <c r="T138" i="93"/>
  <c r="T17" i="18" s="1"/>
  <c r="X138" i="93"/>
  <c r="X17" i="18" s="1"/>
  <c r="AB138" i="93"/>
  <c r="AB17" i="18" s="1"/>
  <c r="AD138" i="93"/>
  <c r="AD17" i="18" s="1"/>
  <c r="S138" i="93"/>
  <c r="S17" i="18" s="1"/>
  <c r="B24" i="19"/>
  <c r="X89" i="93"/>
  <c r="X24" i="19" s="1"/>
  <c r="E89" i="93"/>
  <c r="E24" i="19" s="1"/>
  <c r="AF89" i="93"/>
  <c r="AF24" i="19" s="1"/>
  <c r="M89" i="93"/>
  <c r="M24" i="19" s="1"/>
  <c r="C89" i="93"/>
  <c r="C24" i="19" s="1"/>
  <c r="U89" i="93"/>
  <c r="U24" i="19" s="1"/>
  <c r="G89" i="93"/>
  <c r="G24" i="19" s="1"/>
  <c r="K89" i="93"/>
  <c r="K24" i="19" s="1"/>
  <c r="P89" i="93"/>
  <c r="P24" i="19" s="1"/>
  <c r="Y89" i="93"/>
  <c r="Y24" i="19" s="1"/>
  <c r="AC89" i="93"/>
  <c r="AC24" i="19" s="1"/>
  <c r="H89" i="93"/>
  <c r="H24" i="19" s="1"/>
  <c r="L89" i="93"/>
  <c r="L24" i="19" s="1"/>
  <c r="Q89" i="93"/>
  <c r="Q24" i="19" s="1"/>
  <c r="V89" i="93"/>
  <c r="V24" i="19" s="1"/>
  <c r="Z89" i="93"/>
  <c r="Z24" i="19" s="1"/>
  <c r="AD89" i="93"/>
  <c r="AD24" i="19" s="1"/>
  <c r="I89" i="93"/>
  <c r="I24" i="19" s="1"/>
  <c r="D89" i="93"/>
  <c r="D24" i="19" s="1"/>
  <c r="R89" i="93"/>
  <c r="R24" i="19" s="1"/>
  <c r="N89" i="93"/>
  <c r="N24" i="19" s="1"/>
  <c r="AA89" i="93"/>
  <c r="AA24" i="19" s="1"/>
  <c r="W89" i="93"/>
  <c r="W24" i="19" s="1"/>
  <c r="J89" i="93"/>
  <c r="J24" i="19" s="1"/>
  <c r="S89" i="93"/>
  <c r="S24" i="19" s="1"/>
  <c r="F89" i="93"/>
  <c r="F24" i="19" s="1"/>
  <c r="AB89" i="93"/>
  <c r="AB24" i="19" s="1"/>
  <c r="O89" i="93"/>
  <c r="O24" i="19" s="1"/>
  <c r="B46" i="93"/>
  <c r="K46" i="93" s="1"/>
  <c r="K9" i="16" s="1"/>
  <c r="B71" i="93"/>
  <c r="B99" i="93"/>
  <c r="B127" i="93"/>
  <c r="B101" i="93"/>
  <c r="B104" i="93"/>
  <c r="B82" i="93"/>
  <c r="B96" i="93"/>
  <c r="B128" i="93"/>
  <c r="AB78" i="93"/>
  <c r="AB13" i="19" s="1"/>
  <c r="M78" i="93"/>
  <c r="M13" i="19" s="1"/>
  <c r="U95" i="93"/>
  <c r="U2" i="17" s="1"/>
  <c r="Y95" i="93"/>
  <c r="Y2" i="17" s="1"/>
  <c r="AC95" i="93"/>
  <c r="AC2" i="17" s="1"/>
  <c r="R95" i="93"/>
  <c r="R2" i="17" s="1"/>
  <c r="N95" i="93"/>
  <c r="N2" i="17" s="1"/>
  <c r="Z95" i="93"/>
  <c r="Z2" i="17" s="1"/>
  <c r="V95" i="93"/>
  <c r="V2" i="17" s="1"/>
  <c r="C95" i="93"/>
  <c r="C2" i="17" s="1"/>
  <c r="AD95" i="93"/>
  <c r="AD2" i="17" s="1"/>
  <c r="B2" i="17"/>
  <c r="K95" i="93"/>
  <c r="K2" i="17" s="1"/>
  <c r="O95" i="93"/>
  <c r="O2" i="17" s="1"/>
  <c r="W95" i="93"/>
  <c r="W2" i="17" s="1"/>
  <c r="AA95" i="93"/>
  <c r="AA2" i="17" s="1"/>
  <c r="AE95" i="93"/>
  <c r="AE2" i="17" s="1"/>
  <c r="AB95" i="93"/>
  <c r="AB2" i="17" s="1"/>
  <c r="I95" i="93"/>
  <c r="I2" i="17" s="1"/>
  <c r="L95" i="93"/>
  <c r="L2" i="17" s="1"/>
  <c r="T95" i="93"/>
  <c r="T2" i="17" s="1"/>
  <c r="M95" i="93"/>
  <c r="M2" i="17" s="1"/>
  <c r="G95" i="93"/>
  <c r="G2" i="17" s="1"/>
  <c r="H95" i="93"/>
  <c r="H2" i="17" s="1"/>
  <c r="P95" i="93"/>
  <c r="P2" i="17" s="1"/>
  <c r="X95" i="93"/>
  <c r="X2" i="17" s="1"/>
  <c r="Q95" i="93"/>
  <c r="Q2" i="17" s="1"/>
  <c r="B100" i="93"/>
  <c r="B129" i="93"/>
  <c r="B76" i="93"/>
  <c r="B108" i="93"/>
  <c r="B118" i="93"/>
  <c r="O118" i="93" s="1"/>
  <c r="B72" i="93"/>
  <c r="Q25" i="15"/>
  <c r="P34" i="93"/>
  <c r="D45" i="93"/>
  <c r="D8" i="16" s="1"/>
  <c r="Q25" i="97"/>
  <c r="L3" i="97"/>
  <c r="Q25" i="96"/>
  <c r="B55" i="93"/>
  <c r="B54" i="93"/>
  <c r="B42" i="93"/>
  <c r="B62" i="93"/>
  <c r="B40" i="93"/>
  <c r="B60" i="93"/>
  <c r="B58" i="93"/>
  <c r="B52" i="93"/>
  <c r="B41" i="93"/>
  <c r="B57" i="93"/>
  <c r="B48" i="93"/>
  <c r="B56" i="93"/>
  <c r="B51" i="93"/>
  <c r="B53" i="93"/>
  <c r="B63" i="93"/>
  <c r="B44" i="93"/>
  <c r="B43" i="93"/>
  <c r="B49" i="93"/>
  <c r="B50" i="93"/>
  <c r="B47" i="93"/>
  <c r="B61" i="93"/>
  <c r="M10" i="21"/>
  <c r="E2" i="20"/>
  <c r="E20" i="20"/>
  <c r="E18" i="20"/>
  <c r="E7" i="20"/>
  <c r="F15" i="20"/>
  <c r="E8" i="20"/>
  <c r="E5" i="20"/>
  <c r="E16" i="20"/>
  <c r="E6" i="20"/>
  <c r="E12" i="20"/>
  <c r="E26" i="20"/>
  <c r="E11" i="20"/>
  <c r="E14" i="20"/>
  <c r="E9" i="20"/>
  <c r="E21" i="20"/>
  <c r="E13" i="20"/>
  <c r="E19" i="20"/>
  <c r="E17" i="20"/>
  <c r="E23" i="20"/>
  <c r="E22" i="20"/>
  <c r="M24" i="23"/>
  <c r="M4" i="23"/>
  <c r="Z131" i="93" l="1"/>
  <c r="Z10" i="18" s="1"/>
  <c r="N130" i="93"/>
  <c r="N9" i="18" s="1"/>
  <c r="W119" i="93"/>
  <c r="W26" i="17" s="1"/>
  <c r="S119" i="93"/>
  <c r="S26" i="17" s="1"/>
  <c r="E97" i="93"/>
  <c r="E4" i="17" s="1"/>
  <c r="Q111" i="93"/>
  <c r="Q18" i="17" s="1"/>
  <c r="P98" i="93"/>
  <c r="P5" i="17" s="1"/>
  <c r="AA68" i="93"/>
  <c r="AB111" i="93"/>
  <c r="AB18" i="17" s="1"/>
  <c r="M113" i="93"/>
  <c r="M20" i="17" s="1"/>
  <c r="L98" i="93"/>
  <c r="L5" i="17" s="1"/>
  <c r="Y106" i="93"/>
  <c r="Y13" i="17" s="1"/>
  <c r="S88" i="93"/>
  <c r="S23" i="19" s="1"/>
  <c r="Q142" i="93"/>
  <c r="Q21" i="18" s="1"/>
  <c r="K84" i="93"/>
  <c r="K19" i="19" s="1"/>
  <c r="G68" i="93"/>
  <c r="G3" i="19" s="1"/>
  <c r="AA133" i="93"/>
  <c r="AA12" i="18" s="1"/>
  <c r="G84" i="93"/>
  <c r="G19" i="19" s="1"/>
  <c r="AA111" i="93"/>
  <c r="AA18" i="17" s="1"/>
  <c r="T113" i="93"/>
  <c r="T20" i="17" s="1"/>
  <c r="Q106" i="93"/>
  <c r="Q13" i="17" s="1"/>
  <c r="U106" i="93"/>
  <c r="U13" i="17" s="1"/>
  <c r="AE88" i="93"/>
  <c r="AE23" i="19" s="1"/>
  <c r="F142" i="93"/>
  <c r="F21" i="18" s="1"/>
  <c r="AD84" i="93"/>
  <c r="AD19" i="19" s="1"/>
  <c r="S68" i="93"/>
  <c r="U147" i="93"/>
  <c r="U26" i="18" s="1"/>
  <c r="H98" i="93"/>
  <c r="H5" i="17" s="1"/>
  <c r="D98" i="93"/>
  <c r="D5" i="17" s="1"/>
  <c r="AA147" i="93"/>
  <c r="AA26" i="18" s="1"/>
  <c r="K113" i="93"/>
  <c r="K20" i="17" s="1"/>
  <c r="AE98" i="93"/>
  <c r="AE5" i="17" s="1"/>
  <c r="L106" i="93"/>
  <c r="L13" i="17" s="1"/>
  <c r="P88" i="93"/>
  <c r="P23" i="19" s="1"/>
  <c r="P142" i="93"/>
  <c r="P21" i="18" s="1"/>
  <c r="O147" i="93"/>
  <c r="O26" i="18" s="1"/>
  <c r="K138" i="93"/>
  <c r="K17" i="18" s="1"/>
  <c r="V138" i="93"/>
  <c r="V17" i="18" s="1"/>
  <c r="P131" i="93"/>
  <c r="P10" i="18" s="1"/>
  <c r="J91" i="93"/>
  <c r="J26" i="19" s="1"/>
  <c r="AA91" i="93"/>
  <c r="AA26" i="19" s="1"/>
  <c r="L144" i="93"/>
  <c r="L23" i="18" s="1"/>
  <c r="X86" i="93"/>
  <c r="X21" i="19" s="1"/>
  <c r="Z138" i="93"/>
  <c r="Z17" i="18" s="1"/>
  <c r="M141" i="93"/>
  <c r="M20" i="18" s="1"/>
  <c r="K126" i="93"/>
  <c r="K5" i="18" s="1"/>
  <c r="X126" i="93"/>
  <c r="X5" i="18" s="1"/>
  <c r="F91" i="93"/>
  <c r="F26" i="19" s="1"/>
  <c r="F144" i="93"/>
  <c r="F23" i="18" s="1"/>
  <c r="U141" i="93"/>
  <c r="U20" i="18" s="1"/>
  <c r="Q78" i="93"/>
  <c r="Q13" i="19" s="1"/>
  <c r="Q141" i="93"/>
  <c r="Q20" i="18" s="1"/>
  <c r="E78" i="93"/>
  <c r="E13" i="19" s="1"/>
  <c r="I78" i="93"/>
  <c r="I13" i="19" s="1"/>
  <c r="AE89" i="93"/>
  <c r="AE24" i="19" s="1"/>
  <c r="Y138" i="93"/>
  <c r="Y17" i="18" s="1"/>
  <c r="I141" i="93"/>
  <c r="I20" i="18" s="1"/>
  <c r="G126" i="93"/>
  <c r="G5" i="18" s="1"/>
  <c r="O84" i="93"/>
  <c r="O19" i="19" s="1"/>
  <c r="Y91" i="93"/>
  <c r="Y26" i="19" s="1"/>
  <c r="AC144" i="93"/>
  <c r="AC23" i="18" s="1"/>
  <c r="U138" i="93"/>
  <c r="U17" i="18" s="1"/>
  <c r="AE78" i="93"/>
  <c r="AE13" i="19" s="1"/>
  <c r="J130" i="93"/>
  <c r="J9" i="18" s="1"/>
  <c r="C68" i="93"/>
  <c r="C3" i="19" s="1"/>
  <c r="X111" i="93"/>
  <c r="X18" i="17" s="1"/>
  <c r="H130" i="93"/>
  <c r="H9" i="18" s="1"/>
  <c r="K98" i="93"/>
  <c r="K5" i="17" s="1"/>
  <c r="AB147" i="93"/>
  <c r="AB26" i="18" s="1"/>
  <c r="Y84" i="93"/>
  <c r="Y19" i="19" s="1"/>
  <c r="AC68" i="93"/>
  <c r="E95" i="93"/>
  <c r="E2" i="17" s="1"/>
  <c r="F95" i="93"/>
  <c r="F2" i="17" s="1"/>
  <c r="D111" i="93"/>
  <c r="D18" i="17" s="1"/>
  <c r="Q113" i="93"/>
  <c r="Q20" i="17" s="1"/>
  <c r="D113" i="93"/>
  <c r="D20" i="17" s="1"/>
  <c r="Z98" i="93"/>
  <c r="Z5" i="17" s="1"/>
  <c r="AB106" i="93"/>
  <c r="AB13" i="17" s="1"/>
  <c r="R106" i="93"/>
  <c r="R13" i="17" s="1"/>
  <c r="S79" i="93"/>
  <c r="S14" i="19" s="1"/>
  <c r="AF79" i="93"/>
  <c r="AF14" i="19" s="1"/>
  <c r="F88" i="93"/>
  <c r="F23" i="19" s="1"/>
  <c r="J142" i="93"/>
  <c r="J21" i="18" s="1"/>
  <c r="AA142" i="93"/>
  <c r="AA21" i="18" s="1"/>
  <c r="M97" i="93"/>
  <c r="M4" i="17" s="1"/>
  <c r="S97" i="93"/>
  <c r="S4" i="17" s="1"/>
  <c r="P147" i="93"/>
  <c r="P26" i="18" s="1"/>
  <c r="V116" i="93"/>
  <c r="V23" i="17" s="1"/>
  <c r="O116" i="93"/>
  <c r="O23" i="17" s="1"/>
  <c r="I68" i="93"/>
  <c r="I3" i="19" s="1"/>
  <c r="Z68" i="93"/>
  <c r="M130" i="93"/>
  <c r="M9" i="18" s="1"/>
  <c r="Q68" i="93"/>
  <c r="H111" i="93"/>
  <c r="H18" i="17" s="1"/>
  <c r="W113" i="93"/>
  <c r="W20" i="17" s="1"/>
  <c r="AD113" i="93"/>
  <c r="AD20" i="17" s="1"/>
  <c r="V98" i="93"/>
  <c r="V5" i="17" s="1"/>
  <c r="AF106" i="93"/>
  <c r="AF13" i="17" s="1"/>
  <c r="N106" i="93"/>
  <c r="N13" i="17" s="1"/>
  <c r="Q88" i="93"/>
  <c r="Q23" i="19" s="1"/>
  <c r="AD142" i="93"/>
  <c r="AD21" i="18" s="1"/>
  <c r="C142" i="93"/>
  <c r="C21" i="18" s="1"/>
  <c r="X147" i="93"/>
  <c r="X26" i="18" s="1"/>
  <c r="V84" i="93"/>
  <c r="V19" i="19" s="1"/>
  <c r="AF95" i="93"/>
  <c r="AF2" i="17" s="1"/>
  <c r="J95" i="93"/>
  <c r="J2" i="17" s="1"/>
  <c r="O111" i="93"/>
  <c r="O18" i="17" s="1"/>
  <c r="AE111" i="93"/>
  <c r="AE18" i="17" s="1"/>
  <c r="O113" i="93"/>
  <c r="O20" i="17" s="1"/>
  <c r="AB113" i="93"/>
  <c r="AB20" i="17" s="1"/>
  <c r="N98" i="93"/>
  <c r="N5" i="17" s="1"/>
  <c r="T106" i="93"/>
  <c r="T13" i="17" s="1"/>
  <c r="AC106" i="93"/>
  <c r="AC13" i="17" s="1"/>
  <c r="B14" i="19"/>
  <c r="M79" i="93"/>
  <c r="M14" i="19" s="1"/>
  <c r="H88" i="93"/>
  <c r="H23" i="19" s="1"/>
  <c r="V142" i="93"/>
  <c r="V21" i="18" s="1"/>
  <c r="C131" i="93"/>
  <c r="C10" i="18" s="1"/>
  <c r="T97" i="93"/>
  <c r="T4" i="17" s="1"/>
  <c r="I97" i="93"/>
  <c r="I4" i="17" s="1"/>
  <c r="L147" i="93"/>
  <c r="L26" i="18" s="1"/>
  <c r="R116" i="93"/>
  <c r="R23" i="17" s="1"/>
  <c r="S116" i="93"/>
  <c r="S23" i="17" s="1"/>
  <c r="U68" i="93"/>
  <c r="AD131" i="93"/>
  <c r="AD10" i="18" s="1"/>
  <c r="AD111" i="93"/>
  <c r="AD18" i="17" s="1"/>
  <c r="S111" i="93"/>
  <c r="S18" i="17" s="1"/>
  <c r="U98" i="93"/>
  <c r="U5" i="17" s="1"/>
  <c r="M131" i="93"/>
  <c r="M10" i="18" s="1"/>
  <c r="G147" i="93"/>
  <c r="G26" i="18" s="1"/>
  <c r="T84" i="93"/>
  <c r="T19" i="19" s="1"/>
  <c r="C111" i="93"/>
  <c r="C18" i="17" s="1"/>
  <c r="Z113" i="93"/>
  <c r="Z20" i="17" s="1"/>
  <c r="J113" i="93"/>
  <c r="J20" i="17" s="1"/>
  <c r="M98" i="93"/>
  <c r="M5" i="17" s="1"/>
  <c r="B13" i="17"/>
  <c r="W88" i="93"/>
  <c r="W23" i="19" s="1"/>
  <c r="G88" i="93"/>
  <c r="G23" i="19" s="1"/>
  <c r="U142" i="93"/>
  <c r="U21" i="18" s="1"/>
  <c r="X131" i="93"/>
  <c r="X10" i="18" s="1"/>
  <c r="AD147" i="93"/>
  <c r="AD26" i="18" s="1"/>
  <c r="AE84" i="93"/>
  <c r="AE19" i="19" s="1"/>
  <c r="D95" i="93"/>
  <c r="D2" i="17" s="1"/>
  <c r="T73" i="93"/>
  <c r="T8" i="19" s="1"/>
  <c r="R111" i="93"/>
  <c r="R18" i="17" s="1"/>
  <c r="F113" i="93"/>
  <c r="F20" i="17" s="1"/>
  <c r="H113" i="93"/>
  <c r="H20" i="17" s="1"/>
  <c r="I98" i="93"/>
  <c r="I5" i="17" s="1"/>
  <c r="W106" i="93"/>
  <c r="W13" i="17" s="1"/>
  <c r="AB79" i="93"/>
  <c r="AB14" i="19" s="1"/>
  <c r="K88" i="93"/>
  <c r="K23" i="19" s="1"/>
  <c r="B23" i="19"/>
  <c r="AF142" i="93"/>
  <c r="AF21" i="18" s="1"/>
  <c r="E131" i="93"/>
  <c r="E10" i="18" s="1"/>
  <c r="P97" i="93"/>
  <c r="P4" i="17" s="1"/>
  <c r="V147" i="93"/>
  <c r="V26" i="18" s="1"/>
  <c r="AC84" i="93"/>
  <c r="AC19" i="19" s="1"/>
  <c r="E116" i="93"/>
  <c r="E23" i="17" s="1"/>
  <c r="AD133" i="93"/>
  <c r="AD12" i="18" s="1"/>
  <c r="AC130" i="93"/>
  <c r="AC9" i="18" s="1"/>
  <c r="Y97" i="93"/>
  <c r="Y4" i="17" s="1"/>
  <c r="Z97" i="93"/>
  <c r="Z4" i="17" s="1"/>
  <c r="G91" i="93"/>
  <c r="G26" i="19" s="1"/>
  <c r="E91" i="93"/>
  <c r="E26" i="19" s="1"/>
  <c r="F116" i="93"/>
  <c r="F23" i="17" s="1"/>
  <c r="P116" i="93"/>
  <c r="P23" i="17" s="1"/>
  <c r="M144" i="93"/>
  <c r="M23" i="18" s="1"/>
  <c r="AF144" i="93"/>
  <c r="AF23" i="18" s="1"/>
  <c r="AF68" i="93"/>
  <c r="C86" i="93"/>
  <c r="C21" i="19" s="1"/>
  <c r="X130" i="93"/>
  <c r="X9" i="18" s="1"/>
  <c r="AD91" i="93"/>
  <c r="AD26" i="19" s="1"/>
  <c r="AB91" i="93"/>
  <c r="AB26" i="19" s="1"/>
  <c r="K116" i="93"/>
  <c r="K23" i="17" s="1"/>
  <c r="H116" i="93"/>
  <c r="H23" i="17" s="1"/>
  <c r="D144" i="93"/>
  <c r="D23" i="18" s="1"/>
  <c r="X144" i="93"/>
  <c r="X23" i="18" s="1"/>
  <c r="S133" i="93"/>
  <c r="S12" i="18" s="1"/>
  <c r="T130" i="93"/>
  <c r="T9" i="18" s="1"/>
  <c r="Q97" i="93"/>
  <c r="Q4" i="17" s="1"/>
  <c r="Z91" i="93"/>
  <c r="Z26" i="19" s="1"/>
  <c r="AD116" i="93"/>
  <c r="AD23" i="17" s="1"/>
  <c r="G144" i="93"/>
  <c r="G23" i="18" s="1"/>
  <c r="S144" i="93"/>
  <c r="S23" i="18" s="1"/>
  <c r="AB73" i="93"/>
  <c r="AB8" i="19" s="1"/>
  <c r="P130" i="93"/>
  <c r="P9" i="18" s="1"/>
  <c r="G133" i="93"/>
  <c r="G12" i="18" s="1"/>
  <c r="H73" i="93"/>
  <c r="H8" i="19" s="1"/>
  <c r="L130" i="93"/>
  <c r="L9" i="18" s="1"/>
  <c r="X78" i="93"/>
  <c r="X13" i="19" s="1"/>
  <c r="AA130" i="93"/>
  <c r="AA9" i="18" s="1"/>
  <c r="M68" i="93"/>
  <c r="W78" i="93"/>
  <c r="W13" i="19" s="1"/>
  <c r="C78" i="93"/>
  <c r="C13" i="19" s="1"/>
  <c r="S131" i="93"/>
  <c r="S10" i="18" s="1"/>
  <c r="AA78" i="93"/>
  <c r="AA13" i="19" s="1"/>
  <c r="B10" i="18"/>
  <c r="F147" i="93"/>
  <c r="F26" i="18" s="1"/>
  <c r="J86" i="93"/>
  <c r="J21" i="19" s="1"/>
  <c r="G78" i="93"/>
  <c r="G13" i="19" s="1"/>
  <c r="K131" i="93"/>
  <c r="K10" i="18" s="1"/>
  <c r="Q147" i="93"/>
  <c r="Q26" i="18" s="1"/>
  <c r="V125" i="93"/>
  <c r="V4" i="18" s="1"/>
  <c r="E141" i="93"/>
  <c r="E20" i="18" s="1"/>
  <c r="D143" i="93"/>
  <c r="D22" i="18" s="1"/>
  <c r="K45" i="93"/>
  <c r="K8" i="16" s="1"/>
  <c r="F86" i="93"/>
  <c r="F21" i="19" s="1"/>
  <c r="O78" i="93"/>
  <c r="O13" i="19" s="1"/>
  <c r="C138" i="93"/>
  <c r="C17" i="18" s="1"/>
  <c r="AB141" i="93"/>
  <c r="AB20" i="18" s="1"/>
  <c r="F130" i="93"/>
  <c r="F9" i="18" s="1"/>
  <c r="H119" i="93"/>
  <c r="H26" i="17" s="1"/>
  <c r="Y143" i="93"/>
  <c r="Y22" i="18" s="1"/>
  <c r="AB131" i="93"/>
  <c r="AB10" i="18" s="1"/>
  <c r="Z125" i="93"/>
  <c r="Z4" i="18" s="1"/>
  <c r="Z45" i="93"/>
  <c r="Z8" i="16" s="1"/>
  <c r="O138" i="93"/>
  <c r="O17" i="18" s="1"/>
  <c r="H141" i="93"/>
  <c r="H20" i="18" s="1"/>
  <c r="D119" i="93"/>
  <c r="D26" i="17" s="1"/>
  <c r="S143" i="93"/>
  <c r="S22" i="18" s="1"/>
  <c r="L131" i="93"/>
  <c r="L10" i="18" s="1"/>
  <c r="R144" i="93"/>
  <c r="R23" i="18" s="1"/>
  <c r="N125" i="93"/>
  <c r="N4" i="18" s="1"/>
  <c r="AA45" i="93"/>
  <c r="AA8" i="16" s="1"/>
  <c r="AB86" i="93"/>
  <c r="AB21" i="19" s="1"/>
  <c r="K125" i="93"/>
  <c r="K4" i="18" s="1"/>
  <c r="S45" i="93"/>
  <c r="S8" i="16" s="1"/>
  <c r="AF45" i="93"/>
  <c r="AF8" i="16" s="1"/>
  <c r="AF73" i="93"/>
  <c r="AF8" i="19" s="1"/>
  <c r="AE119" i="93"/>
  <c r="AE26" i="17" s="1"/>
  <c r="K143" i="93"/>
  <c r="K22" i="18" s="1"/>
  <c r="G131" i="93"/>
  <c r="G10" i="18" s="1"/>
  <c r="Q125" i="93"/>
  <c r="Q4" i="18" s="1"/>
  <c r="T86" i="93"/>
  <c r="T21" i="19" s="1"/>
  <c r="P141" i="93"/>
  <c r="P20" i="18" s="1"/>
  <c r="E73" i="93"/>
  <c r="E8" i="19" s="1"/>
  <c r="AA138" i="93"/>
  <c r="AA17" i="18" s="1"/>
  <c r="T141" i="93"/>
  <c r="T20" i="18" s="1"/>
  <c r="P45" i="93"/>
  <c r="P8" i="16" s="1"/>
  <c r="B8" i="19"/>
  <c r="O133" i="93"/>
  <c r="O12" i="18" s="1"/>
  <c r="G138" i="93"/>
  <c r="G17" i="18" s="1"/>
  <c r="AE141" i="93"/>
  <c r="AE20" i="18" s="1"/>
  <c r="Y130" i="93"/>
  <c r="Y9" i="18" s="1"/>
  <c r="AA119" i="93"/>
  <c r="AA26" i="17" s="1"/>
  <c r="Q143" i="93"/>
  <c r="Q22" i="18" s="1"/>
  <c r="AE68" i="93"/>
  <c r="P134" i="93"/>
  <c r="P13" i="18" s="1"/>
  <c r="X45" i="93"/>
  <c r="X8" i="16" s="1"/>
  <c r="D86" i="93"/>
  <c r="D21" i="19" s="1"/>
  <c r="B19" i="18"/>
  <c r="AB134" i="93"/>
  <c r="AB13" i="18" s="1"/>
  <c r="M125" i="93"/>
  <c r="M4" i="18" s="1"/>
  <c r="F140" i="93"/>
  <c r="F19" i="18" s="1"/>
  <c r="H134" i="93"/>
  <c r="H13" i="18" s="1"/>
  <c r="I125" i="93"/>
  <c r="I4" i="18" s="1"/>
  <c r="AE45" i="93"/>
  <c r="AE8" i="16" s="1"/>
  <c r="Z86" i="93"/>
  <c r="Z21" i="19" s="1"/>
  <c r="C140" i="93"/>
  <c r="C19" i="18" s="1"/>
  <c r="E125" i="93"/>
  <c r="E4" i="18" s="1"/>
  <c r="M119" i="93"/>
  <c r="M26" i="17" s="1"/>
  <c r="W45" i="93"/>
  <c r="W8" i="16" s="1"/>
  <c r="AE86" i="93"/>
  <c r="AE21" i="19" s="1"/>
  <c r="AC140" i="93"/>
  <c r="AC19" i="18" s="1"/>
  <c r="AF125" i="93"/>
  <c r="AF4" i="18" s="1"/>
  <c r="M73" i="93"/>
  <c r="M8" i="19" s="1"/>
  <c r="X125" i="93"/>
  <c r="X4" i="18" s="1"/>
  <c r="I73" i="93"/>
  <c r="I8" i="19" s="1"/>
  <c r="AD73" i="93"/>
  <c r="AD8" i="19" s="1"/>
  <c r="T134" i="93"/>
  <c r="T13" i="18" s="1"/>
  <c r="C125" i="93"/>
  <c r="C4" i="18" s="1"/>
  <c r="Q138" i="93"/>
  <c r="Q17" i="18" s="1"/>
  <c r="D141" i="93"/>
  <c r="D20" i="18" s="1"/>
  <c r="AA145" i="93"/>
  <c r="AA24" i="18" s="1"/>
  <c r="J134" i="93"/>
  <c r="J13" i="18" s="1"/>
  <c r="C143" i="93"/>
  <c r="C22" i="18" s="1"/>
  <c r="F83" i="93"/>
  <c r="F18" i="19" s="1"/>
  <c r="AC73" i="93"/>
  <c r="AC8" i="19" s="1"/>
  <c r="R86" i="93"/>
  <c r="R21" i="19" s="1"/>
  <c r="O141" i="93"/>
  <c r="O20" i="18" s="1"/>
  <c r="N131" i="93"/>
  <c r="N10" i="18" s="1"/>
  <c r="L68" i="93"/>
  <c r="L3" i="19" s="1"/>
  <c r="M45" i="93"/>
  <c r="M8" i="16" s="1"/>
  <c r="W86" i="93"/>
  <c r="W21" i="19" s="1"/>
  <c r="J78" i="93"/>
  <c r="J13" i="19" s="1"/>
  <c r="V78" i="93"/>
  <c r="V13" i="19" s="1"/>
  <c r="H138" i="93"/>
  <c r="H17" i="18" s="1"/>
  <c r="I138" i="93"/>
  <c r="I17" i="18" s="1"/>
  <c r="AA141" i="93"/>
  <c r="AA20" i="18" s="1"/>
  <c r="M111" i="93"/>
  <c r="M18" i="17" s="1"/>
  <c r="K130" i="93"/>
  <c r="K9" i="18" s="1"/>
  <c r="AE130" i="93"/>
  <c r="AE9" i="18" s="1"/>
  <c r="D87" i="93"/>
  <c r="D22" i="19" s="1"/>
  <c r="J98" i="93"/>
  <c r="J5" i="17" s="1"/>
  <c r="Y134" i="93"/>
  <c r="Y13" i="18" s="1"/>
  <c r="V143" i="93"/>
  <c r="V22" i="18" s="1"/>
  <c r="I131" i="93"/>
  <c r="I10" i="18" s="1"/>
  <c r="R147" i="93"/>
  <c r="R26" i="18" s="1"/>
  <c r="AF84" i="93"/>
  <c r="AF19" i="19" s="1"/>
  <c r="N84" i="93"/>
  <c r="N19" i="19" s="1"/>
  <c r="D125" i="93"/>
  <c r="D4" i="18" s="1"/>
  <c r="W68" i="93"/>
  <c r="AC86" i="93"/>
  <c r="AC21" i="19" s="1"/>
  <c r="Q145" i="93"/>
  <c r="Q24" i="18" s="1"/>
  <c r="C83" i="93"/>
  <c r="C18" i="19" s="1"/>
  <c r="S78" i="93"/>
  <c r="S13" i="19" s="1"/>
  <c r="D130" i="93"/>
  <c r="D9" i="18" s="1"/>
  <c r="U143" i="93"/>
  <c r="U22" i="18" s="1"/>
  <c r="T45" i="93"/>
  <c r="T8" i="16" s="1"/>
  <c r="M86" i="93"/>
  <c r="M21" i="19" s="1"/>
  <c r="U78" i="93"/>
  <c r="U13" i="19" s="1"/>
  <c r="K78" i="93"/>
  <c r="K13" i="19" s="1"/>
  <c r="B17" i="18"/>
  <c r="E138" i="93"/>
  <c r="E17" i="18" s="1"/>
  <c r="G141" i="93"/>
  <c r="G20" i="18" s="1"/>
  <c r="I111" i="93"/>
  <c r="I18" i="17" s="1"/>
  <c r="V130" i="93"/>
  <c r="V9" i="18" s="1"/>
  <c r="B9" i="18"/>
  <c r="G87" i="93"/>
  <c r="G22" i="19" s="1"/>
  <c r="AC98" i="93"/>
  <c r="AC5" i="17" s="1"/>
  <c r="AB143" i="93"/>
  <c r="AB22" i="18" s="1"/>
  <c r="U131" i="93"/>
  <c r="U10" i="18" s="1"/>
  <c r="J147" i="93"/>
  <c r="J26" i="18" s="1"/>
  <c r="S84" i="93"/>
  <c r="S19" i="19" s="1"/>
  <c r="B19" i="19"/>
  <c r="O125" i="93"/>
  <c r="O4" i="18" s="1"/>
  <c r="D68" i="93"/>
  <c r="D3" i="19" s="1"/>
  <c r="O45" i="93"/>
  <c r="O8" i="16" s="1"/>
  <c r="F73" i="93"/>
  <c r="F8" i="19" s="1"/>
  <c r="V134" i="93"/>
  <c r="V13" i="18" s="1"/>
  <c r="O86" i="93"/>
  <c r="O21" i="19" s="1"/>
  <c r="X143" i="93"/>
  <c r="X22" i="18" s="1"/>
  <c r="AC78" i="93"/>
  <c r="AC13" i="19" s="1"/>
  <c r="M138" i="93"/>
  <c r="M17" i="18" s="1"/>
  <c r="N134" i="93"/>
  <c r="N13" i="18" s="1"/>
  <c r="E143" i="93"/>
  <c r="E22" i="18" s="1"/>
  <c r="L45" i="93"/>
  <c r="L8" i="16" s="1"/>
  <c r="H86" i="93"/>
  <c r="H21" i="19" s="1"/>
  <c r="Y78" i="93"/>
  <c r="Y13" i="19" s="1"/>
  <c r="F78" i="93"/>
  <c r="F13" i="19" s="1"/>
  <c r="W138" i="93"/>
  <c r="W17" i="18" s="1"/>
  <c r="AF138" i="93"/>
  <c r="AF17" i="18" s="1"/>
  <c r="N141" i="93"/>
  <c r="N20" i="18" s="1"/>
  <c r="E111" i="93"/>
  <c r="E18" i="17" s="1"/>
  <c r="Z130" i="93"/>
  <c r="Z9" i="18" s="1"/>
  <c r="W130" i="93"/>
  <c r="W9" i="18" s="1"/>
  <c r="X87" i="93"/>
  <c r="X22" i="19" s="1"/>
  <c r="Y98" i="93"/>
  <c r="Y5" i="17" s="1"/>
  <c r="J143" i="93"/>
  <c r="J22" i="18" s="1"/>
  <c r="AF131" i="93"/>
  <c r="AF10" i="18" s="1"/>
  <c r="S147" i="93"/>
  <c r="S26" i="18" s="1"/>
  <c r="E84" i="93"/>
  <c r="E19" i="19" s="1"/>
  <c r="U84" i="93"/>
  <c r="U19" i="19" s="1"/>
  <c r="AD125" i="93"/>
  <c r="AD4" i="18" s="1"/>
  <c r="O68" i="93"/>
  <c r="B16" i="17"/>
  <c r="M77" i="93"/>
  <c r="M12" i="19" s="1"/>
  <c r="AA109" i="93"/>
  <c r="AA16" i="17" s="1"/>
  <c r="C77" i="93"/>
  <c r="C12" i="19" s="1"/>
  <c r="G105" i="93"/>
  <c r="G12" i="17" s="1"/>
  <c r="R131" i="93"/>
  <c r="R10" i="18" s="1"/>
  <c r="H131" i="93"/>
  <c r="H10" i="18" s="1"/>
  <c r="AD68" i="93"/>
  <c r="E68" i="93"/>
  <c r="E3" i="19" s="1"/>
  <c r="E77" i="93"/>
  <c r="E12" i="19" s="1"/>
  <c r="K73" i="93"/>
  <c r="K8" i="19" s="1"/>
  <c r="AF78" i="93"/>
  <c r="AF13" i="19" s="1"/>
  <c r="N78" i="93"/>
  <c r="N13" i="19" s="1"/>
  <c r="S109" i="93"/>
  <c r="S16" i="17" s="1"/>
  <c r="U130" i="93"/>
  <c r="U9" i="18" s="1"/>
  <c r="C130" i="93"/>
  <c r="C9" i="18" s="1"/>
  <c r="O119" i="93"/>
  <c r="O26" i="17" s="1"/>
  <c r="Z105" i="93"/>
  <c r="Z12" i="17" s="1"/>
  <c r="V131" i="93"/>
  <c r="V10" i="18" s="1"/>
  <c r="T131" i="93"/>
  <c r="T10" i="18" s="1"/>
  <c r="B26" i="18"/>
  <c r="H147" i="93"/>
  <c r="H26" i="18" s="1"/>
  <c r="L84" i="93"/>
  <c r="L19" i="19" s="1"/>
  <c r="X84" i="93"/>
  <c r="X19" i="19" s="1"/>
  <c r="K68" i="93"/>
  <c r="K3" i="19" s="1"/>
  <c r="P68" i="93"/>
  <c r="H45" i="93"/>
  <c r="H8" i="16" s="1"/>
  <c r="AF77" i="93"/>
  <c r="AF12" i="19" s="1"/>
  <c r="P86" i="93"/>
  <c r="P21" i="19" s="1"/>
  <c r="R73" i="93"/>
  <c r="R8" i="19" s="1"/>
  <c r="T78" i="93"/>
  <c r="T13" i="19" s="1"/>
  <c r="Z78" i="93"/>
  <c r="Z13" i="19" s="1"/>
  <c r="AF145" i="93"/>
  <c r="AF24" i="18" s="1"/>
  <c r="B18" i="17"/>
  <c r="AF111" i="93"/>
  <c r="AF18" i="17" s="1"/>
  <c r="K109" i="93"/>
  <c r="K16" i="17" s="1"/>
  <c r="Q130" i="93"/>
  <c r="Q9" i="18" s="1"/>
  <c r="O130" i="93"/>
  <c r="O9" i="18" s="1"/>
  <c r="N113" i="93"/>
  <c r="N20" i="17" s="1"/>
  <c r="S113" i="93"/>
  <c r="S20" i="17" s="1"/>
  <c r="C98" i="93"/>
  <c r="C5" i="17" s="1"/>
  <c r="Q98" i="93"/>
  <c r="Q5" i="17" s="1"/>
  <c r="X106" i="93"/>
  <c r="X13" i="17" s="1"/>
  <c r="V106" i="93"/>
  <c r="V13" i="17" s="1"/>
  <c r="K119" i="93"/>
  <c r="K26" i="17" s="1"/>
  <c r="P123" i="93"/>
  <c r="P2" i="18" s="1"/>
  <c r="M88" i="93"/>
  <c r="M23" i="19" s="1"/>
  <c r="L88" i="93"/>
  <c r="L23" i="19" s="1"/>
  <c r="R142" i="93"/>
  <c r="R21" i="18" s="1"/>
  <c r="H142" i="93"/>
  <c r="H21" i="18" s="1"/>
  <c r="J131" i="93"/>
  <c r="J10" i="18" s="1"/>
  <c r="AE131" i="93"/>
  <c r="AE10" i="18" s="1"/>
  <c r="W147" i="93"/>
  <c r="W26" i="18" s="1"/>
  <c r="D147" i="93"/>
  <c r="D26" i="18" s="1"/>
  <c r="D84" i="93"/>
  <c r="D19" i="19" s="1"/>
  <c r="W84" i="93"/>
  <c r="W19" i="19" s="1"/>
  <c r="B4" i="18"/>
  <c r="V68" i="93"/>
  <c r="AB68" i="93"/>
  <c r="W136" i="93"/>
  <c r="W15" i="18" s="1"/>
  <c r="T145" i="93"/>
  <c r="T24" i="18" s="1"/>
  <c r="Z123" i="93"/>
  <c r="Z2" i="18" s="1"/>
  <c r="E114" i="93"/>
  <c r="E21" i="17" s="1"/>
  <c r="H68" i="93"/>
  <c r="H3" i="19" s="1"/>
  <c r="G109" i="93"/>
  <c r="G16" i="17" s="1"/>
  <c r="D78" i="93"/>
  <c r="D13" i="19" s="1"/>
  <c r="L78" i="93"/>
  <c r="L13" i="19" s="1"/>
  <c r="J145" i="93"/>
  <c r="J24" i="18" s="1"/>
  <c r="G130" i="93"/>
  <c r="G9" i="18" s="1"/>
  <c r="C119" i="93"/>
  <c r="C26" i="17" s="1"/>
  <c r="Y131" i="93"/>
  <c r="Y10" i="18" s="1"/>
  <c r="N68" i="93"/>
  <c r="G98" i="93"/>
  <c r="G5" i="17" s="1"/>
  <c r="E119" i="93"/>
  <c r="E26" i="17" s="1"/>
  <c r="D131" i="93"/>
  <c r="D10" i="18" s="1"/>
  <c r="Z83" i="93"/>
  <c r="Z18" i="19" s="1"/>
  <c r="P125" i="93"/>
  <c r="P4" i="18" s="1"/>
  <c r="E45" i="93"/>
  <c r="E8" i="16" s="1"/>
  <c r="G45" i="93"/>
  <c r="G8" i="16" s="1"/>
  <c r="G86" i="93"/>
  <c r="G21" i="19" s="1"/>
  <c r="L86" i="93"/>
  <c r="L21" i="19" s="1"/>
  <c r="U73" i="93"/>
  <c r="U8" i="19" s="1"/>
  <c r="B13" i="19"/>
  <c r="Y133" i="93"/>
  <c r="Y12" i="18" s="1"/>
  <c r="C145" i="93"/>
  <c r="C24" i="18" s="1"/>
  <c r="Z111" i="93"/>
  <c r="Z18" i="17" s="1"/>
  <c r="P111" i="93"/>
  <c r="P18" i="17" s="1"/>
  <c r="AF130" i="93"/>
  <c r="AF9" i="18" s="1"/>
  <c r="AD130" i="93"/>
  <c r="AD9" i="18" s="1"/>
  <c r="AC113" i="93"/>
  <c r="AC20" i="17" s="1"/>
  <c r="R113" i="93"/>
  <c r="R20" i="17" s="1"/>
  <c r="S98" i="93"/>
  <c r="S5" i="17" s="1"/>
  <c r="AF98" i="93"/>
  <c r="AF5" i="17" s="1"/>
  <c r="H106" i="93"/>
  <c r="H13" i="17" s="1"/>
  <c r="F106" i="93"/>
  <c r="F13" i="17" s="1"/>
  <c r="F134" i="93"/>
  <c r="F13" i="18" s="1"/>
  <c r="E123" i="93"/>
  <c r="E2" i="18" s="1"/>
  <c r="Z88" i="93"/>
  <c r="Z23" i="19" s="1"/>
  <c r="Y142" i="93"/>
  <c r="Y21" i="18" s="1"/>
  <c r="AC142" i="93"/>
  <c r="AC21" i="18" s="1"/>
  <c r="Q131" i="93"/>
  <c r="Q10" i="18" s="1"/>
  <c r="O131" i="93"/>
  <c r="O10" i="18" s="1"/>
  <c r="N147" i="93"/>
  <c r="N26" i="18" s="1"/>
  <c r="AB83" i="93"/>
  <c r="AB18" i="19" s="1"/>
  <c r="AB84" i="93"/>
  <c r="AB19" i="19" s="1"/>
  <c r="G125" i="93"/>
  <c r="G4" i="18" s="1"/>
  <c r="AB125" i="93"/>
  <c r="AB4" i="18" s="1"/>
  <c r="F68" i="93"/>
  <c r="F3" i="19" s="1"/>
  <c r="I130" i="93"/>
  <c r="I9" i="18" s="1"/>
  <c r="H123" i="93"/>
  <c r="H2" i="18" s="1"/>
  <c r="W131" i="93"/>
  <c r="W10" i="18" s="1"/>
  <c r="I114" i="93"/>
  <c r="I21" i="17" s="1"/>
  <c r="Y73" i="93"/>
  <c r="Y8" i="19" s="1"/>
  <c r="P78" i="93"/>
  <c r="P13" i="19" s="1"/>
  <c r="AD78" i="93"/>
  <c r="AD13" i="19" s="1"/>
  <c r="N145" i="93"/>
  <c r="N24" i="18" s="1"/>
  <c r="V111" i="93"/>
  <c r="V18" i="17" s="1"/>
  <c r="T111" i="93"/>
  <c r="T18" i="17" s="1"/>
  <c r="E130" i="93"/>
  <c r="E9" i="18" s="1"/>
  <c r="S130" i="93"/>
  <c r="S9" i="18" s="1"/>
  <c r="E98" i="93"/>
  <c r="E5" i="17" s="1"/>
  <c r="AE69" i="93"/>
  <c r="AE4" i="19" s="1"/>
  <c r="Y123" i="93"/>
  <c r="Y2" i="18" s="1"/>
  <c r="F131" i="93"/>
  <c r="F10" i="18" s="1"/>
  <c r="K147" i="93"/>
  <c r="K26" i="18" s="1"/>
  <c r="R84" i="93"/>
  <c r="R19" i="19" s="1"/>
  <c r="AA125" i="93"/>
  <c r="AA4" i="18" s="1"/>
  <c r="R68" i="93"/>
  <c r="AB45" i="93"/>
  <c r="AB8" i="16" s="1"/>
  <c r="B8" i="16"/>
  <c r="AF86" i="93"/>
  <c r="AF21" i="19" s="1"/>
  <c r="Q73" i="93"/>
  <c r="Q8" i="19" s="1"/>
  <c r="R78" i="93"/>
  <c r="R13" i="19" s="1"/>
  <c r="U133" i="93"/>
  <c r="U12" i="18" s="1"/>
  <c r="D145" i="93"/>
  <c r="D24" i="18" s="1"/>
  <c r="N111" i="93"/>
  <c r="N18" i="17" s="1"/>
  <c r="N140" i="93"/>
  <c r="N19" i="18" s="1"/>
  <c r="V113" i="93"/>
  <c r="V20" i="17" s="1"/>
  <c r="AD98" i="93"/>
  <c r="AD5" i="17" s="1"/>
  <c r="D106" i="93"/>
  <c r="D13" i="17" s="1"/>
  <c r="Q134" i="93"/>
  <c r="Q13" i="18" s="1"/>
  <c r="T88" i="93"/>
  <c r="T23" i="19" s="1"/>
  <c r="N142" i="93"/>
  <c r="N21" i="18" s="1"/>
  <c r="AC131" i="93"/>
  <c r="AC10" i="18" s="1"/>
  <c r="Y147" i="93"/>
  <c r="Y26" i="18" s="1"/>
  <c r="N83" i="93"/>
  <c r="N18" i="19" s="1"/>
  <c r="J84" i="93"/>
  <c r="J19" i="19" s="1"/>
  <c r="S125" i="93"/>
  <c r="S4" i="18" s="1"/>
  <c r="B3" i="19"/>
  <c r="Y68" i="93"/>
  <c r="Q105" i="93"/>
  <c r="Q12" i="17" s="1"/>
  <c r="AC105" i="93"/>
  <c r="AC12" i="17" s="1"/>
  <c r="J83" i="93"/>
  <c r="J18" i="19" s="1"/>
  <c r="R45" i="93"/>
  <c r="R8" i="16" s="1"/>
  <c r="E86" i="93"/>
  <c r="E21" i="19" s="1"/>
  <c r="I133" i="93"/>
  <c r="I12" i="18" s="1"/>
  <c r="I140" i="93"/>
  <c r="I19" i="18" s="1"/>
  <c r="L134" i="93"/>
  <c r="L13" i="18" s="1"/>
  <c r="L83" i="93"/>
  <c r="L18" i="19" s="1"/>
  <c r="R125" i="93"/>
  <c r="R4" i="18" s="1"/>
  <c r="H125" i="93"/>
  <c r="H4" i="18" s="1"/>
  <c r="V45" i="93"/>
  <c r="V8" i="16" s="1"/>
  <c r="J45" i="93"/>
  <c r="J8" i="16" s="1"/>
  <c r="Y136" i="93"/>
  <c r="Y15" i="18" s="1"/>
  <c r="Y86" i="93"/>
  <c r="Y21" i="19" s="1"/>
  <c r="AD86" i="93"/>
  <c r="AD21" i="19" s="1"/>
  <c r="O73" i="93"/>
  <c r="O8" i="19" s="1"/>
  <c r="E133" i="93"/>
  <c r="E12" i="18" s="1"/>
  <c r="N138" i="93"/>
  <c r="N17" i="18" s="1"/>
  <c r="L138" i="93"/>
  <c r="L17" i="18" s="1"/>
  <c r="S141" i="93"/>
  <c r="S20" i="18" s="1"/>
  <c r="S145" i="93"/>
  <c r="S24" i="18" s="1"/>
  <c r="D139" i="93"/>
  <c r="D18" i="18" s="1"/>
  <c r="D140" i="93"/>
  <c r="D19" i="18" s="1"/>
  <c r="Y119" i="93"/>
  <c r="Y26" i="17" s="1"/>
  <c r="C134" i="93"/>
  <c r="C13" i="18" s="1"/>
  <c r="H105" i="93"/>
  <c r="H12" i="17" s="1"/>
  <c r="Z143" i="93"/>
  <c r="Z22" i="18" s="1"/>
  <c r="AF143" i="93"/>
  <c r="AF22" i="18" s="1"/>
  <c r="Z147" i="93"/>
  <c r="Z26" i="18" s="1"/>
  <c r="AF147" i="93"/>
  <c r="AF26" i="18" s="1"/>
  <c r="Y83" i="93"/>
  <c r="Y18" i="19" s="1"/>
  <c r="Q84" i="93"/>
  <c r="Q19" i="19" s="1"/>
  <c r="I84" i="93"/>
  <c r="I19" i="19" s="1"/>
  <c r="F125" i="93"/>
  <c r="F4" i="18" s="1"/>
  <c r="T125" i="93"/>
  <c r="T4" i="18" s="1"/>
  <c r="L123" i="93"/>
  <c r="L2" i="18" s="1"/>
  <c r="J136" i="93"/>
  <c r="J15" i="18" s="1"/>
  <c r="M133" i="93"/>
  <c r="M12" i="18" s="1"/>
  <c r="X139" i="93"/>
  <c r="X18" i="18" s="1"/>
  <c r="Q140" i="93"/>
  <c r="Q19" i="18" s="1"/>
  <c r="B21" i="19"/>
  <c r="Y45" i="93"/>
  <c r="Y8" i="16" s="1"/>
  <c r="AF133" i="93"/>
  <c r="AF12" i="18" s="1"/>
  <c r="R138" i="93"/>
  <c r="R17" i="18" s="1"/>
  <c r="AF141" i="93"/>
  <c r="AF20" i="18" s="1"/>
  <c r="AD141" i="93"/>
  <c r="AD20" i="18" s="1"/>
  <c r="Y145" i="93"/>
  <c r="Y24" i="18" s="1"/>
  <c r="AC109" i="93"/>
  <c r="AC16" i="17" s="1"/>
  <c r="O139" i="93"/>
  <c r="O18" i="18" s="1"/>
  <c r="AE140" i="93"/>
  <c r="AE19" i="18" s="1"/>
  <c r="AC119" i="93"/>
  <c r="AC26" i="17" s="1"/>
  <c r="D134" i="93"/>
  <c r="D13" i="18" s="1"/>
  <c r="D105" i="93"/>
  <c r="D12" i="17" s="1"/>
  <c r="R143" i="93"/>
  <c r="R22" i="18" s="1"/>
  <c r="W143" i="93"/>
  <c r="W22" i="18" s="1"/>
  <c r="O83" i="93"/>
  <c r="O18" i="19" s="1"/>
  <c r="J125" i="93"/>
  <c r="J4" i="18" s="1"/>
  <c r="AE125" i="93"/>
  <c r="AE4" i="18" s="1"/>
  <c r="F139" i="93"/>
  <c r="F18" i="18" s="1"/>
  <c r="AD77" i="93"/>
  <c r="AD12" i="19" s="1"/>
  <c r="V123" i="93"/>
  <c r="V2" i="18" s="1"/>
  <c r="N45" i="93"/>
  <c r="N8" i="16" s="1"/>
  <c r="B20" i="18"/>
  <c r="K141" i="93"/>
  <c r="K20" i="18" s="1"/>
  <c r="L145" i="93"/>
  <c r="L24" i="18" s="1"/>
  <c r="Q119" i="93"/>
  <c r="Q26" i="17" s="1"/>
  <c r="AE134" i="93"/>
  <c r="AE13" i="18" s="1"/>
  <c r="AE105" i="93"/>
  <c r="AE12" i="17" s="1"/>
  <c r="M143" i="93"/>
  <c r="M22" i="18" s="1"/>
  <c r="N143" i="93"/>
  <c r="N22" i="18" s="1"/>
  <c r="X83" i="93"/>
  <c r="X18" i="19" s="1"/>
  <c r="AC125" i="93"/>
  <c r="AC4" i="18" s="1"/>
  <c r="L125" i="93"/>
  <c r="L4" i="18" s="1"/>
  <c r="G77" i="93"/>
  <c r="G12" i="19" s="1"/>
  <c r="I139" i="93"/>
  <c r="I18" i="18" s="1"/>
  <c r="Z77" i="93"/>
  <c r="Z12" i="19" s="1"/>
  <c r="F105" i="93"/>
  <c r="F12" i="17" s="1"/>
  <c r="AF139" i="93"/>
  <c r="AF18" i="18" s="1"/>
  <c r="AD136" i="93"/>
  <c r="AD15" i="18" s="1"/>
  <c r="AC139" i="93"/>
  <c r="AC18" i="18" s="1"/>
  <c r="B13" i="18"/>
  <c r="AD45" i="93"/>
  <c r="AD8" i="16" s="1"/>
  <c r="B15" i="18"/>
  <c r="D73" i="93"/>
  <c r="D8" i="19" s="1"/>
  <c r="B18" i="18"/>
  <c r="L105" i="93"/>
  <c r="L12" i="17" s="1"/>
  <c r="C136" i="93"/>
  <c r="C15" i="18" s="1"/>
  <c r="N86" i="93"/>
  <c r="N21" i="19" s="1"/>
  <c r="AA86" i="93"/>
  <c r="AA21" i="19" s="1"/>
  <c r="W73" i="93"/>
  <c r="W8" i="19" s="1"/>
  <c r="F45" i="93"/>
  <c r="F8" i="16" s="1"/>
  <c r="Q45" i="93"/>
  <c r="Q8" i="16" s="1"/>
  <c r="S86" i="93"/>
  <c r="S21" i="19" s="1"/>
  <c r="L133" i="93"/>
  <c r="L12" i="18" s="1"/>
  <c r="Q109" i="93"/>
  <c r="Q16" i="17" s="1"/>
  <c r="V139" i="93"/>
  <c r="V18" i="18" s="1"/>
  <c r="AA140" i="93"/>
  <c r="AA19" i="18" s="1"/>
  <c r="AB87" i="93"/>
  <c r="AB22" i="19" s="1"/>
  <c r="AC45" i="93"/>
  <c r="AC8" i="16" s="1"/>
  <c r="I45" i="93"/>
  <c r="I8" i="16" s="1"/>
  <c r="AE136" i="93"/>
  <c r="AE15" i="18" s="1"/>
  <c r="K86" i="93"/>
  <c r="K21" i="19" s="1"/>
  <c r="Q86" i="93"/>
  <c r="Q21" i="19" s="1"/>
  <c r="G73" i="93"/>
  <c r="G8" i="19" s="1"/>
  <c r="W133" i="93"/>
  <c r="W12" i="18" s="1"/>
  <c r="D138" i="93"/>
  <c r="D17" i="18" s="1"/>
  <c r="J138" i="93"/>
  <c r="J17" i="18" s="1"/>
  <c r="X141" i="93"/>
  <c r="X20" i="18" s="1"/>
  <c r="V141" i="93"/>
  <c r="V20" i="18" s="1"/>
  <c r="F145" i="93"/>
  <c r="F24" i="18" s="1"/>
  <c r="M109" i="93"/>
  <c r="M16" i="17" s="1"/>
  <c r="J139" i="93"/>
  <c r="J18" i="18" s="1"/>
  <c r="S140" i="93"/>
  <c r="S19" i="18" s="1"/>
  <c r="P87" i="93"/>
  <c r="P22" i="19" s="1"/>
  <c r="U119" i="93"/>
  <c r="U26" i="17" s="1"/>
  <c r="AD134" i="93"/>
  <c r="AD13" i="18" s="1"/>
  <c r="AA105" i="93"/>
  <c r="AA12" i="17" s="1"/>
  <c r="T143" i="93"/>
  <c r="T22" i="18" s="1"/>
  <c r="O143" i="93"/>
  <c r="O22" i="18" s="1"/>
  <c r="I147" i="93"/>
  <c r="I26" i="18" s="1"/>
  <c r="G83" i="93"/>
  <c r="G18" i="19" s="1"/>
  <c r="Z84" i="93"/>
  <c r="Z19" i="19" s="1"/>
  <c r="Y125" i="93"/>
  <c r="Y4" i="18" s="1"/>
  <c r="W125" i="93"/>
  <c r="W4" i="18" s="1"/>
  <c r="K77" i="93"/>
  <c r="K12" i="19" s="1"/>
  <c r="AD123" i="93"/>
  <c r="AD2" i="18" s="1"/>
  <c r="R83" i="93"/>
  <c r="R18" i="19" s="1"/>
  <c r="Q133" i="93"/>
  <c r="Q12" i="18" s="1"/>
  <c r="U140" i="93"/>
  <c r="U19" i="18" s="1"/>
  <c r="D123" i="93"/>
  <c r="D2" i="18" s="1"/>
  <c r="T83" i="93"/>
  <c r="T18" i="19" s="1"/>
  <c r="L73" i="93"/>
  <c r="L8" i="19" s="1"/>
  <c r="G119" i="93"/>
  <c r="G26" i="17" s="1"/>
  <c r="I105" i="93"/>
  <c r="I12" i="17" s="1"/>
  <c r="F119" i="93"/>
  <c r="F26" i="17" s="1"/>
  <c r="T136" i="93"/>
  <c r="T15" i="18" s="1"/>
  <c r="V86" i="93"/>
  <c r="V21" i="19" s="1"/>
  <c r="AA73" i="93"/>
  <c r="AA8" i="19" s="1"/>
  <c r="F138" i="93"/>
  <c r="F17" i="18" s="1"/>
  <c r="U45" i="93"/>
  <c r="U8" i="16" s="1"/>
  <c r="L136" i="93"/>
  <c r="L15" i="18" s="1"/>
  <c r="U86" i="93"/>
  <c r="U21" i="19" s="1"/>
  <c r="S73" i="93"/>
  <c r="S8" i="19" s="1"/>
  <c r="D133" i="93"/>
  <c r="D12" i="18" s="1"/>
  <c r="AE138" i="93"/>
  <c r="AE17" i="18" s="1"/>
  <c r="C141" i="93"/>
  <c r="C20" i="18" s="1"/>
  <c r="AC145" i="93"/>
  <c r="AC24" i="18" s="1"/>
  <c r="AF109" i="93"/>
  <c r="AF16" i="17" s="1"/>
  <c r="W87" i="93"/>
  <c r="W22" i="19" s="1"/>
  <c r="I119" i="93"/>
  <c r="I26" i="17" s="1"/>
  <c r="R134" i="93"/>
  <c r="R13" i="18" s="1"/>
  <c r="R123" i="93"/>
  <c r="R2" i="18" s="1"/>
  <c r="L143" i="93"/>
  <c r="L22" i="18" s="1"/>
  <c r="V83" i="93"/>
  <c r="V18" i="19" s="1"/>
  <c r="Q69" i="93"/>
  <c r="Q4" i="19" s="1"/>
  <c r="AE114" i="93"/>
  <c r="AE21" i="17" s="1"/>
  <c r="I69" i="93"/>
  <c r="I4" i="19" s="1"/>
  <c r="U103" i="93"/>
  <c r="U10" i="17" s="1"/>
  <c r="C132" i="93"/>
  <c r="C11" i="18" s="1"/>
  <c r="L114" i="93"/>
  <c r="L21" i="17" s="1"/>
  <c r="Z114" i="93"/>
  <c r="Z21" i="17" s="1"/>
  <c r="U69" i="93"/>
  <c r="U4" i="19" s="1"/>
  <c r="X109" i="93"/>
  <c r="X16" i="17" s="1"/>
  <c r="AC114" i="93"/>
  <c r="AC21" i="17" s="1"/>
  <c r="Q114" i="93"/>
  <c r="Q21" i="17" s="1"/>
  <c r="T114" i="93"/>
  <c r="T21" i="17" s="1"/>
  <c r="G114" i="93"/>
  <c r="G21" i="17" s="1"/>
  <c r="AC69" i="93"/>
  <c r="AC4" i="19" s="1"/>
  <c r="E124" i="93"/>
  <c r="E3" i="18" s="1"/>
  <c r="AD109" i="93"/>
  <c r="AD16" i="17" s="1"/>
  <c r="AA114" i="93"/>
  <c r="AA21" i="17" s="1"/>
  <c r="L69" i="93"/>
  <c r="L4" i="19" s="1"/>
  <c r="N114" i="93"/>
  <c r="N21" i="17" s="1"/>
  <c r="AA69" i="93"/>
  <c r="AA4" i="19" s="1"/>
  <c r="V109" i="93"/>
  <c r="V16" i="17" s="1"/>
  <c r="D69" i="93"/>
  <c r="D4" i="19" s="1"/>
  <c r="R114" i="93"/>
  <c r="R21" i="17" s="1"/>
  <c r="V115" i="93"/>
  <c r="V22" i="17" s="1"/>
  <c r="X115" i="93"/>
  <c r="X22" i="17" s="1"/>
  <c r="Z115" i="93"/>
  <c r="Z22" i="17" s="1"/>
  <c r="E115" i="93"/>
  <c r="E22" i="17" s="1"/>
  <c r="AC115" i="93"/>
  <c r="AC22" i="17" s="1"/>
  <c r="W115" i="93"/>
  <c r="W22" i="17" s="1"/>
  <c r="AD115" i="93"/>
  <c r="AD22" i="17" s="1"/>
  <c r="AF115" i="93"/>
  <c r="AF22" i="17" s="1"/>
  <c r="K115" i="93"/>
  <c r="K22" i="17" s="1"/>
  <c r="M115" i="93"/>
  <c r="M22" i="17" s="1"/>
  <c r="B22" i="17"/>
  <c r="Y115" i="93"/>
  <c r="Y22" i="17" s="1"/>
  <c r="G115" i="93"/>
  <c r="G22" i="17" s="1"/>
  <c r="D115" i="93"/>
  <c r="D22" i="17" s="1"/>
  <c r="C115" i="93"/>
  <c r="C22" i="17" s="1"/>
  <c r="S115" i="93"/>
  <c r="S22" i="17" s="1"/>
  <c r="U115" i="93"/>
  <c r="U22" i="17" s="1"/>
  <c r="O115" i="93"/>
  <c r="O22" i="17" s="1"/>
  <c r="I115" i="93"/>
  <c r="I22" i="17" s="1"/>
  <c r="AA115" i="93"/>
  <c r="AA22" i="17" s="1"/>
  <c r="Q115" i="93"/>
  <c r="Q22" i="17" s="1"/>
  <c r="AE115" i="93"/>
  <c r="AE22" i="17" s="1"/>
  <c r="L115" i="93"/>
  <c r="L22" i="17" s="1"/>
  <c r="F115" i="93"/>
  <c r="F22" i="17" s="1"/>
  <c r="T115" i="93"/>
  <c r="T22" i="17" s="1"/>
  <c r="AB75" i="93"/>
  <c r="AB10" i="19" s="1"/>
  <c r="H115" i="93"/>
  <c r="H22" i="17" s="1"/>
  <c r="X75" i="93"/>
  <c r="X10" i="19" s="1"/>
  <c r="I80" i="93"/>
  <c r="I15" i="19" s="1"/>
  <c r="AE80" i="93"/>
  <c r="AE15" i="19" s="1"/>
  <c r="H80" i="93"/>
  <c r="H15" i="19" s="1"/>
  <c r="AA80" i="93"/>
  <c r="AA15" i="19" s="1"/>
  <c r="Q80" i="93"/>
  <c r="Q15" i="19" s="1"/>
  <c r="V80" i="93"/>
  <c r="V15" i="19" s="1"/>
  <c r="K80" i="93"/>
  <c r="K15" i="19" s="1"/>
  <c r="O80" i="93"/>
  <c r="O15" i="19" s="1"/>
  <c r="E80" i="93"/>
  <c r="E15" i="19" s="1"/>
  <c r="P80" i="93"/>
  <c r="P15" i="19" s="1"/>
  <c r="AB80" i="93"/>
  <c r="AB15" i="19" s="1"/>
  <c r="AF80" i="93"/>
  <c r="AF15" i="19" s="1"/>
  <c r="J80" i="93"/>
  <c r="J15" i="19" s="1"/>
  <c r="Y80" i="93"/>
  <c r="Y15" i="19" s="1"/>
  <c r="AD75" i="93"/>
  <c r="AD10" i="19" s="1"/>
  <c r="C124" i="93"/>
  <c r="C3" i="18" s="1"/>
  <c r="R115" i="93"/>
  <c r="R22" i="17" s="1"/>
  <c r="T75" i="93"/>
  <c r="T10" i="19" s="1"/>
  <c r="AB115" i="93"/>
  <c r="AB22" i="17" s="1"/>
  <c r="M124" i="93"/>
  <c r="M3" i="18" s="1"/>
  <c r="N115" i="93"/>
  <c r="N22" i="17" s="1"/>
  <c r="N132" i="93"/>
  <c r="N11" i="18" s="1"/>
  <c r="AC103" i="93"/>
  <c r="AC10" i="17" s="1"/>
  <c r="AE103" i="93"/>
  <c r="AE10" i="17" s="1"/>
  <c r="E103" i="93"/>
  <c r="E10" i="17" s="1"/>
  <c r="G103" i="93"/>
  <c r="G10" i="17" s="1"/>
  <c r="M103" i="93"/>
  <c r="M10" i="17" s="1"/>
  <c r="J103" i="93"/>
  <c r="J10" i="17" s="1"/>
  <c r="D103" i="93"/>
  <c r="D10" i="17" s="1"/>
  <c r="AD103" i="93"/>
  <c r="AD10" i="17" s="1"/>
  <c r="F103" i="93"/>
  <c r="F10" i="17" s="1"/>
  <c r="H103" i="93"/>
  <c r="H10" i="17" s="1"/>
  <c r="R103" i="93"/>
  <c r="R10" i="17" s="1"/>
  <c r="L103" i="93"/>
  <c r="L10" i="17" s="1"/>
  <c r="N103" i="93"/>
  <c r="N10" i="17" s="1"/>
  <c r="AF103" i="93"/>
  <c r="AF10" i="17" s="1"/>
  <c r="B10" i="17"/>
  <c r="P103" i="93"/>
  <c r="P10" i="17" s="1"/>
  <c r="Z103" i="93"/>
  <c r="Z10" i="17" s="1"/>
  <c r="X103" i="93"/>
  <c r="X10" i="17" s="1"/>
  <c r="I103" i="93"/>
  <c r="I10" i="17" s="1"/>
  <c r="T103" i="93"/>
  <c r="T10" i="17" s="1"/>
  <c r="V103" i="93"/>
  <c r="V10" i="17" s="1"/>
  <c r="C103" i="93"/>
  <c r="C10" i="17" s="1"/>
  <c r="AB103" i="93"/>
  <c r="AB10" i="17" s="1"/>
  <c r="K103" i="93"/>
  <c r="K10" i="17" s="1"/>
  <c r="O103" i="93"/>
  <c r="O10" i="17" s="1"/>
  <c r="V75" i="93"/>
  <c r="V10" i="19" s="1"/>
  <c r="AE124" i="93"/>
  <c r="AE3" i="18" s="1"/>
  <c r="J115" i="93"/>
  <c r="J22" i="17" s="1"/>
  <c r="F132" i="93"/>
  <c r="F11" i="18" s="1"/>
  <c r="K124" i="93"/>
  <c r="K3" i="18" s="1"/>
  <c r="AA103" i="93"/>
  <c r="AA10" i="17" s="1"/>
  <c r="V132" i="93"/>
  <c r="V11" i="18" s="1"/>
  <c r="G132" i="93"/>
  <c r="G11" i="18" s="1"/>
  <c r="R132" i="93"/>
  <c r="R11" i="18" s="1"/>
  <c r="K132" i="93"/>
  <c r="K11" i="18" s="1"/>
  <c r="T132" i="93"/>
  <c r="T11" i="18" s="1"/>
  <c r="AD132" i="93"/>
  <c r="AD11" i="18" s="1"/>
  <c r="U132" i="93"/>
  <c r="U11" i="18" s="1"/>
  <c r="Y132" i="93"/>
  <c r="Y11" i="18" s="1"/>
  <c r="X132" i="93"/>
  <c r="X11" i="18" s="1"/>
  <c r="AA132" i="93"/>
  <c r="AA11" i="18" s="1"/>
  <c r="W132" i="93"/>
  <c r="W11" i="18" s="1"/>
  <c r="P132" i="93"/>
  <c r="P11" i="18" s="1"/>
  <c r="AC132" i="93"/>
  <c r="AC11" i="18" s="1"/>
  <c r="AB132" i="93"/>
  <c r="AB11" i="18" s="1"/>
  <c r="AE132" i="93"/>
  <c r="AE11" i="18" s="1"/>
  <c r="AF132" i="93"/>
  <c r="AF11" i="18" s="1"/>
  <c r="D132" i="93"/>
  <c r="D11" i="18" s="1"/>
  <c r="O132" i="93"/>
  <c r="O11" i="18" s="1"/>
  <c r="Q132" i="93"/>
  <c r="Q11" i="18" s="1"/>
  <c r="Z132" i="93"/>
  <c r="Z11" i="18" s="1"/>
  <c r="E132" i="93"/>
  <c r="E11" i="18" s="1"/>
  <c r="H132" i="93"/>
  <c r="H11" i="18" s="1"/>
  <c r="I132" i="93"/>
  <c r="I11" i="18" s="1"/>
  <c r="M132" i="93"/>
  <c r="M11" i="18" s="1"/>
  <c r="S132" i="93"/>
  <c r="S11" i="18" s="1"/>
  <c r="Q103" i="93"/>
  <c r="Q10" i="17" s="1"/>
  <c r="J132" i="93"/>
  <c r="J11" i="18" s="1"/>
  <c r="W103" i="93"/>
  <c r="W10" i="17" s="1"/>
  <c r="G80" i="93"/>
  <c r="G15" i="19" s="1"/>
  <c r="I124" i="93"/>
  <c r="I3" i="18" s="1"/>
  <c r="S124" i="93"/>
  <c r="S3" i="18" s="1"/>
  <c r="T124" i="93"/>
  <c r="T3" i="18" s="1"/>
  <c r="B3" i="18"/>
  <c r="H124" i="93"/>
  <c r="H3" i="18" s="1"/>
  <c r="J124" i="93"/>
  <c r="J3" i="18" s="1"/>
  <c r="AA124" i="93"/>
  <c r="AA3" i="18" s="1"/>
  <c r="R124" i="93"/>
  <c r="R3" i="18" s="1"/>
  <c r="V124" i="93"/>
  <c r="V3" i="18" s="1"/>
  <c r="P124" i="93"/>
  <c r="P3" i="18" s="1"/>
  <c r="AB124" i="93"/>
  <c r="AB3" i="18" s="1"/>
  <c r="U124" i="93"/>
  <c r="U3" i="18" s="1"/>
  <c r="D124" i="93"/>
  <c r="D3" i="18" s="1"/>
  <c r="O124" i="93"/>
  <c r="O3" i="18" s="1"/>
  <c r="AC124" i="93"/>
  <c r="AC3" i="18" s="1"/>
  <c r="X124" i="93"/>
  <c r="X3" i="18" s="1"/>
  <c r="N124" i="93"/>
  <c r="N3" i="18" s="1"/>
  <c r="AF124" i="93"/>
  <c r="AF3" i="18" s="1"/>
  <c r="AD124" i="93"/>
  <c r="AD3" i="18" s="1"/>
  <c r="Y124" i="93"/>
  <c r="Y3" i="18" s="1"/>
  <c r="F124" i="93"/>
  <c r="F3" i="18" s="1"/>
  <c r="L124" i="93"/>
  <c r="L3" i="18" s="1"/>
  <c r="G124" i="93"/>
  <c r="G3" i="18" s="1"/>
  <c r="Q124" i="93"/>
  <c r="Q3" i="18" s="1"/>
  <c r="AF75" i="93"/>
  <c r="AF10" i="19" s="1"/>
  <c r="B10" i="19"/>
  <c r="E75" i="93"/>
  <c r="E10" i="19" s="1"/>
  <c r="G75" i="93"/>
  <c r="G10" i="19" s="1"/>
  <c r="N75" i="93"/>
  <c r="N10" i="19" s="1"/>
  <c r="I75" i="93"/>
  <c r="I10" i="19" s="1"/>
  <c r="K75" i="93"/>
  <c r="K10" i="19" s="1"/>
  <c r="M75" i="93"/>
  <c r="M10" i="19" s="1"/>
  <c r="O75" i="93"/>
  <c r="O10" i="19" s="1"/>
  <c r="D75" i="93"/>
  <c r="D10" i="19" s="1"/>
  <c r="L75" i="93"/>
  <c r="L10" i="19" s="1"/>
  <c r="P75" i="93"/>
  <c r="P10" i="19" s="1"/>
  <c r="Q75" i="93"/>
  <c r="Q10" i="19" s="1"/>
  <c r="S75" i="93"/>
  <c r="S10" i="19" s="1"/>
  <c r="F75" i="93"/>
  <c r="F10" i="19" s="1"/>
  <c r="R75" i="93"/>
  <c r="R10" i="19" s="1"/>
  <c r="U75" i="93"/>
  <c r="U10" i="19" s="1"/>
  <c r="W75" i="93"/>
  <c r="W10" i="19" s="1"/>
  <c r="J75" i="93"/>
  <c r="J10" i="19" s="1"/>
  <c r="H75" i="93"/>
  <c r="H10" i="19" s="1"/>
  <c r="Y75" i="93"/>
  <c r="Y10" i="19" s="1"/>
  <c r="AA75" i="93"/>
  <c r="AA10" i="19" s="1"/>
  <c r="AC75" i="93"/>
  <c r="AC10" i="19" s="1"/>
  <c r="AE75" i="93"/>
  <c r="AE10" i="19" s="1"/>
  <c r="Z75" i="93"/>
  <c r="Z10" i="19" s="1"/>
  <c r="P115" i="93"/>
  <c r="P22" i="17" s="1"/>
  <c r="Z124" i="93"/>
  <c r="Z3" i="18" s="1"/>
  <c r="B11" i="18"/>
  <c r="S103" i="93"/>
  <c r="S10" i="17" s="1"/>
  <c r="AD80" i="93"/>
  <c r="AD15" i="19" s="1"/>
  <c r="B4" i="19"/>
  <c r="U139" i="93"/>
  <c r="U18" i="18" s="1"/>
  <c r="AC136" i="93"/>
  <c r="AC15" i="18" s="1"/>
  <c r="AD105" i="93"/>
  <c r="AD12" i="17" s="1"/>
  <c r="V114" i="93"/>
  <c r="V21" i="17" s="1"/>
  <c r="N77" i="93"/>
  <c r="N12" i="19" s="1"/>
  <c r="R136" i="93"/>
  <c r="R15" i="18" s="1"/>
  <c r="B12" i="18"/>
  <c r="K133" i="93"/>
  <c r="K12" i="18" s="1"/>
  <c r="K145" i="93"/>
  <c r="K24" i="18" s="1"/>
  <c r="E145" i="93"/>
  <c r="E24" i="18" s="1"/>
  <c r="Y109" i="93"/>
  <c r="Y16" i="17" s="1"/>
  <c r="AB109" i="93"/>
  <c r="AB16" i="17" s="1"/>
  <c r="H139" i="93"/>
  <c r="H18" i="18" s="1"/>
  <c r="E140" i="93"/>
  <c r="E19" i="18" s="1"/>
  <c r="G69" i="93"/>
  <c r="G4" i="19" s="1"/>
  <c r="V105" i="93"/>
  <c r="V12" i="17" s="1"/>
  <c r="M105" i="93"/>
  <c r="M12" i="17" s="1"/>
  <c r="X123" i="93"/>
  <c r="X2" i="18" s="1"/>
  <c r="C114" i="93"/>
  <c r="C21" i="17" s="1"/>
  <c r="P114" i="93"/>
  <c r="P21" i="17" s="1"/>
  <c r="Q83" i="93"/>
  <c r="Q18" i="19" s="1"/>
  <c r="AC83" i="93"/>
  <c r="AC18" i="19" s="1"/>
  <c r="Y77" i="93"/>
  <c r="Y12" i="19" s="1"/>
  <c r="H77" i="93"/>
  <c r="H12" i="19" s="1"/>
  <c r="O136" i="93"/>
  <c r="O15" i="18" s="1"/>
  <c r="AF136" i="93"/>
  <c r="AF15" i="18" s="1"/>
  <c r="X73" i="93"/>
  <c r="X8" i="19" s="1"/>
  <c r="V73" i="93"/>
  <c r="V8" i="19" s="1"/>
  <c r="X133" i="93"/>
  <c r="X12" i="18" s="1"/>
  <c r="V133" i="93"/>
  <c r="V12" i="18" s="1"/>
  <c r="P145" i="93"/>
  <c r="P24" i="18" s="1"/>
  <c r="AB145" i="93"/>
  <c r="AB24" i="18" s="1"/>
  <c r="I109" i="93"/>
  <c r="I16" i="17" s="1"/>
  <c r="H109" i="93"/>
  <c r="H16" i="17" s="1"/>
  <c r="Z139" i="93"/>
  <c r="Z18" i="18" s="1"/>
  <c r="E139" i="93"/>
  <c r="E18" i="18" s="1"/>
  <c r="K140" i="93"/>
  <c r="K19" i="18" s="1"/>
  <c r="AF140" i="93"/>
  <c r="AF19" i="18" s="1"/>
  <c r="O87" i="93"/>
  <c r="O22" i="19" s="1"/>
  <c r="Z119" i="93"/>
  <c r="Z26" i="17" s="1"/>
  <c r="AF119" i="93"/>
  <c r="AF26" i="17" s="1"/>
  <c r="Z69" i="93"/>
  <c r="Z4" i="19" s="1"/>
  <c r="AC134" i="93"/>
  <c r="AC13" i="18" s="1"/>
  <c r="AA134" i="93"/>
  <c r="AA13" i="18" s="1"/>
  <c r="N105" i="93"/>
  <c r="N12" i="17" s="1"/>
  <c r="C105" i="93"/>
  <c r="C12" i="17" s="1"/>
  <c r="K123" i="93"/>
  <c r="K2" i="18" s="1"/>
  <c r="N123" i="93"/>
  <c r="N2" i="18" s="1"/>
  <c r="O114" i="93"/>
  <c r="O21" i="17" s="1"/>
  <c r="M114" i="93"/>
  <c r="M21" i="17" s="1"/>
  <c r="AA83" i="93"/>
  <c r="AA18" i="19" s="1"/>
  <c r="H83" i="93"/>
  <c r="H18" i="19" s="1"/>
  <c r="R77" i="93"/>
  <c r="R12" i="19" s="1"/>
  <c r="T77" i="93"/>
  <c r="T12" i="19" s="1"/>
  <c r="K136" i="93"/>
  <c r="K15" i="18" s="1"/>
  <c r="P139" i="93"/>
  <c r="P18" i="18" s="1"/>
  <c r="U105" i="93"/>
  <c r="U12" i="17" s="1"/>
  <c r="M139" i="93"/>
  <c r="M18" i="18" s="1"/>
  <c r="K139" i="93"/>
  <c r="K18" i="18" s="1"/>
  <c r="C87" i="93"/>
  <c r="C22" i="19" s="1"/>
  <c r="U123" i="93"/>
  <c r="U2" i="18" s="1"/>
  <c r="F77" i="93"/>
  <c r="F12" i="19" s="1"/>
  <c r="D77" i="93"/>
  <c r="D12" i="19" s="1"/>
  <c r="V136" i="93"/>
  <c r="V15" i="18" s="1"/>
  <c r="M136" i="93"/>
  <c r="M15" i="18" s="1"/>
  <c r="C73" i="93"/>
  <c r="C8" i="19" s="1"/>
  <c r="Z73" i="93"/>
  <c r="Z8" i="19" s="1"/>
  <c r="C133" i="93"/>
  <c r="C12" i="18" s="1"/>
  <c r="Z133" i="93"/>
  <c r="Z12" i="18" s="1"/>
  <c r="B24" i="18"/>
  <c r="AE145" i="93"/>
  <c r="AE24" i="18" s="1"/>
  <c r="N109" i="93"/>
  <c r="N16" i="17" s="1"/>
  <c r="T109" i="93"/>
  <c r="T16" i="17" s="1"/>
  <c r="R139" i="93"/>
  <c r="R18" i="18" s="1"/>
  <c r="AE139" i="93"/>
  <c r="AE18" i="18" s="1"/>
  <c r="J140" i="93"/>
  <c r="J19" i="18" s="1"/>
  <c r="AB140" i="93"/>
  <c r="AB19" i="18" s="1"/>
  <c r="I87" i="93"/>
  <c r="I22" i="19" s="1"/>
  <c r="AD119" i="93"/>
  <c r="AD26" i="17" s="1"/>
  <c r="AB119" i="93"/>
  <c r="AB26" i="17" s="1"/>
  <c r="AD69" i="93"/>
  <c r="AD4" i="19" s="1"/>
  <c r="I134" i="93"/>
  <c r="I13" i="18" s="1"/>
  <c r="W134" i="93"/>
  <c r="W13" i="18" s="1"/>
  <c r="S105" i="93"/>
  <c r="S12" i="17" s="1"/>
  <c r="E105" i="93"/>
  <c r="E12" i="17" s="1"/>
  <c r="AB123" i="93"/>
  <c r="AB2" i="18" s="1"/>
  <c r="AE123" i="93"/>
  <c r="AE2" i="18" s="1"/>
  <c r="AB114" i="93"/>
  <c r="AB21" i="17" s="1"/>
  <c r="H114" i="93"/>
  <c r="H21" i="17" s="1"/>
  <c r="I83" i="93"/>
  <c r="I18" i="19" s="1"/>
  <c r="U83" i="93"/>
  <c r="U18" i="19" s="1"/>
  <c r="X77" i="93"/>
  <c r="X12" i="19" s="1"/>
  <c r="Q136" i="93"/>
  <c r="Q15" i="18" s="1"/>
  <c r="W105" i="93"/>
  <c r="W12" i="17" s="1"/>
  <c r="J77" i="93"/>
  <c r="J12" i="19" s="1"/>
  <c r="Z136" i="93"/>
  <c r="Z15" i="18" s="1"/>
  <c r="P109" i="93"/>
  <c r="P16" i="17" s="1"/>
  <c r="E69" i="93"/>
  <c r="E4" i="19" s="1"/>
  <c r="G123" i="93"/>
  <c r="G2" i="18" s="1"/>
  <c r="Q77" i="93"/>
  <c r="Q12" i="19" s="1"/>
  <c r="AE77" i="93"/>
  <c r="AE12" i="19" s="1"/>
  <c r="N136" i="93"/>
  <c r="N15" i="18" s="1"/>
  <c r="X136" i="93"/>
  <c r="X15" i="18" s="1"/>
  <c r="P73" i="93"/>
  <c r="P8" i="19" s="1"/>
  <c r="N73" i="93"/>
  <c r="N8" i="19" s="1"/>
  <c r="P133" i="93"/>
  <c r="P12" i="18" s="1"/>
  <c r="N133" i="93"/>
  <c r="N12" i="18" s="1"/>
  <c r="G145" i="93"/>
  <c r="G24" i="18" s="1"/>
  <c r="R145" i="93"/>
  <c r="R24" i="18" s="1"/>
  <c r="U109" i="93"/>
  <c r="U16" i="17" s="1"/>
  <c r="AE109" i="93"/>
  <c r="AE16" i="17" s="1"/>
  <c r="C139" i="93"/>
  <c r="C18" i="18" s="1"/>
  <c r="AB139" i="93"/>
  <c r="AB18" i="18" s="1"/>
  <c r="O140" i="93"/>
  <c r="O19" i="18" s="1"/>
  <c r="X140" i="93"/>
  <c r="X19" i="18" s="1"/>
  <c r="R87" i="93"/>
  <c r="R22" i="19" s="1"/>
  <c r="R119" i="93"/>
  <c r="R26" i="17" s="1"/>
  <c r="X119" i="93"/>
  <c r="X26" i="17" s="1"/>
  <c r="AF69" i="93"/>
  <c r="AF4" i="19" s="1"/>
  <c r="R69" i="93"/>
  <c r="R4" i="19" s="1"/>
  <c r="U134" i="93"/>
  <c r="U13" i="18" s="1"/>
  <c r="S134" i="93"/>
  <c r="S13" i="18" s="1"/>
  <c r="R105" i="93"/>
  <c r="R12" i="17" s="1"/>
  <c r="AF105" i="93"/>
  <c r="AF12" i="17" s="1"/>
  <c r="J123" i="93"/>
  <c r="J2" i="18" s="1"/>
  <c r="F123" i="93"/>
  <c r="F2" i="18" s="1"/>
  <c r="F114" i="93"/>
  <c r="F21" i="17" s="1"/>
  <c r="AD114" i="93"/>
  <c r="AD21" i="17" s="1"/>
  <c r="S83" i="93"/>
  <c r="S18" i="19" s="1"/>
  <c r="M90" i="93"/>
  <c r="M25" i="19" s="1"/>
  <c r="AB77" i="93"/>
  <c r="AB12" i="19" s="1"/>
  <c r="W69" i="93"/>
  <c r="W4" i="19" s="1"/>
  <c r="S69" i="93"/>
  <c r="S4" i="19" s="1"/>
  <c r="M69" i="93"/>
  <c r="M4" i="19" s="1"/>
  <c r="O123" i="93"/>
  <c r="O2" i="18" s="1"/>
  <c r="C109" i="93"/>
  <c r="C16" i="17" s="1"/>
  <c r="AA139" i="93"/>
  <c r="AA18" i="18" s="1"/>
  <c r="O69" i="93"/>
  <c r="O4" i="19" s="1"/>
  <c r="C69" i="93"/>
  <c r="C4" i="19" s="1"/>
  <c r="AF123" i="93"/>
  <c r="AF2" i="18" s="1"/>
  <c r="M87" i="93"/>
  <c r="M22" i="19" s="1"/>
  <c r="Y114" i="93"/>
  <c r="Y21" i="17" s="1"/>
  <c r="D83" i="93"/>
  <c r="D18" i="19" s="1"/>
  <c r="AD145" i="93"/>
  <c r="AD24" i="18" s="1"/>
  <c r="V145" i="93"/>
  <c r="V24" i="18" s="1"/>
  <c r="E109" i="93"/>
  <c r="E16" i="17" s="1"/>
  <c r="L109" i="93"/>
  <c r="L16" i="17" s="1"/>
  <c r="Y139" i="93"/>
  <c r="Y18" i="18" s="1"/>
  <c r="W139" i="93"/>
  <c r="W18" i="18" s="1"/>
  <c r="G140" i="93"/>
  <c r="G19" i="18" s="1"/>
  <c r="T140" i="93"/>
  <c r="T19" i="18" s="1"/>
  <c r="AF87" i="93"/>
  <c r="AF22" i="19" s="1"/>
  <c r="V119" i="93"/>
  <c r="V26" i="17" s="1"/>
  <c r="T119" i="93"/>
  <c r="T26" i="17" s="1"/>
  <c r="AB69" i="93"/>
  <c r="AB4" i="19" s="1"/>
  <c r="V69" i="93"/>
  <c r="V4" i="19" s="1"/>
  <c r="AF134" i="93"/>
  <c r="AF13" i="18" s="1"/>
  <c r="O134" i="93"/>
  <c r="O13" i="18" s="1"/>
  <c r="J105" i="93"/>
  <c r="J12" i="17" s="1"/>
  <c r="AB105" i="93"/>
  <c r="AB12" i="17" s="1"/>
  <c r="T123" i="93"/>
  <c r="T2" i="18" s="1"/>
  <c r="W123" i="93"/>
  <c r="W2" i="18" s="1"/>
  <c r="S114" i="93"/>
  <c r="S21" i="17" s="1"/>
  <c r="D114" i="93"/>
  <c r="D21" i="17" s="1"/>
  <c r="AF83" i="93"/>
  <c r="AF18" i="19" s="1"/>
  <c r="AE83" i="93"/>
  <c r="AE18" i="19" s="1"/>
  <c r="L90" i="93"/>
  <c r="L25" i="19" s="1"/>
  <c r="I39" i="93"/>
  <c r="I2" i="16" s="1"/>
  <c r="D136" i="93"/>
  <c r="D15" i="18" s="1"/>
  <c r="N90" i="93"/>
  <c r="N25" i="19" s="1"/>
  <c r="V77" i="93"/>
  <c r="V12" i="19" s="1"/>
  <c r="P77" i="93"/>
  <c r="P12" i="19" s="1"/>
  <c r="I136" i="93"/>
  <c r="I15" i="18" s="1"/>
  <c r="L77" i="93"/>
  <c r="L12" i="19" s="1"/>
  <c r="U136" i="93"/>
  <c r="U15" i="18" s="1"/>
  <c r="R133" i="93"/>
  <c r="R12" i="18" s="1"/>
  <c r="I77" i="93"/>
  <c r="I12" i="19" s="1"/>
  <c r="W77" i="93"/>
  <c r="W12" i="19" s="1"/>
  <c r="AA136" i="93"/>
  <c r="AA15" i="18" s="1"/>
  <c r="P136" i="93"/>
  <c r="P15" i="18" s="1"/>
  <c r="H133" i="93"/>
  <c r="H12" i="18" s="1"/>
  <c r="F133" i="93"/>
  <c r="F12" i="18" s="1"/>
  <c r="X145" i="93"/>
  <c r="X24" i="18" s="1"/>
  <c r="I145" i="93"/>
  <c r="I24" i="18" s="1"/>
  <c r="R109" i="93"/>
  <c r="R16" i="17" s="1"/>
  <c r="W109" i="93"/>
  <c r="W16" i="17" s="1"/>
  <c r="AD139" i="93"/>
  <c r="AD18" i="18" s="1"/>
  <c r="T139" i="93"/>
  <c r="T18" i="18" s="1"/>
  <c r="Z140" i="93"/>
  <c r="Z19" i="18" s="1"/>
  <c r="P140" i="93"/>
  <c r="P19" i="18" s="1"/>
  <c r="F87" i="93"/>
  <c r="F22" i="19" s="1"/>
  <c r="J119" i="93"/>
  <c r="J26" i="17" s="1"/>
  <c r="X69" i="93"/>
  <c r="X4" i="19" s="1"/>
  <c r="J69" i="93"/>
  <c r="J4" i="19" s="1"/>
  <c r="M134" i="93"/>
  <c r="M13" i="18" s="1"/>
  <c r="K134" i="93"/>
  <c r="K13" i="18" s="1"/>
  <c r="Y105" i="93"/>
  <c r="Y12" i="17" s="1"/>
  <c r="X105" i="93"/>
  <c r="X12" i="17" s="1"/>
  <c r="Q123" i="93"/>
  <c r="Q2" i="18" s="1"/>
  <c r="B2" i="18"/>
  <c r="AF114" i="93"/>
  <c r="AF21" i="17" s="1"/>
  <c r="M83" i="93"/>
  <c r="M18" i="19" s="1"/>
  <c r="K83" i="93"/>
  <c r="K18" i="19" s="1"/>
  <c r="K90" i="93"/>
  <c r="K25" i="19" s="1"/>
  <c r="E39" i="93"/>
  <c r="E2" i="16" s="1"/>
  <c r="K114" i="93"/>
  <c r="K21" i="17" s="1"/>
  <c r="K69" i="93"/>
  <c r="K4" i="19" s="1"/>
  <c r="S123" i="93"/>
  <c r="S2" i="18" s="1"/>
  <c r="AB133" i="93"/>
  <c r="AB12" i="18" s="1"/>
  <c r="T133" i="93"/>
  <c r="T12" i="18" s="1"/>
  <c r="J133" i="93"/>
  <c r="J12" i="18" s="1"/>
  <c r="U145" i="93"/>
  <c r="U24" i="18" s="1"/>
  <c r="M145" i="93"/>
  <c r="M24" i="18" s="1"/>
  <c r="F109" i="93"/>
  <c r="F16" i="17" s="1"/>
  <c r="D109" i="93"/>
  <c r="D16" i="17" s="1"/>
  <c r="Q139" i="93"/>
  <c r="Q18" i="18" s="1"/>
  <c r="G139" i="93"/>
  <c r="G18" i="18" s="1"/>
  <c r="AD140" i="93"/>
  <c r="AD19" i="18" s="1"/>
  <c r="L140" i="93"/>
  <c r="L19" i="18" s="1"/>
  <c r="S87" i="93"/>
  <c r="S22" i="19" s="1"/>
  <c r="P119" i="93"/>
  <c r="P26" i="17" s="1"/>
  <c r="N119" i="93"/>
  <c r="N26" i="17" s="1"/>
  <c r="T69" i="93"/>
  <c r="T4" i="19" s="1"/>
  <c r="N69" i="93"/>
  <c r="N4" i="19" s="1"/>
  <c r="X134" i="93"/>
  <c r="X13" i="18" s="1"/>
  <c r="G134" i="93"/>
  <c r="G13" i="18" s="1"/>
  <c r="O105" i="93"/>
  <c r="O12" i="17" s="1"/>
  <c r="T105" i="93"/>
  <c r="T12" i="17" s="1"/>
  <c r="AA123" i="93"/>
  <c r="AA2" i="18" s="1"/>
  <c r="M123" i="93"/>
  <c r="M2" i="18" s="1"/>
  <c r="U114" i="93"/>
  <c r="U21" i="17" s="1"/>
  <c r="J114" i="93"/>
  <c r="J21" i="17" s="1"/>
  <c r="AD83" i="93"/>
  <c r="AD18" i="19" s="1"/>
  <c r="W83" i="93"/>
  <c r="W18" i="19" s="1"/>
  <c r="H90" i="93"/>
  <c r="H25" i="19" s="1"/>
  <c r="S39" i="93"/>
  <c r="S2" i="16" s="1"/>
  <c r="AC123" i="93"/>
  <c r="AC2" i="18" s="1"/>
  <c r="X114" i="93"/>
  <c r="X21" i="17" s="1"/>
  <c r="Z109" i="93"/>
  <c r="Z16" i="17" s="1"/>
  <c r="S139" i="93"/>
  <c r="S18" i="18" s="1"/>
  <c r="B12" i="17"/>
  <c r="P83" i="93"/>
  <c r="P18" i="19" s="1"/>
  <c r="O90" i="93"/>
  <c r="O25" i="19" s="1"/>
  <c r="AC77" i="93"/>
  <c r="AC12" i="19" s="1"/>
  <c r="AA77" i="93"/>
  <c r="AA12" i="19" s="1"/>
  <c r="F136" i="93"/>
  <c r="F15" i="18" s="1"/>
  <c r="E136" i="93"/>
  <c r="E15" i="18" s="1"/>
  <c r="U77" i="93"/>
  <c r="U12" i="19" s="1"/>
  <c r="S77" i="93"/>
  <c r="S12" i="19" s="1"/>
  <c r="G136" i="93"/>
  <c r="G15" i="18" s="1"/>
  <c r="AB136" i="93"/>
  <c r="AB15" i="18" s="1"/>
  <c r="B12" i="19"/>
  <c r="S136" i="93"/>
  <c r="S15" i="18" s="1"/>
  <c r="AE73" i="93"/>
  <c r="AE8" i="19" s="1"/>
  <c r="AE133" i="93"/>
  <c r="AE12" i="18" s="1"/>
  <c r="O145" i="93"/>
  <c r="O24" i="18" s="1"/>
  <c r="Z145" i="93"/>
  <c r="Z24" i="18" s="1"/>
  <c r="J109" i="93"/>
  <c r="J16" i="17" s="1"/>
  <c r="N139" i="93"/>
  <c r="N18" i="18" s="1"/>
  <c r="R140" i="93"/>
  <c r="R19" i="18" s="1"/>
  <c r="H140" i="93"/>
  <c r="H19" i="18" s="1"/>
  <c r="K87" i="93"/>
  <c r="K22" i="19" s="1"/>
  <c r="L119" i="93"/>
  <c r="L26" i="17" s="1"/>
  <c r="P69" i="93"/>
  <c r="P4" i="19" s="1"/>
  <c r="Y69" i="93"/>
  <c r="Y4" i="19" s="1"/>
  <c r="E134" i="93"/>
  <c r="E13" i="18" s="1"/>
  <c r="K105" i="93"/>
  <c r="K12" i="17" s="1"/>
  <c r="I123" i="93"/>
  <c r="I2" i="18" s="1"/>
  <c r="B21" i="17"/>
  <c r="E83" i="93"/>
  <c r="E18" i="19" s="1"/>
  <c r="G90" i="93"/>
  <c r="G25" i="19" s="1"/>
  <c r="G39" i="93"/>
  <c r="G2" i="16" s="1"/>
  <c r="M59" i="93"/>
  <c r="M22" i="16" s="1"/>
  <c r="J90" i="93"/>
  <c r="J25" i="19" s="1"/>
  <c r="H69" i="93"/>
  <c r="H4" i="19" s="1"/>
  <c r="I90" i="93"/>
  <c r="I25" i="19" s="1"/>
  <c r="F90" i="93"/>
  <c r="F25" i="19" s="1"/>
  <c r="E90" i="93"/>
  <c r="E25" i="19" s="1"/>
  <c r="D90" i="93"/>
  <c r="D25" i="19" s="1"/>
  <c r="B25" i="19"/>
  <c r="T68" i="93"/>
  <c r="R80" i="93"/>
  <c r="R15" i="19" s="1"/>
  <c r="X80" i="93"/>
  <c r="X15" i="19" s="1"/>
  <c r="N80" i="93"/>
  <c r="N15" i="19" s="1"/>
  <c r="T80" i="93"/>
  <c r="T15" i="19" s="1"/>
  <c r="S117" i="93"/>
  <c r="N81" i="93"/>
  <c r="N16" i="19" s="1"/>
  <c r="F80" i="93"/>
  <c r="F15" i="19" s="1"/>
  <c r="L80" i="93"/>
  <c r="L15" i="19" s="1"/>
  <c r="C117" i="93"/>
  <c r="AB81" i="93"/>
  <c r="AB16" i="19" s="1"/>
  <c r="C80" i="93"/>
  <c r="C15" i="19" s="1"/>
  <c r="S80" i="93"/>
  <c r="S15" i="19" s="1"/>
  <c r="C146" i="93"/>
  <c r="C25" i="18" s="1"/>
  <c r="X117" i="93"/>
  <c r="AC80" i="93"/>
  <c r="AC15" i="19" s="1"/>
  <c r="W80" i="93"/>
  <c r="W15" i="19" s="1"/>
  <c r="U80" i="93"/>
  <c r="U15" i="19" s="1"/>
  <c r="Z80" i="93"/>
  <c r="Z15" i="19" s="1"/>
  <c r="M80" i="93"/>
  <c r="M15" i="19" s="1"/>
  <c r="D80" i="93"/>
  <c r="D15" i="19" s="1"/>
  <c r="AC81" i="93"/>
  <c r="AC16" i="19" s="1"/>
  <c r="L81" i="93"/>
  <c r="L16" i="19" s="1"/>
  <c r="M146" i="93"/>
  <c r="M25" i="18" s="1"/>
  <c r="V117" i="93"/>
  <c r="T117" i="93"/>
  <c r="Y81" i="93"/>
  <c r="Y16" i="19" s="1"/>
  <c r="W81" i="93"/>
  <c r="W16" i="19" s="1"/>
  <c r="E59" i="93"/>
  <c r="E22" i="16" s="1"/>
  <c r="G117" i="93"/>
  <c r="AB59" i="93"/>
  <c r="AB22" i="16" s="1"/>
  <c r="U81" i="93"/>
  <c r="U16" i="19" s="1"/>
  <c r="F81" i="93"/>
  <c r="F16" i="19" s="1"/>
  <c r="B22" i="16"/>
  <c r="K146" i="93"/>
  <c r="K25" i="18" s="1"/>
  <c r="N117" i="93"/>
  <c r="L117" i="93"/>
  <c r="Q81" i="93"/>
  <c r="Q16" i="19" s="1"/>
  <c r="O81" i="93"/>
  <c r="O16" i="19" s="1"/>
  <c r="J117" i="93"/>
  <c r="H117" i="93"/>
  <c r="AB117" i="93"/>
  <c r="L59" i="93"/>
  <c r="L22" i="16" s="1"/>
  <c r="AF46" i="93"/>
  <c r="AF9" i="16" s="1"/>
  <c r="J146" i="93"/>
  <c r="J25" i="18" s="1"/>
  <c r="M81" i="93"/>
  <c r="M16" i="19" s="1"/>
  <c r="X46" i="93"/>
  <c r="X9" i="16" s="1"/>
  <c r="I146" i="93"/>
  <c r="I25" i="18" s="1"/>
  <c r="F117" i="93"/>
  <c r="D117" i="93"/>
  <c r="AA81" i="93"/>
  <c r="AA16" i="19" s="1"/>
  <c r="I81" i="93"/>
  <c r="I16" i="19" s="1"/>
  <c r="AE81" i="93"/>
  <c r="AE16" i="19" s="1"/>
  <c r="Z117" i="93"/>
  <c r="H146" i="93"/>
  <c r="H25" i="18" s="1"/>
  <c r="Y117" i="93"/>
  <c r="AE117" i="93"/>
  <c r="E81" i="93"/>
  <c r="E16" i="19" s="1"/>
  <c r="K117" i="93"/>
  <c r="T59" i="93"/>
  <c r="T22" i="16" s="1"/>
  <c r="AD117" i="93"/>
  <c r="D59" i="93"/>
  <c r="D22" i="16" s="1"/>
  <c r="T46" i="93"/>
  <c r="T9" i="16" s="1"/>
  <c r="G81" i="93"/>
  <c r="G16" i="19" s="1"/>
  <c r="H59" i="93"/>
  <c r="H22" i="16" s="1"/>
  <c r="L46" i="93"/>
  <c r="L9" i="16" s="1"/>
  <c r="G146" i="93"/>
  <c r="G25" i="18" s="1"/>
  <c r="W117" i="93"/>
  <c r="E117" i="93"/>
  <c r="AF117" i="93"/>
  <c r="T81" i="93"/>
  <c r="T16" i="19" s="1"/>
  <c r="O146" i="93"/>
  <c r="O25" i="18" s="1"/>
  <c r="L146" i="93"/>
  <c r="L25" i="18" s="1"/>
  <c r="R117" i="93"/>
  <c r="P117" i="93"/>
  <c r="D81" i="93"/>
  <c r="D16" i="19" s="1"/>
  <c r="X59" i="93"/>
  <c r="X22" i="16" s="1"/>
  <c r="AC117" i="93"/>
  <c r="S81" i="93"/>
  <c r="S16" i="19" s="1"/>
  <c r="AF81" i="93"/>
  <c r="AF16" i="19" s="1"/>
  <c r="V59" i="93"/>
  <c r="V22" i="16" s="1"/>
  <c r="F146" i="93"/>
  <c r="F25" i="18" s="1"/>
  <c r="Q117" i="93"/>
  <c r="AD81" i="93"/>
  <c r="AD16" i="19" s="1"/>
  <c r="B16" i="19"/>
  <c r="N59" i="93"/>
  <c r="N22" i="16" s="1"/>
  <c r="R81" i="93"/>
  <c r="R16" i="19" s="1"/>
  <c r="Q59" i="93"/>
  <c r="Q22" i="16" s="1"/>
  <c r="E146" i="93"/>
  <c r="E25" i="18" s="1"/>
  <c r="U117" i="93"/>
  <c r="K81" i="93"/>
  <c r="K16" i="19" s="1"/>
  <c r="X81" i="93"/>
  <c r="X16" i="19" s="1"/>
  <c r="AC59" i="93"/>
  <c r="AC22" i="16" s="1"/>
  <c r="D146" i="93"/>
  <c r="D25" i="18" s="1"/>
  <c r="AA117" i="93"/>
  <c r="I117" i="93"/>
  <c r="V81" i="93"/>
  <c r="V16" i="19" s="1"/>
  <c r="C81" i="93"/>
  <c r="C16" i="19" s="1"/>
  <c r="H81" i="93"/>
  <c r="H16" i="19" s="1"/>
  <c r="J81" i="93"/>
  <c r="J16" i="19" s="1"/>
  <c r="U59" i="93"/>
  <c r="U22" i="16" s="1"/>
  <c r="B25" i="18"/>
  <c r="O117" i="93"/>
  <c r="Z81" i="93"/>
  <c r="Z16" i="19" s="1"/>
  <c r="AD87" i="93"/>
  <c r="AD22" i="19" s="1"/>
  <c r="Z87" i="93"/>
  <c r="Z22" i="19" s="1"/>
  <c r="B3" i="94"/>
  <c r="B3" i="16" s="1"/>
  <c r="K39" i="93"/>
  <c r="K2" i="16" s="1"/>
  <c r="AF39" i="93"/>
  <c r="AF2" i="16" s="1"/>
  <c r="AD39" i="93"/>
  <c r="AD2" i="16" s="1"/>
  <c r="B2" i="94"/>
  <c r="B2" i="16" s="1"/>
  <c r="C39" i="93"/>
  <c r="C2" i="16" s="1"/>
  <c r="X39" i="93"/>
  <c r="X2" i="16" s="1"/>
  <c r="V39" i="93"/>
  <c r="V2" i="16" s="1"/>
  <c r="AB39" i="93"/>
  <c r="AB2" i="16" s="1"/>
  <c r="Z39" i="93"/>
  <c r="Z2" i="16" s="1"/>
  <c r="H145" i="93"/>
  <c r="H24" i="18" s="1"/>
  <c r="Y140" i="93"/>
  <c r="Y19" i="18" s="1"/>
  <c r="W140" i="93"/>
  <c r="W19" i="18" s="1"/>
  <c r="Q87" i="93"/>
  <c r="Q22" i="19" s="1"/>
  <c r="V87" i="93"/>
  <c r="V22" i="19" s="1"/>
  <c r="P39" i="93"/>
  <c r="P2" i="16" s="1"/>
  <c r="N39" i="93"/>
  <c r="N2" i="16" s="1"/>
  <c r="AA87" i="93"/>
  <c r="AA22" i="19" s="1"/>
  <c r="AC87" i="93"/>
  <c r="AC22" i="19" s="1"/>
  <c r="R39" i="93"/>
  <c r="R2" i="16" s="1"/>
  <c r="T39" i="93"/>
  <c r="T2" i="16" s="1"/>
  <c r="AE87" i="93"/>
  <c r="AE22" i="19" s="1"/>
  <c r="L87" i="93"/>
  <c r="L22" i="19" s="1"/>
  <c r="Q39" i="93"/>
  <c r="Q2" i="16" s="1"/>
  <c r="H39" i="93"/>
  <c r="H2" i="16" s="1"/>
  <c r="V140" i="93"/>
  <c r="V19" i="18" s="1"/>
  <c r="J87" i="93"/>
  <c r="J22" i="19" s="1"/>
  <c r="Y87" i="93"/>
  <c r="Y22" i="19" s="1"/>
  <c r="F39" i="93"/>
  <c r="F2" i="16" s="1"/>
  <c r="L39" i="93"/>
  <c r="L2" i="16" s="1"/>
  <c r="E87" i="93"/>
  <c r="E22" i="19" s="1"/>
  <c r="T87" i="93"/>
  <c r="T22" i="19" s="1"/>
  <c r="M39" i="93"/>
  <c r="M2" i="16" s="1"/>
  <c r="AE39" i="93"/>
  <c r="AE2" i="16" s="1"/>
  <c r="J39" i="93"/>
  <c r="J2" i="16" s="1"/>
  <c r="D39" i="93"/>
  <c r="D2" i="16" s="1"/>
  <c r="AC39" i="93"/>
  <c r="AC2" i="16" s="1"/>
  <c r="W39" i="93"/>
  <c r="W2" i="16" s="1"/>
  <c r="B22" i="19"/>
  <c r="H87" i="93"/>
  <c r="H22" i="19" s="1"/>
  <c r="Y39" i="93"/>
  <c r="Y2" i="16" s="1"/>
  <c r="AA39" i="93"/>
  <c r="AA2" i="16" s="1"/>
  <c r="N87" i="93"/>
  <c r="N22" i="19" s="1"/>
  <c r="U39" i="93"/>
  <c r="U2" i="16" s="1"/>
  <c r="Y46" i="93"/>
  <c r="Y9" i="16" s="1"/>
  <c r="M46" i="93"/>
  <c r="M9" i="16" s="1"/>
  <c r="E46" i="93"/>
  <c r="E9" i="16" s="1"/>
  <c r="Q46" i="93"/>
  <c r="Q9" i="16" s="1"/>
  <c r="C46" i="93"/>
  <c r="C9" i="16" s="1"/>
  <c r="F59" i="93"/>
  <c r="F22" i="16" s="1"/>
  <c r="I46" i="93"/>
  <c r="I9" i="16" s="1"/>
  <c r="AB46" i="93"/>
  <c r="AB9" i="16" s="1"/>
  <c r="H46" i="93"/>
  <c r="H9" i="16" s="1"/>
  <c r="S46" i="93"/>
  <c r="S9" i="16" s="1"/>
  <c r="O46" i="93"/>
  <c r="O9" i="16" s="1"/>
  <c r="R46" i="93"/>
  <c r="R9" i="16" s="1"/>
  <c r="AD46" i="93"/>
  <c r="AD9" i="16" s="1"/>
  <c r="J46" i="93"/>
  <c r="J9" i="16" s="1"/>
  <c r="P46" i="93"/>
  <c r="P9" i="16" s="1"/>
  <c r="AA46" i="93"/>
  <c r="AA9" i="16" s="1"/>
  <c r="V46" i="93"/>
  <c r="V9" i="16" s="1"/>
  <c r="B9" i="16"/>
  <c r="C59" i="93"/>
  <c r="C22" i="16" s="1"/>
  <c r="J59" i="93"/>
  <c r="J22" i="16" s="1"/>
  <c r="N46" i="93"/>
  <c r="N9" i="16" s="1"/>
  <c r="AF59" i="93"/>
  <c r="AF22" i="16" s="1"/>
  <c r="Y59" i="93"/>
  <c r="Y22" i="16" s="1"/>
  <c r="F46" i="93"/>
  <c r="F9" i="16" s="1"/>
  <c r="AC46" i="93"/>
  <c r="AC9" i="16" s="1"/>
  <c r="W46" i="93"/>
  <c r="W9" i="16" s="1"/>
  <c r="Z46" i="93"/>
  <c r="Z9" i="16" s="1"/>
  <c r="P59" i="93"/>
  <c r="P22" i="16" s="1"/>
  <c r="I59" i="93"/>
  <c r="I22" i="16" s="1"/>
  <c r="U46" i="93"/>
  <c r="U9" i="16" s="1"/>
  <c r="S72" i="93"/>
  <c r="S7" i="19" s="1"/>
  <c r="W72" i="93"/>
  <c r="W7" i="19" s="1"/>
  <c r="AA72" i="93"/>
  <c r="AA7" i="19" s="1"/>
  <c r="AE72" i="93"/>
  <c r="AE7" i="19" s="1"/>
  <c r="D72" i="93"/>
  <c r="D7" i="19" s="1"/>
  <c r="H72" i="93"/>
  <c r="H7" i="19" s="1"/>
  <c r="L72" i="93"/>
  <c r="L7" i="19" s="1"/>
  <c r="P72" i="93"/>
  <c r="P7" i="19" s="1"/>
  <c r="T72" i="93"/>
  <c r="T7" i="19" s="1"/>
  <c r="X72" i="93"/>
  <c r="X7" i="19" s="1"/>
  <c r="AB72" i="93"/>
  <c r="AB7" i="19" s="1"/>
  <c r="AF72" i="93"/>
  <c r="AF7" i="19" s="1"/>
  <c r="E72" i="93"/>
  <c r="E7" i="19" s="1"/>
  <c r="I72" i="93"/>
  <c r="I7" i="19" s="1"/>
  <c r="M72" i="93"/>
  <c r="M7" i="19" s="1"/>
  <c r="Q72" i="93"/>
  <c r="Q7" i="19" s="1"/>
  <c r="U72" i="93"/>
  <c r="U7" i="19" s="1"/>
  <c r="Y72" i="93"/>
  <c r="Y7" i="19" s="1"/>
  <c r="AC72" i="93"/>
  <c r="AC7" i="19" s="1"/>
  <c r="C72" i="93"/>
  <c r="C7" i="19" s="1"/>
  <c r="F72" i="93"/>
  <c r="F7" i="19" s="1"/>
  <c r="B7" i="19"/>
  <c r="N72" i="93"/>
  <c r="N7" i="19" s="1"/>
  <c r="J72" i="93"/>
  <c r="J7" i="19" s="1"/>
  <c r="V72" i="93"/>
  <c r="V7" i="19" s="1"/>
  <c r="R72" i="93"/>
  <c r="R7" i="19" s="1"/>
  <c r="AD72" i="93"/>
  <c r="AD7" i="19" s="1"/>
  <c r="Z72" i="93"/>
  <c r="Z7" i="19" s="1"/>
  <c r="G72" i="93"/>
  <c r="G7" i="19" s="1"/>
  <c r="K72" i="93"/>
  <c r="K7" i="19" s="1"/>
  <c r="O72" i="93"/>
  <c r="O7" i="19" s="1"/>
  <c r="AE96" i="93"/>
  <c r="AE3" i="17" s="1"/>
  <c r="T96" i="93"/>
  <c r="T3" i="17" s="1"/>
  <c r="H96" i="93"/>
  <c r="H3" i="17" s="1"/>
  <c r="AB96" i="93"/>
  <c r="AB3" i="17" s="1"/>
  <c r="P96" i="93"/>
  <c r="P3" i="17" s="1"/>
  <c r="E96" i="93"/>
  <c r="E3" i="17" s="1"/>
  <c r="X96" i="93"/>
  <c r="X3" i="17" s="1"/>
  <c r="M96" i="93"/>
  <c r="M3" i="17" s="1"/>
  <c r="AF96" i="93"/>
  <c r="AF3" i="17" s="1"/>
  <c r="U96" i="93"/>
  <c r="U3" i="17" s="1"/>
  <c r="I96" i="93"/>
  <c r="I3" i="17" s="1"/>
  <c r="AC96" i="93"/>
  <c r="AC3" i="17" s="1"/>
  <c r="Q96" i="93"/>
  <c r="Q3" i="17" s="1"/>
  <c r="C96" i="93"/>
  <c r="C3" i="17" s="1"/>
  <c r="Y96" i="93"/>
  <c r="Y3" i="17" s="1"/>
  <c r="B3" i="17"/>
  <c r="J96" i="93"/>
  <c r="J3" i="17" s="1"/>
  <c r="F96" i="93"/>
  <c r="F3" i="17" s="1"/>
  <c r="R96" i="93"/>
  <c r="R3" i="17" s="1"/>
  <c r="N96" i="93"/>
  <c r="N3" i="17" s="1"/>
  <c r="Z96" i="93"/>
  <c r="Z3" i="17" s="1"/>
  <c r="V96" i="93"/>
  <c r="V3" i="17" s="1"/>
  <c r="K96" i="93"/>
  <c r="K3" i="17" s="1"/>
  <c r="AD96" i="93"/>
  <c r="AD3" i="17" s="1"/>
  <c r="S96" i="93"/>
  <c r="S3" i="17" s="1"/>
  <c r="G96" i="93"/>
  <c r="G3" i="17" s="1"/>
  <c r="AA96" i="93"/>
  <c r="AA3" i="17" s="1"/>
  <c r="O96" i="93"/>
  <c r="O3" i="17" s="1"/>
  <c r="D96" i="93"/>
  <c r="D3" i="17" s="1"/>
  <c r="W96" i="93"/>
  <c r="W3" i="17" s="1"/>
  <c r="L96" i="93"/>
  <c r="L3" i="17" s="1"/>
  <c r="L67" i="93"/>
  <c r="L2" i="19" s="1"/>
  <c r="P67" i="93"/>
  <c r="P2" i="19" s="1"/>
  <c r="T67" i="93"/>
  <c r="T2" i="19" s="1"/>
  <c r="X67" i="93"/>
  <c r="X2" i="19" s="1"/>
  <c r="AB67" i="93"/>
  <c r="AB2" i="19" s="1"/>
  <c r="AF67" i="93"/>
  <c r="AF2" i="19" s="1"/>
  <c r="E67" i="93"/>
  <c r="E2" i="19" s="1"/>
  <c r="I67" i="93"/>
  <c r="I2" i="19" s="1"/>
  <c r="M67" i="93"/>
  <c r="M2" i="19" s="1"/>
  <c r="Q67" i="93"/>
  <c r="Q2" i="19" s="1"/>
  <c r="U67" i="93"/>
  <c r="U2" i="19" s="1"/>
  <c r="Y67" i="93"/>
  <c r="Y2" i="19" s="1"/>
  <c r="AC67" i="93"/>
  <c r="AC2" i="19" s="1"/>
  <c r="J67" i="93"/>
  <c r="J2" i="19" s="1"/>
  <c r="F67" i="93"/>
  <c r="F2" i="19" s="1"/>
  <c r="R67" i="93"/>
  <c r="R2" i="19" s="1"/>
  <c r="N67" i="93"/>
  <c r="N2" i="19" s="1"/>
  <c r="Z67" i="93"/>
  <c r="Z2" i="19" s="1"/>
  <c r="V67" i="93"/>
  <c r="V2" i="19" s="1"/>
  <c r="B2" i="19"/>
  <c r="AD67" i="93"/>
  <c r="AD2" i="19" s="1"/>
  <c r="C67" i="93"/>
  <c r="C2" i="19" s="1"/>
  <c r="G67" i="93"/>
  <c r="G2" i="19" s="1"/>
  <c r="K67" i="93"/>
  <c r="K2" i="19" s="1"/>
  <c r="O67" i="93"/>
  <c r="O2" i="19" s="1"/>
  <c r="S67" i="93"/>
  <c r="S2" i="19" s="1"/>
  <c r="W67" i="93"/>
  <c r="W2" i="19" s="1"/>
  <c r="AA67" i="93"/>
  <c r="AA2" i="19" s="1"/>
  <c r="AE67" i="93"/>
  <c r="AE2" i="19" s="1"/>
  <c r="H67" i="93"/>
  <c r="H2" i="19" s="1"/>
  <c r="D67" i="93"/>
  <c r="D2" i="19" s="1"/>
  <c r="Q102" i="93"/>
  <c r="Q9" i="17" s="1"/>
  <c r="F102" i="93"/>
  <c r="F9" i="17" s="1"/>
  <c r="Y102" i="93"/>
  <c r="Y9" i="17" s="1"/>
  <c r="N102" i="93"/>
  <c r="N9" i="17" s="1"/>
  <c r="J102" i="93"/>
  <c r="J9" i="17" s="1"/>
  <c r="V102" i="93"/>
  <c r="V9" i="17" s="1"/>
  <c r="R102" i="93"/>
  <c r="R9" i="17" s="1"/>
  <c r="AD102" i="93"/>
  <c r="AD9" i="17" s="1"/>
  <c r="Z102" i="93"/>
  <c r="Z9" i="17" s="1"/>
  <c r="G102" i="93"/>
  <c r="G9" i="17" s="1"/>
  <c r="K102" i="93"/>
  <c r="K9" i="17" s="1"/>
  <c r="O102" i="93"/>
  <c r="O9" i="17" s="1"/>
  <c r="S102" i="93"/>
  <c r="S9" i="17" s="1"/>
  <c r="W102" i="93"/>
  <c r="W9" i="17" s="1"/>
  <c r="AA102" i="93"/>
  <c r="AA9" i="17" s="1"/>
  <c r="AE102" i="93"/>
  <c r="AE9" i="17" s="1"/>
  <c r="D102" i="93"/>
  <c r="D9" i="17" s="1"/>
  <c r="C102" i="93"/>
  <c r="C9" i="17" s="1"/>
  <c r="L102" i="93"/>
  <c r="L9" i="17" s="1"/>
  <c r="H102" i="93"/>
  <c r="H9" i="17" s="1"/>
  <c r="AB102" i="93"/>
  <c r="AB9" i="17" s="1"/>
  <c r="X102" i="93"/>
  <c r="X9" i="17" s="1"/>
  <c r="M102" i="93"/>
  <c r="M9" i="17" s="1"/>
  <c r="AF102" i="93"/>
  <c r="AF9" i="17" s="1"/>
  <c r="U102" i="93"/>
  <c r="U9" i="17" s="1"/>
  <c r="B9" i="17"/>
  <c r="P102" i="93"/>
  <c r="P9" i="17" s="1"/>
  <c r="I102" i="93"/>
  <c r="I9" i="17" s="1"/>
  <c r="T102" i="93"/>
  <c r="T9" i="17" s="1"/>
  <c r="E102" i="93"/>
  <c r="E9" i="17" s="1"/>
  <c r="AC102" i="93"/>
  <c r="AC9" i="17" s="1"/>
  <c r="Q128" i="93"/>
  <c r="Q7" i="18" s="1"/>
  <c r="C128" i="93"/>
  <c r="C7" i="18" s="1"/>
  <c r="Y128" i="93"/>
  <c r="Y7" i="18" s="1"/>
  <c r="B7" i="18"/>
  <c r="O128" i="93"/>
  <c r="O7" i="18" s="1"/>
  <c r="D128" i="93"/>
  <c r="D7" i="18" s="1"/>
  <c r="W128" i="93"/>
  <c r="W7" i="18" s="1"/>
  <c r="L128" i="93"/>
  <c r="L7" i="18" s="1"/>
  <c r="X128" i="93"/>
  <c r="X7" i="18" s="1"/>
  <c r="M128" i="93"/>
  <c r="M7" i="18" s="1"/>
  <c r="AF128" i="93"/>
  <c r="AF7" i="18" s="1"/>
  <c r="U128" i="93"/>
  <c r="U7" i="18" s="1"/>
  <c r="J128" i="93"/>
  <c r="J7" i="18" s="1"/>
  <c r="R128" i="93"/>
  <c r="R7" i="18" s="1"/>
  <c r="Z128" i="93"/>
  <c r="Z7" i="18" s="1"/>
  <c r="K128" i="93"/>
  <c r="K7" i="18" s="1"/>
  <c r="S128" i="93"/>
  <c r="S7" i="18" s="1"/>
  <c r="AA128" i="93"/>
  <c r="AA7" i="18" s="1"/>
  <c r="T128" i="93"/>
  <c r="T7" i="18" s="1"/>
  <c r="F128" i="93"/>
  <c r="F7" i="18" s="1"/>
  <c r="AB128" i="93"/>
  <c r="AB7" i="18" s="1"/>
  <c r="N128" i="93"/>
  <c r="N7" i="18" s="1"/>
  <c r="E128" i="93"/>
  <c r="E7" i="18" s="1"/>
  <c r="V128" i="93"/>
  <c r="V7" i="18" s="1"/>
  <c r="AC128" i="93"/>
  <c r="AC7" i="18" s="1"/>
  <c r="AD128" i="93"/>
  <c r="AD7" i="18" s="1"/>
  <c r="G128" i="93"/>
  <c r="G7" i="18" s="1"/>
  <c r="AE128" i="93"/>
  <c r="AE7" i="18" s="1"/>
  <c r="H128" i="93"/>
  <c r="H7" i="18" s="1"/>
  <c r="P128" i="93"/>
  <c r="P7" i="18" s="1"/>
  <c r="I128" i="93"/>
  <c r="I7" i="18" s="1"/>
  <c r="C118" i="93"/>
  <c r="D118" i="93"/>
  <c r="E118" i="93"/>
  <c r="F118" i="93"/>
  <c r="G118" i="93"/>
  <c r="H118" i="93"/>
  <c r="I118" i="93"/>
  <c r="J118" i="93"/>
  <c r="K118" i="93"/>
  <c r="L118" i="93"/>
  <c r="M118" i="93"/>
  <c r="N118" i="93"/>
  <c r="Z82" i="93"/>
  <c r="Z17" i="19" s="1"/>
  <c r="G82" i="93"/>
  <c r="G17" i="19" s="1"/>
  <c r="L82" i="93"/>
  <c r="L17" i="19" s="1"/>
  <c r="B17" i="19"/>
  <c r="T82" i="93"/>
  <c r="T17" i="19" s="1"/>
  <c r="I82" i="93"/>
  <c r="I17" i="19" s="1"/>
  <c r="V82" i="93"/>
  <c r="V17" i="19" s="1"/>
  <c r="Q82" i="93"/>
  <c r="Q17" i="19" s="1"/>
  <c r="AD82" i="93"/>
  <c r="AD17" i="19" s="1"/>
  <c r="Y82" i="93"/>
  <c r="Y17" i="19" s="1"/>
  <c r="O82" i="93"/>
  <c r="O17" i="19" s="1"/>
  <c r="J82" i="93"/>
  <c r="J17" i="19" s="1"/>
  <c r="W82" i="93"/>
  <c r="W17" i="19" s="1"/>
  <c r="R82" i="93"/>
  <c r="R17" i="19" s="1"/>
  <c r="AE82" i="93"/>
  <c r="AE17" i="19" s="1"/>
  <c r="K82" i="93"/>
  <c r="K17" i="19" s="1"/>
  <c r="C82" i="93"/>
  <c r="C17" i="19" s="1"/>
  <c r="S82" i="93"/>
  <c r="S17" i="19" s="1"/>
  <c r="AA82" i="93"/>
  <c r="AA17" i="19" s="1"/>
  <c r="D82" i="93"/>
  <c r="D17" i="19" s="1"/>
  <c r="AB82" i="93"/>
  <c r="AB17" i="19" s="1"/>
  <c r="E82" i="93"/>
  <c r="E17" i="19" s="1"/>
  <c r="M82" i="93"/>
  <c r="M17" i="19" s="1"/>
  <c r="H82" i="93"/>
  <c r="H17" i="19" s="1"/>
  <c r="U82" i="93"/>
  <c r="U17" i="19" s="1"/>
  <c r="P82" i="93"/>
  <c r="P17" i="19" s="1"/>
  <c r="AC82" i="93"/>
  <c r="AC17" i="19" s="1"/>
  <c r="X82" i="93"/>
  <c r="X17" i="19" s="1"/>
  <c r="F82" i="93"/>
  <c r="F17" i="19" s="1"/>
  <c r="AF82" i="93"/>
  <c r="AF17" i="19" s="1"/>
  <c r="N82" i="93"/>
  <c r="N17" i="19" s="1"/>
  <c r="H112" i="93"/>
  <c r="H19" i="17" s="1"/>
  <c r="AB112" i="93"/>
  <c r="AB19" i="17" s="1"/>
  <c r="P112" i="93"/>
  <c r="P19" i="17" s="1"/>
  <c r="Q112" i="93"/>
  <c r="Q19" i="17" s="1"/>
  <c r="C112" i="93"/>
  <c r="C19" i="17" s="1"/>
  <c r="Y112" i="93"/>
  <c r="Y19" i="17" s="1"/>
  <c r="R112" i="93"/>
  <c r="R19" i="17" s="1"/>
  <c r="Z112" i="93"/>
  <c r="Z19" i="17" s="1"/>
  <c r="K112" i="93"/>
  <c r="K19" i="17" s="1"/>
  <c r="B19" i="17"/>
  <c r="S112" i="93"/>
  <c r="S19" i="17" s="1"/>
  <c r="F112" i="93"/>
  <c r="F19" i="17" s="1"/>
  <c r="AA112" i="93"/>
  <c r="AA19" i="17" s="1"/>
  <c r="N112" i="93"/>
  <c r="N19" i="17" s="1"/>
  <c r="D112" i="93"/>
  <c r="D19" i="17" s="1"/>
  <c r="V112" i="93"/>
  <c r="V19" i="17" s="1"/>
  <c r="L112" i="93"/>
  <c r="L19" i="17" s="1"/>
  <c r="AD112" i="93"/>
  <c r="AD19" i="17" s="1"/>
  <c r="T112" i="93"/>
  <c r="T19" i="17" s="1"/>
  <c r="G112" i="93"/>
  <c r="G19" i="17" s="1"/>
  <c r="E112" i="93"/>
  <c r="E19" i="17" s="1"/>
  <c r="O112" i="93"/>
  <c r="O19" i="17" s="1"/>
  <c r="M112" i="93"/>
  <c r="M19" i="17" s="1"/>
  <c r="W112" i="93"/>
  <c r="W19" i="17" s="1"/>
  <c r="U112" i="93"/>
  <c r="U19" i="17" s="1"/>
  <c r="AE112" i="93"/>
  <c r="AE19" i="17" s="1"/>
  <c r="AC112" i="93"/>
  <c r="AC19" i="17" s="1"/>
  <c r="X112" i="93"/>
  <c r="X19" i="17" s="1"/>
  <c r="AF112" i="93"/>
  <c r="AF19" i="17" s="1"/>
  <c r="I112" i="93"/>
  <c r="I19" i="17" s="1"/>
  <c r="J112" i="93"/>
  <c r="J19" i="17" s="1"/>
  <c r="AB70" i="93"/>
  <c r="AB5" i="19" s="1"/>
  <c r="AF70" i="93"/>
  <c r="AF5" i="19" s="1"/>
  <c r="E70" i="93"/>
  <c r="E5" i="19" s="1"/>
  <c r="I70" i="93"/>
  <c r="I5" i="19" s="1"/>
  <c r="M70" i="93"/>
  <c r="M5" i="19" s="1"/>
  <c r="Q70" i="93"/>
  <c r="Q5" i="19" s="1"/>
  <c r="U70" i="93"/>
  <c r="U5" i="19" s="1"/>
  <c r="Y70" i="93"/>
  <c r="Y5" i="19" s="1"/>
  <c r="AC70" i="93"/>
  <c r="AC5" i="19" s="1"/>
  <c r="J70" i="93"/>
  <c r="J5" i="19" s="1"/>
  <c r="F70" i="93"/>
  <c r="F5" i="19" s="1"/>
  <c r="R70" i="93"/>
  <c r="R5" i="19" s="1"/>
  <c r="N70" i="93"/>
  <c r="N5" i="19" s="1"/>
  <c r="Z70" i="93"/>
  <c r="Z5" i="19" s="1"/>
  <c r="V70" i="93"/>
  <c r="V5" i="19" s="1"/>
  <c r="K70" i="93"/>
  <c r="K5" i="19" s="1"/>
  <c r="AD70" i="93"/>
  <c r="AD5" i="19" s="1"/>
  <c r="S70" i="93"/>
  <c r="S5" i="19" s="1"/>
  <c r="G70" i="93"/>
  <c r="G5" i="19" s="1"/>
  <c r="AA70" i="93"/>
  <c r="AA5" i="19" s="1"/>
  <c r="O70" i="93"/>
  <c r="O5" i="19" s="1"/>
  <c r="C70" i="93"/>
  <c r="C5" i="19" s="1"/>
  <c r="W70" i="93"/>
  <c r="W5" i="19" s="1"/>
  <c r="B5" i="19"/>
  <c r="AE70" i="93"/>
  <c r="AE5" i="19" s="1"/>
  <c r="D70" i="93"/>
  <c r="D5" i="19" s="1"/>
  <c r="H70" i="93"/>
  <c r="H5" i="19" s="1"/>
  <c r="L70" i="93"/>
  <c r="L5" i="19" s="1"/>
  <c r="P70" i="93"/>
  <c r="P5" i="19" s="1"/>
  <c r="T70" i="93"/>
  <c r="T5" i="19" s="1"/>
  <c r="X70" i="93"/>
  <c r="X5" i="19" s="1"/>
  <c r="Q104" i="93"/>
  <c r="Q11" i="17" s="1"/>
  <c r="C104" i="93"/>
  <c r="C11" i="17" s="1"/>
  <c r="Y104" i="93"/>
  <c r="Y11" i="17" s="1"/>
  <c r="B11" i="17"/>
  <c r="J104" i="93"/>
  <c r="J11" i="17" s="1"/>
  <c r="F104" i="93"/>
  <c r="F11" i="17" s="1"/>
  <c r="R104" i="93"/>
  <c r="R11" i="17" s="1"/>
  <c r="N104" i="93"/>
  <c r="N11" i="17" s="1"/>
  <c r="Z104" i="93"/>
  <c r="Z11" i="17" s="1"/>
  <c r="V104" i="93"/>
  <c r="V11" i="17" s="1"/>
  <c r="K104" i="93"/>
  <c r="K11" i="17" s="1"/>
  <c r="AD104" i="93"/>
  <c r="AD11" i="17" s="1"/>
  <c r="S104" i="93"/>
  <c r="S11" i="17" s="1"/>
  <c r="G104" i="93"/>
  <c r="G11" i="17" s="1"/>
  <c r="AA104" i="93"/>
  <c r="AA11" i="17" s="1"/>
  <c r="O104" i="93"/>
  <c r="O11" i="17" s="1"/>
  <c r="D104" i="93"/>
  <c r="D11" i="17" s="1"/>
  <c r="W104" i="93"/>
  <c r="W11" i="17" s="1"/>
  <c r="L104" i="93"/>
  <c r="L11" i="17" s="1"/>
  <c r="AE104" i="93"/>
  <c r="AE11" i="17" s="1"/>
  <c r="T104" i="93"/>
  <c r="T11" i="17" s="1"/>
  <c r="H104" i="93"/>
  <c r="H11" i="17" s="1"/>
  <c r="AB104" i="93"/>
  <c r="AB11" i="17" s="1"/>
  <c r="P104" i="93"/>
  <c r="P11" i="17" s="1"/>
  <c r="E104" i="93"/>
  <c r="E11" i="17" s="1"/>
  <c r="X104" i="93"/>
  <c r="X11" i="17" s="1"/>
  <c r="M104" i="93"/>
  <c r="M11" i="17" s="1"/>
  <c r="AF104" i="93"/>
  <c r="AF11" i="17" s="1"/>
  <c r="U104" i="93"/>
  <c r="U11" i="17" s="1"/>
  <c r="I104" i="93"/>
  <c r="I11" i="17" s="1"/>
  <c r="AC104" i="93"/>
  <c r="AC11" i="17" s="1"/>
  <c r="AD135" i="93"/>
  <c r="AD14" i="18" s="1"/>
  <c r="B14" i="18"/>
  <c r="G135" i="93"/>
  <c r="G14" i="18" s="1"/>
  <c r="AB135" i="93"/>
  <c r="AB14" i="18" s="1"/>
  <c r="AF135" i="93"/>
  <c r="AF14" i="18" s="1"/>
  <c r="E135" i="93"/>
  <c r="E14" i="18" s="1"/>
  <c r="I135" i="93"/>
  <c r="I14" i="18" s="1"/>
  <c r="F135" i="93"/>
  <c r="F14" i="18" s="1"/>
  <c r="R135" i="93"/>
  <c r="R14" i="18" s="1"/>
  <c r="N135" i="93"/>
  <c r="N14" i="18" s="1"/>
  <c r="Z135" i="93"/>
  <c r="Z14" i="18" s="1"/>
  <c r="M135" i="93"/>
  <c r="M14" i="18" s="1"/>
  <c r="U135" i="93"/>
  <c r="U14" i="18" s="1"/>
  <c r="AC135" i="93"/>
  <c r="AC14" i="18" s="1"/>
  <c r="V135" i="93"/>
  <c r="V14" i="18" s="1"/>
  <c r="O135" i="93"/>
  <c r="O14" i="18" s="1"/>
  <c r="W135" i="93"/>
  <c r="W14" i="18" s="1"/>
  <c r="AE135" i="93"/>
  <c r="AE14" i="18" s="1"/>
  <c r="H135" i="93"/>
  <c r="H14" i="18" s="1"/>
  <c r="P135" i="93"/>
  <c r="P14" i="18" s="1"/>
  <c r="X135" i="93"/>
  <c r="X14" i="18" s="1"/>
  <c r="K135" i="93"/>
  <c r="K14" i="18" s="1"/>
  <c r="Q135" i="93"/>
  <c r="Q14" i="18" s="1"/>
  <c r="S135" i="93"/>
  <c r="S14" i="18" s="1"/>
  <c r="Y135" i="93"/>
  <c r="Y14" i="18" s="1"/>
  <c r="AA135" i="93"/>
  <c r="AA14" i="18" s="1"/>
  <c r="J135" i="93"/>
  <c r="J14" i="18" s="1"/>
  <c r="D135" i="93"/>
  <c r="D14" i="18" s="1"/>
  <c r="C135" i="93"/>
  <c r="C14" i="18" s="1"/>
  <c r="L135" i="93"/>
  <c r="L14" i="18" s="1"/>
  <c r="T135" i="93"/>
  <c r="T14" i="18" s="1"/>
  <c r="AB137" i="93"/>
  <c r="AB16" i="18" s="1"/>
  <c r="AF137" i="93"/>
  <c r="AF16" i="18" s="1"/>
  <c r="E137" i="93"/>
  <c r="E16" i="18" s="1"/>
  <c r="C137" i="93"/>
  <c r="C16" i="18" s="1"/>
  <c r="M137" i="93"/>
  <c r="M16" i="18" s="1"/>
  <c r="B16" i="18"/>
  <c r="U137" i="93"/>
  <c r="U16" i="18" s="1"/>
  <c r="I137" i="93"/>
  <c r="I16" i="18" s="1"/>
  <c r="AC137" i="93"/>
  <c r="AC16" i="18" s="1"/>
  <c r="Q137" i="93"/>
  <c r="Q16" i="18" s="1"/>
  <c r="F137" i="93"/>
  <c r="F16" i="18" s="1"/>
  <c r="Y137" i="93"/>
  <c r="Y16" i="18" s="1"/>
  <c r="N137" i="93"/>
  <c r="N16" i="18" s="1"/>
  <c r="J137" i="93"/>
  <c r="J16" i="18" s="1"/>
  <c r="V137" i="93"/>
  <c r="V16" i="18" s="1"/>
  <c r="R137" i="93"/>
  <c r="R16" i="18" s="1"/>
  <c r="AD137" i="93"/>
  <c r="AD16" i="18" s="1"/>
  <c r="Z137" i="93"/>
  <c r="Z16" i="18" s="1"/>
  <c r="G137" i="93"/>
  <c r="G16" i="18" s="1"/>
  <c r="K137" i="93"/>
  <c r="K16" i="18" s="1"/>
  <c r="O137" i="93"/>
  <c r="O16" i="18" s="1"/>
  <c r="S137" i="93"/>
  <c r="S16" i="18" s="1"/>
  <c r="W137" i="93"/>
  <c r="W16" i="18" s="1"/>
  <c r="AA137" i="93"/>
  <c r="AA16" i="18" s="1"/>
  <c r="AE137" i="93"/>
  <c r="AE16" i="18" s="1"/>
  <c r="D137" i="93"/>
  <c r="D16" i="18" s="1"/>
  <c r="H137" i="93"/>
  <c r="H16" i="18" s="1"/>
  <c r="L137" i="93"/>
  <c r="L16" i="18" s="1"/>
  <c r="P137" i="93"/>
  <c r="P16" i="18" s="1"/>
  <c r="T137" i="93"/>
  <c r="T16" i="18" s="1"/>
  <c r="X137" i="93"/>
  <c r="X16" i="18" s="1"/>
  <c r="M108" i="93"/>
  <c r="M15" i="17" s="1"/>
  <c r="Q108" i="93"/>
  <c r="Q15" i="17" s="1"/>
  <c r="U108" i="93"/>
  <c r="U15" i="17" s="1"/>
  <c r="Y108" i="93"/>
  <c r="Y15" i="17" s="1"/>
  <c r="AC108" i="93"/>
  <c r="AC15" i="17" s="1"/>
  <c r="C108" i="93"/>
  <c r="C15" i="17" s="1"/>
  <c r="F108" i="93"/>
  <c r="F15" i="17" s="1"/>
  <c r="B15" i="17"/>
  <c r="J108" i="93"/>
  <c r="J15" i="17" s="1"/>
  <c r="V108" i="93"/>
  <c r="V15" i="17" s="1"/>
  <c r="K108" i="93"/>
  <c r="K15" i="17" s="1"/>
  <c r="O108" i="93"/>
  <c r="O15" i="17" s="1"/>
  <c r="S108" i="93"/>
  <c r="S15" i="17" s="1"/>
  <c r="W108" i="93"/>
  <c r="W15" i="17" s="1"/>
  <c r="T108" i="93"/>
  <c r="T15" i="17" s="1"/>
  <c r="X108" i="93"/>
  <c r="X15" i="17" s="1"/>
  <c r="AB108" i="93"/>
  <c r="AB15" i="17" s="1"/>
  <c r="AF108" i="93"/>
  <c r="AF15" i="17" s="1"/>
  <c r="E108" i="93"/>
  <c r="E15" i="17" s="1"/>
  <c r="N108" i="93"/>
  <c r="N15" i="17" s="1"/>
  <c r="AD108" i="93"/>
  <c r="AD15" i="17" s="1"/>
  <c r="G108" i="93"/>
  <c r="G15" i="17" s="1"/>
  <c r="AE108" i="93"/>
  <c r="AE15" i="17" s="1"/>
  <c r="H108" i="93"/>
  <c r="H15" i="17" s="1"/>
  <c r="P108" i="93"/>
  <c r="P15" i="17" s="1"/>
  <c r="I108" i="93"/>
  <c r="I15" i="17" s="1"/>
  <c r="R108" i="93"/>
  <c r="R15" i="17" s="1"/>
  <c r="Z108" i="93"/>
  <c r="Z15" i="17" s="1"/>
  <c r="AA108" i="93"/>
  <c r="AA15" i="17" s="1"/>
  <c r="D108" i="93"/>
  <c r="D15" i="17" s="1"/>
  <c r="L108" i="93"/>
  <c r="L15" i="17" s="1"/>
  <c r="B14" i="17"/>
  <c r="S107" i="93"/>
  <c r="S14" i="17" s="1"/>
  <c r="G107" i="93"/>
  <c r="G14" i="17" s="1"/>
  <c r="AA107" i="93"/>
  <c r="AA14" i="17" s="1"/>
  <c r="O107" i="93"/>
  <c r="O14" i="17" s="1"/>
  <c r="D107" i="93"/>
  <c r="D14" i="17" s="1"/>
  <c r="W107" i="93"/>
  <c r="W14" i="17" s="1"/>
  <c r="L107" i="93"/>
  <c r="L14" i="17" s="1"/>
  <c r="AE107" i="93"/>
  <c r="AE14" i="17" s="1"/>
  <c r="T107" i="93"/>
  <c r="T14" i="17" s="1"/>
  <c r="H107" i="93"/>
  <c r="H14" i="17" s="1"/>
  <c r="AB107" i="93"/>
  <c r="AB14" i="17" s="1"/>
  <c r="P107" i="93"/>
  <c r="P14" i="17" s="1"/>
  <c r="E107" i="93"/>
  <c r="E14" i="17" s="1"/>
  <c r="X107" i="93"/>
  <c r="X14" i="17" s="1"/>
  <c r="M107" i="93"/>
  <c r="M14" i="17" s="1"/>
  <c r="AF107" i="93"/>
  <c r="AF14" i="17" s="1"/>
  <c r="U107" i="93"/>
  <c r="U14" i="17" s="1"/>
  <c r="I107" i="93"/>
  <c r="I14" i="17" s="1"/>
  <c r="AC107" i="93"/>
  <c r="AC14" i="17" s="1"/>
  <c r="Q107" i="93"/>
  <c r="Q14" i="17" s="1"/>
  <c r="F107" i="93"/>
  <c r="F14" i="17" s="1"/>
  <c r="Y107" i="93"/>
  <c r="Y14" i="17" s="1"/>
  <c r="N107" i="93"/>
  <c r="N14" i="17" s="1"/>
  <c r="J107" i="93"/>
  <c r="J14" i="17" s="1"/>
  <c r="V107" i="93"/>
  <c r="V14" i="17" s="1"/>
  <c r="R107" i="93"/>
  <c r="R14" i="17" s="1"/>
  <c r="AD107" i="93"/>
  <c r="AD14" i="17" s="1"/>
  <c r="Z107" i="93"/>
  <c r="Z14" i="17" s="1"/>
  <c r="C107" i="93"/>
  <c r="C14" i="17" s="1"/>
  <c r="K107" i="93"/>
  <c r="K14" i="17" s="1"/>
  <c r="W101" i="93"/>
  <c r="W8" i="17" s="1"/>
  <c r="L101" i="93"/>
  <c r="L8" i="17" s="1"/>
  <c r="AE101" i="93"/>
  <c r="AE8" i="17" s="1"/>
  <c r="T101" i="93"/>
  <c r="T8" i="17" s="1"/>
  <c r="H101" i="93"/>
  <c r="H8" i="17" s="1"/>
  <c r="AB101" i="93"/>
  <c r="AB8" i="17" s="1"/>
  <c r="P101" i="93"/>
  <c r="P8" i="17" s="1"/>
  <c r="C101" i="93"/>
  <c r="C8" i="17" s="1"/>
  <c r="X101" i="93"/>
  <c r="X8" i="17" s="1"/>
  <c r="B8" i="17"/>
  <c r="AF101" i="93"/>
  <c r="AF8" i="17" s="1"/>
  <c r="U101" i="93"/>
  <c r="U8" i="17" s="1"/>
  <c r="Y101" i="93"/>
  <c r="Y8" i="17" s="1"/>
  <c r="AC101" i="93"/>
  <c r="AC8" i="17" s="1"/>
  <c r="J101" i="93"/>
  <c r="J8" i="17" s="1"/>
  <c r="AD101" i="93"/>
  <c r="AD8" i="17" s="1"/>
  <c r="S101" i="93"/>
  <c r="S8" i="17" s="1"/>
  <c r="G101" i="93"/>
  <c r="G8" i="17" s="1"/>
  <c r="AA101" i="93"/>
  <c r="AA8" i="17" s="1"/>
  <c r="M101" i="93"/>
  <c r="M8" i="17" s="1"/>
  <c r="F101" i="93"/>
  <c r="F8" i="17" s="1"/>
  <c r="N101" i="93"/>
  <c r="N8" i="17" s="1"/>
  <c r="V101" i="93"/>
  <c r="V8" i="17" s="1"/>
  <c r="O101" i="93"/>
  <c r="O8" i="17" s="1"/>
  <c r="I101" i="93"/>
  <c r="I8" i="17" s="1"/>
  <c r="Q101" i="93"/>
  <c r="Q8" i="17" s="1"/>
  <c r="R101" i="93"/>
  <c r="R8" i="17" s="1"/>
  <c r="Z101" i="93"/>
  <c r="Z8" i="17" s="1"/>
  <c r="K101" i="93"/>
  <c r="K8" i="17" s="1"/>
  <c r="D101" i="93"/>
  <c r="D8" i="17" s="1"/>
  <c r="E101" i="93"/>
  <c r="E8" i="17" s="1"/>
  <c r="Z129" i="93"/>
  <c r="Z8" i="18" s="1"/>
  <c r="G129" i="93"/>
  <c r="G8" i="18" s="1"/>
  <c r="O129" i="93"/>
  <c r="O8" i="18" s="1"/>
  <c r="D129" i="93"/>
  <c r="D8" i="18" s="1"/>
  <c r="H129" i="93"/>
  <c r="H8" i="18" s="1"/>
  <c r="L129" i="93"/>
  <c r="L8" i="18" s="1"/>
  <c r="P129" i="93"/>
  <c r="P8" i="18" s="1"/>
  <c r="T129" i="93"/>
  <c r="T8" i="18" s="1"/>
  <c r="X129" i="93"/>
  <c r="X8" i="18" s="1"/>
  <c r="C129" i="93"/>
  <c r="C8" i="18" s="1"/>
  <c r="AB129" i="93"/>
  <c r="AB8" i="18" s="1"/>
  <c r="AF129" i="93"/>
  <c r="AF8" i="18" s="1"/>
  <c r="E129" i="93"/>
  <c r="E8" i="18" s="1"/>
  <c r="N129" i="93"/>
  <c r="N8" i="18" s="1"/>
  <c r="M129" i="93"/>
  <c r="M8" i="18" s="1"/>
  <c r="B8" i="18"/>
  <c r="U129" i="93"/>
  <c r="U8" i="18" s="1"/>
  <c r="F129" i="93"/>
  <c r="F8" i="18" s="1"/>
  <c r="Y129" i="93"/>
  <c r="Y8" i="18" s="1"/>
  <c r="I129" i="93"/>
  <c r="I8" i="18" s="1"/>
  <c r="AC129" i="93"/>
  <c r="AC8" i="18" s="1"/>
  <c r="Q129" i="93"/>
  <c r="Q8" i="18" s="1"/>
  <c r="J129" i="93"/>
  <c r="J8" i="18" s="1"/>
  <c r="V129" i="93"/>
  <c r="V8" i="18" s="1"/>
  <c r="R129" i="93"/>
  <c r="R8" i="18" s="1"/>
  <c r="K129" i="93"/>
  <c r="K8" i="18" s="1"/>
  <c r="S129" i="93"/>
  <c r="S8" i="18" s="1"/>
  <c r="AE129" i="93"/>
  <c r="AE8" i="18" s="1"/>
  <c r="AA129" i="93"/>
  <c r="AA8" i="18" s="1"/>
  <c r="AD129" i="93"/>
  <c r="AD8" i="18" s="1"/>
  <c r="W129" i="93"/>
  <c r="W8" i="18" s="1"/>
  <c r="AE59" i="93"/>
  <c r="AE22" i="16" s="1"/>
  <c r="F85" i="93"/>
  <c r="F20" i="19" s="1"/>
  <c r="W85" i="93"/>
  <c r="W20" i="19" s="1"/>
  <c r="P85" i="93"/>
  <c r="P20" i="19" s="1"/>
  <c r="N85" i="93"/>
  <c r="N20" i="19" s="1"/>
  <c r="AA85" i="93"/>
  <c r="AA20" i="19" s="1"/>
  <c r="X85" i="93"/>
  <c r="X20" i="19" s="1"/>
  <c r="G85" i="93"/>
  <c r="G20" i="19" s="1"/>
  <c r="C85" i="93"/>
  <c r="C20" i="19" s="1"/>
  <c r="R85" i="93"/>
  <c r="R20" i="19" s="1"/>
  <c r="B20" i="19"/>
  <c r="AB85" i="93"/>
  <c r="AB20" i="19" s="1"/>
  <c r="I85" i="93"/>
  <c r="I20" i="19" s="1"/>
  <c r="H85" i="93"/>
  <c r="H20" i="19" s="1"/>
  <c r="Q85" i="93"/>
  <c r="Q20" i="19" s="1"/>
  <c r="S85" i="93"/>
  <c r="S20" i="19" s="1"/>
  <c r="Y85" i="93"/>
  <c r="Y20" i="19" s="1"/>
  <c r="AD85" i="93"/>
  <c r="AD20" i="19" s="1"/>
  <c r="E85" i="93"/>
  <c r="E20" i="19" s="1"/>
  <c r="J85" i="93"/>
  <c r="J20" i="19" s="1"/>
  <c r="M85" i="93"/>
  <c r="M20" i="19" s="1"/>
  <c r="T85" i="93"/>
  <c r="T20" i="19" s="1"/>
  <c r="U85" i="93"/>
  <c r="U20" i="19" s="1"/>
  <c r="AE85" i="93"/>
  <c r="AE20" i="19" s="1"/>
  <c r="AC85" i="93"/>
  <c r="AC20" i="19" s="1"/>
  <c r="K85" i="93"/>
  <c r="K20" i="19" s="1"/>
  <c r="D85" i="93"/>
  <c r="D20" i="19" s="1"/>
  <c r="V85" i="93"/>
  <c r="V20" i="19" s="1"/>
  <c r="O85" i="93"/>
  <c r="O20" i="19" s="1"/>
  <c r="AF85" i="93"/>
  <c r="AF20" i="19" s="1"/>
  <c r="Z85" i="93"/>
  <c r="Z20" i="19" s="1"/>
  <c r="L85" i="93"/>
  <c r="L20" i="19" s="1"/>
  <c r="AA110" i="93"/>
  <c r="AA17" i="17" s="1"/>
  <c r="AE110" i="93"/>
  <c r="AE17" i="17" s="1"/>
  <c r="D110" i="93"/>
  <c r="D17" i="17" s="1"/>
  <c r="C110" i="93"/>
  <c r="C17" i="17" s="1"/>
  <c r="L110" i="93"/>
  <c r="L17" i="17" s="1"/>
  <c r="B17" i="17"/>
  <c r="T110" i="93"/>
  <c r="T17" i="17" s="1"/>
  <c r="H110" i="93"/>
  <c r="H17" i="17" s="1"/>
  <c r="AB110" i="93"/>
  <c r="AB17" i="17" s="1"/>
  <c r="P110" i="93"/>
  <c r="P17" i="17" s="1"/>
  <c r="E110" i="93"/>
  <c r="E17" i="17" s="1"/>
  <c r="X110" i="93"/>
  <c r="X17" i="17" s="1"/>
  <c r="M110" i="93"/>
  <c r="M17" i="17" s="1"/>
  <c r="AF110" i="93"/>
  <c r="AF17" i="17" s="1"/>
  <c r="U110" i="93"/>
  <c r="U17" i="17" s="1"/>
  <c r="I110" i="93"/>
  <c r="I17" i="17" s="1"/>
  <c r="AC110" i="93"/>
  <c r="AC17" i="17" s="1"/>
  <c r="Q110" i="93"/>
  <c r="Q17" i="17" s="1"/>
  <c r="F110" i="93"/>
  <c r="F17" i="17" s="1"/>
  <c r="Y110" i="93"/>
  <c r="Y17" i="17" s="1"/>
  <c r="N110" i="93"/>
  <c r="N17" i="17" s="1"/>
  <c r="J110" i="93"/>
  <c r="J17" i="17" s="1"/>
  <c r="V110" i="93"/>
  <c r="V17" i="17" s="1"/>
  <c r="R110" i="93"/>
  <c r="R17" i="17" s="1"/>
  <c r="AD110" i="93"/>
  <c r="AD17" i="17" s="1"/>
  <c r="Z110" i="93"/>
  <c r="Z17" i="17" s="1"/>
  <c r="G110" i="93"/>
  <c r="G17" i="17" s="1"/>
  <c r="K110" i="93"/>
  <c r="K17" i="17" s="1"/>
  <c r="O110" i="93"/>
  <c r="O17" i="17" s="1"/>
  <c r="S110" i="93"/>
  <c r="S17" i="17" s="1"/>
  <c r="W110" i="93"/>
  <c r="W17" i="17" s="1"/>
  <c r="N76" i="93"/>
  <c r="N11" i="19" s="1"/>
  <c r="Z76" i="93"/>
  <c r="Z11" i="19" s="1"/>
  <c r="V76" i="93"/>
  <c r="V11" i="19" s="1"/>
  <c r="K76" i="93"/>
  <c r="K11" i="19" s="1"/>
  <c r="AD76" i="93"/>
  <c r="AD11" i="19" s="1"/>
  <c r="S76" i="93"/>
  <c r="S11" i="19" s="1"/>
  <c r="G76" i="93"/>
  <c r="G11" i="19" s="1"/>
  <c r="AA76" i="93"/>
  <c r="AA11" i="19" s="1"/>
  <c r="O76" i="93"/>
  <c r="O11" i="19" s="1"/>
  <c r="D76" i="93"/>
  <c r="D11" i="19" s="1"/>
  <c r="W76" i="93"/>
  <c r="W11" i="19" s="1"/>
  <c r="L76" i="93"/>
  <c r="L11" i="19" s="1"/>
  <c r="AE76" i="93"/>
  <c r="AE11" i="19" s="1"/>
  <c r="T76" i="93"/>
  <c r="T11" i="19" s="1"/>
  <c r="H76" i="93"/>
  <c r="H11" i="19" s="1"/>
  <c r="AB76" i="93"/>
  <c r="AB11" i="19" s="1"/>
  <c r="P76" i="93"/>
  <c r="P11" i="19" s="1"/>
  <c r="E76" i="93"/>
  <c r="E11" i="19" s="1"/>
  <c r="X76" i="93"/>
  <c r="X11" i="19" s="1"/>
  <c r="M76" i="93"/>
  <c r="M11" i="19" s="1"/>
  <c r="AF76" i="93"/>
  <c r="AF11" i="19" s="1"/>
  <c r="U76" i="93"/>
  <c r="U11" i="19" s="1"/>
  <c r="I76" i="93"/>
  <c r="I11" i="19" s="1"/>
  <c r="AC76" i="93"/>
  <c r="AC11" i="19" s="1"/>
  <c r="Q76" i="93"/>
  <c r="Q11" i="19" s="1"/>
  <c r="C76" i="93"/>
  <c r="C11" i="19" s="1"/>
  <c r="Y76" i="93"/>
  <c r="Y11" i="19" s="1"/>
  <c r="B11" i="19"/>
  <c r="J76" i="93"/>
  <c r="J11" i="19" s="1"/>
  <c r="F76" i="93"/>
  <c r="F11" i="19" s="1"/>
  <c r="R76" i="93"/>
  <c r="R11" i="19" s="1"/>
  <c r="P99" i="93"/>
  <c r="P6" i="17" s="1"/>
  <c r="E99" i="93"/>
  <c r="E6" i="17" s="1"/>
  <c r="X99" i="93"/>
  <c r="X6" i="17" s="1"/>
  <c r="M99" i="93"/>
  <c r="M6" i="17" s="1"/>
  <c r="AF99" i="93"/>
  <c r="AF6" i="17" s="1"/>
  <c r="U99" i="93"/>
  <c r="U6" i="17" s="1"/>
  <c r="I99" i="93"/>
  <c r="I6" i="17" s="1"/>
  <c r="AC99" i="93"/>
  <c r="AC6" i="17" s="1"/>
  <c r="Q99" i="93"/>
  <c r="Q6" i="17" s="1"/>
  <c r="F99" i="93"/>
  <c r="F6" i="17" s="1"/>
  <c r="Y99" i="93"/>
  <c r="Y6" i="17" s="1"/>
  <c r="N99" i="93"/>
  <c r="N6" i="17" s="1"/>
  <c r="J99" i="93"/>
  <c r="J6" i="17" s="1"/>
  <c r="V99" i="93"/>
  <c r="V6" i="17" s="1"/>
  <c r="R99" i="93"/>
  <c r="R6" i="17" s="1"/>
  <c r="AD99" i="93"/>
  <c r="AD6" i="17" s="1"/>
  <c r="Z99" i="93"/>
  <c r="Z6" i="17" s="1"/>
  <c r="C99" i="93"/>
  <c r="C6" i="17" s="1"/>
  <c r="K99" i="93"/>
  <c r="K6" i="17" s="1"/>
  <c r="B6" i="17"/>
  <c r="S99" i="93"/>
  <c r="S6" i="17" s="1"/>
  <c r="G99" i="93"/>
  <c r="G6" i="17" s="1"/>
  <c r="AA99" i="93"/>
  <c r="AA6" i="17" s="1"/>
  <c r="O99" i="93"/>
  <c r="O6" i="17" s="1"/>
  <c r="D99" i="93"/>
  <c r="D6" i="17" s="1"/>
  <c r="W99" i="93"/>
  <c r="W6" i="17" s="1"/>
  <c r="L99" i="93"/>
  <c r="L6" i="17" s="1"/>
  <c r="AE99" i="93"/>
  <c r="AE6" i="17" s="1"/>
  <c r="T99" i="93"/>
  <c r="T6" i="17" s="1"/>
  <c r="H99" i="93"/>
  <c r="H6" i="17" s="1"/>
  <c r="AB99" i="93"/>
  <c r="AB6" i="17" s="1"/>
  <c r="W59" i="93"/>
  <c r="W22" i="16" s="1"/>
  <c r="S59" i="93"/>
  <c r="S22" i="16" s="1"/>
  <c r="AE46" i="93"/>
  <c r="AE9" i="16" s="1"/>
  <c r="D46" i="93"/>
  <c r="D9" i="16" s="1"/>
  <c r="B6" i="19"/>
  <c r="S71" i="93"/>
  <c r="S6" i="19" s="1"/>
  <c r="G71" i="93"/>
  <c r="G6" i="19" s="1"/>
  <c r="AA71" i="93"/>
  <c r="AA6" i="19" s="1"/>
  <c r="O71" i="93"/>
  <c r="O6" i="19" s="1"/>
  <c r="D71" i="93"/>
  <c r="D6" i="19" s="1"/>
  <c r="W71" i="93"/>
  <c r="W6" i="19" s="1"/>
  <c r="L71" i="93"/>
  <c r="L6" i="19" s="1"/>
  <c r="AE71" i="93"/>
  <c r="AE6" i="19" s="1"/>
  <c r="T71" i="93"/>
  <c r="T6" i="19" s="1"/>
  <c r="H71" i="93"/>
  <c r="H6" i="19" s="1"/>
  <c r="AB71" i="93"/>
  <c r="AB6" i="19" s="1"/>
  <c r="P71" i="93"/>
  <c r="P6" i="19" s="1"/>
  <c r="E71" i="93"/>
  <c r="E6" i="19" s="1"/>
  <c r="X71" i="93"/>
  <c r="X6" i="19" s="1"/>
  <c r="M71" i="93"/>
  <c r="M6" i="19" s="1"/>
  <c r="AF71" i="93"/>
  <c r="AF6" i="19" s="1"/>
  <c r="U71" i="93"/>
  <c r="U6" i="19" s="1"/>
  <c r="I71" i="93"/>
  <c r="I6" i="19" s="1"/>
  <c r="AC71" i="93"/>
  <c r="AC6" i="19" s="1"/>
  <c r="Q71" i="93"/>
  <c r="Q6" i="19" s="1"/>
  <c r="F71" i="93"/>
  <c r="F6" i="19" s="1"/>
  <c r="Y71" i="93"/>
  <c r="Y6" i="19" s="1"/>
  <c r="N71" i="93"/>
  <c r="N6" i="19" s="1"/>
  <c r="J71" i="93"/>
  <c r="J6" i="19" s="1"/>
  <c r="V71" i="93"/>
  <c r="V6" i="19" s="1"/>
  <c r="R71" i="93"/>
  <c r="R6" i="19" s="1"/>
  <c r="AD71" i="93"/>
  <c r="AD6" i="19" s="1"/>
  <c r="Z71" i="93"/>
  <c r="Z6" i="19" s="1"/>
  <c r="C71" i="93"/>
  <c r="C6" i="19" s="1"/>
  <c r="K71" i="93"/>
  <c r="K6" i="19" s="1"/>
  <c r="E100" i="93"/>
  <c r="E7" i="17" s="1"/>
  <c r="I100" i="93"/>
  <c r="I7" i="17" s="1"/>
  <c r="J100" i="93"/>
  <c r="J7" i="17" s="1"/>
  <c r="V100" i="93"/>
  <c r="V7" i="17" s="1"/>
  <c r="K100" i="93"/>
  <c r="K7" i="17" s="1"/>
  <c r="AE100" i="93"/>
  <c r="AE7" i="17" s="1"/>
  <c r="S100" i="93"/>
  <c r="S7" i="17" s="1"/>
  <c r="H100" i="93"/>
  <c r="H7" i="17" s="1"/>
  <c r="AA100" i="93"/>
  <c r="AA7" i="17" s="1"/>
  <c r="P100" i="93"/>
  <c r="P7" i="17" s="1"/>
  <c r="D100" i="93"/>
  <c r="D7" i="17" s="1"/>
  <c r="X100" i="93"/>
  <c r="X7" i="17" s="1"/>
  <c r="L100" i="93"/>
  <c r="L7" i="17" s="1"/>
  <c r="AF100" i="93"/>
  <c r="AF7" i="17" s="1"/>
  <c r="T100" i="93"/>
  <c r="T7" i="17" s="1"/>
  <c r="Q100" i="93"/>
  <c r="Q7" i="17" s="1"/>
  <c r="AB100" i="93"/>
  <c r="AB7" i="17" s="1"/>
  <c r="Y100" i="93"/>
  <c r="Y7" i="17" s="1"/>
  <c r="M100" i="93"/>
  <c r="M7" i="17" s="1"/>
  <c r="C100" i="93"/>
  <c r="C7" i="17" s="1"/>
  <c r="U100" i="93"/>
  <c r="U7" i="17" s="1"/>
  <c r="AC100" i="93"/>
  <c r="AC7" i="17" s="1"/>
  <c r="F100" i="93"/>
  <c r="F7" i="17" s="1"/>
  <c r="N100" i="93"/>
  <c r="N7" i="17" s="1"/>
  <c r="AD100" i="93"/>
  <c r="AD7" i="17" s="1"/>
  <c r="B7" i="17"/>
  <c r="G100" i="93"/>
  <c r="G7" i="17" s="1"/>
  <c r="R100" i="93"/>
  <c r="R7" i="17" s="1"/>
  <c r="O100" i="93"/>
  <c r="O7" i="17" s="1"/>
  <c r="Z100" i="93"/>
  <c r="Z7" i="17" s="1"/>
  <c r="W100" i="93"/>
  <c r="W7" i="17" s="1"/>
  <c r="AA59" i="93"/>
  <c r="AA22" i="16" s="1"/>
  <c r="O59" i="93"/>
  <c r="O22" i="16" s="1"/>
  <c r="K59" i="93"/>
  <c r="K22" i="16" s="1"/>
  <c r="G59" i="93"/>
  <c r="G22" i="16" s="1"/>
  <c r="Z59" i="93"/>
  <c r="Z22" i="16" s="1"/>
  <c r="F127" i="93"/>
  <c r="F6" i="18" s="1"/>
  <c r="R127" i="93"/>
  <c r="R6" i="18" s="1"/>
  <c r="N127" i="93"/>
  <c r="N6" i="18" s="1"/>
  <c r="Z127" i="93"/>
  <c r="Z6" i="18" s="1"/>
  <c r="V127" i="93"/>
  <c r="V6" i="18" s="1"/>
  <c r="C127" i="93"/>
  <c r="C6" i="18" s="1"/>
  <c r="AD127" i="93"/>
  <c r="AD6" i="18" s="1"/>
  <c r="B6" i="18"/>
  <c r="G127" i="93"/>
  <c r="G6" i="18" s="1"/>
  <c r="K127" i="93"/>
  <c r="K6" i="18" s="1"/>
  <c r="O127" i="93"/>
  <c r="O6" i="18" s="1"/>
  <c r="S127" i="93"/>
  <c r="S6" i="18" s="1"/>
  <c r="W127" i="93"/>
  <c r="W6" i="18" s="1"/>
  <c r="AA127" i="93"/>
  <c r="AA6" i="18" s="1"/>
  <c r="AE127" i="93"/>
  <c r="AE6" i="18" s="1"/>
  <c r="D127" i="93"/>
  <c r="D6" i="18" s="1"/>
  <c r="H127" i="93"/>
  <c r="H6" i="18" s="1"/>
  <c r="L127" i="93"/>
  <c r="L6" i="18" s="1"/>
  <c r="P127" i="93"/>
  <c r="P6" i="18" s="1"/>
  <c r="T127" i="93"/>
  <c r="T6" i="18" s="1"/>
  <c r="X127" i="93"/>
  <c r="X6" i="18" s="1"/>
  <c r="AB127" i="93"/>
  <c r="AB6" i="18" s="1"/>
  <c r="AF127" i="93"/>
  <c r="AF6" i="18" s="1"/>
  <c r="E127" i="93"/>
  <c r="E6" i="18" s="1"/>
  <c r="I127" i="93"/>
  <c r="I6" i="18" s="1"/>
  <c r="M127" i="93"/>
  <c r="M6" i="18" s="1"/>
  <c r="Q127" i="93"/>
  <c r="Q6" i="18" s="1"/>
  <c r="U127" i="93"/>
  <c r="U6" i="18" s="1"/>
  <c r="Y127" i="93"/>
  <c r="Y6" i="18" s="1"/>
  <c r="AC127" i="93"/>
  <c r="AC6" i="18" s="1"/>
  <c r="J127" i="93"/>
  <c r="J6" i="18" s="1"/>
  <c r="AD59" i="93"/>
  <c r="AD22" i="16" s="1"/>
  <c r="G46" i="93"/>
  <c r="G9" i="16" s="1"/>
  <c r="B7" i="16"/>
  <c r="D44" i="93"/>
  <c r="D7" i="16" s="1"/>
  <c r="L44" i="93"/>
  <c r="L7" i="16" s="1"/>
  <c r="T44" i="93"/>
  <c r="T7" i="16" s="1"/>
  <c r="AB44" i="93"/>
  <c r="AB7" i="16" s="1"/>
  <c r="C44" i="93"/>
  <c r="C7" i="16" s="1"/>
  <c r="E44" i="93"/>
  <c r="E7" i="16" s="1"/>
  <c r="M44" i="93"/>
  <c r="M7" i="16" s="1"/>
  <c r="U44" i="93"/>
  <c r="U7" i="16" s="1"/>
  <c r="AC44" i="93"/>
  <c r="AC7" i="16" s="1"/>
  <c r="F44" i="93"/>
  <c r="F7" i="16" s="1"/>
  <c r="N44" i="93"/>
  <c r="N7" i="16" s="1"/>
  <c r="V44" i="93"/>
  <c r="V7" i="16" s="1"/>
  <c r="AD44" i="93"/>
  <c r="AD7" i="16" s="1"/>
  <c r="G44" i="93"/>
  <c r="G7" i="16" s="1"/>
  <c r="O44" i="93"/>
  <c r="O7" i="16" s="1"/>
  <c r="W44" i="93"/>
  <c r="W7" i="16" s="1"/>
  <c r="AE44" i="93"/>
  <c r="AE7" i="16" s="1"/>
  <c r="H44" i="93"/>
  <c r="H7" i="16" s="1"/>
  <c r="P44" i="93"/>
  <c r="P7" i="16" s="1"/>
  <c r="X44" i="93"/>
  <c r="X7" i="16" s="1"/>
  <c r="AF44" i="93"/>
  <c r="AF7" i="16" s="1"/>
  <c r="I44" i="93"/>
  <c r="I7" i="16" s="1"/>
  <c r="Q44" i="93"/>
  <c r="Q7" i="16" s="1"/>
  <c r="Y44" i="93"/>
  <c r="Y7" i="16" s="1"/>
  <c r="J44" i="93"/>
  <c r="J7" i="16" s="1"/>
  <c r="R44" i="93"/>
  <c r="R7" i="16" s="1"/>
  <c r="Z44" i="93"/>
  <c r="Z7" i="16" s="1"/>
  <c r="K44" i="93"/>
  <c r="K7" i="16" s="1"/>
  <c r="S44" i="93"/>
  <c r="S7" i="16" s="1"/>
  <c r="AA44" i="93"/>
  <c r="AA7" i="16" s="1"/>
  <c r="B15" i="16"/>
  <c r="D52" i="93"/>
  <c r="D15" i="16" s="1"/>
  <c r="L52" i="93"/>
  <c r="L15" i="16" s="1"/>
  <c r="T52" i="93"/>
  <c r="T15" i="16" s="1"/>
  <c r="AB52" i="93"/>
  <c r="AB15" i="16" s="1"/>
  <c r="C52" i="93"/>
  <c r="C15" i="16" s="1"/>
  <c r="E52" i="93"/>
  <c r="E15" i="16" s="1"/>
  <c r="M52" i="93"/>
  <c r="M15" i="16" s="1"/>
  <c r="U52" i="93"/>
  <c r="U15" i="16" s="1"/>
  <c r="AC52" i="93"/>
  <c r="AC15" i="16" s="1"/>
  <c r="F52" i="93"/>
  <c r="F15" i="16" s="1"/>
  <c r="N52" i="93"/>
  <c r="N15" i="16" s="1"/>
  <c r="V52" i="93"/>
  <c r="V15" i="16" s="1"/>
  <c r="AD52" i="93"/>
  <c r="AD15" i="16" s="1"/>
  <c r="G52" i="93"/>
  <c r="G15" i="16" s="1"/>
  <c r="O52" i="93"/>
  <c r="O15" i="16" s="1"/>
  <c r="W52" i="93"/>
  <c r="W15" i="16" s="1"/>
  <c r="AE52" i="93"/>
  <c r="AE15" i="16" s="1"/>
  <c r="H52" i="93"/>
  <c r="H15" i="16" s="1"/>
  <c r="P52" i="93"/>
  <c r="P15" i="16" s="1"/>
  <c r="X52" i="93"/>
  <c r="X15" i="16" s="1"/>
  <c r="AF52" i="93"/>
  <c r="AF15" i="16" s="1"/>
  <c r="I52" i="93"/>
  <c r="I15" i="16" s="1"/>
  <c r="Q52" i="93"/>
  <c r="Q15" i="16" s="1"/>
  <c r="Y52" i="93"/>
  <c r="Y15" i="16" s="1"/>
  <c r="J52" i="93"/>
  <c r="J15" i="16" s="1"/>
  <c r="R52" i="93"/>
  <c r="R15" i="16" s="1"/>
  <c r="Z52" i="93"/>
  <c r="Z15" i="16" s="1"/>
  <c r="K52" i="93"/>
  <c r="K15" i="16" s="1"/>
  <c r="S52" i="93"/>
  <c r="S15" i="16" s="1"/>
  <c r="AA52" i="93"/>
  <c r="AA15" i="16" s="1"/>
  <c r="B26" i="16"/>
  <c r="E63" i="93"/>
  <c r="E26" i="16" s="1"/>
  <c r="M63" i="93"/>
  <c r="M26" i="16" s="1"/>
  <c r="U63" i="93"/>
  <c r="U26" i="16" s="1"/>
  <c r="AC63" i="93"/>
  <c r="AC26" i="16" s="1"/>
  <c r="F63" i="93"/>
  <c r="F26" i="16" s="1"/>
  <c r="N63" i="93"/>
  <c r="N26" i="16" s="1"/>
  <c r="V63" i="93"/>
  <c r="V26" i="16" s="1"/>
  <c r="AD63" i="93"/>
  <c r="AD26" i="16" s="1"/>
  <c r="G63" i="93"/>
  <c r="G26" i="16" s="1"/>
  <c r="O63" i="93"/>
  <c r="O26" i="16" s="1"/>
  <c r="W63" i="93"/>
  <c r="W26" i="16" s="1"/>
  <c r="AE63" i="93"/>
  <c r="AE26" i="16" s="1"/>
  <c r="H63" i="93"/>
  <c r="H26" i="16" s="1"/>
  <c r="P63" i="93"/>
  <c r="P26" i="16" s="1"/>
  <c r="X63" i="93"/>
  <c r="X26" i="16" s="1"/>
  <c r="AF63" i="93"/>
  <c r="AF26" i="16" s="1"/>
  <c r="C63" i="93"/>
  <c r="C26" i="16" s="1"/>
  <c r="I63" i="93"/>
  <c r="I26" i="16" s="1"/>
  <c r="Q63" i="93"/>
  <c r="Q26" i="16" s="1"/>
  <c r="Y63" i="93"/>
  <c r="Y26" i="16" s="1"/>
  <c r="J63" i="93"/>
  <c r="J26" i="16" s="1"/>
  <c r="R63" i="93"/>
  <c r="R26" i="16" s="1"/>
  <c r="Z63" i="93"/>
  <c r="Z26" i="16" s="1"/>
  <c r="K63" i="93"/>
  <c r="K26" i="16" s="1"/>
  <c r="S63" i="93"/>
  <c r="S26" i="16" s="1"/>
  <c r="AA63" i="93"/>
  <c r="AA26" i="16" s="1"/>
  <c r="D63" i="93"/>
  <c r="D26" i="16" s="1"/>
  <c r="L63" i="93"/>
  <c r="L26" i="16" s="1"/>
  <c r="T63" i="93"/>
  <c r="T26" i="16" s="1"/>
  <c r="AB63" i="93"/>
  <c r="AB26" i="16" s="1"/>
  <c r="B21" i="16"/>
  <c r="F58" i="93"/>
  <c r="F21" i="16" s="1"/>
  <c r="N58" i="93"/>
  <c r="N21" i="16" s="1"/>
  <c r="V58" i="93"/>
  <c r="V21" i="16" s="1"/>
  <c r="AD58" i="93"/>
  <c r="AD21" i="16" s="1"/>
  <c r="G58" i="93"/>
  <c r="G21" i="16" s="1"/>
  <c r="O58" i="93"/>
  <c r="O21" i="16" s="1"/>
  <c r="W58" i="93"/>
  <c r="W21" i="16" s="1"/>
  <c r="AE58" i="93"/>
  <c r="AE21" i="16" s="1"/>
  <c r="H58" i="93"/>
  <c r="H21" i="16" s="1"/>
  <c r="P58" i="93"/>
  <c r="P21" i="16" s="1"/>
  <c r="X58" i="93"/>
  <c r="X21" i="16" s="1"/>
  <c r="AF58" i="93"/>
  <c r="AF21" i="16" s="1"/>
  <c r="I58" i="93"/>
  <c r="I21" i="16" s="1"/>
  <c r="Q58" i="93"/>
  <c r="Q21" i="16" s="1"/>
  <c r="Y58" i="93"/>
  <c r="Y21" i="16" s="1"/>
  <c r="J58" i="93"/>
  <c r="J21" i="16" s="1"/>
  <c r="R58" i="93"/>
  <c r="R21" i="16" s="1"/>
  <c r="Z58" i="93"/>
  <c r="Z21" i="16" s="1"/>
  <c r="K58" i="93"/>
  <c r="K21" i="16" s="1"/>
  <c r="S58" i="93"/>
  <c r="S21" i="16" s="1"/>
  <c r="AA58" i="93"/>
  <c r="AA21" i="16" s="1"/>
  <c r="D58" i="93"/>
  <c r="D21" i="16" s="1"/>
  <c r="L58" i="93"/>
  <c r="L21" i="16" s="1"/>
  <c r="T58" i="93"/>
  <c r="T21" i="16" s="1"/>
  <c r="AB58" i="93"/>
  <c r="AB21" i="16" s="1"/>
  <c r="C58" i="93"/>
  <c r="C21" i="16" s="1"/>
  <c r="E58" i="93"/>
  <c r="E21" i="16" s="1"/>
  <c r="M58" i="93"/>
  <c r="M21" i="16" s="1"/>
  <c r="U58" i="93"/>
  <c r="U21" i="16" s="1"/>
  <c r="AC58" i="93"/>
  <c r="AC21" i="16" s="1"/>
  <c r="R25" i="96"/>
  <c r="B16" i="16"/>
  <c r="G53" i="93"/>
  <c r="G16" i="16" s="1"/>
  <c r="O53" i="93"/>
  <c r="O16" i="16" s="1"/>
  <c r="W53" i="93"/>
  <c r="W16" i="16" s="1"/>
  <c r="AE53" i="93"/>
  <c r="AE16" i="16" s="1"/>
  <c r="H53" i="93"/>
  <c r="H16" i="16" s="1"/>
  <c r="P53" i="93"/>
  <c r="P16" i="16" s="1"/>
  <c r="X53" i="93"/>
  <c r="X16" i="16" s="1"/>
  <c r="AF53" i="93"/>
  <c r="AF16" i="16" s="1"/>
  <c r="C53" i="93"/>
  <c r="C16" i="16" s="1"/>
  <c r="I53" i="93"/>
  <c r="I16" i="16" s="1"/>
  <c r="Q53" i="93"/>
  <c r="Q16" i="16" s="1"/>
  <c r="Y53" i="93"/>
  <c r="Y16" i="16" s="1"/>
  <c r="J53" i="93"/>
  <c r="J16" i="16" s="1"/>
  <c r="R53" i="93"/>
  <c r="R16" i="16" s="1"/>
  <c r="Z53" i="93"/>
  <c r="Z16" i="16" s="1"/>
  <c r="K53" i="93"/>
  <c r="K16" i="16" s="1"/>
  <c r="S53" i="93"/>
  <c r="S16" i="16" s="1"/>
  <c r="AA53" i="93"/>
  <c r="AA16" i="16" s="1"/>
  <c r="D53" i="93"/>
  <c r="D16" i="16" s="1"/>
  <c r="L53" i="93"/>
  <c r="L16" i="16" s="1"/>
  <c r="T53" i="93"/>
  <c r="T16" i="16" s="1"/>
  <c r="AB53" i="93"/>
  <c r="AB16" i="16" s="1"/>
  <c r="E53" i="93"/>
  <c r="E16" i="16" s="1"/>
  <c r="M53" i="93"/>
  <c r="M16" i="16" s="1"/>
  <c r="U53" i="93"/>
  <c r="U16" i="16" s="1"/>
  <c r="AC53" i="93"/>
  <c r="AC16" i="16" s="1"/>
  <c r="F53" i="93"/>
  <c r="F16" i="16" s="1"/>
  <c r="N53" i="93"/>
  <c r="N16" i="16" s="1"/>
  <c r="V53" i="93"/>
  <c r="V16" i="16" s="1"/>
  <c r="AD53" i="93"/>
  <c r="AD16" i="16" s="1"/>
  <c r="B23" i="16"/>
  <c r="D60" i="93"/>
  <c r="D23" i="16" s="1"/>
  <c r="L60" i="93"/>
  <c r="L23" i="16" s="1"/>
  <c r="T60" i="93"/>
  <c r="T23" i="16" s="1"/>
  <c r="AB60" i="93"/>
  <c r="AB23" i="16" s="1"/>
  <c r="C60" i="93"/>
  <c r="C23" i="16" s="1"/>
  <c r="C24" i="92" s="1"/>
  <c r="C80" i="92" s="1"/>
  <c r="E60" i="93"/>
  <c r="E23" i="16" s="1"/>
  <c r="M60" i="93"/>
  <c r="M23" i="16" s="1"/>
  <c r="U60" i="93"/>
  <c r="U23" i="16" s="1"/>
  <c r="AC60" i="93"/>
  <c r="AC23" i="16" s="1"/>
  <c r="F60" i="93"/>
  <c r="F23" i="16" s="1"/>
  <c r="N60" i="93"/>
  <c r="N23" i="16" s="1"/>
  <c r="V60" i="93"/>
  <c r="V23" i="16" s="1"/>
  <c r="AD60" i="93"/>
  <c r="AD23" i="16" s="1"/>
  <c r="G60" i="93"/>
  <c r="G23" i="16" s="1"/>
  <c r="O60" i="93"/>
  <c r="O23" i="16" s="1"/>
  <c r="W60" i="93"/>
  <c r="W23" i="16" s="1"/>
  <c r="AE60" i="93"/>
  <c r="AE23" i="16" s="1"/>
  <c r="H60" i="93"/>
  <c r="H23" i="16" s="1"/>
  <c r="P60" i="93"/>
  <c r="P23" i="16" s="1"/>
  <c r="X60" i="93"/>
  <c r="X23" i="16" s="1"/>
  <c r="AF60" i="93"/>
  <c r="AF23" i="16" s="1"/>
  <c r="I60" i="93"/>
  <c r="I23" i="16" s="1"/>
  <c r="Q60" i="93"/>
  <c r="Q23" i="16" s="1"/>
  <c r="Y60" i="93"/>
  <c r="Y23" i="16" s="1"/>
  <c r="J60" i="93"/>
  <c r="J23" i="16" s="1"/>
  <c r="R60" i="93"/>
  <c r="R23" i="16" s="1"/>
  <c r="Z60" i="93"/>
  <c r="Z23" i="16" s="1"/>
  <c r="K60" i="93"/>
  <c r="K23" i="16" s="1"/>
  <c r="S60" i="93"/>
  <c r="S23" i="16" s="1"/>
  <c r="AA60" i="93"/>
  <c r="AA23" i="16" s="1"/>
  <c r="B24" i="16"/>
  <c r="G61" i="93"/>
  <c r="G24" i="16" s="1"/>
  <c r="O61" i="93"/>
  <c r="O24" i="16" s="1"/>
  <c r="W61" i="93"/>
  <c r="W24" i="16" s="1"/>
  <c r="AE61" i="93"/>
  <c r="AE24" i="16" s="1"/>
  <c r="H61" i="93"/>
  <c r="H24" i="16" s="1"/>
  <c r="P61" i="93"/>
  <c r="P24" i="16" s="1"/>
  <c r="X61" i="93"/>
  <c r="X24" i="16" s="1"/>
  <c r="AF61" i="93"/>
  <c r="AF24" i="16" s="1"/>
  <c r="C61" i="93"/>
  <c r="C24" i="16" s="1"/>
  <c r="I61" i="93"/>
  <c r="I24" i="16" s="1"/>
  <c r="Q61" i="93"/>
  <c r="Q24" i="16" s="1"/>
  <c r="Y61" i="93"/>
  <c r="Y24" i="16" s="1"/>
  <c r="J61" i="93"/>
  <c r="J24" i="16" s="1"/>
  <c r="R61" i="93"/>
  <c r="R24" i="16" s="1"/>
  <c r="Z61" i="93"/>
  <c r="Z24" i="16" s="1"/>
  <c r="K61" i="93"/>
  <c r="K24" i="16" s="1"/>
  <c r="S61" i="93"/>
  <c r="S24" i="16" s="1"/>
  <c r="AA61" i="93"/>
  <c r="AA24" i="16" s="1"/>
  <c r="D61" i="93"/>
  <c r="D24" i="16" s="1"/>
  <c r="L61" i="93"/>
  <c r="L24" i="16" s="1"/>
  <c r="T61" i="93"/>
  <c r="T24" i="16" s="1"/>
  <c r="AB61" i="93"/>
  <c r="AB24" i="16" s="1"/>
  <c r="E61" i="93"/>
  <c r="E24" i="16" s="1"/>
  <c r="M61" i="93"/>
  <c r="M24" i="16" s="1"/>
  <c r="U61" i="93"/>
  <c r="U24" i="16" s="1"/>
  <c r="AC61" i="93"/>
  <c r="AC24" i="16" s="1"/>
  <c r="F61" i="93"/>
  <c r="F24" i="16" s="1"/>
  <c r="N61" i="93"/>
  <c r="N24" i="16" s="1"/>
  <c r="V61" i="93"/>
  <c r="V24" i="16" s="1"/>
  <c r="AD61" i="93"/>
  <c r="AD24" i="16" s="1"/>
  <c r="B14" i="16"/>
  <c r="I51" i="93"/>
  <c r="I14" i="16" s="1"/>
  <c r="Q51" i="93"/>
  <c r="Q14" i="16" s="1"/>
  <c r="Y51" i="93"/>
  <c r="Y14" i="16" s="1"/>
  <c r="J51" i="93"/>
  <c r="J14" i="16" s="1"/>
  <c r="R51" i="93"/>
  <c r="R14" i="16" s="1"/>
  <c r="Z51" i="93"/>
  <c r="Z14" i="16" s="1"/>
  <c r="K51" i="93"/>
  <c r="K14" i="16" s="1"/>
  <c r="S51" i="93"/>
  <c r="S14" i="16" s="1"/>
  <c r="AA51" i="93"/>
  <c r="AA14" i="16" s="1"/>
  <c r="D51" i="93"/>
  <c r="D14" i="16" s="1"/>
  <c r="L51" i="93"/>
  <c r="L14" i="16" s="1"/>
  <c r="T51" i="93"/>
  <c r="T14" i="16" s="1"/>
  <c r="AB51" i="93"/>
  <c r="AB14" i="16" s="1"/>
  <c r="E51" i="93"/>
  <c r="E14" i="16" s="1"/>
  <c r="M51" i="93"/>
  <c r="M14" i="16" s="1"/>
  <c r="U51" i="93"/>
  <c r="U14" i="16" s="1"/>
  <c r="AC51" i="93"/>
  <c r="AC14" i="16" s="1"/>
  <c r="F51" i="93"/>
  <c r="F14" i="16" s="1"/>
  <c r="N51" i="93"/>
  <c r="N14" i="16" s="1"/>
  <c r="V51" i="93"/>
  <c r="V14" i="16" s="1"/>
  <c r="AD51" i="93"/>
  <c r="AD14" i="16" s="1"/>
  <c r="G51" i="93"/>
  <c r="G14" i="16" s="1"/>
  <c r="O51" i="93"/>
  <c r="O14" i="16" s="1"/>
  <c r="W51" i="93"/>
  <c r="W14" i="16" s="1"/>
  <c r="AE51" i="93"/>
  <c r="AE14" i="16" s="1"/>
  <c r="H51" i="93"/>
  <c r="H14" i="16" s="1"/>
  <c r="P51" i="93"/>
  <c r="P14" i="16" s="1"/>
  <c r="X51" i="93"/>
  <c r="X14" i="16" s="1"/>
  <c r="AF51" i="93"/>
  <c r="AF14" i="16" s="1"/>
  <c r="C51" i="93"/>
  <c r="C14" i="16" s="1"/>
  <c r="H40" i="93"/>
  <c r="H3" i="16" s="1"/>
  <c r="P40" i="93"/>
  <c r="P3" i="16" s="1"/>
  <c r="X40" i="93"/>
  <c r="X3" i="16" s="1"/>
  <c r="AF40" i="93"/>
  <c r="AF3" i="16" s="1"/>
  <c r="I40" i="93"/>
  <c r="I3" i="16" s="1"/>
  <c r="Q40" i="93"/>
  <c r="Q3" i="16" s="1"/>
  <c r="Y40" i="93"/>
  <c r="Y3" i="16" s="1"/>
  <c r="J40" i="93"/>
  <c r="J3" i="16" s="1"/>
  <c r="R40" i="93"/>
  <c r="R3" i="16" s="1"/>
  <c r="Z40" i="93"/>
  <c r="Z3" i="16" s="1"/>
  <c r="K40" i="93"/>
  <c r="K3" i="16" s="1"/>
  <c r="S40" i="93"/>
  <c r="S3" i="16" s="1"/>
  <c r="AA40" i="93"/>
  <c r="AA3" i="16" s="1"/>
  <c r="D40" i="93"/>
  <c r="D3" i="16" s="1"/>
  <c r="L40" i="93"/>
  <c r="L3" i="16" s="1"/>
  <c r="T40" i="93"/>
  <c r="T3" i="16" s="1"/>
  <c r="AB40" i="93"/>
  <c r="AB3" i="16" s="1"/>
  <c r="C40" i="93"/>
  <c r="C3" i="16" s="1"/>
  <c r="E40" i="93"/>
  <c r="E3" i="16" s="1"/>
  <c r="M40" i="93"/>
  <c r="M3" i="16" s="1"/>
  <c r="U40" i="93"/>
  <c r="U3" i="16" s="1"/>
  <c r="AC40" i="93"/>
  <c r="AC3" i="16" s="1"/>
  <c r="F40" i="93"/>
  <c r="F3" i="16" s="1"/>
  <c r="N40" i="93"/>
  <c r="N3" i="16" s="1"/>
  <c r="V40" i="93"/>
  <c r="V3" i="16" s="1"/>
  <c r="AD40" i="93"/>
  <c r="AD3" i="16" s="1"/>
  <c r="G40" i="93"/>
  <c r="G3" i="16" s="1"/>
  <c r="O40" i="93"/>
  <c r="O3" i="16" s="1"/>
  <c r="W40" i="93"/>
  <c r="W3" i="16" s="1"/>
  <c r="AE40" i="93"/>
  <c r="AE3" i="16" s="1"/>
  <c r="B10" i="16"/>
  <c r="E47" i="93"/>
  <c r="E10" i="16" s="1"/>
  <c r="M47" i="93"/>
  <c r="M10" i="16" s="1"/>
  <c r="U47" i="93"/>
  <c r="U10" i="16" s="1"/>
  <c r="AC47" i="93"/>
  <c r="AC10" i="16" s="1"/>
  <c r="F47" i="93"/>
  <c r="F10" i="16" s="1"/>
  <c r="N47" i="93"/>
  <c r="N10" i="16" s="1"/>
  <c r="V47" i="93"/>
  <c r="V10" i="16" s="1"/>
  <c r="AD47" i="93"/>
  <c r="AD10" i="16" s="1"/>
  <c r="G47" i="93"/>
  <c r="G10" i="16" s="1"/>
  <c r="O47" i="93"/>
  <c r="O10" i="16" s="1"/>
  <c r="W47" i="93"/>
  <c r="W10" i="16" s="1"/>
  <c r="AE47" i="93"/>
  <c r="AE10" i="16" s="1"/>
  <c r="H47" i="93"/>
  <c r="H10" i="16" s="1"/>
  <c r="P47" i="93"/>
  <c r="P10" i="16" s="1"/>
  <c r="X47" i="93"/>
  <c r="X10" i="16" s="1"/>
  <c r="AF47" i="93"/>
  <c r="AF10" i="16" s="1"/>
  <c r="C47" i="93"/>
  <c r="C10" i="16" s="1"/>
  <c r="I47" i="93"/>
  <c r="I10" i="16" s="1"/>
  <c r="Q47" i="93"/>
  <c r="Q10" i="16" s="1"/>
  <c r="Y47" i="93"/>
  <c r="Y10" i="16" s="1"/>
  <c r="J47" i="93"/>
  <c r="J10" i="16" s="1"/>
  <c r="R47" i="93"/>
  <c r="R10" i="16" s="1"/>
  <c r="Z47" i="93"/>
  <c r="Z10" i="16" s="1"/>
  <c r="K47" i="93"/>
  <c r="K10" i="16" s="1"/>
  <c r="S47" i="93"/>
  <c r="S10" i="16" s="1"/>
  <c r="AA47" i="93"/>
  <c r="AA10" i="16" s="1"/>
  <c r="D47" i="93"/>
  <c r="D10" i="16" s="1"/>
  <c r="L47" i="93"/>
  <c r="L10" i="16" s="1"/>
  <c r="T47" i="93"/>
  <c r="T10" i="16" s="1"/>
  <c r="AB47" i="93"/>
  <c r="AB10" i="16" s="1"/>
  <c r="B19" i="16"/>
  <c r="H56" i="93"/>
  <c r="H19" i="16" s="1"/>
  <c r="P56" i="93"/>
  <c r="P19" i="16" s="1"/>
  <c r="X56" i="93"/>
  <c r="X19" i="16" s="1"/>
  <c r="AF56" i="93"/>
  <c r="AF19" i="16" s="1"/>
  <c r="I56" i="93"/>
  <c r="I19" i="16" s="1"/>
  <c r="Q56" i="93"/>
  <c r="Q19" i="16" s="1"/>
  <c r="Y56" i="93"/>
  <c r="Y19" i="16" s="1"/>
  <c r="J56" i="93"/>
  <c r="J19" i="16" s="1"/>
  <c r="R56" i="93"/>
  <c r="R19" i="16" s="1"/>
  <c r="Z56" i="93"/>
  <c r="Z19" i="16" s="1"/>
  <c r="K56" i="93"/>
  <c r="K19" i="16" s="1"/>
  <c r="S56" i="93"/>
  <c r="S19" i="16" s="1"/>
  <c r="AA56" i="93"/>
  <c r="AA19" i="16" s="1"/>
  <c r="D56" i="93"/>
  <c r="D19" i="16" s="1"/>
  <c r="L56" i="93"/>
  <c r="L19" i="16" s="1"/>
  <c r="T56" i="93"/>
  <c r="T19" i="16" s="1"/>
  <c r="AB56" i="93"/>
  <c r="AB19" i="16" s="1"/>
  <c r="C56" i="93"/>
  <c r="C19" i="16" s="1"/>
  <c r="E56" i="93"/>
  <c r="E19" i="16" s="1"/>
  <c r="M56" i="93"/>
  <c r="M19" i="16" s="1"/>
  <c r="U56" i="93"/>
  <c r="U19" i="16" s="1"/>
  <c r="AC56" i="93"/>
  <c r="AC19" i="16" s="1"/>
  <c r="F56" i="93"/>
  <c r="F19" i="16" s="1"/>
  <c r="N56" i="93"/>
  <c r="N19" i="16" s="1"/>
  <c r="V56" i="93"/>
  <c r="V19" i="16" s="1"/>
  <c r="AD56" i="93"/>
  <c r="AD19" i="16" s="1"/>
  <c r="G56" i="93"/>
  <c r="G19" i="16" s="1"/>
  <c r="O56" i="93"/>
  <c r="O19" i="16" s="1"/>
  <c r="W56" i="93"/>
  <c r="W19" i="16" s="1"/>
  <c r="AE56" i="93"/>
  <c r="AE19" i="16" s="1"/>
  <c r="B25" i="16"/>
  <c r="J62" i="93"/>
  <c r="J25" i="16" s="1"/>
  <c r="K62" i="93"/>
  <c r="K25" i="16" s="1"/>
  <c r="D62" i="93"/>
  <c r="D25" i="16" s="1"/>
  <c r="L62" i="93"/>
  <c r="L25" i="16" s="1"/>
  <c r="C62" i="93"/>
  <c r="C25" i="16" s="1"/>
  <c r="E62" i="93"/>
  <c r="E25" i="16" s="1"/>
  <c r="M62" i="93"/>
  <c r="M25" i="16" s="1"/>
  <c r="F62" i="93"/>
  <c r="F25" i="16" s="1"/>
  <c r="N62" i="93"/>
  <c r="N25" i="16" s="1"/>
  <c r="G62" i="93"/>
  <c r="G25" i="16" s="1"/>
  <c r="O62" i="93"/>
  <c r="O25" i="16" s="1"/>
  <c r="H62" i="93"/>
  <c r="H25" i="16" s="1"/>
  <c r="P62" i="93"/>
  <c r="P25" i="16" s="1"/>
  <c r="I62" i="93"/>
  <c r="I25" i="16" s="1"/>
  <c r="B13" i="16"/>
  <c r="F50" i="93"/>
  <c r="F13" i="16" s="1"/>
  <c r="N50" i="93"/>
  <c r="N13" i="16" s="1"/>
  <c r="V50" i="93"/>
  <c r="V13" i="16" s="1"/>
  <c r="AD50" i="93"/>
  <c r="AD13" i="16" s="1"/>
  <c r="G50" i="93"/>
  <c r="G13" i="16" s="1"/>
  <c r="O50" i="93"/>
  <c r="O13" i="16" s="1"/>
  <c r="W50" i="93"/>
  <c r="W13" i="16" s="1"/>
  <c r="AE50" i="93"/>
  <c r="AE13" i="16" s="1"/>
  <c r="H50" i="93"/>
  <c r="H13" i="16" s="1"/>
  <c r="P50" i="93"/>
  <c r="P13" i="16" s="1"/>
  <c r="X50" i="93"/>
  <c r="X13" i="16" s="1"/>
  <c r="AF50" i="93"/>
  <c r="AF13" i="16" s="1"/>
  <c r="I50" i="93"/>
  <c r="I13" i="16" s="1"/>
  <c r="Q50" i="93"/>
  <c r="Q13" i="16" s="1"/>
  <c r="Y50" i="93"/>
  <c r="Y13" i="16" s="1"/>
  <c r="J50" i="93"/>
  <c r="J13" i="16" s="1"/>
  <c r="R50" i="93"/>
  <c r="R13" i="16" s="1"/>
  <c r="Z50" i="93"/>
  <c r="Z13" i="16" s="1"/>
  <c r="K50" i="93"/>
  <c r="K13" i="16" s="1"/>
  <c r="S50" i="93"/>
  <c r="S13" i="16" s="1"/>
  <c r="AA50" i="93"/>
  <c r="AA13" i="16" s="1"/>
  <c r="D50" i="93"/>
  <c r="D13" i="16" s="1"/>
  <c r="L50" i="93"/>
  <c r="L13" i="16" s="1"/>
  <c r="T50" i="93"/>
  <c r="T13" i="16" s="1"/>
  <c r="AB50" i="93"/>
  <c r="AB13" i="16" s="1"/>
  <c r="C50" i="93"/>
  <c r="C13" i="16" s="1"/>
  <c r="E50" i="93"/>
  <c r="E13" i="16" s="1"/>
  <c r="M50" i="93"/>
  <c r="M13" i="16" s="1"/>
  <c r="U50" i="93"/>
  <c r="U13" i="16" s="1"/>
  <c r="AC50" i="93"/>
  <c r="AC13" i="16" s="1"/>
  <c r="B11" i="16"/>
  <c r="H48" i="93"/>
  <c r="H11" i="16" s="1"/>
  <c r="P48" i="93"/>
  <c r="P11" i="16" s="1"/>
  <c r="X48" i="93"/>
  <c r="X11" i="16" s="1"/>
  <c r="AF48" i="93"/>
  <c r="AF11" i="16" s="1"/>
  <c r="I48" i="93"/>
  <c r="I11" i="16" s="1"/>
  <c r="Q48" i="93"/>
  <c r="Q11" i="16" s="1"/>
  <c r="Y48" i="93"/>
  <c r="Y11" i="16" s="1"/>
  <c r="J48" i="93"/>
  <c r="J11" i="16" s="1"/>
  <c r="R48" i="93"/>
  <c r="R11" i="16" s="1"/>
  <c r="Z48" i="93"/>
  <c r="Z11" i="16" s="1"/>
  <c r="K48" i="93"/>
  <c r="K11" i="16" s="1"/>
  <c r="S48" i="93"/>
  <c r="S11" i="16" s="1"/>
  <c r="AA48" i="93"/>
  <c r="AA11" i="16" s="1"/>
  <c r="D48" i="93"/>
  <c r="D11" i="16" s="1"/>
  <c r="L48" i="93"/>
  <c r="L11" i="16" s="1"/>
  <c r="T48" i="93"/>
  <c r="T11" i="16" s="1"/>
  <c r="AB48" i="93"/>
  <c r="AB11" i="16" s="1"/>
  <c r="C48" i="93"/>
  <c r="C11" i="16" s="1"/>
  <c r="E48" i="93"/>
  <c r="E11" i="16" s="1"/>
  <c r="M48" i="93"/>
  <c r="M11" i="16" s="1"/>
  <c r="U48" i="93"/>
  <c r="U11" i="16" s="1"/>
  <c r="AC48" i="93"/>
  <c r="AC11" i="16" s="1"/>
  <c r="F48" i="93"/>
  <c r="F11" i="16" s="1"/>
  <c r="N48" i="93"/>
  <c r="N11" i="16" s="1"/>
  <c r="V48" i="93"/>
  <c r="V11" i="16" s="1"/>
  <c r="AD48" i="93"/>
  <c r="AD11" i="16" s="1"/>
  <c r="G48" i="93"/>
  <c r="G11" i="16" s="1"/>
  <c r="O48" i="93"/>
  <c r="O11" i="16" s="1"/>
  <c r="W48" i="93"/>
  <c r="W11" i="16" s="1"/>
  <c r="AE48" i="93"/>
  <c r="AE11" i="16" s="1"/>
  <c r="B5" i="16"/>
  <c r="F42" i="93"/>
  <c r="F5" i="16" s="1"/>
  <c r="N42" i="93"/>
  <c r="N5" i="16" s="1"/>
  <c r="V42" i="93"/>
  <c r="V5" i="16" s="1"/>
  <c r="AD42" i="93"/>
  <c r="AD5" i="16" s="1"/>
  <c r="G42" i="93"/>
  <c r="G5" i="16" s="1"/>
  <c r="O42" i="93"/>
  <c r="O5" i="16" s="1"/>
  <c r="W42" i="93"/>
  <c r="W5" i="16" s="1"/>
  <c r="AE42" i="93"/>
  <c r="AE5" i="16" s="1"/>
  <c r="H42" i="93"/>
  <c r="H5" i="16" s="1"/>
  <c r="P42" i="93"/>
  <c r="P5" i="16" s="1"/>
  <c r="X42" i="93"/>
  <c r="X5" i="16" s="1"/>
  <c r="AF42" i="93"/>
  <c r="AF5" i="16" s="1"/>
  <c r="I42" i="93"/>
  <c r="I5" i="16" s="1"/>
  <c r="Q42" i="93"/>
  <c r="Q5" i="16" s="1"/>
  <c r="Y42" i="93"/>
  <c r="Y5" i="16" s="1"/>
  <c r="J42" i="93"/>
  <c r="J5" i="16" s="1"/>
  <c r="R42" i="93"/>
  <c r="R5" i="16" s="1"/>
  <c r="Z42" i="93"/>
  <c r="Z5" i="16" s="1"/>
  <c r="K42" i="93"/>
  <c r="K5" i="16" s="1"/>
  <c r="S42" i="93"/>
  <c r="S5" i="16" s="1"/>
  <c r="AA42" i="93"/>
  <c r="AA5" i="16" s="1"/>
  <c r="D42" i="93"/>
  <c r="D5" i="16" s="1"/>
  <c r="L42" i="93"/>
  <c r="L5" i="16" s="1"/>
  <c r="T42" i="93"/>
  <c r="T5" i="16" s="1"/>
  <c r="AB42" i="93"/>
  <c r="AB5" i="16" s="1"/>
  <c r="C42" i="93"/>
  <c r="C5" i="16" s="1"/>
  <c r="E42" i="93"/>
  <c r="E5" i="16" s="1"/>
  <c r="M42" i="93"/>
  <c r="M5" i="16" s="1"/>
  <c r="U42" i="93"/>
  <c r="U5" i="16" s="1"/>
  <c r="AC42" i="93"/>
  <c r="AC5" i="16" s="1"/>
  <c r="B12" i="16"/>
  <c r="K49" i="93"/>
  <c r="K12" i="16" s="1"/>
  <c r="S49" i="93"/>
  <c r="S12" i="16" s="1"/>
  <c r="AA49" i="93"/>
  <c r="AA12" i="16" s="1"/>
  <c r="D49" i="93"/>
  <c r="D12" i="16" s="1"/>
  <c r="L49" i="93"/>
  <c r="L12" i="16" s="1"/>
  <c r="T49" i="93"/>
  <c r="T12" i="16" s="1"/>
  <c r="AB49" i="93"/>
  <c r="AB12" i="16" s="1"/>
  <c r="E49" i="93"/>
  <c r="E12" i="16" s="1"/>
  <c r="M49" i="93"/>
  <c r="M12" i="16" s="1"/>
  <c r="U49" i="93"/>
  <c r="U12" i="16" s="1"/>
  <c r="AC49" i="93"/>
  <c r="AC12" i="16" s="1"/>
  <c r="F49" i="93"/>
  <c r="F12" i="16" s="1"/>
  <c r="N49" i="93"/>
  <c r="N12" i="16" s="1"/>
  <c r="V49" i="93"/>
  <c r="V12" i="16" s="1"/>
  <c r="AD49" i="93"/>
  <c r="AD12" i="16" s="1"/>
  <c r="G49" i="93"/>
  <c r="G12" i="16" s="1"/>
  <c r="O49" i="93"/>
  <c r="O12" i="16" s="1"/>
  <c r="W49" i="93"/>
  <c r="W12" i="16" s="1"/>
  <c r="AE49" i="93"/>
  <c r="AE12" i="16" s="1"/>
  <c r="H49" i="93"/>
  <c r="H12" i="16" s="1"/>
  <c r="P49" i="93"/>
  <c r="P12" i="16" s="1"/>
  <c r="X49" i="93"/>
  <c r="X12" i="16" s="1"/>
  <c r="AF49" i="93"/>
  <c r="AF12" i="16" s="1"/>
  <c r="C49" i="93"/>
  <c r="C12" i="16" s="1"/>
  <c r="I49" i="93"/>
  <c r="I12" i="16" s="1"/>
  <c r="Q49" i="93"/>
  <c r="Q12" i="16" s="1"/>
  <c r="Y49" i="93"/>
  <c r="Y12" i="16" s="1"/>
  <c r="J49" i="93"/>
  <c r="J12" i="16" s="1"/>
  <c r="R49" i="93"/>
  <c r="R12" i="16" s="1"/>
  <c r="Z49" i="93"/>
  <c r="Z12" i="16" s="1"/>
  <c r="B20" i="16"/>
  <c r="K57" i="93"/>
  <c r="K20" i="16" s="1"/>
  <c r="S57" i="93"/>
  <c r="S20" i="16" s="1"/>
  <c r="AA57" i="93"/>
  <c r="AA20" i="16" s="1"/>
  <c r="D57" i="93"/>
  <c r="D20" i="16" s="1"/>
  <c r="L57" i="93"/>
  <c r="L20" i="16" s="1"/>
  <c r="T57" i="93"/>
  <c r="T20" i="16" s="1"/>
  <c r="AB57" i="93"/>
  <c r="AB20" i="16" s="1"/>
  <c r="E57" i="93"/>
  <c r="E20" i="16" s="1"/>
  <c r="M57" i="93"/>
  <c r="M20" i="16" s="1"/>
  <c r="U57" i="93"/>
  <c r="U20" i="16" s="1"/>
  <c r="AC57" i="93"/>
  <c r="AC20" i="16" s="1"/>
  <c r="F57" i="93"/>
  <c r="F20" i="16" s="1"/>
  <c r="N57" i="93"/>
  <c r="N20" i="16" s="1"/>
  <c r="V57" i="93"/>
  <c r="V20" i="16" s="1"/>
  <c r="AD57" i="93"/>
  <c r="AD20" i="16" s="1"/>
  <c r="G57" i="93"/>
  <c r="G20" i="16" s="1"/>
  <c r="O57" i="93"/>
  <c r="O20" i="16" s="1"/>
  <c r="W57" i="93"/>
  <c r="W20" i="16" s="1"/>
  <c r="AE57" i="93"/>
  <c r="AE20" i="16" s="1"/>
  <c r="H57" i="93"/>
  <c r="H20" i="16" s="1"/>
  <c r="P57" i="93"/>
  <c r="P20" i="16" s="1"/>
  <c r="X57" i="93"/>
  <c r="X20" i="16" s="1"/>
  <c r="AF57" i="93"/>
  <c r="AF20" i="16" s="1"/>
  <c r="C57" i="93"/>
  <c r="C20" i="16" s="1"/>
  <c r="I57" i="93"/>
  <c r="I20" i="16" s="1"/>
  <c r="Q57" i="93"/>
  <c r="Q20" i="16" s="1"/>
  <c r="Y57" i="93"/>
  <c r="Y20" i="16" s="1"/>
  <c r="J57" i="93"/>
  <c r="J20" i="16" s="1"/>
  <c r="R57" i="93"/>
  <c r="R20" i="16" s="1"/>
  <c r="Z57" i="93"/>
  <c r="Z20" i="16" s="1"/>
  <c r="B17" i="16"/>
  <c r="J54" i="93"/>
  <c r="J17" i="16" s="1"/>
  <c r="R54" i="93"/>
  <c r="R17" i="16" s="1"/>
  <c r="Z54" i="93"/>
  <c r="Z17" i="16" s="1"/>
  <c r="K54" i="93"/>
  <c r="K17" i="16" s="1"/>
  <c r="S54" i="93"/>
  <c r="S17" i="16" s="1"/>
  <c r="AA54" i="93"/>
  <c r="AA17" i="16" s="1"/>
  <c r="D54" i="93"/>
  <c r="D17" i="16" s="1"/>
  <c r="L54" i="93"/>
  <c r="L17" i="16" s="1"/>
  <c r="T54" i="93"/>
  <c r="T17" i="16" s="1"/>
  <c r="AB54" i="93"/>
  <c r="AB17" i="16" s="1"/>
  <c r="C54" i="93"/>
  <c r="C17" i="16" s="1"/>
  <c r="E54" i="93"/>
  <c r="E17" i="16" s="1"/>
  <c r="M54" i="93"/>
  <c r="M17" i="16" s="1"/>
  <c r="U54" i="93"/>
  <c r="U17" i="16" s="1"/>
  <c r="AC54" i="93"/>
  <c r="AC17" i="16" s="1"/>
  <c r="F54" i="93"/>
  <c r="F17" i="16" s="1"/>
  <c r="N54" i="93"/>
  <c r="N17" i="16" s="1"/>
  <c r="V54" i="93"/>
  <c r="V17" i="16" s="1"/>
  <c r="AD54" i="93"/>
  <c r="AD17" i="16" s="1"/>
  <c r="G54" i="93"/>
  <c r="G17" i="16" s="1"/>
  <c r="O54" i="93"/>
  <c r="O17" i="16" s="1"/>
  <c r="W54" i="93"/>
  <c r="W17" i="16" s="1"/>
  <c r="AE54" i="93"/>
  <c r="AE17" i="16" s="1"/>
  <c r="H54" i="93"/>
  <c r="H17" i="16" s="1"/>
  <c r="P54" i="93"/>
  <c r="P17" i="16" s="1"/>
  <c r="X54" i="93"/>
  <c r="X17" i="16" s="1"/>
  <c r="AF54" i="93"/>
  <c r="AF17" i="16" s="1"/>
  <c r="I54" i="93"/>
  <c r="I17" i="16" s="1"/>
  <c r="Q54" i="93"/>
  <c r="Q17" i="16" s="1"/>
  <c r="Y54" i="93"/>
  <c r="Y17" i="16" s="1"/>
  <c r="M3" i="97"/>
  <c r="R25" i="97"/>
  <c r="P146" i="93"/>
  <c r="P25" i="18" s="1"/>
  <c r="P90" i="93"/>
  <c r="P25" i="19" s="1"/>
  <c r="P118" i="93"/>
  <c r="B6" i="16"/>
  <c r="I43" i="93"/>
  <c r="I6" i="16" s="1"/>
  <c r="Q43" i="93"/>
  <c r="Q6" i="16" s="1"/>
  <c r="Y43" i="93"/>
  <c r="Y6" i="16" s="1"/>
  <c r="J43" i="93"/>
  <c r="J6" i="16" s="1"/>
  <c r="R43" i="93"/>
  <c r="R6" i="16" s="1"/>
  <c r="Z43" i="93"/>
  <c r="Z6" i="16" s="1"/>
  <c r="K43" i="93"/>
  <c r="K6" i="16" s="1"/>
  <c r="S43" i="93"/>
  <c r="S6" i="16" s="1"/>
  <c r="AA43" i="93"/>
  <c r="AA6" i="16" s="1"/>
  <c r="D43" i="93"/>
  <c r="D6" i="16" s="1"/>
  <c r="L43" i="93"/>
  <c r="L6" i="16" s="1"/>
  <c r="T43" i="93"/>
  <c r="T6" i="16" s="1"/>
  <c r="AB43" i="93"/>
  <c r="AB6" i="16" s="1"/>
  <c r="E43" i="93"/>
  <c r="E6" i="16" s="1"/>
  <c r="M43" i="93"/>
  <c r="M6" i="16" s="1"/>
  <c r="U43" i="93"/>
  <c r="U6" i="16" s="1"/>
  <c r="AC43" i="93"/>
  <c r="AC6" i="16" s="1"/>
  <c r="F43" i="93"/>
  <c r="F6" i="16" s="1"/>
  <c r="N43" i="93"/>
  <c r="N6" i="16" s="1"/>
  <c r="V43" i="93"/>
  <c r="V6" i="16" s="1"/>
  <c r="AD43" i="93"/>
  <c r="AD6" i="16" s="1"/>
  <c r="G43" i="93"/>
  <c r="G6" i="16" s="1"/>
  <c r="O43" i="93"/>
  <c r="O6" i="16" s="1"/>
  <c r="W43" i="93"/>
  <c r="W6" i="16" s="1"/>
  <c r="AE43" i="93"/>
  <c r="AE6" i="16" s="1"/>
  <c r="H43" i="93"/>
  <c r="H6" i="16" s="1"/>
  <c r="P43" i="93"/>
  <c r="P6" i="16" s="1"/>
  <c r="X43" i="93"/>
  <c r="X6" i="16" s="1"/>
  <c r="AF43" i="93"/>
  <c r="AF6" i="16" s="1"/>
  <c r="C43" i="93"/>
  <c r="C6" i="16" s="1"/>
  <c r="B4" i="16"/>
  <c r="K41" i="93"/>
  <c r="K4" i="16" s="1"/>
  <c r="S41" i="93"/>
  <c r="S4" i="16" s="1"/>
  <c r="AA41" i="93"/>
  <c r="AA4" i="16" s="1"/>
  <c r="D41" i="93"/>
  <c r="D4" i="16" s="1"/>
  <c r="L41" i="93"/>
  <c r="L4" i="16" s="1"/>
  <c r="T41" i="93"/>
  <c r="T4" i="16" s="1"/>
  <c r="AB41" i="93"/>
  <c r="AB4" i="16" s="1"/>
  <c r="E41" i="93"/>
  <c r="E4" i="16" s="1"/>
  <c r="M41" i="93"/>
  <c r="M4" i="16" s="1"/>
  <c r="U41" i="93"/>
  <c r="U4" i="16" s="1"/>
  <c r="AC41" i="93"/>
  <c r="AC4" i="16" s="1"/>
  <c r="F41" i="93"/>
  <c r="F4" i="16" s="1"/>
  <c r="N41" i="93"/>
  <c r="N4" i="16" s="1"/>
  <c r="V41" i="93"/>
  <c r="V4" i="16" s="1"/>
  <c r="AD41" i="93"/>
  <c r="AD4" i="16" s="1"/>
  <c r="G41" i="93"/>
  <c r="G4" i="16" s="1"/>
  <c r="O41" i="93"/>
  <c r="O4" i="16" s="1"/>
  <c r="W41" i="93"/>
  <c r="W4" i="16" s="1"/>
  <c r="AE41" i="93"/>
  <c r="AE4" i="16" s="1"/>
  <c r="H41" i="93"/>
  <c r="H4" i="16" s="1"/>
  <c r="P41" i="93"/>
  <c r="P4" i="16" s="1"/>
  <c r="X41" i="93"/>
  <c r="X4" i="16" s="1"/>
  <c r="AF41" i="93"/>
  <c r="AF4" i="16" s="1"/>
  <c r="C41" i="93"/>
  <c r="C4" i="16" s="1"/>
  <c r="I41" i="93"/>
  <c r="I4" i="16" s="1"/>
  <c r="Q41" i="93"/>
  <c r="Q4" i="16" s="1"/>
  <c r="Y41" i="93"/>
  <c r="Y4" i="16" s="1"/>
  <c r="J41" i="93"/>
  <c r="J4" i="16" s="1"/>
  <c r="R41" i="93"/>
  <c r="R4" i="16" s="1"/>
  <c r="Z41" i="93"/>
  <c r="Z4" i="16" s="1"/>
  <c r="B18" i="16"/>
  <c r="E55" i="93"/>
  <c r="E18" i="16" s="1"/>
  <c r="M55" i="93"/>
  <c r="M18" i="16" s="1"/>
  <c r="U55" i="93"/>
  <c r="U18" i="16" s="1"/>
  <c r="AC55" i="93"/>
  <c r="AC18" i="16" s="1"/>
  <c r="F55" i="93"/>
  <c r="F18" i="16" s="1"/>
  <c r="N55" i="93"/>
  <c r="N18" i="16" s="1"/>
  <c r="V55" i="93"/>
  <c r="V18" i="16" s="1"/>
  <c r="AD55" i="93"/>
  <c r="AD18" i="16" s="1"/>
  <c r="G55" i="93"/>
  <c r="G18" i="16" s="1"/>
  <c r="O55" i="93"/>
  <c r="O18" i="16" s="1"/>
  <c r="W55" i="93"/>
  <c r="W18" i="16" s="1"/>
  <c r="AE55" i="93"/>
  <c r="AE18" i="16" s="1"/>
  <c r="H55" i="93"/>
  <c r="H18" i="16" s="1"/>
  <c r="P55" i="93"/>
  <c r="P18" i="16" s="1"/>
  <c r="X55" i="93"/>
  <c r="X18" i="16" s="1"/>
  <c r="AF55" i="93"/>
  <c r="AF18" i="16" s="1"/>
  <c r="C55" i="93"/>
  <c r="C18" i="16" s="1"/>
  <c r="I55" i="93"/>
  <c r="I18" i="16" s="1"/>
  <c r="Q55" i="93"/>
  <c r="Q18" i="16" s="1"/>
  <c r="Y55" i="93"/>
  <c r="Y18" i="16" s="1"/>
  <c r="J55" i="93"/>
  <c r="J18" i="16" s="1"/>
  <c r="R55" i="93"/>
  <c r="R18" i="16" s="1"/>
  <c r="Z55" i="93"/>
  <c r="Z18" i="16" s="1"/>
  <c r="K55" i="93"/>
  <c r="K18" i="16" s="1"/>
  <c r="S55" i="93"/>
  <c r="S18" i="16" s="1"/>
  <c r="AA55" i="93"/>
  <c r="AA18" i="16" s="1"/>
  <c r="D55" i="93"/>
  <c r="D18" i="16" s="1"/>
  <c r="L55" i="93"/>
  <c r="L18" i="16" s="1"/>
  <c r="T55" i="93"/>
  <c r="T18" i="16" s="1"/>
  <c r="AB55" i="93"/>
  <c r="AB18" i="16" s="1"/>
  <c r="R25" i="15"/>
  <c r="Q34" i="93"/>
  <c r="N10" i="21"/>
  <c r="F19" i="20"/>
  <c r="F14" i="20"/>
  <c r="F6" i="20"/>
  <c r="G15" i="20"/>
  <c r="F2" i="20"/>
  <c r="F22" i="20"/>
  <c r="F13" i="20"/>
  <c r="F11" i="20"/>
  <c r="F16" i="20"/>
  <c r="F7" i="20"/>
  <c r="F21" i="20"/>
  <c r="F18" i="20"/>
  <c r="F23" i="20"/>
  <c r="F26" i="20"/>
  <c r="F5" i="20"/>
  <c r="F17" i="20"/>
  <c r="F9" i="20"/>
  <c r="F12" i="20"/>
  <c r="F8" i="20"/>
  <c r="F20" i="20"/>
  <c r="N4" i="23"/>
  <c r="N24" i="23"/>
  <c r="K5" i="92" l="1"/>
  <c r="K61" i="92" s="1"/>
  <c r="B24" i="92"/>
  <c r="B80" i="92" s="1"/>
  <c r="C19" i="92"/>
  <c r="C75" i="92" s="1"/>
  <c r="C20" i="92"/>
  <c r="C76" i="92" s="1"/>
  <c r="D24" i="92"/>
  <c r="D80" i="92" s="1"/>
  <c r="E24" i="92"/>
  <c r="E80" i="92" s="1"/>
  <c r="G5" i="92"/>
  <c r="G61" i="92" s="1"/>
  <c r="E27" i="92"/>
  <c r="E83" i="92" s="1"/>
  <c r="C4" i="92"/>
  <c r="C60" i="92" s="1"/>
  <c r="B14" i="92"/>
  <c r="B70" i="92" s="1"/>
  <c r="B5" i="92"/>
  <c r="B61" i="92" s="1"/>
  <c r="B19" i="92"/>
  <c r="B75" i="92" s="1"/>
  <c r="C27" i="92"/>
  <c r="C83" i="92" s="1"/>
  <c r="F5" i="92"/>
  <c r="F61" i="92" s="1"/>
  <c r="B27" i="92"/>
  <c r="B83" i="92" s="1"/>
  <c r="D14" i="92"/>
  <c r="D70" i="92" s="1"/>
  <c r="L5" i="92"/>
  <c r="L61" i="92" s="1"/>
  <c r="E22" i="92"/>
  <c r="E78" i="92" s="1"/>
  <c r="C5" i="92"/>
  <c r="C61" i="92" s="1"/>
  <c r="D5" i="92"/>
  <c r="D61" i="92" s="1"/>
  <c r="I11" i="92"/>
  <c r="I67" i="92" s="1"/>
  <c r="D27" i="92"/>
  <c r="D83" i="92" s="1"/>
  <c r="D13" i="92"/>
  <c r="D69" i="92" s="1"/>
  <c r="M11" i="92"/>
  <c r="M67" i="92" s="1"/>
  <c r="C14" i="92"/>
  <c r="C70" i="92" s="1"/>
  <c r="I5" i="92"/>
  <c r="I61" i="92" s="1"/>
  <c r="D19" i="92"/>
  <c r="D75" i="92" s="1"/>
  <c r="B22" i="92"/>
  <c r="B78" i="92" s="1"/>
  <c r="E13" i="92"/>
  <c r="E69" i="92" s="1"/>
  <c r="E5" i="92"/>
  <c r="E61" i="92" s="1"/>
  <c r="B20" i="92"/>
  <c r="B76" i="92" s="1"/>
  <c r="E3" i="92"/>
  <c r="E59" i="92" s="1"/>
  <c r="C13" i="92"/>
  <c r="C69" i="92" s="1"/>
  <c r="C11" i="92"/>
  <c r="C67" i="92" s="1"/>
  <c r="E11" i="92"/>
  <c r="E67" i="92" s="1"/>
  <c r="H4" i="92"/>
  <c r="H60" i="92" s="1"/>
  <c r="C21" i="92"/>
  <c r="C77" i="92" s="1"/>
  <c r="H5" i="92"/>
  <c r="H61" i="92" s="1"/>
  <c r="B11" i="92"/>
  <c r="B67" i="92" s="1"/>
  <c r="C22" i="92"/>
  <c r="C78" i="92" s="1"/>
  <c r="C10" i="92"/>
  <c r="C66" i="92" s="1"/>
  <c r="E20" i="92"/>
  <c r="E76" i="92" s="1"/>
  <c r="B3" i="92"/>
  <c r="B59" i="92" s="1"/>
  <c r="D11" i="92"/>
  <c r="D67" i="92" s="1"/>
  <c r="D22" i="92"/>
  <c r="D78" i="92" s="1"/>
  <c r="B13" i="92"/>
  <c r="B69" i="92" s="1"/>
  <c r="C23" i="92"/>
  <c r="C79" i="92" s="1"/>
  <c r="D23" i="92"/>
  <c r="D79" i="92" s="1"/>
  <c r="L11" i="92"/>
  <c r="L67" i="92" s="1"/>
  <c r="G11" i="92"/>
  <c r="G67" i="92" s="1"/>
  <c r="E14" i="92"/>
  <c r="E70" i="92" s="1"/>
  <c r="K11" i="92"/>
  <c r="K67" i="92" s="1"/>
  <c r="B6" i="92"/>
  <c r="B62" i="92" s="1"/>
  <c r="K4" i="92"/>
  <c r="K60" i="92" s="1"/>
  <c r="J5" i="92"/>
  <c r="J61" i="92" s="1"/>
  <c r="E6" i="92"/>
  <c r="E62" i="92" s="1"/>
  <c r="H11" i="92"/>
  <c r="H67" i="92" s="1"/>
  <c r="E19" i="92"/>
  <c r="E75" i="92" s="1"/>
  <c r="M5" i="92"/>
  <c r="M61" i="92" s="1"/>
  <c r="C6" i="92"/>
  <c r="C62" i="92" s="1"/>
  <c r="J11" i="92"/>
  <c r="J67" i="92" s="1"/>
  <c r="F11" i="92"/>
  <c r="F67" i="92" s="1"/>
  <c r="B18" i="92"/>
  <c r="B74" i="92" s="1"/>
  <c r="B10" i="92"/>
  <c r="B66" i="92" s="1"/>
  <c r="E23" i="92"/>
  <c r="E79" i="92" s="1"/>
  <c r="D4" i="92"/>
  <c r="D60" i="92" s="1"/>
  <c r="B12" i="92"/>
  <c r="B68" i="92" s="1"/>
  <c r="E10" i="92"/>
  <c r="E66" i="92" s="1"/>
  <c r="E12" i="92"/>
  <c r="E68" i="92" s="1"/>
  <c r="E4" i="92"/>
  <c r="E60" i="92" s="1"/>
  <c r="D20" i="92"/>
  <c r="D76" i="92" s="1"/>
  <c r="E16" i="92"/>
  <c r="E72" i="92" s="1"/>
  <c r="E17" i="92"/>
  <c r="E73" i="92" s="1"/>
  <c r="D12" i="92"/>
  <c r="D68" i="92" s="1"/>
  <c r="C12" i="92"/>
  <c r="C68" i="92" s="1"/>
  <c r="C3" i="92"/>
  <c r="C59" i="92" s="1"/>
  <c r="D21" i="92"/>
  <c r="D77" i="92" s="1"/>
  <c r="B9" i="92"/>
  <c r="B65" i="92" s="1"/>
  <c r="B21" i="92"/>
  <c r="B77" i="92" s="1"/>
  <c r="G4" i="92"/>
  <c r="G60" i="92" s="1"/>
  <c r="E18" i="92"/>
  <c r="E74" i="92" s="1"/>
  <c r="E15" i="92"/>
  <c r="E71" i="92" s="1"/>
  <c r="C18" i="92"/>
  <c r="C74" i="92" s="1"/>
  <c r="E21" i="92"/>
  <c r="E77" i="92" s="1"/>
  <c r="F16" i="92"/>
  <c r="F72" i="92" s="1"/>
  <c r="D9" i="92"/>
  <c r="D65" i="92" s="1"/>
  <c r="D3" i="92"/>
  <c r="D59" i="92" s="1"/>
  <c r="B23" i="92"/>
  <c r="B79" i="92" s="1"/>
  <c r="I4" i="92"/>
  <c r="I60" i="92" s="1"/>
  <c r="B15" i="92"/>
  <c r="B71" i="92" s="1"/>
  <c r="D18" i="92"/>
  <c r="D74" i="92" s="1"/>
  <c r="B4" i="92"/>
  <c r="B60" i="92" s="1"/>
  <c r="D10" i="92"/>
  <c r="D66" i="92" s="1"/>
  <c r="E9" i="92"/>
  <c r="E65" i="92" s="1"/>
  <c r="C16" i="92"/>
  <c r="C72" i="92" s="1"/>
  <c r="B17" i="92"/>
  <c r="B73" i="92" s="1"/>
  <c r="C17" i="92"/>
  <c r="C73" i="92" s="1"/>
  <c r="C8" i="92"/>
  <c r="C64" i="92" s="1"/>
  <c r="D15" i="92"/>
  <c r="D71" i="92" s="1"/>
  <c r="J4" i="92"/>
  <c r="J60" i="92" s="1"/>
  <c r="D17" i="92"/>
  <c r="D73" i="92" s="1"/>
  <c r="D16" i="92"/>
  <c r="D72" i="92" s="1"/>
  <c r="B8" i="92"/>
  <c r="B64" i="92" s="1"/>
  <c r="C9" i="92"/>
  <c r="C65" i="92" s="1"/>
  <c r="F4" i="92"/>
  <c r="F60" i="92" s="1"/>
  <c r="B16" i="92"/>
  <c r="B72" i="92" s="1"/>
  <c r="B7" i="92"/>
  <c r="B63" i="92" s="1"/>
  <c r="E8" i="92"/>
  <c r="E64" i="92" s="1"/>
  <c r="E7" i="92"/>
  <c r="E63" i="92" s="1"/>
  <c r="C7" i="92"/>
  <c r="C63" i="92" s="1"/>
  <c r="D8" i="92"/>
  <c r="D64" i="92" s="1"/>
  <c r="D7" i="92"/>
  <c r="D63" i="92" s="1"/>
  <c r="D6" i="92"/>
  <c r="D62" i="92" s="1"/>
  <c r="C15" i="92"/>
  <c r="C71" i="92" s="1"/>
  <c r="Q90" i="93"/>
  <c r="Q25" i="19" s="1"/>
  <c r="Q118" i="93"/>
  <c r="Q146" i="93"/>
  <c r="Q25" i="18" s="1"/>
  <c r="S25" i="15"/>
  <c r="R34" i="93"/>
  <c r="Q62" i="93"/>
  <c r="Q25" i="16" s="1"/>
  <c r="S25" i="96"/>
  <c r="S25" i="97"/>
  <c r="N3" i="97"/>
  <c r="M3" i="19"/>
  <c r="M4" i="92" s="1"/>
  <c r="M60" i="92" s="1"/>
  <c r="L4" i="92"/>
  <c r="L60" i="92" s="1"/>
  <c r="O10" i="21"/>
  <c r="N11" i="92"/>
  <c r="N67" i="92" s="1"/>
  <c r="G9" i="20"/>
  <c r="F10" i="92"/>
  <c r="F66" i="92" s="1"/>
  <c r="G23" i="20"/>
  <c r="F24" i="92"/>
  <c r="F80" i="92" s="1"/>
  <c r="G16" i="20"/>
  <c r="F17" i="92"/>
  <c r="F73" i="92" s="1"/>
  <c r="G2" i="20"/>
  <c r="F3" i="92"/>
  <c r="F59" i="92" s="1"/>
  <c r="G19" i="20"/>
  <c r="F20" i="92"/>
  <c r="F76" i="92" s="1"/>
  <c r="G20" i="20"/>
  <c r="F21" i="92"/>
  <c r="F77" i="92" s="1"/>
  <c r="G17" i="20"/>
  <c r="F18" i="92"/>
  <c r="F74" i="92" s="1"/>
  <c r="G18" i="20"/>
  <c r="F19" i="92"/>
  <c r="F75" i="92" s="1"/>
  <c r="G11" i="20"/>
  <c r="F12" i="92"/>
  <c r="F68" i="92" s="1"/>
  <c r="H15" i="20"/>
  <c r="G16" i="92"/>
  <c r="G72" i="92" s="1"/>
  <c r="G21" i="20"/>
  <c r="F22" i="92"/>
  <c r="F78" i="92" s="1"/>
  <c r="G6" i="20"/>
  <c r="F7" i="92"/>
  <c r="F63" i="92" s="1"/>
  <c r="G8" i="20"/>
  <c r="F9" i="92"/>
  <c r="F65" i="92" s="1"/>
  <c r="G5" i="20"/>
  <c r="F6" i="92"/>
  <c r="F62" i="92" s="1"/>
  <c r="G13" i="20"/>
  <c r="F14" i="92"/>
  <c r="F70" i="92" s="1"/>
  <c r="G12" i="20"/>
  <c r="F13" i="92"/>
  <c r="F69" i="92" s="1"/>
  <c r="G26" i="20"/>
  <c r="F27" i="92"/>
  <c r="F83" i="92" s="1"/>
  <c r="G7" i="20"/>
  <c r="F8" i="92"/>
  <c r="F64" i="92" s="1"/>
  <c r="G22" i="20"/>
  <c r="F23" i="92"/>
  <c r="F79" i="92" s="1"/>
  <c r="G14" i="20"/>
  <c r="F15" i="92"/>
  <c r="F71" i="92" s="1"/>
  <c r="O24" i="23"/>
  <c r="O4" i="23"/>
  <c r="N5" i="92"/>
  <c r="N61" i="92" s="1"/>
  <c r="T25" i="96" l="1"/>
  <c r="R90" i="93"/>
  <c r="R25" i="19" s="1"/>
  <c r="R118" i="93"/>
  <c r="R146" i="93"/>
  <c r="R25" i="18" s="1"/>
  <c r="R62" i="93"/>
  <c r="R25" i="16" s="1"/>
  <c r="T25" i="15"/>
  <c r="S34" i="93"/>
  <c r="O3" i="97"/>
  <c r="N3" i="19"/>
  <c r="N4" i="92" s="1"/>
  <c r="N60" i="92" s="1"/>
  <c r="T25" i="97"/>
  <c r="P10" i="21"/>
  <c r="O11" i="92"/>
  <c r="O67" i="92" s="1"/>
  <c r="H26" i="20"/>
  <c r="G27" i="92"/>
  <c r="G83" i="92" s="1"/>
  <c r="H8" i="20"/>
  <c r="G9" i="92"/>
  <c r="G65" i="92" s="1"/>
  <c r="H11" i="20"/>
  <c r="G12" i="92"/>
  <c r="G68" i="92" s="1"/>
  <c r="H19" i="20"/>
  <c r="G20" i="92"/>
  <c r="G76" i="92" s="1"/>
  <c r="H9" i="20"/>
  <c r="G10" i="92"/>
  <c r="G66" i="92" s="1"/>
  <c r="H14" i="20"/>
  <c r="G15" i="92"/>
  <c r="G71" i="92" s="1"/>
  <c r="H12" i="20"/>
  <c r="G13" i="92"/>
  <c r="G69" i="92" s="1"/>
  <c r="H6" i="20"/>
  <c r="G7" i="92"/>
  <c r="G63" i="92" s="1"/>
  <c r="H18" i="20"/>
  <c r="G19" i="92"/>
  <c r="G75" i="92" s="1"/>
  <c r="H2" i="20"/>
  <c r="G3" i="92"/>
  <c r="G59" i="92" s="1"/>
  <c r="H22" i="20"/>
  <c r="G23" i="92"/>
  <c r="G79" i="92" s="1"/>
  <c r="H17" i="20"/>
  <c r="G18" i="92"/>
  <c r="G74" i="92" s="1"/>
  <c r="H13" i="20"/>
  <c r="G14" i="92"/>
  <c r="G70" i="92" s="1"/>
  <c r="H21" i="20"/>
  <c r="G22" i="92"/>
  <c r="G78" i="92" s="1"/>
  <c r="H16" i="20"/>
  <c r="G17" i="92"/>
  <c r="G73" i="92" s="1"/>
  <c r="H7" i="20"/>
  <c r="G8" i="92"/>
  <c r="G64" i="92" s="1"/>
  <c r="H5" i="20"/>
  <c r="G6" i="92"/>
  <c r="G62" i="92" s="1"/>
  <c r="I15" i="20"/>
  <c r="H16" i="92"/>
  <c r="H72" i="92" s="1"/>
  <c r="H20" i="20"/>
  <c r="G21" i="92"/>
  <c r="G77" i="92" s="1"/>
  <c r="H23" i="20"/>
  <c r="G24" i="92"/>
  <c r="G80" i="92" s="1"/>
  <c r="P4" i="23"/>
  <c r="O5" i="92"/>
  <c r="O61" i="92" s="1"/>
  <c r="P24" i="23"/>
  <c r="S118" i="93" l="1"/>
  <c r="S146" i="93"/>
  <c r="S25" i="18" s="1"/>
  <c r="S90" i="93"/>
  <c r="S25" i="19" s="1"/>
  <c r="S62" i="93"/>
  <c r="S25" i="16" s="1"/>
  <c r="U25" i="15"/>
  <c r="T34" i="93"/>
  <c r="U25" i="97"/>
  <c r="P3" i="97"/>
  <c r="O3" i="19"/>
  <c r="O4" i="92" s="1"/>
  <c r="O60" i="92" s="1"/>
  <c r="U25" i="96"/>
  <c r="Q10" i="21"/>
  <c r="P11" i="92"/>
  <c r="P67" i="92" s="1"/>
  <c r="I23" i="20"/>
  <c r="H24" i="92"/>
  <c r="H80" i="92" s="1"/>
  <c r="I7" i="20"/>
  <c r="H8" i="92"/>
  <c r="H64" i="92" s="1"/>
  <c r="I17" i="20"/>
  <c r="H18" i="92"/>
  <c r="H74" i="92" s="1"/>
  <c r="I6" i="20"/>
  <c r="H7" i="92"/>
  <c r="H63" i="92" s="1"/>
  <c r="I19" i="20"/>
  <c r="H20" i="92"/>
  <c r="H76" i="92" s="1"/>
  <c r="I20" i="20"/>
  <c r="H21" i="92"/>
  <c r="H77" i="92" s="1"/>
  <c r="I16" i="20"/>
  <c r="H17" i="92"/>
  <c r="H73" i="92" s="1"/>
  <c r="I22" i="20"/>
  <c r="H23" i="92"/>
  <c r="H79" i="92" s="1"/>
  <c r="I12" i="20"/>
  <c r="H13" i="92"/>
  <c r="H69" i="92" s="1"/>
  <c r="I11" i="20"/>
  <c r="H12" i="92"/>
  <c r="H68" i="92" s="1"/>
  <c r="J15" i="20"/>
  <c r="I16" i="92"/>
  <c r="I72" i="92" s="1"/>
  <c r="I21" i="20"/>
  <c r="H22" i="92"/>
  <c r="H78" i="92" s="1"/>
  <c r="I2" i="20"/>
  <c r="H3" i="92"/>
  <c r="H59" i="92" s="1"/>
  <c r="I14" i="20"/>
  <c r="H15" i="92"/>
  <c r="H71" i="92" s="1"/>
  <c r="I8" i="20"/>
  <c r="H9" i="92"/>
  <c r="H65" i="92" s="1"/>
  <c r="I5" i="20"/>
  <c r="H6" i="92"/>
  <c r="H62" i="92" s="1"/>
  <c r="I13" i="20"/>
  <c r="H14" i="92"/>
  <c r="H70" i="92" s="1"/>
  <c r="I18" i="20"/>
  <c r="H19" i="92"/>
  <c r="H75" i="92" s="1"/>
  <c r="I9" i="20"/>
  <c r="H10" i="92"/>
  <c r="H66" i="92" s="1"/>
  <c r="I26" i="20"/>
  <c r="H27" i="92"/>
  <c r="H83" i="92" s="1"/>
  <c r="Q24" i="23"/>
  <c r="Q4" i="23"/>
  <c r="P5" i="92"/>
  <c r="P61" i="92" s="1"/>
  <c r="V25" i="97" l="1"/>
  <c r="T90" i="93"/>
  <c r="T25" i="19" s="1"/>
  <c r="T146" i="93"/>
  <c r="T25" i="18" s="1"/>
  <c r="T118" i="93"/>
  <c r="T62" i="93"/>
  <c r="T25" i="16" s="1"/>
  <c r="V25" i="15"/>
  <c r="U34" i="93"/>
  <c r="V25" i="96"/>
  <c r="Q3" i="97"/>
  <c r="P3" i="19"/>
  <c r="P4" i="92" s="1"/>
  <c r="P60" i="92" s="1"/>
  <c r="R10" i="21"/>
  <c r="Q11" i="92"/>
  <c r="Q67" i="92" s="1"/>
  <c r="J21" i="20"/>
  <c r="I22" i="92"/>
  <c r="I78" i="92" s="1"/>
  <c r="J9" i="20"/>
  <c r="I10" i="92"/>
  <c r="I66" i="92" s="1"/>
  <c r="J8" i="20"/>
  <c r="I9" i="92"/>
  <c r="I65" i="92" s="1"/>
  <c r="K15" i="20"/>
  <c r="J16" i="92"/>
  <c r="J72" i="92" s="1"/>
  <c r="J16" i="20"/>
  <c r="I17" i="92"/>
  <c r="I73" i="92" s="1"/>
  <c r="J17" i="20"/>
  <c r="I18" i="92"/>
  <c r="I74" i="92" s="1"/>
  <c r="J26" i="20"/>
  <c r="I27" i="92"/>
  <c r="I83" i="92" s="1"/>
  <c r="J6" i="20"/>
  <c r="I7" i="92"/>
  <c r="I63" i="92" s="1"/>
  <c r="J18" i="20"/>
  <c r="I19" i="92"/>
  <c r="I75" i="92" s="1"/>
  <c r="J14" i="20"/>
  <c r="I15" i="92"/>
  <c r="I71" i="92" s="1"/>
  <c r="J11" i="20"/>
  <c r="I12" i="92"/>
  <c r="I68" i="92" s="1"/>
  <c r="J20" i="20"/>
  <c r="I21" i="92"/>
  <c r="I77" i="92" s="1"/>
  <c r="J7" i="20"/>
  <c r="I8" i="92"/>
  <c r="I64" i="92" s="1"/>
  <c r="J22" i="20"/>
  <c r="I23" i="92"/>
  <c r="I79" i="92" s="1"/>
  <c r="J5" i="20"/>
  <c r="I6" i="92"/>
  <c r="I62" i="92" s="1"/>
  <c r="J13" i="20"/>
  <c r="I14" i="92"/>
  <c r="I70" i="92" s="1"/>
  <c r="J2" i="20"/>
  <c r="I3" i="92"/>
  <c r="I59" i="92" s="1"/>
  <c r="J12" i="20"/>
  <c r="I13" i="92"/>
  <c r="I69" i="92" s="1"/>
  <c r="J19" i="20"/>
  <c r="I20" i="92"/>
  <c r="I76" i="92" s="1"/>
  <c r="J23" i="20"/>
  <c r="I24" i="92"/>
  <c r="I80" i="92" s="1"/>
  <c r="R4" i="23"/>
  <c r="Q5" i="92"/>
  <c r="Q61" i="92" s="1"/>
  <c r="R24" i="23"/>
  <c r="U118" i="93" l="1"/>
  <c r="U146" i="93"/>
  <c r="U25" i="18" s="1"/>
  <c r="U90" i="93"/>
  <c r="U25" i="19" s="1"/>
  <c r="U62" i="93"/>
  <c r="U25" i="16" s="1"/>
  <c r="W25" i="15"/>
  <c r="V34" i="93"/>
  <c r="R3" i="97"/>
  <c r="Q3" i="19"/>
  <c r="Q4" i="92" s="1"/>
  <c r="Q60" i="92" s="1"/>
  <c r="W25" i="96"/>
  <c r="W25" i="97"/>
  <c r="S10" i="21"/>
  <c r="R11" i="92"/>
  <c r="R67" i="92" s="1"/>
  <c r="K23" i="20"/>
  <c r="J24" i="92"/>
  <c r="J80" i="92" s="1"/>
  <c r="K13" i="20"/>
  <c r="J14" i="92"/>
  <c r="J70" i="92" s="1"/>
  <c r="K20" i="20"/>
  <c r="J21" i="92"/>
  <c r="J77" i="92" s="1"/>
  <c r="K6" i="20"/>
  <c r="J7" i="92"/>
  <c r="J63" i="92" s="1"/>
  <c r="L15" i="20"/>
  <c r="K16" i="92"/>
  <c r="K72" i="92" s="1"/>
  <c r="K19" i="20"/>
  <c r="J20" i="92"/>
  <c r="J76" i="92" s="1"/>
  <c r="K5" i="20"/>
  <c r="J6" i="92"/>
  <c r="J62" i="92" s="1"/>
  <c r="K11" i="20"/>
  <c r="J12" i="92"/>
  <c r="J68" i="92" s="1"/>
  <c r="K26" i="20"/>
  <c r="J27" i="92"/>
  <c r="J83" i="92" s="1"/>
  <c r="K8" i="20"/>
  <c r="J9" i="92"/>
  <c r="J65" i="92" s="1"/>
  <c r="K12" i="20"/>
  <c r="J13" i="92"/>
  <c r="J69" i="92" s="1"/>
  <c r="K22" i="20"/>
  <c r="J23" i="92"/>
  <c r="J79" i="92" s="1"/>
  <c r="K14" i="20"/>
  <c r="J15" i="92"/>
  <c r="J71" i="92" s="1"/>
  <c r="K17" i="20"/>
  <c r="J18" i="92"/>
  <c r="J74" i="92" s="1"/>
  <c r="K9" i="20"/>
  <c r="J10" i="92"/>
  <c r="J66" i="92" s="1"/>
  <c r="K2" i="20"/>
  <c r="J3" i="92"/>
  <c r="J59" i="92" s="1"/>
  <c r="K7" i="20"/>
  <c r="J8" i="92"/>
  <c r="J64" i="92" s="1"/>
  <c r="K18" i="20"/>
  <c r="J19" i="92"/>
  <c r="J75" i="92" s="1"/>
  <c r="K16" i="20"/>
  <c r="J17" i="92"/>
  <c r="J73" i="92" s="1"/>
  <c r="K21" i="20"/>
  <c r="J22" i="92"/>
  <c r="J78" i="92" s="1"/>
  <c r="S24" i="23"/>
  <c r="S4" i="23"/>
  <c r="R5" i="92"/>
  <c r="R61" i="92" s="1"/>
  <c r="S3" i="97" l="1"/>
  <c r="R3" i="19"/>
  <c r="R4" i="92" s="1"/>
  <c r="R60" i="92" s="1"/>
  <c r="V146" i="93"/>
  <c r="V25" i="18" s="1"/>
  <c r="V90" i="93"/>
  <c r="V25" i="19" s="1"/>
  <c r="V118" i="93"/>
  <c r="V62" i="93"/>
  <c r="V25" i="16" s="1"/>
  <c r="X25" i="15"/>
  <c r="W34" i="93"/>
  <c r="X25" i="97"/>
  <c r="X25" i="96"/>
  <c r="T10" i="21"/>
  <c r="S11" i="92"/>
  <c r="S67" i="92" s="1"/>
  <c r="L11" i="20"/>
  <c r="K12" i="92"/>
  <c r="K68" i="92" s="1"/>
  <c r="L22" i="20"/>
  <c r="K23" i="92"/>
  <c r="K79" i="92" s="1"/>
  <c r="L16" i="20"/>
  <c r="K17" i="92"/>
  <c r="K73" i="92" s="1"/>
  <c r="L9" i="20"/>
  <c r="K10" i="92"/>
  <c r="K66" i="92" s="1"/>
  <c r="L12" i="20"/>
  <c r="K13" i="92"/>
  <c r="K69" i="92" s="1"/>
  <c r="L5" i="20"/>
  <c r="K6" i="92"/>
  <c r="K62" i="92" s="1"/>
  <c r="L20" i="20"/>
  <c r="K21" i="92"/>
  <c r="K77" i="92" s="1"/>
  <c r="L2" i="20"/>
  <c r="K3" i="92"/>
  <c r="K59" i="92" s="1"/>
  <c r="L21" i="20"/>
  <c r="K22" i="92"/>
  <c r="K78" i="92" s="1"/>
  <c r="L18" i="20"/>
  <c r="K19" i="92"/>
  <c r="K75" i="92" s="1"/>
  <c r="L17" i="20"/>
  <c r="K18" i="92"/>
  <c r="K74" i="92" s="1"/>
  <c r="L8" i="20"/>
  <c r="K9" i="92"/>
  <c r="K65" i="92" s="1"/>
  <c r="L19" i="20"/>
  <c r="K20" i="92"/>
  <c r="K76" i="92" s="1"/>
  <c r="L13" i="20"/>
  <c r="K14" i="92"/>
  <c r="K70" i="92" s="1"/>
  <c r="L6" i="20"/>
  <c r="K7" i="92"/>
  <c r="K63" i="92" s="1"/>
  <c r="L7" i="20"/>
  <c r="K8" i="92"/>
  <c r="K64" i="92" s="1"/>
  <c r="L14" i="20"/>
  <c r="K15" i="92"/>
  <c r="K71" i="92" s="1"/>
  <c r="L26" i="20"/>
  <c r="K27" i="92"/>
  <c r="K83" i="92" s="1"/>
  <c r="M15" i="20"/>
  <c r="L16" i="92"/>
  <c r="L72" i="92" s="1"/>
  <c r="L23" i="20"/>
  <c r="K24" i="92"/>
  <c r="K80" i="92" s="1"/>
  <c r="T4" i="23"/>
  <c r="S5" i="92"/>
  <c r="S61" i="92" s="1"/>
  <c r="T24" i="23"/>
  <c r="W146" i="93" l="1"/>
  <c r="W25" i="18" s="1"/>
  <c r="W118" i="93"/>
  <c r="W90" i="93"/>
  <c r="W25" i="19" s="1"/>
  <c r="W62" i="93"/>
  <c r="W25" i="16" s="1"/>
  <c r="Y25" i="15"/>
  <c r="X34" i="93"/>
  <c r="Y25" i="96"/>
  <c r="Y25" i="97"/>
  <c r="T3" i="97"/>
  <c r="S3" i="19"/>
  <c r="S4" i="92" s="1"/>
  <c r="S60" i="92" s="1"/>
  <c r="U10" i="21"/>
  <c r="T11" i="92"/>
  <c r="T67" i="92" s="1"/>
  <c r="M2" i="20"/>
  <c r="L3" i="92"/>
  <c r="L59" i="92" s="1"/>
  <c r="M9" i="20"/>
  <c r="L10" i="92"/>
  <c r="L66" i="92" s="1"/>
  <c r="N15" i="20"/>
  <c r="M16" i="92"/>
  <c r="M72" i="92" s="1"/>
  <c r="M6" i="20"/>
  <c r="L7" i="92"/>
  <c r="L63" i="92" s="1"/>
  <c r="M17" i="20"/>
  <c r="L18" i="92"/>
  <c r="L74" i="92" s="1"/>
  <c r="M20" i="20"/>
  <c r="L21" i="92"/>
  <c r="L77" i="92" s="1"/>
  <c r="M16" i="20"/>
  <c r="L17" i="92"/>
  <c r="L73" i="92" s="1"/>
  <c r="M8" i="20"/>
  <c r="L9" i="92"/>
  <c r="L65" i="92" s="1"/>
  <c r="M26" i="20"/>
  <c r="L27" i="92"/>
  <c r="L83" i="92" s="1"/>
  <c r="M13" i="20"/>
  <c r="L14" i="92"/>
  <c r="L70" i="92" s="1"/>
  <c r="M18" i="20"/>
  <c r="L19" i="92"/>
  <c r="L75" i="92" s="1"/>
  <c r="M5" i="20"/>
  <c r="L6" i="92"/>
  <c r="L62" i="92" s="1"/>
  <c r="M22" i="20"/>
  <c r="L23" i="92"/>
  <c r="L79" i="92" s="1"/>
  <c r="M23" i="20"/>
  <c r="L24" i="92"/>
  <c r="L80" i="92" s="1"/>
  <c r="M7" i="20"/>
  <c r="L8" i="92"/>
  <c r="L64" i="92" s="1"/>
  <c r="M14" i="20"/>
  <c r="L15" i="92"/>
  <c r="L71" i="92" s="1"/>
  <c r="M19" i="20"/>
  <c r="L20" i="92"/>
  <c r="L76" i="92" s="1"/>
  <c r="M21" i="20"/>
  <c r="L22" i="92"/>
  <c r="L78" i="92" s="1"/>
  <c r="M12" i="20"/>
  <c r="L13" i="92"/>
  <c r="L69" i="92" s="1"/>
  <c r="M11" i="20"/>
  <c r="L12" i="92"/>
  <c r="L68" i="92" s="1"/>
  <c r="U24" i="23"/>
  <c r="U4" i="23"/>
  <c r="T5" i="92"/>
  <c r="T61" i="92" s="1"/>
  <c r="Z25" i="96" l="1"/>
  <c r="X118" i="93"/>
  <c r="X90" i="93"/>
  <c r="X25" i="19" s="1"/>
  <c r="X146" i="93"/>
  <c r="X25" i="18" s="1"/>
  <c r="X62" i="93"/>
  <c r="X25" i="16" s="1"/>
  <c r="Z25" i="15"/>
  <c r="Y34" i="93"/>
  <c r="U3" i="97"/>
  <c r="T3" i="19"/>
  <c r="T4" i="92" s="1"/>
  <c r="T60" i="92" s="1"/>
  <c r="Z25" i="97"/>
  <c r="V10" i="21"/>
  <c r="U11" i="92"/>
  <c r="U67" i="92" s="1"/>
  <c r="N11" i="20"/>
  <c r="M12" i="92"/>
  <c r="M68" i="92" s="1"/>
  <c r="N14" i="20"/>
  <c r="M15" i="92"/>
  <c r="M71" i="92" s="1"/>
  <c r="N5" i="20"/>
  <c r="M6" i="92"/>
  <c r="M62" i="92" s="1"/>
  <c r="N8" i="20"/>
  <c r="M9" i="92"/>
  <c r="M65" i="92" s="1"/>
  <c r="N6" i="20"/>
  <c r="M7" i="92"/>
  <c r="M63" i="92" s="1"/>
  <c r="N12" i="20"/>
  <c r="M13" i="92"/>
  <c r="M69" i="92" s="1"/>
  <c r="N7" i="20"/>
  <c r="M8" i="92"/>
  <c r="M64" i="92" s="1"/>
  <c r="N18" i="20"/>
  <c r="M19" i="92"/>
  <c r="M75" i="92" s="1"/>
  <c r="N16" i="20"/>
  <c r="M17" i="92"/>
  <c r="M73" i="92" s="1"/>
  <c r="O15" i="20"/>
  <c r="N16" i="92"/>
  <c r="N72" i="92" s="1"/>
  <c r="N21" i="20"/>
  <c r="M22" i="92"/>
  <c r="M78" i="92" s="1"/>
  <c r="N23" i="20"/>
  <c r="M24" i="92"/>
  <c r="M80" i="92" s="1"/>
  <c r="N13" i="20"/>
  <c r="M14" i="92"/>
  <c r="M70" i="92" s="1"/>
  <c r="N20" i="20"/>
  <c r="M21" i="92"/>
  <c r="M77" i="92" s="1"/>
  <c r="N9" i="20"/>
  <c r="M10" i="92"/>
  <c r="M66" i="92" s="1"/>
  <c r="N19" i="20"/>
  <c r="M20" i="92"/>
  <c r="M76" i="92" s="1"/>
  <c r="N22" i="20"/>
  <c r="M23" i="92"/>
  <c r="M79" i="92" s="1"/>
  <c r="N26" i="20"/>
  <c r="M27" i="92"/>
  <c r="M83" i="92" s="1"/>
  <c r="N17" i="20"/>
  <c r="M18" i="92"/>
  <c r="M74" i="92" s="1"/>
  <c r="N2" i="20"/>
  <c r="M3" i="92"/>
  <c r="M59" i="92" s="1"/>
  <c r="V4" i="23"/>
  <c r="U5" i="92"/>
  <c r="U61" i="92" s="1"/>
  <c r="V24" i="23"/>
  <c r="Y90" i="93" l="1"/>
  <c r="Y25" i="19" s="1"/>
  <c r="Y146" i="93"/>
  <c r="Y25" i="18" s="1"/>
  <c r="Y118" i="93"/>
  <c r="Y62" i="93"/>
  <c r="Y25" i="16" s="1"/>
  <c r="AA25" i="15"/>
  <c r="Z34" i="93"/>
  <c r="AA25" i="97"/>
  <c r="V3" i="97"/>
  <c r="U3" i="19"/>
  <c r="U4" i="92" s="1"/>
  <c r="U60" i="92" s="1"/>
  <c r="AA25" i="96"/>
  <c r="W10" i="21"/>
  <c r="V11" i="92"/>
  <c r="V67" i="92" s="1"/>
  <c r="O23" i="20"/>
  <c r="N24" i="92"/>
  <c r="N80" i="92" s="1"/>
  <c r="O17" i="20"/>
  <c r="N18" i="92"/>
  <c r="N74" i="92" s="1"/>
  <c r="O9" i="20"/>
  <c r="N10" i="92"/>
  <c r="N66" i="92" s="1"/>
  <c r="O21" i="20"/>
  <c r="N22" i="92"/>
  <c r="N78" i="92" s="1"/>
  <c r="O7" i="20"/>
  <c r="N8" i="92"/>
  <c r="N64" i="92" s="1"/>
  <c r="O5" i="20"/>
  <c r="N6" i="92"/>
  <c r="N62" i="92" s="1"/>
  <c r="O19" i="20"/>
  <c r="N20" i="92"/>
  <c r="N76" i="92" s="1"/>
  <c r="O8" i="20"/>
  <c r="N9" i="92"/>
  <c r="N65" i="92" s="1"/>
  <c r="O26" i="20"/>
  <c r="N27" i="92"/>
  <c r="N83" i="92" s="1"/>
  <c r="O20" i="20"/>
  <c r="N21" i="92"/>
  <c r="N77" i="92" s="1"/>
  <c r="P15" i="20"/>
  <c r="O16" i="92"/>
  <c r="O72" i="92" s="1"/>
  <c r="O12" i="20"/>
  <c r="N13" i="92"/>
  <c r="N69" i="92" s="1"/>
  <c r="O14" i="20"/>
  <c r="N15" i="92"/>
  <c r="N71" i="92" s="1"/>
  <c r="O18" i="20"/>
  <c r="N19" i="92"/>
  <c r="N75" i="92" s="1"/>
  <c r="O2" i="20"/>
  <c r="N3" i="92"/>
  <c r="N59" i="92" s="1"/>
  <c r="O22" i="20"/>
  <c r="N23" i="92"/>
  <c r="N79" i="92" s="1"/>
  <c r="O13" i="20"/>
  <c r="N14" i="92"/>
  <c r="N70" i="92" s="1"/>
  <c r="O16" i="20"/>
  <c r="N17" i="92"/>
  <c r="N73" i="92" s="1"/>
  <c r="O6" i="20"/>
  <c r="N7" i="92"/>
  <c r="N63" i="92" s="1"/>
  <c r="O11" i="20"/>
  <c r="N12" i="92"/>
  <c r="N68" i="92" s="1"/>
  <c r="W24" i="23"/>
  <c r="W4" i="23"/>
  <c r="V5" i="92"/>
  <c r="V61" i="92" s="1"/>
  <c r="AB25" i="97" l="1"/>
  <c r="Z90" i="93"/>
  <c r="Z25" i="19" s="1"/>
  <c r="Z146" i="93"/>
  <c r="Z25" i="18" s="1"/>
  <c r="Z118" i="93"/>
  <c r="Z62" i="93"/>
  <c r="Z25" i="16" s="1"/>
  <c r="AB25" i="15"/>
  <c r="AA34" i="93"/>
  <c r="AB25" i="96"/>
  <c r="W3" i="97"/>
  <c r="V3" i="19"/>
  <c r="V4" i="92" s="1"/>
  <c r="V60" i="92" s="1"/>
  <c r="X10" i="21"/>
  <c r="W11" i="92"/>
  <c r="W67" i="92" s="1"/>
  <c r="P11" i="20"/>
  <c r="O12" i="92"/>
  <c r="O68" i="92" s="1"/>
  <c r="P22" i="20"/>
  <c r="O23" i="92"/>
  <c r="O79" i="92" s="1"/>
  <c r="P8" i="20"/>
  <c r="O9" i="92"/>
  <c r="O65" i="92" s="1"/>
  <c r="P6" i="20"/>
  <c r="O7" i="92"/>
  <c r="O63" i="92" s="1"/>
  <c r="P2" i="20"/>
  <c r="O3" i="92"/>
  <c r="O59" i="92" s="1"/>
  <c r="Q15" i="20"/>
  <c r="P16" i="92"/>
  <c r="P72" i="92" s="1"/>
  <c r="P19" i="20"/>
  <c r="O20" i="92"/>
  <c r="O76" i="92" s="1"/>
  <c r="P9" i="20"/>
  <c r="O10" i="92"/>
  <c r="O66" i="92" s="1"/>
  <c r="P21" i="20"/>
  <c r="O22" i="92"/>
  <c r="O78" i="92" s="1"/>
  <c r="P16" i="20"/>
  <c r="O17" i="92"/>
  <c r="O73" i="92" s="1"/>
  <c r="P18" i="20"/>
  <c r="O19" i="92"/>
  <c r="O75" i="92" s="1"/>
  <c r="P20" i="20"/>
  <c r="O21" i="92"/>
  <c r="O77" i="92" s="1"/>
  <c r="P5" i="20"/>
  <c r="O6" i="92"/>
  <c r="O62" i="92" s="1"/>
  <c r="P17" i="20"/>
  <c r="O18" i="92"/>
  <c r="O74" i="92" s="1"/>
  <c r="P12" i="20"/>
  <c r="O13" i="92"/>
  <c r="O69" i="92" s="1"/>
  <c r="P13" i="20"/>
  <c r="O14" i="92"/>
  <c r="O70" i="92" s="1"/>
  <c r="P14" i="20"/>
  <c r="O15" i="92"/>
  <c r="O71" i="92" s="1"/>
  <c r="P26" i="20"/>
  <c r="O27" i="92"/>
  <c r="O83" i="92" s="1"/>
  <c r="P7" i="20"/>
  <c r="O8" i="92"/>
  <c r="O64" i="92" s="1"/>
  <c r="P23" i="20"/>
  <c r="O24" i="92"/>
  <c r="O80" i="92" s="1"/>
  <c r="W5" i="92"/>
  <c r="W61" i="92" s="1"/>
  <c r="X4" i="23"/>
  <c r="X24" i="23"/>
  <c r="AA118" i="93" l="1"/>
  <c r="AA90" i="93"/>
  <c r="AA25" i="19" s="1"/>
  <c r="AA146" i="93"/>
  <c r="AA25" i="18" s="1"/>
  <c r="AA62" i="93"/>
  <c r="AA25" i="16" s="1"/>
  <c r="AC25" i="15"/>
  <c r="AB34" i="93"/>
  <c r="X3" i="97"/>
  <c r="W3" i="19"/>
  <c r="W4" i="92" s="1"/>
  <c r="W60" i="92" s="1"/>
  <c r="AC25" i="96"/>
  <c r="AC25" i="97"/>
  <c r="X11" i="92"/>
  <c r="X67" i="92" s="1"/>
  <c r="Y10" i="21"/>
  <c r="Q23" i="20"/>
  <c r="P24" i="92"/>
  <c r="P80" i="92" s="1"/>
  <c r="Q13" i="20"/>
  <c r="P14" i="92"/>
  <c r="P70" i="92" s="1"/>
  <c r="Q20" i="20"/>
  <c r="P21" i="92"/>
  <c r="P77" i="92" s="1"/>
  <c r="Q9" i="20"/>
  <c r="P10" i="92"/>
  <c r="P66" i="92" s="1"/>
  <c r="Q6" i="20"/>
  <c r="P7" i="92"/>
  <c r="P63" i="92" s="1"/>
  <c r="Q7" i="20"/>
  <c r="P8" i="92"/>
  <c r="P64" i="92" s="1"/>
  <c r="Q12" i="20"/>
  <c r="P13" i="92"/>
  <c r="P69" i="92" s="1"/>
  <c r="Q18" i="20"/>
  <c r="P19" i="92"/>
  <c r="P75" i="92" s="1"/>
  <c r="Q19" i="20"/>
  <c r="P20" i="92"/>
  <c r="P76" i="92" s="1"/>
  <c r="Q8" i="20"/>
  <c r="P9" i="92"/>
  <c r="P65" i="92" s="1"/>
  <c r="Q26" i="20"/>
  <c r="P27" i="92"/>
  <c r="P83" i="92" s="1"/>
  <c r="Q17" i="20"/>
  <c r="P18" i="92"/>
  <c r="P74" i="92" s="1"/>
  <c r="Q16" i="20"/>
  <c r="P17" i="92"/>
  <c r="P73" i="92" s="1"/>
  <c r="R15" i="20"/>
  <c r="Q16" i="92"/>
  <c r="Q72" i="92" s="1"/>
  <c r="Q22" i="20"/>
  <c r="P23" i="92"/>
  <c r="P79" i="92" s="1"/>
  <c r="Q14" i="20"/>
  <c r="P15" i="92"/>
  <c r="P71" i="92" s="1"/>
  <c r="Q5" i="20"/>
  <c r="P6" i="92"/>
  <c r="P62" i="92" s="1"/>
  <c r="Q21" i="20"/>
  <c r="P22" i="92"/>
  <c r="P78" i="92" s="1"/>
  <c r="Q2" i="20"/>
  <c r="P3" i="92"/>
  <c r="P59" i="92" s="1"/>
  <c r="Q11" i="20"/>
  <c r="P12" i="92"/>
  <c r="P68" i="92" s="1"/>
  <c r="Y24" i="23"/>
  <c r="Y4" i="23"/>
  <c r="X5" i="92"/>
  <c r="X61" i="92" s="1"/>
  <c r="Y3" i="97" l="1"/>
  <c r="X3" i="19"/>
  <c r="X4" i="92" s="1"/>
  <c r="X60" i="92" s="1"/>
  <c r="AB90" i="93"/>
  <c r="AB25" i="19" s="1"/>
  <c r="AB146" i="93"/>
  <c r="AB25" i="18" s="1"/>
  <c r="AB118" i="93"/>
  <c r="AB62" i="93"/>
  <c r="AB25" i="16" s="1"/>
  <c r="AD25" i="15"/>
  <c r="AC34" i="93"/>
  <c r="AD25" i="97"/>
  <c r="AD25" i="96"/>
  <c r="Z10" i="21"/>
  <c r="Y11" i="92"/>
  <c r="Y67" i="92" s="1"/>
  <c r="R11" i="20"/>
  <c r="Q12" i="92"/>
  <c r="Q68" i="92" s="1"/>
  <c r="R14" i="20"/>
  <c r="Q15" i="92"/>
  <c r="Q71" i="92" s="1"/>
  <c r="R17" i="20"/>
  <c r="Q18" i="92"/>
  <c r="Q74" i="92" s="1"/>
  <c r="R18" i="20"/>
  <c r="Q19" i="92"/>
  <c r="Q75" i="92" s="1"/>
  <c r="R9" i="20"/>
  <c r="Q10" i="92"/>
  <c r="Q66" i="92" s="1"/>
  <c r="R2" i="20"/>
  <c r="Q3" i="92"/>
  <c r="Q59" i="92" s="1"/>
  <c r="R22" i="20"/>
  <c r="Q23" i="92"/>
  <c r="Q79" i="92" s="1"/>
  <c r="R26" i="20"/>
  <c r="Q27" i="92"/>
  <c r="Q83" i="92" s="1"/>
  <c r="R12" i="20"/>
  <c r="Q13" i="92"/>
  <c r="Q69" i="92" s="1"/>
  <c r="R20" i="20"/>
  <c r="Q21" i="92"/>
  <c r="Q77" i="92" s="1"/>
  <c r="R21" i="20"/>
  <c r="Q22" i="92"/>
  <c r="Q78" i="92" s="1"/>
  <c r="S15" i="20"/>
  <c r="R16" i="92"/>
  <c r="R72" i="92" s="1"/>
  <c r="R8" i="20"/>
  <c r="Q9" i="92"/>
  <c r="Q65" i="92" s="1"/>
  <c r="R7" i="20"/>
  <c r="Q8" i="92"/>
  <c r="Q64" i="92" s="1"/>
  <c r="R13" i="20"/>
  <c r="Q14" i="92"/>
  <c r="Q70" i="92" s="1"/>
  <c r="R5" i="20"/>
  <c r="Q6" i="92"/>
  <c r="Q62" i="92" s="1"/>
  <c r="R16" i="20"/>
  <c r="Q17" i="92"/>
  <c r="Q73" i="92" s="1"/>
  <c r="R19" i="20"/>
  <c r="Q20" i="92"/>
  <c r="Q76" i="92" s="1"/>
  <c r="R6" i="20"/>
  <c r="Q7" i="92"/>
  <c r="Q63" i="92" s="1"/>
  <c r="R23" i="20"/>
  <c r="Q24" i="92"/>
  <c r="Q80" i="92" s="1"/>
  <c r="Z4" i="23"/>
  <c r="Y5" i="92"/>
  <c r="Y61" i="92" s="1"/>
  <c r="Z24" i="23"/>
  <c r="AC90" i="93" l="1"/>
  <c r="AC25" i="19" s="1"/>
  <c r="AC118" i="93"/>
  <c r="AC146" i="93"/>
  <c r="AC25" i="18" s="1"/>
  <c r="AC62" i="93"/>
  <c r="AC25" i="16" s="1"/>
  <c r="AE25" i="15"/>
  <c r="AD34" i="93"/>
  <c r="AE25" i="96"/>
  <c r="AE25" i="97"/>
  <c r="Z3" i="97"/>
  <c r="Y3" i="19"/>
  <c r="Y4" i="92" s="1"/>
  <c r="Y60" i="92" s="1"/>
  <c r="AA10" i="21"/>
  <c r="Z11" i="92"/>
  <c r="Z67" i="92" s="1"/>
  <c r="S23" i="20"/>
  <c r="R24" i="92"/>
  <c r="R80" i="92" s="1"/>
  <c r="S5" i="20"/>
  <c r="R6" i="92"/>
  <c r="R62" i="92" s="1"/>
  <c r="T15" i="20"/>
  <c r="S16" i="92"/>
  <c r="S72" i="92" s="1"/>
  <c r="S26" i="20"/>
  <c r="R27" i="92"/>
  <c r="R83" i="92" s="1"/>
  <c r="S18" i="20"/>
  <c r="R19" i="92"/>
  <c r="R75" i="92" s="1"/>
  <c r="S6" i="20"/>
  <c r="R7" i="92"/>
  <c r="R63" i="92" s="1"/>
  <c r="S13" i="20"/>
  <c r="R14" i="92"/>
  <c r="R70" i="92" s="1"/>
  <c r="S21" i="20"/>
  <c r="R22" i="92"/>
  <c r="R78" i="92" s="1"/>
  <c r="S22" i="20"/>
  <c r="R23" i="92"/>
  <c r="R79" i="92" s="1"/>
  <c r="S17" i="20"/>
  <c r="R18" i="92"/>
  <c r="R74" i="92" s="1"/>
  <c r="S19" i="20"/>
  <c r="R20" i="92"/>
  <c r="R76" i="92" s="1"/>
  <c r="S7" i="20"/>
  <c r="R8" i="92"/>
  <c r="R64" i="92" s="1"/>
  <c r="S20" i="20"/>
  <c r="R21" i="92"/>
  <c r="R77" i="92" s="1"/>
  <c r="S2" i="20"/>
  <c r="R3" i="92"/>
  <c r="R59" i="92" s="1"/>
  <c r="S14" i="20"/>
  <c r="R15" i="92"/>
  <c r="R71" i="92" s="1"/>
  <c r="S16" i="20"/>
  <c r="R17" i="92"/>
  <c r="R73" i="92" s="1"/>
  <c r="S8" i="20"/>
  <c r="R9" i="92"/>
  <c r="R65" i="92" s="1"/>
  <c r="S12" i="20"/>
  <c r="R13" i="92"/>
  <c r="R69" i="92" s="1"/>
  <c r="S9" i="20"/>
  <c r="R10" i="92"/>
  <c r="R66" i="92" s="1"/>
  <c r="S11" i="20"/>
  <c r="R12" i="92"/>
  <c r="R68" i="92" s="1"/>
  <c r="AA24" i="23"/>
  <c r="AA4" i="23"/>
  <c r="Z5" i="92"/>
  <c r="Z61" i="92" s="1"/>
  <c r="AF25" i="96" l="1"/>
  <c r="AD146" i="93"/>
  <c r="AD25" i="18" s="1"/>
  <c r="AD90" i="93"/>
  <c r="AD25" i="19" s="1"/>
  <c r="AD118" i="93"/>
  <c r="AD62" i="93"/>
  <c r="AD25" i="16" s="1"/>
  <c r="AF25" i="15"/>
  <c r="AF34" i="93" s="1"/>
  <c r="AE34" i="93"/>
  <c r="AA3" i="97"/>
  <c r="Z3" i="19"/>
  <c r="Z4" i="92" s="1"/>
  <c r="Z60" i="92" s="1"/>
  <c r="AF25" i="97"/>
  <c r="AB10" i="21"/>
  <c r="AA11" i="92"/>
  <c r="AA67" i="92" s="1"/>
  <c r="T21" i="20"/>
  <c r="S22" i="92"/>
  <c r="S78" i="92" s="1"/>
  <c r="T9" i="20"/>
  <c r="S10" i="92"/>
  <c r="S66" i="92" s="1"/>
  <c r="T14" i="20"/>
  <c r="S15" i="92"/>
  <c r="S71" i="92" s="1"/>
  <c r="T19" i="20"/>
  <c r="S20" i="92"/>
  <c r="S76" i="92" s="1"/>
  <c r="T13" i="20"/>
  <c r="S14" i="92"/>
  <c r="S70" i="92" s="1"/>
  <c r="U15" i="20"/>
  <c r="T16" i="92"/>
  <c r="T72" i="92" s="1"/>
  <c r="T26" i="20"/>
  <c r="S27" i="92"/>
  <c r="S83" i="92" s="1"/>
  <c r="T11" i="20"/>
  <c r="S12" i="92"/>
  <c r="S68" i="92" s="1"/>
  <c r="T12" i="20"/>
  <c r="S13" i="92"/>
  <c r="S69" i="92" s="1"/>
  <c r="T2" i="20"/>
  <c r="S3" i="92"/>
  <c r="S59" i="92" s="1"/>
  <c r="T17" i="20"/>
  <c r="S18" i="92"/>
  <c r="S74" i="92" s="1"/>
  <c r="T6" i="20"/>
  <c r="S7" i="92"/>
  <c r="S63" i="92" s="1"/>
  <c r="T5" i="20"/>
  <c r="S6" i="92"/>
  <c r="S62" i="92" s="1"/>
  <c r="T16" i="20"/>
  <c r="S17" i="92"/>
  <c r="S73" i="92" s="1"/>
  <c r="T7" i="20"/>
  <c r="S8" i="92"/>
  <c r="S64" i="92" s="1"/>
  <c r="T8" i="20"/>
  <c r="S9" i="92"/>
  <c r="S65" i="92" s="1"/>
  <c r="T20" i="20"/>
  <c r="S21" i="92"/>
  <c r="S77" i="92" s="1"/>
  <c r="T22" i="20"/>
  <c r="S23" i="92"/>
  <c r="S79" i="92" s="1"/>
  <c r="T18" i="20"/>
  <c r="S19" i="92"/>
  <c r="S75" i="92" s="1"/>
  <c r="T23" i="20"/>
  <c r="S24" i="92"/>
  <c r="S80" i="92" s="1"/>
  <c r="AB4" i="23"/>
  <c r="AA5" i="92"/>
  <c r="AA61" i="92" s="1"/>
  <c r="AB24" i="23"/>
  <c r="AE90" i="93" l="1"/>
  <c r="AE25" i="19" s="1"/>
  <c r="AE118" i="93"/>
  <c r="AE146" i="93"/>
  <c r="AE25" i="18" s="1"/>
  <c r="AE62" i="93"/>
  <c r="AE25" i="16" s="1"/>
  <c r="AF118" i="93"/>
  <c r="AF146" i="93"/>
  <c r="AF25" i="18" s="1"/>
  <c r="AF90" i="93"/>
  <c r="AF25" i="19" s="1"/>
  <c r="AF62" i="93"/>
  <c r="AF25" i="16" s="1"/>
  <c r="AB3" i="97"/>
  <c r="AA3" i="19"/>
  <c r="AA4" i="92" s="1"/>
  <c r="AA60" i="92" s="1"/>
  <c r="AC10" i="21"/>
  <c r="AB11" i="92"/>
  <c r="AB67" i="92" s="1"/>
  <c r="U23" i="20"/>
  <c r="T24" i="92"/>
  <c r="T80" i="92" s="1"/>
  <c r="U8" i="20"/>
  <c r="T9" i="92"/>
  <c r="T65" i="92" s="1"/>
  <c r="U6" i="20"/>
  <c r="T7" i="92"/>
  <c r="T63" i="92" s="1"/>
  <c r="U11" i="20"/>
  <c r="T12" i="92"/>
  <c r="T68" i="92" s="1"/>
  <c r="U19" i="20"/>
  <c r="T20" i="92"/>
  <c r="T76" i="92" s="1"/>
  <c r="U18" i="20"/>
  <c r="T19" i="92"/>
  <c r="T75" i="92" s="1"/>
  <c r="U7" i="20"/>
  <c r="T8" i="92"/>
  <c r="T64" i="92" s="1"/>
  <c r="U17" i="20"/>
  <c r="T18" i="92"/>
  <c r="T74" i="92" s="1"/>
  <c r="U26" i="20"/>
  <c r="T27" i="92"/>
  <c r="T83" i="92" s="1"/>
  <c r="U14" i="20"/>
  <c r="T15" i="92"/>
  <c r="T71" i="92" s="1"/>
  <c r="U22" i="20"/>
  <c r="T23" i="92"/>
  <c r="T79" i="92" s="1"/>
  <c r="U16" i="20"/>
  <c r="T17" i="92"/>
  <c r="T73" i="92" s="1"/>
  <c r="U2" i="20"/>
  <c r="T3" i="92"/>
  <c r="T59" i="92" s="1"/>
  <c r="V15" i="20"/>
  <c r="U16" i="92"/>
  <c r="U72" i="92" s="1"/>
  <c r="U9" i="20"/>
  <c r="T10" i="92"/>
  <c r="T66" i="92" s="1"/>
  <c r="U20" i="20"/>
  <c r="T21" i="92"/>
  <c r="T77" i="92" s="1"/>
  <c r="U5" i="20"/>
  <c r="T6" i="92"/>
  <c r="T62" i="92" s="1"/>
  <c r="U12" i="20"/>
  <c r="T13" i="92"/>
  <c r="T69" i="92" s="1"/>
  <c r="U13" i="20"/>
  <c r="T14" i="92"/>
  <c r="T70" i="92" s="1"/>
  <c r="U21" i="20"/>
  <c r="T22" i="92"/>
  <c r="T78" i="92" s="1"/>
  <c r="AC24" i="23"/>
  <c r="AC4" i="23"/>
  <c r="AB5" i="92"/>
  <c r="AB61" i="92" s="1"/>
  <c r="AC3" i="97" l="1"/>
  <c r="AB3" i="19"/>
  <c r="AB4" i="92" s="1"/>
  <c r="AB60" i="92" s="1"/>
  <c r="AD10" i="21"/>
  <c r="AC11" i="92"/>
  <c r="AC67" i="92" s="1"/>
  <c r="V21" i="20"/>
  <c r="U22" i="92"/>
  <c r="U78" i="92" s="1"/>
  <c r="V20" i="20"/>
  <c r="U21" i="92"/>
  <c r="U77" i="92" s="1"/>
  <c r="V16" i="20"/>
  <c r="U17" i="92"/>
  <c r="U73" i="92" s="1"/>
  <c r="V17" i="20"/>
  <c r="U18" i="92"/>
  <c r="U74" i="92" s="1"/>
  <c r="V11" i="20"/>
  <c r="U12" i="92"/>
  <c r="U68" i="92" s="1"/>
  <c r="V13" i="20"/>
  <c r="U14" i="92"/>
  <c r="U70" i="92" s="1"/>
  <c r="V9" i="20"/>
  <c r="U10" i="92"/>
  <c r="U66" i="92" s="1"/>
  <c r="V22" i="20"/>
  <c r="U23" i="92"/>
  <c r="U79" i="92" s="1"/>
  <c r="V7" i="20"/>
  <c r="U8" i="92"/>
  <c r="U64" i="92" s="1"/>
  <c r="V6" i="20"/>
  <c r="U7" i="92"/>
  <c r="U63" i="92" s="1"/>
  <c r="V12" i="20"/>
  <c r="U13" i="92"/>
  <c r="U69" i="92" s="1"/>
  <c r="W15" i="20"/>
  <c r="V16" i="92"/>
  <c r="V72" i="92" s="1"/>
  <c r="V14" i="20"/>
  <c r="U15" i="92"/>
  <c r="U71" i="92" s="1"/>
  <c r="V18" i="20"/>
  <c r="U19" i="92"/>
  <c r="U75" i="92" s="1"/>
  <c r="V8" i="20"/>
  <c r="U9" i="92"/>
  <c r="U65" i="92" s="1"/>
  <c r="V5" i="20"/>
  <c r="U6" i="92"/>
  <c r="U62" i="92" s="1"/>
  <c r="V2" i="20"/>
  <c r="U3" i="92"/>
  <c r="U59" i="92" s="1"/>
  <c r="V26" i="20"/>
  <c r="U27" i="92"/>
  <c r="U83" i="92" s="1"/>
  <c r="V19" i="20"/>
  <c r="U20" i="92"/>
  <c r="U76" i="92" s="1"/>
  <c r="V23" i="20"/>
  <c r="U24" i="92"/>
  <c r="U80" i="92" s="1"/>
  <c r="AD4" i="23"/>
  <c r="AC5" i="92"/>
  <c r="AC61" i="92" s="1"/>
  <c r="AD24" i="23"/>
  <c r="AD3" i="97" l="1"/>
  <c r="AC3" i="19"/>
  <c r="AC4" i="92" s="1"/>
  <c r="AC60" i="92" s="1"/>
  <c r="AE10" i="21"/>
  <c r="AD11" i="92"/>
  <c r="AD67" i="92" s="1"/>
  <c r="W23" i="20"/>
  <c r="V24" i="92"/>
  <c r="V80" i="92" s="1"/>
  <c r="W5" i="20"/>
  <c r="V6" i="92"/>
  <c r="V62" i="92" s="1"/>
  <c r="X15" i="20"/>
  <c r="W16" i="92"/>
  <c r="W72" i="92" s="1"/>
  <c r="W22" i="20"/>
  <c r="V23" i="92"/>
  <c r="V79" i="92" s="1"/>
  <c r="W17" i="20"/>
  <c r="V18" i="92"/>
  <c r="V74" i="92" s="1"/>
  <c r="W19" i="20"/>
  <c r="V20" i="92"/>
  <c r="V76" i="92" s="1"/>
  <c r="W8" i="20"/>
  <c r="V9" i="92"/>
  <c r="V65" i="92" s="1"/>
  <c r="W12" i="20"/>
  <c r="V13" i="92"/>
  <c r="V69" i="92" s="1"/>
  <c r="W9" i="20"/>
  <c r="V10" i="92"/>
  <c r="V66" i="92" s="1"/>
  <c r="W16" i="20"/>
  <c r="V17" i="92"/>
  <c r="V73" i="92" s="1"/>
  <c r="W26" i="20"/>
  <c r="V27" i="92"/>
  <c r="V83" i="92" s="1"/>
  <c r="W18" i="20"/>
  <c r="V19" i="92"/>
  <c r="V75" i="92" s="1"/>
  <c r="W6" i="20"/>
  <c r="V7" i="92"/>
  <c r="V63" i="92" s="1"/>
  <c r="W13" i="20"/>
  <c r="V14" i="92"/>
  <c r="V70" i="92" s="1"/>
  <c r="W20" i="20"/>
  <c r="V21" i="92"/>
  <c r="V77" i="92" s="1"/>
  <c r="W2" i="20"/>
  <c r="V3" i="92"/>
  <c r="V59" i="92" s="1"/>
  <c r="W14" i="20"/>
  <c r="V15" i="92"/>
  <c r="V71" i="92" s="1"/>
  <c r="W7" i="20"/>
  <c r="V8" i="92"/>
  <c r="V64" i="92" s="1"/>
  <c r="W11" i="20"/>
  <c r="V12" i="92"/>
  <c r="V68" i="92" s="1"/>
  <c r="W21" i="20"/>
  <c r="V22" i="92"/>
  <c r="V78" i="92" s="1"/>
  <c r="AE24" i="23"/>
  <c r="AE4" i="23"/>
  <c r="AD5" i="92"/>
  <c r="AD61" i="92" s="1"/>
  <c r="AE3" i="97" l="1"/>
  <c r="AD3" i="19"/>
  <c r="AD4" i="92" s="1"/>
  <c r="AD60" i="92" s="1"/>
  <c r="AF10" i="21"/>
  <c r="AF11" i="92" s="1"/>
  <c r="AF67" i="92" s="1"/>
  <c r="AE11" i="92"/>
  <c r="AE67" i="92" s="1"/>
  <c r="X21" i="20"/>
  <c r="W22" i="92"/>
  <c r="W78" i="92" s="1"/>
  <c r="X2" i="20"/>
  <c r="W3" i="92"/>
  <c r="W59" i="92" s="1"/>
  <c r="X18" i="20"/>
  <c r="W19" i="92"/>
  <c r="W75" i="92" s="1"/>
  <c r="X12" i="20"/>
  <c r="W13" i="92"/>
  <c r="W69" i="92" s="1"/>
  <c r="X22" i="20"/>
  <c r="W23" i="92"/>
  <c r="W79" i="92" s="1"/>
  <c r="X11" i="20"/>
  <c r="W12" i="92"/>
  <c r="W68" i="92" s="1"/>
  <c r="X20" i="20"/>
  <c r="W21" i="92"/>
  <c r="W77" i="92" s="1"/>
  <c r="X26" i="20"/>
  <c r="W27" i="92"/>
  <c r="W83" i="92" s="1"/>
  <c r="X8" i="20"/>
  <c r="W9" i="92"/>
  <c r="W65" i="92" s="1"/>
  <c r="Y15" i="20"/>
  <c r="X16" i="92"/>
  <c r="X72" i="92" s="1"/>
  <c r="X7" i="20"/>
  <c r="W8" i="92"/>
  <c r="W64" i="92" s="1"/>
  <c r="X13" i="20"/>
  <c r="W14" i="92"/>
  <c r="W70" i="92" s="1"/>
  <c r="X16" i="20"/>
  <c r="W17" i="92"/>
  <c r="W73" i="92" s="1"/>
  <c r="X19" i="20"/>
  <c r="W20" i="92"/>
  <c r="W76" i="92" s="1"/>
  <c r="X5" i="20"/>
  <c r="W6" i="92"/>
  <c r="W62" i="92" s="1"/>
  <c r="X14" i="20"/>
  <c r="W15" i="92"/>
  <c r="W71" i="92" s="1"/>
  <c r="X6" i="20"/>
  <c r="W7" i="92"/>
  <c r="W63" i="92" s="1"/>
  <c r="X9" i="20"/>
  <c r="W10" i="92"/>
  <c r="W66" i="92" s="1"/>
  <c r="X17" i="20"/>
  <c r="W18" i="92"/>
  <c r="W74" i="92" s="1"/>
  <c r="X23" i="20"/>
  <c r="W24" i="92"/>
  <c r="W80" i="92" s="1"/>
  <c r="AF4" i="23"/>
  <c r="AF5" i="92" s="1"/>
  <c r="AF61" i="92" s="1"/>
  <c r="AE5" i="92"/>
  <c r="AE61" i="92" s="1"/>
  <c r="AF24" i="23"/>
  <c r="AF3" i="97" l="1"/>
  <c r="AF3" i="19" s="1"/>
  <c r="AF4" i="92" s="1"/>
  <c r="AF60" i="92" s="1"/>
  <c r="AE3" i="19"/>
  <c r="AE4" i="92" s="1"/>
  <c r="AE60" i="92" s="1"/>
  <c r="Y23" i="20"/>
  <c r="X24" i="92"/>
  <c r="X80" i="92" s="1"/>
  <c r="Y14" i="20"/>
  <c r="X15" i="92"/>
  <c r="X71" i="92" s="1"/>
  <c r="Y13" i="20"/>
  <c r="X14" i="92"/>
  <c r="X70" i="92" s="1"/>
  <c r="Y26" i="20"/>
  <c r="X27" i="92"/>
  <c r="X83" i="92" s="1"/>
  <c r="Y12" i="20"/>
  <c r="X13" i="92"/>
  <c r="X69" i="92" s="1"/>
  <c r="Y17" i="20"/>
  <c r="X18" i="92"/>
  <c r="X74" i="92" s="1"/>
  <c r="Y5" i="20"/>
  <c r="X6" i="92"/>
  <c r="X62" i="92" s="1"/>
  <c r="Y7" i="20"/>
  <c r="X8" i="92"/>
  <c r="X64" i="92" s="1"/>
  <c r="Y20" i="20"/>
  <c r="X21" i="92"/>
  <c r="X77" i="92" s="1"/>
  <c r="Y18" i="20"/>
  <c r="X19" i="92"/>
  <c r="X75" i="92" s="1"/>
  <c r="Y9" i="20"/>
  <c r="X10" i="92"/>
  <c r="X66" i="92" s="1"/>
  <c r="Y19" i="20"/>
  <c r="X20" i="92"/>
  <c r="X76" i="92" s="1"/>
  <c r="Z15" i="20"/>
  <c r="Y16" i="92"/>
  <c r="Y72" i="92" s="1"/>
  <c r="Y11" i="20"/>
  <c r="X12" i="92"/>
  <c r="X68" i="92" s="1"/>
  <c r="Y2" i="20"/>
  <c r="X3" i="92"/>
  <c r="X59" i="92" s="1"/>
  <c r="Y6" i="20"/>
  <c r="X7" i="92"/>
  <c r="X63" i="92" s="1"/>
  <c r="Y16" i="20"/>
  <c r="X17" i="92"/>
  <c r="X73" i="92" s="1"/>
  <c r="Y8" i="20"/>
  <c r="X9" i="92"/>
  <c r="X65" i="92" s="1"/>
  <c r="Y22" i="20"/>
  <c r="X23" i="92"/>
  <c r="X79" i="92" s="1"/>
  <c r="Y21" i="20"/>
  <c r="X22" i="92"/>
  <c r="X78" i="92" s="1"/>
  <c r="Z21" i="20" l="1"/>
  <c r="Y22" i="92"/>
  <c r="Y78" i="92" s="1"/>
  <c r="Z6" i="20"/>
  <c r="Y7" i="92"/>
  <c r="Y63" i="92" s="1"/>
  <c r="Z19" i="20"/>
  <c r="Y20" i="92"/>
  <c r="Y76" i="92" s="1"/>
  <c r="Z7" i="20"/>
  <c r="Y8" i="92"/>
  <c r="Y64" i="92" s="1"/>
  <c r="Z26" i="20"/>
  <c r="Y27" i="92"/>
  <c r="Y83" i="92" s="1"/>
  <c r="Z22" i="20"/>
  <c r="Y23" i="92"/>
  <c r="Y79" i="92" s="1"/>
  <c r="Z2" i="20"/>
  <c r="Y3" i="92"/>
  <c r="Y59" i="92" s="1"/>
  <c r="Z9" i="20"/>
  <c r="Y10" i="92"/>
  <c r="Y66" i="92" s="1"/>
  <c r="Z5" i="20"/>
  <c r="Y6" i="92"/>
  <c r="Y62" i="92" s="1"/>
  <c r="Z13" i="20"/>
  <c r="Y14" i="92"/>
  <c r="Y70" i="92" s="1"/>
  <c r="Z8" i="20"/>
  <c r="Y9" i="92"/>
  <c r="Y65" i="92" s="1"/>
  <c r="Z11" i="20"/>
  <c r="Y12" i="92"/>
  <c r="Y68" i="92" s="1"/>
  <c r="Z18" i="20"/>
  <c r="Y19" i="92"/>
  <c r="Y75" i="92" s="1"/>
  <c r="Z17" i="20"/>
  <c r="Y18" i="92"/>
  <c r="Y74" i="92" s="1"/>
  <c r="Z14" i="20"/>
  <c r="Y15" i="92"/>
  <c r="Y71" i="92" s="1"/>
  <c r="Z16" i="20"/>
  <c r="Y17" i="92"/>
  <c r="Y73" i="92" s="1"/>
  <c r="AA15" i="20"/>
  <c r="Z16" i="92"/>
  <c r="Z72" i="92" s="1"/>
  <c r="Z20" i="20"/>
  <c r="Y21" i="92"/>
  <c r="Y77" i="92" s="1"/>
  <c r="Z12" i="20"/>
  <c r="Y13" i="92"/>
  <c r="Y69" i="92" s="1"/>
  <c r="Z23" i="20"/>
  <c r="Y24" i="92"/>
  <c r="Y80" i="92" s="1"/>
  <c r="AA23" i="20" l="1"/>
  <c r="Z24" i="92"/>
  <c r="Z80" i="92" s="1"/>
  <c r="AA16" i="20"/>
  <c r="Z17" i="92"/>
  <c r="Z73" i="92" s="1"/>
  <c r="AA11" i="20"/>
  <c r="Z12" i="92"/>
  <c r="Z68" i="92" s="1"/>
  <c r="AA9" i="20"/>
  <c r="Z10" i="92"/>
  <c r="Z66" i="92" s="1"/>
  <c r="AA7" i="20"/>
  <c r="Z8" i="92"/>
  <c r="Z64" i="92" s="1"/>
  <c r="AA12" i="20"/>
  <c r="Z13" i="92"/>
  <c r="Z69" i="92" s="1"/>
  <c r="AA14" i="20"/>
  <c r="Z15" i="92"/>
  <c r="Z71" i="92" s="1"/>
  <c r="AA8" i="20"/>
  <c r="Z9" i="92"/>
  <c r="Z65" i="92" s="1"/>
  <c r="AA2" i="20"/>
  <c r="Z3" i="92"/>
  <c r="Z59" i="92" s="1"/>
  <c r="AA19" i="20"/>
  <c r="Z20" i="92"/>
  <c r="Z76" i="92" s="1"/>
  <c r="AA20" i="20"/>
  <c r="Z21" i="92"/>
  <c r="Z77" i="92" s="1"/>
  <c r="AA17" i="20"/>
  <c r="Z18" i="92"/>
  <c r="Z74" i="92" s="1"/>
  <c r="AA13" i="20"/>
  <c r="Z14" i="92"/>
  <c r="Z70" i="92" s="1"/>
  <c r="AA22" i="20"/>
  <c r="Z23" i="92"/>
  <c r="Z79" i="92" s="1"/>
  <c r="AA6" i="20"/>
  <c r="Z7" i="92"/>
  <c r="Z63" i="92" s="1"/>
  <c r="AB15" i="20"/>
  <c r="AA16" i="92"/>
  <c r="AA72" i="92" s="1"/>
  <c r="AA18" i="20"/>
  <c r="Z19" i="92"/>
  <c r="Z75" i="92" s="1"/>
  <c r="AA5" i="20"/>
  <c r="Z6" i="92"/>
  <c r="Z62" i="92" s="1"/>
  <c r="AA26" i="20"/>
  <c r="Z27" i="92"/>
  <c r="Z83" i="92" s="1"/>
  <c r="AA21" i="20"/>
  <c r="Z22" i="92"/>
  <c r="Z78" i="92" s="1"/>
  <c r="AB21" i="20" l="1"/>
  <c r="AA22" i="92"/>
  <c r="AA78" i="92" s="1"/>
  <c r="AC15" i="20"/>
  <c r="AB16" i="92"/>
  <c r="AB72" i="92" s="1"/>
  <c r="AB17" i="20"/>
  <c r="AA18" i="92"/>
  <c r="AA74" i="92" s="1"/>
  <c r="AB8" i="20"/>
  <c r="AA9" i="92"/>
  <c r="AA65" i="92" s="1"/>
  <c r="AB9" i="20"/>
  <c r="AA10" i="92"/>
  <c r="AA66" i="92" s="1"/>
  <c r="AB26" i="20"/>
  <c r="AA27" i="92"/>
  <c r="AA83" i="92" s="1"/>
  <c r="AB6" i="20"/>
  <c r="AA7" i="92"/>
  <c r="AA63" i="92" s="1"/>
  <c r="AB20" i="20"/>
  <c r="AA21" i="92"/>
  <c r="AA77" i="92" s="1"/>
  <c r="AB14" i="20"/>
  <c r="AA15" i="92"/>
  <c r="AA71" i="92" s="1"/>
  <c r="AB11" i="20"/>
  <c r="AA12" i="92"/>
  <c r="AA68" i="92" s="1"/>
  <c r="AB5" i="20"/>
  <c r="AA6" i="92"/>
  <c r="AA62" i="92" s="1"/>
  <c r="AB22" i="20"/>
  <c r="AA23" i="92"/>
  <c r="AA79" i="92" s="1"/>
  <c r="AB19" i="20"/>
  <c r="AA20" i="92"/>
  <c r="AA76" i="92" s="1"/>
  <c r="AB12" i="20"/>
  <c r="AA13" i="92"/>
  <c r="AA69" i="92" s="1"/>
  <c r="AB16" i="20"/>
  <c r="AA17" i="92"/>
  <c r="AA73" i="92" s="1"/>
  <c r="AB18" i="20"/>
  <c r="AA19" i="92"/>
  <c r="AA75" i="92" s="1"/>
  <c r="AB13" i="20"/>
  <c r="AA14" i="92"/>
  <c r="AA70" i="92" s="1"/>
  <c r="AB2" i="20"/>
  <c r="AA3" i="92"/>
  <c r="AA59" i="92" s="1"/>
  <c r="AB7" i="20"/>
  <c r="AA8" i="92"/>
  <c r="AA64" i="92" s="1"/>
  <c r="AB23" i="20"/>
  <c r="AA24" i="92"/>
  <c r="AA80" i="92" s="1"/>
  <c r="AC23" i="20" l="1"/>
  <c r="AB24" i="92"/>
  <c r="AB80" i="92" s="1"/>
  <c r="AC18" i="20"/>
  <c r="AB19" i="92"/>
  <c r="AB75" i="92" s="1"/>
  <c r="AC22" i="20"/>
  <c r="AB23" i="92"/>
  <c r="AB79" i="92" s="1"/>
  <c r="AC20" i="20"/>
  <c r="AB21" i="92"/>
  <c r="AB77" i="92" s="1"/>
  <c r="AC8" i="20"/>
  <c r="AB9" i="92"/>
  <c r="AB65" i="92" s="1"/>
  <c r="AC7" i="20"/>
  <c r="AB8" i="92"/>
  <c r="AB64" i="92" s="1"/>
  <c r="AC16" i="20"/>
  <c r="AB17" i="92"/>
  <c r="AB73" i="92" s="1"/>
  <c r="AC5" i="20"/>
  <c r="AB6" i="92"/>
  <c r="AB62" i="92" s="1"/>
  <c r="AC6" i="20"/>
  <c r="AB7" i="92"/>
  <c r="AB63" i="92" s="1"/>
  <c r="AC17" i="20"/>
  <c r="AB18" i="92"/>
  <c r="AB74" i="92" s="1"/>
  <c r="AC2" i="20"/>
  <c r="AB3" i="92"/>
  <c r="AB59" i="92" s="1"/>
  <c r="AC12" i="20"/>
  <c r="AB13" i="92"/>
  <c r="AB69" i="92" s="1"/>
  <c r="AC11" i="20"/>
  <c r="AB12" i="92"/>
  <c r="AB68" i="92" s="1"/>
  <c r="AC26" i="20"/>
  <c r="AB27" i="92"/>
  <c r="AB83" i="92" s="1"/>
  <c r="AD15" i="20"/>
  <c r="AC16" i="92"/>
  <c r="AC72" i="92" s="1"/>
  <c r="AC13" i="20"/>
  <c r="AB14" i="92"/>
  <c r="AB70" i="92" s="1"/>
  <c r="AC19" i="20"/>
  <c r="AB20" i="92"/>
  <c r="AB76" i="92" s="1"/>
  <c r="AC14" i="20"/>
  <c r="AB15" i="92"/>
  <c r="AB71" i="92" s="1"/>
  <c r="AC9" i="20"/>
  <c r="AB10" i="92"/>
  <c r="AB66" i="92" s="1"/>
  <c r="AC21" i="20"/>
  <c r="AB22" i="92"/>
  <c r="AB78" i="92" s="1"/>
  <c r="AD21" i="20" l="1"/>
  <c r="AC22" i="92"/>
  <c r="AC78" i="92" s="1"/>
  <c r="AD13" i="20"/>
  <c r="AC14" i="92"/>
  <c r="AC70" i="92" s="1"/>
  <c r="AD12" i="20"/>
  <c r="AC13" i="92"/>
  <c r="AC69" i="92" s="1"/>
  <c r="AD5" i="20"/>
  <c r="AC6" i="92"/>
  <c r="AC62" i="92" s="1"/>
  <c r="AD20" i="20"/>
  <c r="AC21" i="92"/>
  <c r="AC77" i="92" s="1"/>
  <c r="AD9" i="20"/>
  <c r="AC10" i="92"/>
  <c r="AC66" i="92" s="1"/>
  <c r="AE15" i="20"/>
  <c r="AD16" i="92"/>
  <c r="AD72" i="92" s="1"/>
  <c r="AD2" i="20"/>
  <c r="AC3" i="92"/>
  <c r="AC59" i="92" s="1"/>
  <c r="AD16" i="20"/>
  <c r="AC17" i="92"/>
  <c r="AC73" i="92" s="1"/>
  <c r="AD22" i="20"/>
  <c r="AC23" i="92"/>
  <c r="AC79" i="92" s="1"/>
  <c r="AD14" i="20"/>
  <c r="AC15" i="92"/>
  <c r="AC71" i="92" s="1"/>
  <c r="AD26" i="20"/>
  <c r="AC27" i="92"/>
  <c r="AC83" i="92" s="1"/>
  <c r="AD17" i="20"/>
  <c r="AC18" i="92"/>
  <c r="AC74" i="92" s="1"/>
  <c r="AD7" i="20"/>
  <c r="AC8" i="92"/>
  <c r="AC64" i="92" s="1"/>
  <c r="AD18" i="20"/>
  <c r="AC19" i="92"/>
  <c r="AC75" i="92" s="1"/>
  <c r="AD19" i="20"/>
  <c r="AC20" i="92"/>
  <c r="AC76" i="92" s="1"/>
  <c r="AD11" i="20"/>
  <c r="AC12" i="92"/>
  <c r="AC68" i="92" s="1"/>
  <c r="AD6" i="20"/>
  <c r="AC7" i="92"/>
  <c r="AC63" i="92" s="1"/>
  <c r="AD8" i="20"/>
  <c r="AC9" i="92"/>
  <c r="AC65" i="92" s="1"/>
  <c r="AD23" i="20"/>
  <c r="AC24" i="92"/>
  <c r="AC80" i="92" s="1"/>
  <c r="AE23" i="20" l="1"/>
  <c r="AD24" i="92"/>
  <c r="AD80" i="92" s="1"/>
  <c r="AE19" i="20"/>
  <c r="AD20" i="92"/>
  <c r="AD76" i="92" s="1"/>
  <c r="AE26" i="20"/>
  <c r="AD27" i="92"/>
  <c r="AD83" i="92" s="1"/>
  <c r="AE2" i="20"/>
  <c r="AD3" i="92"/>
  <c r="AD59" i="92" s="1"/>
  <c r="AE5" i="20"/>
  <c r="AD6" i="92"/>
  <c r="AD62" i="92" s="1"/>
  <c r="AE8" i="20"/>
  <c r="AD9" i="92"/>
  <c r="AD65" i="92" s="1"/>
  <c r="AE18" i="20"/>
  <c r="AD19" i="92"/>
  <c r="AD75" i="92" s="1"/>
  <c r="AE14" i="20"/>
  <c r="AD15" i="92"/>
  <c r="AD71" i="92" s="1"/>
  <c r="AF15" i="20"/>
  <c r="AF16" i="92" s="1"/>
  <c r="AF72" i="92" s="1"/>
  <c r="AE16" i="92"/>
  <c r="AE72" i="92" s="1"/>
  <c r="AE12" i="20"/>
  <c r="AD13" i="92"/>
  <c r="AD69" i="92" s="1"/>
  <c r="AE6" i="20"/>
  <c r="AD7" i="92"/>
  <c r="AD63" i="92" s="1"/>
  <c r="AE7" i="20"/>
  <c r="AD8" i="92"/>
  <c r="AD64" i="92" s="1"/>
  <c r="AE22" i="20"/>
  <c r="AD23" i="92"/>
  <c r="AD79" i="92" s="1"/>
  <c r="AE9" i="20"/>
  <c r="AD10" i="92"/>
  <c r="AD66" i="92" s="1"/>
  <c r="AE13" i="20"/>
  <c r="AD14" i="92"/>
  <c r="AD70" i="92" s="1"/>
  <c r="AE11" i="20"/>
  <c r="AD12" i="92"/>
  <c r="AD68" i="92" s="1"/>
  <c r="AE17" i="20"/>
  <c r="AD18" i="92"/>
  <c r="AD74" i="92" s="1"/>
  <c r="AE16" i="20"/>
  <c r="AD17" i="92"/>
  <c r="AD73" i="92" s="1"/>
  <c r="AE20" i="20"/>
  <c r="AD21" i="92"/>
  <c r="AD77" i="92" s="1"/>
  <c r="AE21" i="20"/>
  <c r="AD22" i="92"/>
  <c r="AD78" i="92" s="1"/>
  <c r="AF21" i="20" l="1"/>
  <c r="AF22" i="92" s="1"/>
  <c r="AF78" i="92" s="1"/>
  <c r="AE22" i="92"/>
  <c r="AE78" i="92" s="1"/>
  <c r="AF11" i="20"/>
  <c r="AF12" i="92" s="1"/>
  <c r="AF68" i="92" s="1"/>
  <c r="AE12" i="92"/>
  <c r="AE68" i="92" s="1"/>
  <c r="AF7" i="20"/>
  <c r="AF8" i="92" s="1"/>
  <c r="AF64" i="92" s="1"/>
  <c r="AE8" i="92"/>
  <c r="AE64" i="92" s="1"/>
  <c r="AF14" i="20"/>
  <c r="AF15" i="92" s="1"/>
  <c r="AF71" i="92" s="1"/>
  <c r="AE15" i="92"/>
  <c r="AE71" i="92" s="1"/>
  <c r="AF2" i="20"/>
  <c r="AF3" i="92" s="1"/>
  <c r="AF59" i="92" s="1"/>
  <c r="AE3" i="92"/>
  <c r="AE59" i="92" s="1"/>
  <c r="AF20" i="20"/>
  <c r="AF21" i="92" s="1"/>
  <c r="AF77" i="92" s="1"/>
  <c r="AE21" i="92"/>
  <c r="AE77" i="92" s="1"/>
  <c r="AF13" i="20"/>
  <c r="AF14" i="92" s="1"/>
  <c r="AF70" i="92" s="1"/>
  <c r="AE14" i="92"/>
  <c r="AE70" i="92" s="1"/>
  <c r="AF6" i="20"/>
  <c r="AF7" i="92" s="1"/>
  <c r="AF63" i="92" s="1"/>
  <c r="AE7" i="92"/>
  <c r="AE63" i="92" s="1"/>
  <c r="AF18" i="20"/>
  <c r="AF19" i="92" s="1"/>
  <c r="AF75" i="92" s="1"/>
  <c r="AE19" i="92"/>
  <c r="AE75" i="92" s="1"/>
  <c r="AF26" i="20"/>
  <c r="AF27" i="92" s="1"/>
  <c r="AF83" i="92" s="1"/>
  <c r="AE27" i="92"/>
  <c r="AE83" i="92" s="1"/>
  <c r="AF16" i="20"/>
  <c r="AF17" i="92" s="1"/>
  <c r="AF73" i="92" s="1"/>
  <c r="AE17" i="92"/>
  <c r="AE73" i="92" s="1"/>
  <c r="AF9" i="20"/>
  <c r="AF10" i="92" s="1"/>
  <c r="AF66" i="92" s="1"/>
  <c r="AE10" i="92"/>
  <c r="AE66" i="92" s="1"/>
  <c r="AF12" i="20"/>
  <c r="AF13" i="92" s="1"/>
  <c r="AF69" i="92" s="1"/>
  <c r="AE13" i="92"/>
  <c r="AE69" i="92" s="1"/>
  <c r="AF8" i="20"/>
  <c r="AF9" i="92" s="1"/>
  <c r="AF65" i="92" s="1"/>
  <c r="AE9" i="92"/>
  <c r="AE65" i="92" s="1"/>
  <c r="AF19" i="20"/>
  <c r="AF20" i="92" s="1"/>
  <c r="AF76" i="92" s="1"/>
  <c r="AE20" i="92"/>
  <c r="AE76" i="92" s="1"/>
  <c r="AF17" i="20"/>
  <c r="AF18" i="92" s="1"/>
  <c r="AF74" i="92" s="1"/>
  <c r="AE18" i="92"/>
  <c r="AE74" i="92" s="1"/>
  <c r="AF22" i="20"/>
  <c r="AF23" i="92" s="1"/>
  <c r="AF79" i="92" s="1"/>
  <c r="AE23" i="92"/>
  <c r="AE79" i="92" s="1"/>
  <c r="AF5" i="20"/>
  <c r="AF6" i="92" s="1"/>
  <c r="AF62" i="92" s="1"/>
  <c r="AE6" i="92"/>
  <c r="AE62" i="92" s="1"/>
  <c r="AF23" i="20"/>
  <c r="AF24" i="92" s="1"/>
  <c r="AF80" i="92" s="1"/>
  <c r="AE24" i="92"/>
  <c r="AE80" i="92" s="1"/>
  <c r="L82" i="92" l="1"/>
  <c r="L26" i="92"/>
  <c r="L25" i="17"/>
  <c r="E81" i="92"/>
  <c r="E25" i="92"/>
  <c r="E24" i="17"/>
  <c r="E24" i="95"/>
  <c r="E24" i="95" a="1"/>
  <c r="Y81" i="92"/>
  <c r="Y25" i="92"/>
  <c r="Y24" i="17"/>
  <c r="D82" i="92"/>
  <c r="D26" i="92"/>
  <c r="D25" i="17"/>
  <c r="D25" i="95"/>
  <c r="D25" i="95" a="1"/>
  <c r="P82" i="92"/>
  <c r="P26" i="92"/>
  <c r="P25" i="17"/>
  <c r="I81" i="92"/>
  <c r="I25" i="92"/>
  <c r="I24" i="17"/>
  <c r="D81" i="92"/>
  <c r="D25" i="92"/>
  <c r="D24" i="17"/>
  <c r="D24" i="95"/>
  <c r="D24" i="95" a="1"/>
  <c r="S81" i="92"/>
  <c r="S25" i="92"/>
  <c r="S24" i="17"/>
  <c r="E82" i="92"/>
  <c r="E26" i="92"/>
  <c r="E25" i="17"/>
  <c r="E25" i="95"/>
  <c r="E25" i="95" a="1"/>
  <c r="S25" i="17"/>
  <c r="S26" i="92"/>
  <c r="S82" i="92"/>
  <c r="Q24" i="17"/>
  <c r="Q25" i="92"/>
  <c r="Q81" i="92"/>
  <c r="O82" i="92"/>
  <c r="O26" i="92"/>
  <c r="O25" i="17"/>
  <c r="AB24" i="17"/>
  <c r="AB25" i="92"/>
  <c r="AB81" i="92"/>
  <c r="AA82" i="92"/>
  <c r="AA26" i="92"/>
  <c r="AA25" i="17"/>
  <c r="X81" i="92"/>
  <c r="X25" i="92"/>
  <c r="X24" i="17"/>
  <c r="Y82" i="92"/>
  <c r="Y26" i="92"/>
  <c r="Y25" i="17"/>
  <c r="AE81" i="92"/>
  <c r="AE25" i="92"/>
  <c r="AE24" i="17"/>
  <c r="V82" i="92"/>
  <c r="V26" i="92"/>
  <c r="V25" i="17"/>
  <c r="AD24" i="17"/>
  <c r="AD25" i="92"/>
  <c r="AD81" i="92"/>
  <c r="AE82" i="92"/>
  <c r="AE26" i="92"/>
  <c r="AE25" i="17"/>
  <c r="AC81" i="92"/>
  <c r="AC25" i="92"/>
  <c r="AC24" i="17"/>
  <c r="F24" i="95"/>
  <c r="R24" i="17"/>
  <c r="R25" i="92"/>
  <c r="R81" i="92"/>
  <c r="W25" i="17"/>
  <c r="W26" i="92"/>
  <c r="W82" i="92"/>
  <c r="AB82" i="92"/>
  <c r="AB26" i="92"/>
  <c r="AB25" i="17"/>
  <c r="G24" i="17"/>
  <c r="G25" i="92"/>
  <c r="G81" i="92"/>
  <c r="AE25" i="95"/>
  <c r="AF25" i="95"/>
  <c r="AF25" i="17"/>
  <c r="AF26" i="92"/>
  <c r="AF82" i="92"/>
  <c r="F25" i="95"/>
  <c r="Z81" i="92"/>
  <c r="Z25" i="92"/>
  <c r="Z24" i="17"/>
  <c r="AC82" i="92"/>
  <c r="AC26" i="92"/>
  <c r="AC25" i="17"/>
  <c r="H82" i="92"/>
  <c r="H26" i="92"/>
  <c r="H25" i="17"/>
  <c r="W81" i="92"/>
  <c r="W25" i="92"/>
  <c r="W24" i="17"/>
  <c r="R82" i="92"/>
  <c r="R26" i="92"/>
  <c r="R25" i="17"/>
  <c r="AD82" i="92"/>
  <c r="AD26" i="92"/>
  <c r="AA25" i="95"/>
  <c r="AB25" i="95"/>
  <c r="AC25" i="95"/>
  <c r="AD25" i="95"/>
  <c r="AD25" i="17"/>
  <c r="T25" i="17"/>
  <c r="T26" i="92"/>
  <c r="T82" i="92"/>
  <c r="I25" i="17"/>
  <c r="I26" i="92"/>
  <c r="I82" i="92"/>
  <c r="Y25" i="95"/>
  <c r="Z25" i="95"/>
  <c r="Z25" i="17"/>
  <c r="Z26" i="92"/>
  <c r="Z82" i="92"/>
  <c r="AA24" i="17"/>
  <c r="AA25" i="92"/>
  <c r="AA81" i="92"/>
  <c r="J24" i="17"/>
  <c r="J25" i="92"/>
  <c r="J81" i="92"/>
  <c r="C24" i="95"/>
  <c r="L24" i="17"/>
  <c r="L25" i="92"/>
  <c r="L81" i="92"/>
  <c r="M82" i="92"/>
  <c r="M26" i="92"/>
  <c r="M25" i="17"/>
  <c r="B24" i="95"/>
  <c r="T81" i="92"/>
  <c r="T25" i="92"/>
  <c r="T24" i="17"/>
  <c r="N81" i="92"/>
  <c r="N25" i="92"/>
  <c r="N24" i="17"/>
  <c r="G82" i="92"/>
  <c r="G26" i="92"/>
  <c r="G25" i="17"/>
  <c r="X82" i="92"/>
  <c r="X26" i="92"/>
  <c r="V25" i="95"/>
  <c r="W25" i="95"/>
  <c r="X25" i="95"/>
  <c r="X25" i="17"/>
  <c r="O24" i="17"/>
  <c r="O25" i="92"/>
  <c r="O81" i="92"/>
  <c r="C24" i="95" a="1"/>
  <c r="C24" i="17"/>
  <c r="C25" i="92"/>
  <c r="C81" i="92"/>
  <c r="H24" i="17"/>
  <c r="H25" i="92"/>
  <c r="H81" i="92"/>
  <c r="F25" i="17"/>
  <c r="F26" i="92"/>
  <c r="F82" i="92"/>
  <c r="V24" i="17"/>
  <c r="V25" i="92"/>
  <c r="V81" i="92"/>
  <c r="P24" i="17"/>
  <c r="P25" i="92"/>
  <c r="P81" i="92"/>
  <c r="R25" i="95"/>
  <c r="S25" i="95"/>
  <c r="T25" i="95"/>
  <c r="U25" i="95"/>
  <c r="U25" i="17"/>
  <c r="U26" i="92"/>
  <c r="U82" i="92"/>
  <c r="M24" i="17"/>
  <c r="M25" i="92"/>
  <c r="M81" i="92"/>
  <c r="N25" i="17"/>
  <c r="N26" i="92"/>
  <c r="N82" i="92"/>
  <c r="B25" i="95"/>
  <c r="C25" i="95"/>
  <c r="AF81" i="92"/>
  <c r="AF25" i="92"/>
  <c r="V24" i="95"/>
  <c r="W24" i="95"/>
  <c r="X24" i="95"/>
  <c r="Y24" i="95"/>
  <c r="Z24" i="95"/>
  <c r="AA24" i="95"/>
  <c r="AB24" i="95"/>
  <c r="AC24" i="95"/>
  <c r="AD24" i="95"/>
  <c r="AE24" i="95"/>
  <c r="AF24" i="95"/>
  <c r="AF24" i="17"/>
  <c r="C25" i="95" a="1"/>
  <c r="C25" i="17"/>
  <c r="C26" i="92"/>
  <c r="C82" i="92"/>
  <c r="K24" i="17"/>
  <c r="K25" i="92"/>
  <c r="K81" i="92"/>
  <c r="B24" i="95" a="1"/>
  <c r="B24" i="17"/>
  <c r="B25" i="92"/>
  <c r="B81" i="92"/>
  <c r="K25" i="17"/>
  <c r="K26" i="92"/>
  <c r="K82" i="92"/>
  <c r="H24" i="95"/>
  <c r="I24" i="95"/>
  <c r="J24" i="95"/>
  <c r="K24" i="95"/>
  <c r="L24" i="95"/>
  <c r="M24" i="95"/>
  <c r="N24" i="95"/>
  <c r="O24" i="95"/>
  <c r="P24" i="95"/>
  <c r="Q24" i="95"/>
  <c r="R24" i="95"/>
  <c r="S24" i="95"/>
  <c r="T24" i="95"/>
  <c r="U24" i="95"/>
  <c r="U24" i="17"/>
  <c r="U25" i="92"/>
  <c r="U81" i="92"/>
  <c r="G24" i="95"/>
  <c r="F24" i="95" a="1"/>
  <c r="F24" i="17"/>
  <c r="F25" i="92"/>
  <c r="F81" i="92"/>
  <c r="K25" i="95"/>
  <c r="L25" i="95"/>
  <c r="M25" i="95"/>
  <c r="N25" i="95"/>
  <c r="O25" i="95"/>
  <c r="P25" i="95"/>
  <c r="Q25" i="95"/>
  <c r="Q25" i="17"/>
  <c r="Q26" i="92"/>
  <c r="Q82" i="92"/>
  <c r="J82" i="92"/>
  <c r="H25" i="95"/>
  <c r="I25" i="95"/>
  <c r="J25" i="95"/>
  <c r="J25" i="17"/>
  <c r="J26" i="92"/>
  <c r="F25" i="95" a="1"/>
  <c r="G25" i="95"/>
  <c r="B25" i="95" a="1"/>
  <c r="B25" i="17"/>
  <c r="B26" i="92"/>
  <c r="B82" i="9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<sst xmlns="http://schemas.openxmlformats.org/spreadsheetml/2006/main" count="2927" uniqueCount="1177">
  <si>
    <t>Sources:</t>
  </si>
  <si>
    <t>BIFUbC BAU Industrial Fuel Use before CCS</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</si>
  <si>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</si>
  <si>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</si>
  <si>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</si>
  <si>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</si>
  <si>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</si>
  <si>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</si>
  <si>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</si>
  <si>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</si>
  <si>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</si>
  <si>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</si>
  <si>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</si>
  <si>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</si>
  <si>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</si>
  <si>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</si>
  <si>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</si>
  <si>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</si>
  <si>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</si>
  <si>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</si>
  <si>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</si>
  <si>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</si>
  <si>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</si>
  <si>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</si>
  <si>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</si>
  <si>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</si>
  <si>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</si>
  <si>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Unit: BTU</t>
  </si>
  <si>
    <t>=</t>
    <phoneticPr fontId="37" type="noConversion"/>
  </si>
  <si>
    <t>BTU</t>
    <phoneticPr fontId="37" type="noConversion"/>
  </si>
  <si>
    <t>비중 (%)</t>
  </si>
  <si>
    <t>증가율 (%)</t>
  </si>
  <si>
    <t>00-18</t>
  </si>
  <si>
    <t>18-40</t>
  </si>
  <si>
    <t>주요 업종별 에너지 수요</t>
  </si>
  <si>
    <t>석탄</t>
  </si>
  <si>
    <t>석유</t>
  </si>
  <si>
    <t>전기</t>
  </si>
  <si>
    <t>-</t>
  </si>
  <si>
    <r>
      <t>주) 연쇄가중법에 의해 추계된 실질 부가가치는 비가법적 특성에 의해 총량(또는 상위부문)과 그 구성항목의 합이 일치하지 않을 수 있음.
     비제조업 부가가치는 농림어업, 광업, 건설업</t>
    </r>
    <r>
      <rPr>
        <sz val="6"/>
        <color theme="1"/>
        <rFont val="맑은 고딕"/>
        <family val="3"/>
        <charset val="129"/>
      </rPr>
      <t xml:space="preserve"> 부가가치의 합계
   기초유분 생산량은 에틸렌, 부타디엔, 프로필렌, 벤젠, 톨루엔, 크실렌의 합계</t>
    </r>
  </si>
  <si>
    <t>MTOE</t>
    <phoneticPr fontId="37" type="noConversion"/>
  </si>
  <si>
    <t>Petroleum</t>
    <phoneticPr fontId="37" type="noConversion"/>
  </si>
  <si>
    <t>Gas</t>
    <phoneticPr fontId="37" type="noConversion"/>
  </si>
  <si>
    <t>Electricity</t>
    <phoneticPr fontId="37" type="noConversion"/>
  </si>
  <si>
    <t>Renewables</t>
    <phoneticPr fontId="37" type="noConversion"/>
  </si>
  <si>
    <t>Coal</t>
    <phoneticPr fontId="37" type="noConversion"/>
  </si>
  <si>
    <t>Non-ferrous Metals</t>
    <phoneticPr fontId="37" type="noConversion"/>
  </si>
  <si>
    <t>Steel</t>
    <phoneticPr fontId="37" type="noConversion"/>
  </si>
  <si>
    <t>Electronics</t>
    <phoneticPr fontId="37" type="noConversion"/>
  </si>
  <si>
    <r>
      <t xml:space="preserve">수송 부문 주요 지표 및 에너지 수요 </t>
    </r>
    <r>
      <rPr>
        <i/>
        <sz val="10"/>
        <color theme="1"/>
        <rFont val="맑은 고딕"/>
        <family val="3"/>
        <charset val="129"/>
      </rPr>
      <t>- 기준 시나리오</t>
    </r>
  </si>
  <si>
    <r>
      <t xml:space="preserve">(단위: 백만 </t>
    </r>
    <r>
      <rPr>
        <sz val="7"/>
        <color theme="1"/>
        <rFont val="Century Gothic"/>
        <family val="2"/>
      </rPr>
      <t>toe</t>
    </r>
    <r>
      <rPr>
        <sz val="7"/>
        <color theme="1"/>
        <rFont val="맑은 고딕"/>
        <family val="3"/>
        <charset val="129"/>
      </rPr>
      <t>)</t>
    </r>
    <phoneticPr fontId="57" type="noConversion"/>
  </si>
  <si>
    <t>주요지표</t>
    <phoneticPr fontId="57" type="noConversion"/>
  </si>
  <si>
    <t>자동차 형태별 (백만대)</t>
  </si>
  <si>
    <t>승용차</t>
    <phoneticPr fontId="57" type="noConversion"/>
  </si>
  <si>
    <t>화물차</t>
    <phoneticPr fontId="57" type="noConversion"/>
  </si>
  <si>
    <t>승합차</t>
    <phoneticPr fontId="57" type="noConversion"/>
  </si>
  <si>
    <t>자동차 연료별 (백만대)</t>
  </si>
  <si>
    <t>휘발유</t>
  </si>
  <si>
    <t>경유</t>
  </si>
  <si>
    <t>전기자동차</t>
  </si>
  <si>
    <t>수소자동차</t>
  </si>
  <si>
    <t>기타</t>
  </si>
  <si>
    <t>에너지 수요</t>
  </si>
  <si>
    <t>신재생∙기타</t>
  </si>
  <si>
    <t>수송 수단별 에너지수요</t>
    <phoneticPr fontId="57" type="noConversion"/>
  </si>
  <si>
    <t>도로</t>
    <phoneticPr fontId="57" type="noConversion"/>
  </si>
  <si>
    <t>철도</t>
    <phoneticPr fontId="57" type="noConversion"/>
  </si>
  <si>
    <t>항공</t>
    <phoneticPr fontId="57" type="noConversion"/>
  </si>
  <si>
    <t>해운</t>
    <phoneticPr fontId="57" type="noConversion"/>
  </si>
  <si>
    <t>주) 비사업용 자동차는 자가용과 관용의 합계
   항공은 자국적 항공기의 국내 및 국제 수송의 합계</t>
  </si>
  <si>
    <r>
      <t xml:space="preserve">가정 부문 주요 지표 및 에너지 수요 </t>
    </r>
    <r>
      <rPr>
        <i/>
        <sz val="10"/>
        <color theme="1"/>
        <rFont val="맑은 고딕"/>
        <family val="3"/>
        <charset val="129"/>
      </rPr>
      <t>- 기준 시나리오</t>
    </r>
  </si>
  <si>
    <t>주요지표</t>
    <phoneticPr fontId="57" type="noConversion"/>
  </si>
  <si>
    <t>인구 (백만명)</t>
  </si>
  <si>
    <t>가구 (백만가구)</t>
  </si>
  <si>
    <t>형태별 주택(백만호)</t>
    <phoneticPr fontId="57" type="noConversion"/>
  </si>
  <si>
    <t>단독</t>
    <phoneticPr fontId="57" type="noConversion"/>
  </si>
  <si>
    <t>아파트</t>
    <phoneticPr fontId="57" type="noConversion"/>
  </si>
  <si>
    <t>공동주택</t>
    <phoneticPr fontId="57" type="noConversion"/>
  </si>
  <si>
    <r>
      <t>평균 주거 면적(m</t>
    </r>
    <r>
      <rPr>
        <sz val="7"/>
        <color theme="1"/>
        <rFont val="HY견고딕"/>
        <family val="1"/>
        <charset val="129"/>
      </rPr>
      <t>²</t>
    </r>
    <r>
      <rPr>
        <sz val="7"/>
        <color theme="1"/>
        <rFont val="맑은 고딕"/>
        <family val="3"/>
        <charset val="129"/>
      </rPr>
      <t>)</t>
    </r>
  </si>
  <si>
    <t>에너지 지표</t>
    <phoneticPr fontId="57" type="noConversion"/>
  </si>
  <si>
    <t>주택당 에너지수요(toe/천원)</t>
  </si>
  <si>
    <t>면적당 에너지수요(toe/100m²)</t>
    <phoneticPr fontId="57" type="noConversion"/>
  </si>
  <si>
    <t>가구당 에너지수요(toe/가구)</t>
  </si>
  <si>
    <t>인구당 전기수요(MWh/명)</t>
  </si>
  <si>
    <t>도시가스</t>
  </si>
  <si>
    <t>지역난방</t>
    <phoneticPr fontId="57" type="noConversion"/>
  </si>
  <si>
    <t>용도별 에너지 수요</t>
    <phoneticPr fontId="57" type="noConversion"/>
  </si>
  <si>
    <t>난방/온수</t>
    <phoneticPr fontId="57" type="noConversion"/>
  </si>
  <si>
    <t>취사</t>
    <phoneticPr fontId="57" type="noConversion"/>
  </si>
  <si>
    <t>냉방</t>
    <phoneticPr fontId="57" type="noConversion"/>
  </si>
  <si>
    <t>조명</t>
    <phoneticPr fontId="57" type="noConversion"/>
  </si>
  <si>
    <t>기타 가전기기</t>
    <phoneticPr fontId="57" type="noConversion"/>
  </si>
  <si>
    <t>주) 단독주택은 건물에 대한 소유권은 하나인 주택으로 다중주택이나 다가구주택은 여러 세대가 함께 거주하는 주택이지만 세대별로 소유권이 구분되지 않기 때문에 단독주택으로 
   분류. 공동주택은 집합 건물로써 세대별로 소유권 이전 등기가 가능한 주택.
   소득은 가구당 소득을 의미
   용도별 에너지수요는 기본 설비와 보조 기기의 에너지수요</t>
  </si>
  <si>
    <r>
      <t xml:space="preserve">서비스 부문 주요 지표 및 에너지 수요 - </t>
    </r>
    <r>
      <rPr>
        <i/>
        <sz val="10"/>
        <color theme="1"/>
        <rFont val="맑은 고딕"/>
        <family val="3"/>
        <charset val="129"/>
      </rPr>
      <t>기준 시나리오</t>
    </r>
  </si>
  <si>
    <t>주요 업종별 산출액 (조원)</t>
  </si>
  <si>
    <t>도소매</t>
  </si>
  <si>
    <t>숙박음식</t>
  </si>
  <si>
    <t>운수보관</t>
  </si>
  <si>
    <t>정보통신</t>
  </si>
  <si>
    <t>공공행정및국방</t>
  </si>
  <si>
    <t>교육서비스</t>
  </si>
  <si>
    <t>의료복지</t>
  </si>
  <si>
    <t>예술,스포츠,레저</t>
  </si>
  <si>
    <t>기타서비스</t>
  </si>
  <si>
    <t>석유</t>
    <phoneticPr fontId="57" type="noConversion"/>
  </si>
  <si>
    <t>도시가스</t>
    <phoneticPr fontId="57" type="noConversion"/>
  </si>
  <si>
    <t>부문별 에너지 수요</t>
    <phoneticPr fontId="57" type="noConversion"/>
  </si>
  <si>
    <t>상업 서비스</t>
  </si>
  <si>
    <t>공공 서비스</t>
  </si>
  <si>
    <t>Gasoline</t>
    <phoneticPr fontId="57" type="noConversion"/>
  </si>
  <si>
    <t>Diesel</t>
    <phoneticPr fontId="57" type="noConversion"/>
  </si>
  <si>
    <t>Heavy oil</t>
    <phoneticPr fontId="57" type="noConversion"/>
  </si>
  <si>
    <t>Jet fuel</t>
    <phoneticPr fontId="57" type="noConversion"/>
  </si>
  <si>
    <t>Butane</t>
    <phoneticPr fontId="57" type="noConversion"/>
  </si>
  <si>
    <t>Other petroluem products</t>
    <phoneticPr fontId="57" type="noConversion"/>
  </si>
  <si>
    <t>City gas</t>
    <phoneticPr fontId="57" type="noConversion"/>
  </si>
  <si>
    <t>Renewables and others</t>
    <phoneticPr fontId="37" type="noConversion"/>
  </si>
  <si>
    <t>unit: M TOE</t>
    <phoneticPr fontId="37" type="noConversion"/>
  </si>
  <si>
    <r>
      <t xml:space="preserve">최종 소비 부문별∙원별 수요 </t>
    </r>
    <r>
      <rPr>
        <i/>
        <sz val="10"/>
        <color theme="1"/>
        <rFont val="맑은 고딕"/>
        <family val="3"/>
        <charset val="129"/>
      </rPr>
      <t>- 기준 시나리오</t>
    </r>
  </si>
  <si>
    <t>산업</t>
  </si>
  <si>
    <t>열에너지</t>
  </si>
  <si>
    <t>수송</t>
  </si>
  <si>
    <t>가정</t>
  </si>
  <si>
    <t>서비스 (상업, 공공, 기타)</t>
  </si>
  <si>
    <t>chemicals 20</t>
    <phoneticPr fontId="37" type="noConversion"/>
  </si>
  <si>
    <t>비철금속</t>
  </si>
  <si>
    <t>비철금속</t>
    <phoneticPr fontId="37" type="noConversion"/>
  </si>
  <si>
    <t>조립금속</t>
    <phoneticPr fontId="37" type="noConversion"/>
  </si>
  <si>
    <t>기타제조</t>
  </si>
  <si>
    <t>가스제조</t>
  </si>
  <si>
    <t>건설업</t>
  </si>
  <si>
    <t>원료탄</t>
  </si>
  <si>
    <t>Imports</t>
  </si>
  <si>
    <t>Exports</t>
  </si>
  <si>
    <t>ENERGY BALANCE</t>
  </si>
  <si>
    <t>국내무연탄</t>
  </si>
  <si>
    <t>수입무연탄</t>
  </si>
  <si>
    <t>기타유연탄</t>
  </si>
  <si>
    <t>아역청탄</t>
  </si>
  <si>
    <t>갈탄</t>
  </si>
  <si>
    <t>토탄</t>
  </si>
  <si>
    <t>고형연료</t>
  </si>
  <si>
    <t>코크스</t>
  </si>
  <si>
    <t>콜타르</t>
  </si>
  <si>
    <t>코크스로가스</t>
  </si>
  <si>
    <t>고로가스</t>
  </si>
  <si>
    <t>기타석탄가스</t>
  </si>
  <si>
    <t>천연가스</t>
  </si>
  <si>
    <t>원유</t>
  </si>
  <si>
    <t>정제원료</t>
  </si>
  <si>
    <t>첨가물</t>
  </si>
  <si>
    <t>기타탄화수소</t>
  </si>
  <si>
    <t>정제가스</t>
  </si>
  <si>
    <t>프로판</t>
  </si>
  <si>
    <t>부탄</t>
  </si>
  <si>
    <t>항공휘발유</t>
  </si>
  <si>
    <t>휘발유형항공유</t>
  </si>
  <si>
    <t>등유형항공유</t>
  </si>
  <si>
    <t>등유</t>
  </si>
  <si>
    <t>B-A</t>
  </si>
  <si>
    <t>B-B</t>
  </si>
  <si>
    <t>B-C</t>
  </si>
  <si>
    <t>납사</t>
  </si>
  <si>
    <t>용제</t>
  </si>
  <si>
    <t>윤활유</t>
  </si>
  <si>
    <t>아스팔트</t>
  </si>
  <si>
    <t>파라핀왁스</t>
  </si>
  <si>
    <t>석유코크</t>
  </si>
  <si>
    <t>기타석유제품</t>
  </si>
  <si>
    <t>산업폐기물</t>
  </si>
  <si>
    <t>도시폐기물_재생</t>
  </si>
  <si>
    <t>도시폐기물_비재생</t>
  </si>
  <si>
    <t>고형바이오매스</t>
  </si>
  <si>
    <t>바이오가스</t>
  </si>
  <si>
    <t>매립지가스</t>
  </si>
  <si>
    <t>바이오휘발유</t>
  </si>
  <si>
    <t>바이오경유</t>
  </si>
  <si>
    <t>기타바이오연료</t>
  </si>
  <si>
    <t>목탄</t>
  </si>
  <si>
    <t>원자력</t>
  </si>
  <si>
    <t>수력</t>
  </si>
  <si>
    <t>지열</t>
  </si>
  <si>
    <t>태양광</t>
  </si>
  <si>
    <t>태양열</t>
  </si>
  <si>
    <t>해양</t>
  </si>
  <si>
    <t>풍력</t>
  </si>
  <si>
    <t>기타에너지원</t>
  </si>
  <si>
    <t>열</t>
  </si>
  <si>
    <t>총에너지</t>
  </si>
  <si>
    <t>메모: 신재생</t>
  </si>
  <si>
    <t>Domestic-anthracite</t>
  </si>
  <si>
    <t>Imported-anthracite</t>
  </si>
  <si>
    <t>Coking coal</t>
  </si>
  <si>
    <t>Other bituminous</t>
  </si>
  <si>
    <t>Sub-bituminous</t>
  </si>
  <si>
    <t>Lignite/Brown coal</t>
  </si>
  <si>
    <t>Peat</t>
  </si>
  <si>
    <t>Patent Fuel</t>
  </si>
  <si>
    <t>Coke Oven Coke</t>
  </si>
  <si>
    <t>Coal Tar</t>
  </si>
  <si>
    <t>Coke Oven Gas</t>
  </si>
  <si>
    <t>Blast Furnace Gas</t>
  </si>
  <si>
    <t>Other Recovered Gas</t>
  </si>
  <si>
    <t>Natural Gas</t>
  </si>
  <si>
    <t>City Gas</t>
  </si>
  <si>
    <t>Crude oil</t>
  </si>
  <si>
    <t>Refinery feedstocks</t>
  </si>
  <si>
    <t>Additives/blending components</t>
  </si>
  <si>
    <t>Other hydrocarbons</t>
  </si>
  <si>
    <t>Refinery gas</t>
  </si>
  <si>
    <t>Propane</t>
  </si>
  <si>
    <t>Butane</t>
  </si>
  <si>
    <t>Motor gasoline</t>
  </si>
  <si>
    <t>Aviation gasoline</t>
  </si>
  <si>
    <t>Gasoline type jet fuel</t>
  </si>
  <si>
    <t>Kerosene type jet fuel</t>
  </si>
  <si>
    <t>Kerosene</t>
  </si>
  <si>
    <t>Gas/diesel oil excl.biofuels</t>
  </si>
  <si>
    <t>Naphtha</t>
  </si>
  <si>
    <t>White spirit &amp; SBP</t>
  </si>
  <si>
    <t>Lubricants</t>
  </si>
  <si>
    <t>Bitumen</t>
  </si>
  <si>
    <t>Paraffin waxes</t>
  </si>
  <si>
    <t>Petroleum coke</t>
  </si>
  <si>
    <t>Other oil products</t>
  </si>
  <si>
    <t>Industrial waste</t>
  </si>
  <si>
    <t>Municipal waste (renewable)</t>
  </si>
  <si>
    <t>Municipal waste (non-renewable)</t>
  </si>
  <si>
    <t>Primary solid biomass</t>
  </si>
  <si>
    <t>Biogases</t>
  </si>
  <si>
    <t>LFG</t>
  </si>
  <si>
    <t>Biogasoline</t>
  </si>
  <si>
    <t>Biodiesels</t>
  </si>
  <si>
    <t>Other ligquid biofuels</t>
  </si>
  <si>
    <t>Charcoal</t>
  </si>
  <si>
    <t>Nuclear</t>
  </si>
  <si>
    <t>Hydro</t>
  </si>
  <si>
    <t>Geothermal</t>
  </si>
  <si>
    <t>Solar photovoltaics</t>
  </si>
  <si>
    <t>Solar thermal</t>
  </si>
  <si>
    <t>Tide, wave and ocean</t>
  </si>
  <si>
    <t>Wind</t>
  </si>
  <si>
    <t>Other sources</t>
  </si>
  <si>
    <t>Electricity</t>
  </si>
  <si>
    <t>Heat</t>
  </si>
  <si>
    <t>Total of all energy sources</t>
  </si>
  <si>
    <t>Memo: Renewables</t>
  </si>
  <si>
    <t>국내생산</t>
  </si>
  <si>
    <t>Production</t>
  </si>
  <si>
    <t>수입</t>
  </si>
  <si>
    <t>수출</t>
  </si>
  <si>
    <t>국제해운벙커링</t>
  </si>
  <si>
    <t>International Marine Bunkers</t>
  </si>
  <si>
    <t>국제항공벙커링</t>
  </si>
  <si>
    <t>International Aviation Bunkers</t>
  </si>
  <si>
    <t>재고변화</t>
  </si>
  <si>
    <t>Stocks Changes</t>
  </si>
  <si>
    <t>일차에너지공급</t>
  </si>
  <si>
    <t>Total Primary Energy Supply</t>
  </si>
  <si>
    <t>제품이동</t>
  </si>
  <si>
    <t>Transfers</t>
  </si>
  <si>
    <t>통계오차</t>
  </si>
  <si>
    <t>Statistical Differences</t>
  </si>
  <si>
    <t>일차에너지소비</t>
  </si>
  <si>
    <t>Total Primary Energy Consumption</t>
  </si>
  <si>
    <t>전환공정</t>
  </si>
  <si>
    <t>Transformation Processes</t>
  </si>
  <si>
    <t>발전전용</t>
  </si>
  <si>
    <t>Electricity Plants (transf.)</t>
  </si>
  <si>
    <t>발전전용_사업</t>
  </si>
  <si>
    <t>Main activity producer electricity plants (transf.)</t>
  </si>
  <si>
    <t>발전전용_자가</t>
  </si>
  <si>
    <t>Autoproducer electricity plants (transf.)</t>
  </si>
  <si>
    <t>열병합</t>
  </si>
  <si>
    <t>CHP Plants (transf.)</t>
  </si>
  <si>
    <t>열병합_사업</t>
  </si>
  <si>
    <t>Main activity producer CHP plants (transf.)</t>
  </si>
  <si>
    <t>열병합_자가</t>
  </si>
  <si>
    <t>Autoproducer CHP plants (transf.)</t>
  </si>
  <si>
    <t>열전용</t>
  </si>
  <si>
    <t>Heat Plants (transf.)</t>
  </si>
  <si>
    <t>열전용_사업</t>
  </si>
  <si>
    <t>Main activity producer heat plants (transf.)</t>
  </si>
  <si>
    <t>열전용_자가</t>
  </si>
  <si>
    <t>Autoproducer heat plants (transf.)</t>
  </si>
  <si>
    <t>화학반응열</t>
  </si>
  <si>
    <t>Chemical Heat for Electricity Production (transf.)</t>
  </si>
  <si>
    <t>코크스로</t>
  </si>
  <si>
    <t>Coke Ovens (transf.)</t>
  </si>
  <si>
    <t>고로</t>
  </si>
  <si>
    <t>Blast Furnace (transf.)</t>
  </si>
  <si>
    <t>연탄제조</t>
  </si>
  <si>
    <t>Patent Fuel Plants (transf.)</t>
  </si>
  <si>
    <t>석유정제</t>
  </si>
  <si>
    <t>석유화학</t>
  </si>
  <si>
    <t>Petrochemical Plants (transf.)</t>
  </si>
  <si>
    <t>Gas Manufacturing (transf.)</t>
  </si>
  <si>
    <t>석탄합성가스제조</t>
  </si>
  <si>
    <t>Coal-to-Gas plants (transf.)</t>
  </si>
  <si>
    <t>기타전환</t>
  </si>
  <si>
    <t>Non-specified Transformation (transf.)</t>
  </si>
  <si>
    <t>에너지산업자체소비</t>
  </si>
  <si>
    <t>Energy Industry Own Use</t>
  </si>
  <si>
    <t>석탄광업</t>
  </si>
  <si>
    <t>Coal Mining (energy)</t>
  </si>
  <si>
    <t>Oil &amp; Gas Extraction (energy)</t>
  </si>
  <si>
    <t>발전및열생산_자체소비</t>
  </si>
  <si>
    <t>Electricity, CHP and heat plants (energy)</t>
  </si>
  <si>
    <t>양수투입</t>
  </si>
  <si>
    <t>Used for Pumped Storage (energy)</t>
  </si>
  <si>
    <t>코크스로_자체소비</t>
  </si>
  <si>
    <t>Coke Ovens (energy)</t>
  </si>
  <si>
    <t>고로_자체소비</t>
  </si>
  <si>
    <t>Blast Furnace (energy)</t>
  </si>
  <si>
    <t>연탄제조_자체소비</t>
  </si>
  <si>
    <t>Patent Fuel Plants (energy)</t>
  </si>
  <si>
    <t>석유정제_자체소비</t>
  </si>
  <si>
    <t>Oil Refinery (energy)</t>
  </si>
  <si>
    <t>가스제조_자체소비</t>
  </si>
  <si>
    <t>Gas Manufacturing (energy)</t>
  </si>
  <si>
    <t>석탄합성가스제조_자체소비</t>
  </si>
  <si>
    <t>Coal-to-Gas plants (energy)</t>
  </si>
  <si>
    <t>기타전환_자체소비</t>
  </si>
  <si>
    <t>Non-specified Energy Industry (energy)</t>
  </si>
  <si>
    <t>손실</t>
  </si>
  <si>
    <t>Losses</t>
  </si>
  <si>
    <t>최종소비</t>
  </si>
  <si>
    <t>Total Final Consumption</t>
  </si>
  <si>
    <t>최종에너지소비</t>
  </si>
  <si>
    <t>Final Energy Consumption</t>
  </si>
  <si>
    <t>Industry</t>
  </si>
  <si>
    <t>농림업</t>
  </si>
  <si>
    <t>Agriculture/Forestry</t>
  </si>
  <si>
    <t>어업</t>
  </si>
  <si>
    <t>Fishing</t>
  </si>
  <si>
    <t>광업(석탄광업제외)</t>
  </si>
  <si>
    <t>Mining and Quarrying</t>
  </si>
  <si>
    <t>제조업</t>
  </si>
  <si>
    <t>Manufacturing</t>
  </si>
  <si>
    <t>식품및담배</t>
  </si>
  <si>
    <t>Food and Tobacco</t>
  </si>
  <si>
    <t>섬유및가죽</t>
  </si>
  <si>
    <t>Textile and Leather</t>
  </si>
  <si>
    <t>목재및나무제품</t>
  </si>
  <si>
    <t>Wood and Wood Products</t>
  </si>
  <si>
    <t>제지및인쇄</t>
  </si>
  <si>
    <t>Paper, Pulp and Print</t>
  </si>
  <si>
    <t>화학및석유화학</t>
  </si>
  <si>
    <t>Chemical and Petrochemical</t>
  </si>
  <si>
    <t>비금속광물</t>
  </si>
  <si>
    <t>Non-metallic Minerals</t>
  </si>
  <si>
    <t>철강</t>
  </si>
  <si>
    <t>Iron and Steel</t>
  </si>
  <si>
    <t>Non-ferrous Metals</t>
  </si>
  <si>
    <t>기계류</t>
  </si>
  <si>
    <t>Machinery</t>
  </si>
  <si>
    <t>수송장비</t>
  </si>
  <si>
    <t>Transport Equipment</t>
  </si>
  <si>
    <t>Other Manufacturing</t>
  </si>
  <si>
    <t>Construction</t>
  </si>
  <si>
    <t>Transport</t>
  </si>
  <si>
    <t>철도</t>
  </si>
  <si>
    <t>Rail</t>
  </si>
  <si>
    <t>도로</t>
  </si>
  <si>
    <t>Road</t>
  </si>
  <si>
    <t>국내해운</t>
  </si>
  <si>
    <t>Domestic Navigation</t>
  </si>
  <si>
    <t>국내항공</t>
  </si>
  <si>
    <t>Domestic Aviation</t>
  </si>
  <si>
    <t>Residential</t>
  </si>
  <si>
    <t>상업</t>
  </si>
  <si>
    <t>Commercial</t>
  </si>
  <si>
    <t>공공</t>
  </si>
  <si>
    <t>Public Services</t>
  </si>
  <si>
    <t>최종비에너지소비</t>
  </si>
  <si>
    <t>Final Non-Energy Consumption</t>
  </si>
  <si>
    <t>비에너지_산업및에너지</t>
  </si>
  <si>
    <t>Non-Energy Use in Industry &amp; Energy</t>
  </si>
  <si>
    <t>비에너지_수송</t>
  </si>
  <si>
    <t>Non-Energy Use in Transport</t>
  </si>
  <si>
    <t>비에너지_가정</t>
  </si>
  <si>
    <t>Non-Energy Use in Residential</t>
  </si>
  <si>
    <t>비에너지_상업</t>
  </si>
  <si>
    <t>Non-Energy Use in Commercial</t>
  </si>
  <si>
    <t>비에너지_공공</t>
  </si>
  <si>
    <t>Non-Energy Use in Public Service</t>
  </si>
  <si>
    <t>메모: 석유화학원료</t>
  </si>
  <si>
    <t>of which in Petrochemical Feedstock</t>
  </si>
  <si>
    <t>전기생산 (GWh)</t>
  </si>
  <si>
    <t>Electricity Output</t>
  </si>
  <si>
    <t>발전전용발전_사업</t>
  </si>
  <si>
    <t>Main activity producer electricity plants</t>
  </si>
  <si>
    <t>발전전용발전_자가</t>
  </si>
  <si>
    <t>Autoproducer electricity plants</t>
  </si>
  <si>
    <t>열병합발전_사업</t>
  </si>
  <si>
    <t>Main activity producer CHP plants</t>
  </si>
  <si>
    <t>열병합발전_자가</t>
  </si>
  <si>
    <t>Autoproducer CHP plants</t>
  </si>
  <si>
    <t>기타발전</t>
  </si>
  <si>
    <t>Other electricity output</t>
  </si>
  <si>
    <t>열생산 (TJ)</t>
  </si>
  <si>
    <t>Heat Output</t>
  </si>
  <si>
    <t>열병합열생산_사업</t>
  </si>
  <si>
    <t>열병합열생산_자가</t>
  </si>
  <si>
    <t>열전용열생산_사업</t>
  </si>
  <si>
    <t>Main activity producer heat plants</t>
  </si>
  <si>
    <t>열전용열생산_자가</t>
  </si>
  <si>
    <t>Autoproducer heat plants</t>
  </si>
  <si>
    <t>기타열생산</t>
  </si>
  <si>
    <t>Other heat output</t>
  </si>
  <si>
    <t>(UNIT : 1,000 toe, Gross)</t>
  </si>
  <si>
    <t>Oil Refineries (transf.)</t>
  </si>
  <si>
    <t>http://www.kesis.net/FileDownloadAction.do?file=/admin/admin_RegList.jsp/20210706/976071625505008233_01.xlsx&amp;oldFile=BAL_EXTEND_(1990~2019).xlsx</t>
    <phoneticPr fontId="37" type="noConversion"/>
  </si>
  <si>
    <t>BAU Industrial Fuel Use</t>
    <phoneticPr fontId="37" type="noConversion"/>
  </si>
  <si>
    <t>EPS Industry Category</t>
  </si>
  <si>
    <t>electricity</t>
  </si>
  <si>
    <t>coal</t>
  </si>
  <si>
    <t>natural gas</t>
  </si>
  <si>
    <t>biomass</t>
  </si>
  <si>
    <t>petroleum-diesel</t>
  </si>
  <si>
    <t>heat</t>
  </si>
  <si>
    <t>crude oil</t>
  </si>
  <si>
    <t>heavy or residual oil</t>
  </si>
  <si>
    <t>LPG propane or butane</t>
  </si>
  <si>
    <t>hydrogen</t>
  </si>
  <si>
    <t>COAL</t>
    <phoneticPr fontId="37" type="noConversion"/>
  </si>
  <si>
    <t>NATURAL GAS</t>
    <phoneticPr fontId="37" type="noConversion"/>
  </si>
  <si>
    <t>BIOMASS</t>
    <phoneticPr fontId="37" type="noConversion"/>
  </si>
  <si>
    <t>Industry Others Total</t>
    <phoneticPr fontId="37" type="noConversion"/>
  </si>
  <si>
    <t>Feedstock</t>
    <phoneticPr fontId="37" type="noConversion"/>
  </si>
  <si>
    <t>Crude Oil</t>
    <phoneticPr fontId="37" type="noConversion"/>
  </si>
  <si>
    <t>N/A</t>
  </si>
  <si>
    <t>N/A</t>
    <phoneticPr fontId="37" type="noConversion"/>
  </si>
  <si>
    <t>Petroleum-diesel</t>
    <phoneticPr fontId="37" type="noConversion"/>
  </si>
  <si>
    <t>Heat</t>
    <phoneticPr fontId="37" type="noConversion"/>
  </si>
  <si>
    <t>Heavy or Residual Oil</t>
    <phoneticPr fontId="37" type="noConversion"/>
  </si>
  <si>
    <t>LPG Propane or butane</t>
    <phoneticPr fontId="37" type="noConversion"/>
  </si>
  <si>
    <t>Others</t>
    <phoneticPr fontId="37" type="noConversion"/>
  </si>
  <si>
    <t>unit: BTU</t>
    <phoneticPr fontId="37" type="noConversion"/>
  </si>
  <si>
    <t>Renewables - on-site generation</t>
    <phoneticPr fontId="37" type="noConversion"/>
  </si>
  <si>
    <t>추정값 구하기 위한 참고셀</t>
    <phoneticPr fontId="37" type="noConversion"/>
  </si>
  <si>
    <t>석유화학</t>
    <phoneticPr fontId="37" type="noConversion"/>
  </si>
  <si>
    <t>철강</t>
    <phoneticPr fontId="37" type="noConversion"/>
  </si>
  <si>
    <t>기타</t>
    <phoneticPr fontId="37" type="noConversion"/>
  </si>
  <si>
    <t>petroleum-diesel</t>
    <phoneticPr fontId="37" type="noConversion"/>
  </si>
  <si>
    <t>unit: 1,000 TOE</t>
    <phoneticPr fontId="37" type="noConversion"/>
  </si>
  <si>
    <t>unit: %</t>
    <phoneticPr fontId="37" type="noConversion"/>
  </si>
  <si>
    <t>CAGR(2020-2050)</t>
    <phoneticPr fontId="37" type="noConversion"/>
  </si>
  <si>
    <t>DT_337_2019_H1017</t>
  </si>
  <si>
    <t>○ 출처</t>
  </si>
  <si>
    <t>한국에너지공단,「에너지사용및온실가스배출실태조사」</t>
  </si>
  <si>
    <t>○ 자료다운일자</t>
  </si>
  <si>
    <t>2021.09.06 19:25</t>
  </si>
  <si>
    <t>○ 통계표URL</t>
  </si>
  <si>
    <t>https://kosis.kr/statHtml/statHtml.do?orgId=337&amp;tblId=DT_337_2019_H1017&amp;conn_path=I3</t>
  </si>
  <si>
    <t/>
  </si>
  <si>
    <t>○ 단위</t>
  </si>
  <si>
    <t>천toe</t>
  </si>
  <si>
    <t>에너지원별(1)</t>
  </si>
  <si>
    <t>에너지원별(2)</t>
  </si>
  <si>
    <t>2019</t>
  </si>
  <si>
    <t>유리및유리제품제조업</t>
  </si>
  <si>
    <t>내화,비내화요업제품제조업</t>
  </si>
  <si>
    <t>시멘트,석회,플라스터및그제품제조업</t>
  </si>
  <si>
    <t>시멘트제조업</t>
  </si>
  <si>
    <t>기타비금속광물제품제조업</t>
  </si>
  <si>
    <t>합계</t>
  </si>
  <si>
    <t>소계</t>
  </si>
  <si>
    <t>석탄류</t>
  </si>
  <si>
    <t>연탄</t>
  </si>
  <si>
    <t>유연탄-연료</t>
  </si>
  <si>
    <t>유연탄-원료</t>
  </si>
  <si>
    <t>석탄코크스</t>
  </si>
  <si>
    <t>기타석탄</t>
  </si>
  <si>
    <t>석유류</t>
  </si>
  <si>
    <t>실내등유</t>
  </si>
  <si>
    <t>경질중유</t>
  </si>
  <si>
    <t>중유</t>
  </si>
  <si>
    <t>중질중유</t>
  </si>
  <si>
    <t>기타석유</t>
  </si>
  <si>
    <t>기타연료</t>
  </si>
  <si>
    <t>전력</t>
  </si>
  <si>
    <t>기초화학물질제조업</t>
  </si>
  <si>
    <t>합성고무및플라스틱물질제조업</t>
  </si>
  <si>
    <t>비료,농약및살균,살충제제조업</t>
  </si>
  <si>
    <t>기타화학제품제조업</t>
  </si>
  <si>
    <t>화학섬유제조업</t>
  </si>
  <si>
    <t>기초의약물질및생물학적제제제조업</t>
  </si>
  <si>
    <t>의약품제조업</t>
  </si>
  <si>
    <t>의료용품및기타의약관련제품제조업</t>
  </si>
  <si>
    <t>고무제품제조업</t>
  </si>
  <si>
    <t>플라스틱제품제조업</t>
  </si>
  <si>
    <t>2021.09.07 08:55</t>
  </si>
  <si>
    <t>Petrochemicals Total</t>
    <phoneticPr fontId="37" type="noConversion"/>
  </si>
  <si>
    <t>Non-ferrous Metals Total</t>
    <phoneticPr fontId="37" type="noConversion"/>
  </si>
  <si>
    <t>2021.09.07 10:02</t>
  </si>
  <si>
    <t>1차비철금속제조업</t>
  </si>
  <si>
    <t>금속주조업</t>
  </si>
  <si>
    <t>구조용금속제품,탱크및증기발생기제조업</t>
  </si>
  <si>
    <t>무기및총포탄제조업</t>
  </si>
  <si>
    <t>기타금속가공제품제조업</t>
  </si>
  <si>
    <t>반도체제조업</t>
  </si>
  <si>
    <t>전자부품제조업</t>
  </si>
  <si>
    <t>컴퓨터및주변장치제조업</t>
  </si>
  <si>
    <t>통신및방송장비제조업</t>
  </si>
  <si>
    <t>영상및음향기기제조업</t>
  </si>
  <si>
    <t>마그네틱및광학매체제조업</t>
  </si>
  <si>
    <t>의료용기기제조업</t>
  </si>
  <si>
    <t>측정,시험,항해,제어및기타정밀기기제조업;&lt;br&gt;광학기기제외</t>
  </si>
  <si>
    <t>사진장비및광학기기제조업</t>
  </si>
  <si>
    <t>시계및시계부품제조업</t>
  </si>
  <si>
    <t>전동기,발전기및전기변환공급제어장치제조업</t>
  </si>
  <si>
    <t>일차전지및축전지제조업</t>
  </si>
  <si>
    <t>절연선및케이블제조업</t>
  </si>
  <si>
    <t>전구및조명장치제조업</t>
  </si>
  <si>
    <t>가정용기기제조업</t>
  </si>
  <si>
    <t>기타전기장비제조업</t>
  </si>
  <si>
    <t>일반목적용기계제조업</t>
  </si>
  <si>
    <t>특수목적용기계제조업</t>
  </si>
  <si>
    <t>자동차용엔진및자동차제조업</t>
  </si>
  <si>
    <t>자동차차체및트레일러제조업</t>
  </si>
  <si>
    <t>자동차신품부품제조업</t>
  </si>
  <si>
    <t>자동차재제조부품제조업</t>
  </si>
  <si>
    <t>선박및보트건조업</t>
  </si>
  <si>
    <t>철도장비제조업</t>
  </si>
  <si>
    <t>항공기,우주선및부품제조업</t>
  </si>
  <si>
    <t>그외기타운송장비제조업</t>
  </si>
  <si>
    <t>2021.09.07 16:39</t>
  </si>
  <si>
    <r>
      <t xml:space="preserve">가스 공급 및 수요 </t>
    </r>
    <r>
      <rPr>
        <i/>
        <sz val="10"/>
        <color theme="1"/>
        <rFont val="맑은 고딕"/>
        <family val="3"/>
        <charset val="129"/>
      </rPr>
      <t>- 기준 시나리오</t>
    </r>
  </si>
  <si>
    <t>총공급</t>
  </si>
  <si>
    <t>전환 부문*</t>
  </si>
  <si>
    <t>최종소비 부문</t>
  </si>
  <si>
    <t>제품별 소비</t>
  </si>
  <si>
    <t>용도별 소비</t>
  </si>
  <si>
    <t>발전용</t>
    <phoneticPr fontId="57" type="noConversion"/>
  </si>
  <si>
    <t>지역난방</t>
    <phoneticPr fontId="57" type="noConversion"/>
  </si>
  <si>
    <t>수송</t>
    <phoneticPr fontId="57" type="noConversion"/>
  </si>
  <si>
    <t>가정</t>
    <phoneticPr fontId="57" type="noConversion"/>
  </si>
  <si>
    <t>서비스</t>
  </si>
  <si>
    <t>YoY Growth Rate(%)</t>
    <phoneticPr fontId="37" type="noConversion"/>
  </si>
  <si>
    <r>
      <t xml:space="preserve">석탄 공급 및 수요 </t>
    </r>
    <r>
      <rPr>
        <i/>
        <sz val="10"/>
        <color theme="1"/>
        <rFont val="맑은 고딕"/>
        <family val="3"/>
        <charset val="129"/>
      </rPr>
      <t>- 기준 시나리오</t>
    </r>
  </si>
  <si>
    <t>총공급</t>
    <phoneticPr fontId="57" type="noConversion"/>
  </si>
  <si>
    <t>전환부문</t>
    <phoneticPr fontId="57" type="noConversion"/>
  </si>
  <si>
    <t>최종소비부문</t>
    <phoneticPr fontId="57" type="noConversion"/>
  </si>
  <si>
    <t>제품별 석탄 수요</t>
    <phoneticPr fontId="57" type="noConversion"/>
  </si>
  <si>
    <t>국내탄</t>
    <phoneticPr fontId="57" type="noConversion"/>
  </si>
  <si>
    <t>수입무연탄</t>
    <phoneticPr fontId="57" type="noConversion"/>
  </si>
  <si>
    <t>연료용 유연탄</t>
    <phoneticPr fontId="57" type="noConversion"/>
  </si>
  <si>
    <t>원료용 유연탄</t>
    <phoneticPr fontId="57" type="noConversion"/>
  </si>
  <si>
    <t>용도별 석탄 수요</t>
    <phoneticPr fontId="57" type="noConversion"/>
  </si>
  <si>
    <t>코크스 제조 및 고로용</t>
    <phoneticPr fontId="57" type="noConversion"/>
  </si>
  <si>
    <t>킬른가열용</t>
    <phoneticPr fontId="57" type="noConversion"/>
  </si>
  <si>
    <t>기타 산업용</t>
    <phoneticPr fontId="57" type="noConversion"/>
  </si>
  <si>
    <t>연탄용</t>
    <phoneticPr fontId="57" type="noConversion"/>
  </si>
  <si>
    <r>
      <t xml:space="preserve">석유 공급 및 수요 </t>
    </r>
    <r>
      <rPr>
        <i/>
        <sz val="10"/>
        <color theme="1"/>
        <rFont val="맑은 고딕"/>
        <family val="3"/>
        <charset val="129"/>
      </rPr>
      <t>- 기준 시나리오</t>
    </r>
  </si>
  <si>
    <t>원유 수요*</t>
  </si>
  <si>
    <t>국제 벙커링</t>
    <phoneticPr fontId="57" type="noConversion"/>
  </si>
  <si>
    <t>전환</t>
    <phoneticPr fontId="57" type="noConversion"/>
  </si>
  <si>
    <t>최종소비</t>
    <phoneticPr fontId="57" type="noConversion"/>
  </si>
  <si>
    <t>제품별 석유 수요</t>
    <phoneticPr fontId="57" type="noConversion"/>
  </si>
  <si>
    <t>휘발유</t>
    <phoneticPr fontId="57" type="noConversion"/>
  </si>
  <si>
    <t>등유</t>
    <phoneticPr fontId="57" type="noConversion"/>
  </si>
  <si>
    <t>경유</t>
    <phoneticPr fontId="57" type="noConversion"/>
  </si>
  <si>
    <t>중유</t>
    <phoneticPr fontId="57" type="noConversion"/>
  </si>
  <si>
    <t>제트유</t>
    <phoneticPr fontId="57" type="noConversion"/>
  </si>
  <si>
    <t>프로판</t>
    <phoneticPr fontId="57" type="noConversion"/>
  </si>
  <si>
    <t>부탄</t>
    <phoneticPr fontId="57" type="noConversion"/>
  </si>
  <si>
    <t>납사</t>
    <phoneticPr fontId="57" type="noConversion"/>
  </si>
  <si>
    <t>기타 비에너지유</t>
    <phoneticPr fontId="57" type="noConversion"/>
  </si>
  <si>
    <t>용도별 석유 수요</t>
  </si>
  <si>
    <t>산업</t>
    <phoneticPr fontId="57" type="noConversion"/>
  </si>
  <si>
    <t>(연료)</t>
    <phoneticPr fontId="57" type="noConversion"/>
  </si>
  <si>
    <t>(원료)</t>
    <phoneticPr fontId="57" type="noConversion"/>
  </si>
  <si>
    <t>전환</t>
  </si>
  <si>
    <t>* 원유 수입 및 재고 변화를 포함한 총수요</t>
  </si>
  <si>
    <t>KEEI Long-term Energy Outlook (for BAU)</t>
    <phoneticPr fontId="37" type="noConversion"/>
  </si>
  <si>
    <t>KESIS Energy Balance (for historical values)</t>
    <phoneticPr fontId="37" type="noConversion"/>
  </si>
  <si>
    <t>KEA Energy Use Survey (for historical values)</t>
    <phoneticPr fontId="37" type="noConversion"/>
  </si>
  <si>
    <t>포함안됨</t>
    <phoneticPr fontId="37" type="noConversion"/>
  </si>
  <si>
    <t>산업&gt;기타</t>
    <phoneticPr fontId="37" type="noConversion"/>
  </si>
  <si>
    <t>에너지산업 자체소비&gt;석탄광업</t>
    <phoneticPr fontId="37" type="noConversion"/>
  </si>
  <si>
    <t>최종소비&gt;산업&gt;농림업, 어업</t>
    <phoneticPr fontId="37" type="noConversion"/>
  </si>
  <si>
    <t>최종소비&gt;산업&gt;광업(석탄광업제외)</t>
    <phoneticPr fontId="37" type="noConversion"/>
  </si>
  <si>
    <t>최종소비&gt;산업&gt;식품및담배</t>
    <phoneticPr fontId="37" type="noConversion"/>
  </si>
  <si>
    <t>최종소비&gt;산업&gt;섬유및가죽</t>
    <phoneticPr fontId="37" type="noConversion"/>
  </si>
  <si>
    <t>최종소비&gt;산업&gt;목재및나무제품</t>
    <phoneticPr fontId="37" type="noConversion"/>
  </si>
  <si>
    <t>최종소비&gt;산업&gt;제지및인쇄</t>
    <phoneticPr fontId="37" type="noConversion"/>
  </si>
  <si>
    <t>최종소비&gt;산업&gt;화학및석유화학</t>
    <phoneticPr fontId="37" type="noConversion"/>
  </si>
  <si>
    <t>최종소비&gt;산업&gt;비금속광물</t>
    <phoneticPr fontId="37" type="noConversion"/>
  </si>
  <si>
    <t>최종소비&gt;산업&gt;철강</t>
    <phoneticPr fontId="37" type="noConversion"/>
  </si>
  <si>
    <t>최종소비&gt;산업&gt;비철금속</t>
    <phoneticPr fontId="37" type="noConversion"/>
  </si>
  <si>
    <t>최종소비&gt;산업&gt;기계류</t>
    <phoneticPr fontId="37" type="noConversion"/>
  </si>
  <si>
    <t>최종소비&gt;산업&gt;수송장비</t>
    <phoneticPr fontId="37" type="noConversion"/>
  </si>
  <si>
    <t>최종소비&gt;산업&gt;기타제조</t>
    <phoneticPr fontId="37" type="noConversion"/>
  </si>
  <si>
    <t>최종소비&gt;산업&gt;건설업</t>
    <phoneticPr fontId="37" type="noConversion"/>
  </si>
  <si>
    <t>최종소비&gt;공공</t>
    <phoneticPr fontId="37" type="noConversion"/>
  </si>
  <si>
    <t>전환공정&gt;석유정제
에너지산업 자체소비&gt;석유정제</t>
    <phoneticPr fontId="37" type="noConversion"/>
  </si>
  <si>
    <t>전환공정&gt;가스제조
에너지산업 자체소비&gt;가스제조</t>
    <phoneticPr fontId="37" type="noConversion"/>
  </si>
  <si>
    <t>원유및천연가스채굴</t>
    <phoneticPr fontId="37" type="noConversion"/>
  </si>
  <si>
    <t>에너지산업 자체소비&gt;원유및천연가스채굴</t>
    <phoneticPr fontId="37" type="noConversion"/>
  </si>
  <si>
    <t>산업&gt;석유화학</t>
    <phoneticPr fontId="37" type="noConversion"/>
  </si>
  <si>
    <t>산업&gt;비철금속</t>
    <phoneticPr fontId="37" type="noConversion"/>
  </si>
  <si>
    <t>산업&gt;조립금속</t>
    <phoneticPr fontId="37" type="noConversion"/>
  </si>
  <si>
    <t>서비스&gt;공공</t>
    <phoneticPr fontId="37" type="noConversion"/>
  </si>
  <si>
    <t>산업&gt;철강</t>
    <phoneticPr fontId="37" type="noConversion"/>
  </si>
  <si>
    <t>2019 Industrial Fuel Use</t>
    <phoneticPr fontId="37" type="noConversion"/>
  </si>
  <si>
    <t xml:space="preserve">Conversion rate (1 MTOE =): </t>
    <phoneticPr fontId="37" type="noConversion"/>
  </si>
  <si>
    <t>Fuel Mapping</t>
    <phoneticPr fontId="37" type="noConversion"/>
  </si>
  <si>
    <t>EPS fuel category</t>
    <phoneticPr fontId="37" type="noConversion"/>
  </si>
  <si>
    <t>electricity</t>
    <phoneticPr fontId="37" type="noConversion"/>
  </si>
  <si>
    <t>coal</t>
    <phoneticPr fontId="37" type="noConversion"/>
  </si>
  <si>
    <t>natural gas</t>
    <phoneticPr fontId="37" type="noConversion"/>
  </si>
  <si>
    <t>biomass</t>
    <phoneticPr fontId="37" type="noConversion"/>
  </si>
  <si>
    <t>petroleum-diesel</t>
    <phoneticPr fontId="37" type="noConversion"/>
  </si>
  <si>
    <t>LPG-propane-butane</t>
    <phoneticPr fontId="37" type="noConversion"/>
  </si>
  <si>
    <t>hydrogen</t>
    <phoneticPr fontId="37" type="noConversion"/>
  </si>
  <si>
    <t>crude oil</t>
    <phoneticPr fontId="37" type="noConversion"/>
  </si>
  <si>
    <t>heat</t>
    <phoneticPr fontId="37" type="noConversion"/>
  </si>
  <si>
    <t>heavy-or-residual oil</t>
    <phoneticPr fontId="37" type="noConversion"/>
  </si>
  <si>
    <t>Note</t>
    <phoneticPr fontId="37" type="noConversion"/>
  </si>
  <si>
    <t>For further splits</t>
    <phoneticPr fontId="37" type="noConversion"/>
  </si>
  <si>
    <t>전망치 부재로 2019년 소비량에 KEEI 석탄 공급 BAU 성장률만큼 적용</t>
    <phoneticPr fontId="37" type="noConversion"/>
  </si>
  <si>
    <t>전망치 부재로 2019년 소비량에 KEEI 석유 공급 BAU 성장률만큼 적용</t>
    <phoneticPr fontId="37" type="noConversion"/>
  </si>
  <si>
    <t>전망치 부재로 2019년 소비량에 KEEI 가스 공급 BAU 성장률만큼 적용</t>
    <phoneticPr fontId="37" type="noConversion"/>
  </si>
  <si>
    <t>Steel Split</t>
    <phoneticPr fontId="37" type="noConversion"/>
  </si>
  <si>
    <t>Petrochemicals Split</t>
    <phoneticPr fontId="37" type="noConversion"/>
  </si>
  <si>
    <t>Non-ferrous Metals Split</t>
    <phoneticPr fontId="37" type="noConversion"/>
  </si>
  <si>
    <t>Machinery Split</t>
    <phoneticPr fontId="37" type="noConversion"/>
  </si>
  <si>
    <t>Others Split</t>
    <phoneticPr fontId="37" type="noConversion"/>
  </si>
  <si>
    <t>Petroleum split (based on 2019 Energy Balance)</t>
    <phoneticPr fontId="37" type="noConversion"/>
  </si>
  <si>
    <t>Industry split by fuel (based on 2019 KEA Energy Use Survey)</t>
    <phoneticPr fontId="37" type="noConversion"/>
  </si>
  <si>
    <t>https://kosis.kr/statHtml/statHtml.do?orgId=337&amp;tblId=DT_337_2019_H1017&amp;vw_cd=MT_ZTITLE&amp;list_id=337_33703_002&amp;seqNo=&amp;lang_mode=ko&amp;language=kor&amp;obj_var_id=&amp;itm_id=&amp;conn_path=MT_ZTITLE</t>
    <phoneticPr fontId="37" type="noConversion"/>
  </si>
  <si>
    <t>2019 KEA Energy Use Survey</t>
    <phoneticPr fontId="37" type="noConversion"/>
  </si>
  <si>
    <t>KESIS</t>
    <phoneticPr fontId="37" type="noConversion"/>
  </si>
  <si>
    <t>KEA</t>
    <phoneticPr fontId="37" type="noConversion"/>
  </si>
  <si>
    <t>합성고무및플라스틱물질제조업,고무제품제조업,플라스틱제품제조업</t>
    <phoneticPr fontId="37" type="noConversion"/>
  </si>
  <si>
    <t>기초화학물질제조업, 비료,농약및살균,살충제제조업, 기타화학제품제조업,화학섬유제조업,기초의약물질및생물학적제제제조업,의약품제조업,의료용품및기타의약관련제품제조업</t>
    <phoneticPr fontId="37" type="noConversion"/>
  </si>
  <si>
    <t>1차비철금속제조업</t>
    <phoneticPr fontId="37" type="noConversion"/>
  </si>
  <si>
    <t>금속주조업,구조용금속제품,탱크및증기발생기제조업,무기및총포탄제조업,기타금속가공제품제조업</t>
    <phoneticPr fontId="37" type="noConversion"/>
  </si>
  <si>
    <t>반도체제조업,전자부품제조업,컴퓨터및주변장치제조업,통신및방송장비제조업,영상및음향기기제조업</t>
    <phoneticPr fontId="37" type="noConversion"/>
  </si>
  <si>
    <t>마그네틱및광학매체제조업,의료용기기제조업,측정,시험,항해,제어및기타정밀기기제조업;광학기기제외,사진장비및광학기기제조업,시계및시계부품제조업,일반목적용기계제조업,특수목적용기계제조업</t>
    <phoneticPr fontId="37" type="noConversion"/>
  </si>
  <si>
    <t>전동기,발전기및전기변환공급제어장치제조업,일차전지및축전지제조업,절연선및케이블제조업,전구및조명장치제조업,가정용기기제조업,기타전기장비제조업</t>
    <phoneticPr fontId="37" type="noConversion"/>
  </si>
  <si>
    <t>자동차용엔진및자동차제조업,자동차차체및트레일러제조업,자동차신품부품제조업,자동차재제조부품제조업</t>
    <phoneticPr fontId="37" type="noConversion"/>
  </si>
  <si>
    <t>선박및보트건조업,철도장비제조업,항공기,우주선및부품제조업,그외기타운송장비제조업</t>
    <phoneticPr fontId="37" type="noConversion"/>
  </si>
  <si>
    <t>Machinery Total</t>
    <phoneticPr fontId="37" type="noConversion"/>
  </si>
  <si>
    <t>KESIS</t>
    <phoneticPr fontId="37" type="noConversion"/>
  </si>
  <si>
    <t>유리및유리제품제조업</t>
    <phoneticPr fontId="37" type="noConversion"/>
  </si>
  <si>
    <t>내화,비내화요업제품제조업,시멘트,석회,플라스터및그제품제조업,시멘트제조업,기타비금속광물제품제조업</t>
    <phoneticPr fontId="37" type="noConversion"/>
  </si>
  <si>
    <t>refined petroleum and coke 19</t>
    <phoneticPr fontId="37" type="noConversion"/>
  </si>
  <si>
    <t>LNG</t>
    <phoneticPr fontId="37" type="noConversion"/>
  </si>
  <si>
    <t>전력</t>
    <phoneticPr fontId="37" type="noConversion"/>
  </si>
  <si>
    <t>경유</t>
    <phoneticPr fontId="37" type="noConversion"/>
  </si>
  <si>
    <t>소각시설</t>
    <phoneticPr fontId="37" type="noConversion"/>
  </si>
  <si>
    <t xml:space="preserve"> 48톤/일 이상</t>
    <phoneticPr fontId="37" type="noConversion"/>
  </si>
  <si>
    <t xml:space="preserve"> 48톤/일 미만</t>
    <phoneticPr fontId="37" type="noConversion"/>
  </si>
  <si>
    <t xml:space="preserve"> 회분식</t>
    <phoneticPr fontId="37" type="noConversion"/>
  </si>
  <si>
    <t>매립시설</t>
    <phoneticPr fontId="37" type="noConversion"/>
  </si>
  <si>
    <t xml:space="preserve"> 20만m2 이상</t>
    <phoneticPr fontId="37" type="noConversion"/>
  </si>
  <si>
    <t xml:space="preserve"> 20만m2 미만</t>
    <phoneticPr fontId="37" type="noConversion"/>
  </si>
  <si>
    <t>생활자원회수센터</t>
    <phoneticPr fontId="37" type="noConversion"/>
  </si>
  <si>
    <t xml:space="preserve"> 20톤/일 이상</t>
    <phoneticPr fontId="37" type="noConversion"/>
  </si>
  <si>
    <t xml:space="preserve"> 20톤/일 미만</t>
    <phoneticPr fontId="37" type="noConversion"/>
  </si>
  <si>
    <t>음식물폐기물</t>
    <phoneticPr fontId="37" type="noConversion"/>
  </si>
  <si>
    <t xml:space="preserve"> 30톤/일 이상</t>
    <phoneticPr fontId="37" type="noConversion"/>
  </si>
  <si>
    <t xml:space="preserve"> 30톤/일 미만</t>
    <phoneticPr fontId="37" type="noConversion"/>
  </si>
  <si>
    <t>가연성폐기물 연료화</t>
    <phoneticPr fontId="37" type="noConversion"/>
  </si>
  <si>
    <t xml:space="preserve"> 100톤/일 이상</t>
    <phoneticPr fontId="37" type="noConversion"/>
  </si>
  <si>
    <t xml:space="preserve"> 100톤/일 미만</t>
    <phoneticPr fontId="37" type="noConversion"/>
  </si>
  <si>
    <t>유기성폐기물 바이오가스화</t>
    <phoneticPr fontId="37" type="noConversion"/>
  </si>
  <si>
    <t>Total</t>
    <phoneticPr fontId="37" type="noConversion"/>
  </si>
  <si>
    <t>에너지집약도(TOE/천톤)</t>
    <phoneticPr fontId="37" type="noConversion"/>
  </si>
  <si>
    <t>처리량(천톤)</t>
    <phoneticPr fontId="37" type="noConversion"/>
  </si>
  <si>
    <t>처리량(%)</t>
    <phoneticPr fontId="37" type="noConversion"/>
  </si>
  <si>
    <t>에너지사용량(TOE)</t>
    <phoneticPr fontId="37" type="noConversion"/>
  </si>
  <si>
    <t>추정</t>
    <phoneticPr fontId="37" type="noConversion"/>
  </si>
  <si>
    <t>생활자원회수센터와 같은 것으로 가정</t>
    <phoneticPr fontId="37" type="noConversion"/>
  </si>
  <si>
    <t>음식물폐기물처리와 같은 것으로 가정</t>
    <phoneticPr fontId="37" type="noConversion"/>
  </si>
  <si>
    <t>(천명)</t>
    <phoneticPr fontId="57" type="noConversion"/>
  </si>
  <si>
    <t>%YoY</t>
    <phoneticPr fontId="37" type="noConversion"/>
  </si>
  <si>
    <t>천TOE</t>
    <phoneticPr fontId="37" type="noConversion"/>
  </si>
  <si>
    <r>
      <rPr>
        <sz val="11"/>
        <color theme="1"/>
        <rFont val="맑은 고딕"/>
        <family val="3"/>
        <charset val="129"/>
      </rPr>
      <t>2018 폐기물처리사업장 에너지원별 비율 추정</t>
    </r>
    <r>
      <rPr>
        <sz val="11"/>
        <color theme="1"/>
        <rFont val="Calibri"/>
        <family val="3"/>
        <charset val="129"/>
      </rPr>
      <t xml:space="preserve"> (</t>
    </r>
    <r>
      <rPr>
        <sz val="11"/>
        <color theme="1"/>
        <rFont val="맑은 고딕"/>
        <family val="3"/>
        <charset val="129"/>
      </rPr>
      <t>출처: 환경부, 한국환경공단 2018)</t>
    </r>
    <phoneticPr fontId="37" type="noConversion"/>
  </si>
  <si>
    <t>2018 폐기물/하수처리업 에너지총사용량 (출처: 에너지공단, 2019)</t>
    <phoneticPr fontId="37" type="noConversion"/>
  </si>
  <si>
    <r>
      <t xml:space="preserve">2018 </t>
    </r>
    <r>
      <rPr>
        <sz val="11"/>
        <color theme="1"/>
        <rFont val="맑은 고딕"/>
        <family val="3"/>
        <charset val="129"/>
      </rPr>
      <t>전체</t>
    </r>
    <r>
      <rPr>
        <sz val="11"/>
        <color theme="1"/>
        <rFont val="Calibri"/>
        <family val="2"/>
      </rPr>
      <t xml:space="preserve"> </t>
    </r>
    <r>
      <rPr>
        <sz val="11"/>
        <color theme="1"/>
        <rFont val="맑은 고딕"/>
        <family val="3"/>
        <charset val="129"/>
      </rPr>
      <t>폐기물</t>
    </r>
    <r>
      <rPr>
        <sz val="11"/>
        <color theme="1"/>
        <rFont val="Calibri"/>
        <family val="2"/>
      </rPr>
      <t>/</t>
    </r>
    <r>
      <rPr>
        <sz val="11"/>
        <color theme="1"/>
        <rFont val="맑은 고딕"/>
        <family val="3"/>
        <charset val="129"/>
      </rPr>
      <t>하수처리업</t>
    </r>
    <r>
      <rPr>
        <sz val="11"/>
        <color theme="1"/>
        <rFont val="Calibri"/>
        <family val="2"/>
      </rPr>
      <t xml:space="preserve"> </t>
    </r>
    <r>
      <rPr>
        <sz val="11"/>
        <color theme="1"/>
        <rFont val="맑은 고딕"/>
        <family val="3"/>
        <charset val="129"/>
      </rPr>
      <t>원별</t>
    </r>
    <r>
      <rPr>
        <sz val="11"/>
        <color theme="1"/>
        <rFont val="Calibri"/>
        <family val="2"/>
      </rPr>
      <t xml:space="preserve"> 에너지</t>
    </r>
    <r>
      <rPr>
        <sz val="11"/>
        <color theme="1"/>
        <rFont val="맑은 고딕"/>
        <family val="3"/>
        <charset val="129"/>
      </rPr>
      <t>지사용량</t>
    </r>
    <r>
      <rPr>
        <sz val="11"/>
        <color theme="1"/>
        <rFont val="Calibri"/>
        <family val="2"/>
      </rPr>
      <t xml:space="preserve"> </t>
    </r>
    <r>
      <rPr>
        <sz val="11"/>
        <color theme="1"/>
        <rFont val="맑은 고딕"/>
        <family val="3"/>
        <charset val="129"/>
      </rPr>
      <t>추정</t>
    </r>
    <r>
      <rPr>
        <sz val="11"/>
        <color theme="1"/>
        <rFont val="Calibri"/>
        <family val="2"/>
      </rPr>
      <t>(BTU)</t>
    </r>
    <phoneticPr fontId="37" type="noConversion"/>
  </si>
  <si>
    <r>
      <rPr>
        <sz val="11"/>
        <color theme="1"/>
        <rFont val="맑은 고딕"/>
        <family val="3"/>
        <charset val="129"/>
      </rPr>
      <t>인구전망</t>
    </r>
    <r>
      <rPr>
        <sz val="11"/>
        <color theme="1"/>
        <rFont val="Calibri"/>
        <family val="2"/>
      </rPr>
      <t xml:space="preserve"> (</t>
    </r>
    <r>
      <rPr>
        <sz val="11"/>
        <color theme="1"/>
        <rFont val="맑은 고딕"/>
        <family val="2"/>
        <charset val="129"/>
      </rPr>
      <t>출처: 통계청, 2020)</t>
    </r>
    <phoneticPr fontId="37" type="noConversion"/>
  </si>
  <si>
    <t>전망치 부재로 2018년 소비량에 인구성장률만큼 적용</t>
    <phoneticPr fontId="37" type="noConversion"/>
  </si>
  <si>
    <t>http://www.kesis.net/crosseditor/binary/files/000003/20200408125915600_6PUNL17L.xlsb</t>
    <phoneticPr fontId="37" type="noConversion"/>
  </si>
  <si>
    <t>Korea Energy Statistics Information System</t>
    <phoneticPr fontId="37" type="noConversion"/>
  </si>
  <si>
    <t>KEEI Long-tern energy forecast</t>
    <phoneticPr fontId="37" type="noConversion"/>
  </si>
  <si>
    <t>Extended energy balance</t>
    <phoneticPr fontId="37" type="noConversion"/>
  </si>
  <si>
    <t>KOSIS</t>
    <phoneticPr fontId="37" type="noConversion"/>
  </si>
  <si>
    <t>KEA Energy consumption and greenhouse-gas emission inventories</t>
    <phoneticPr fontId="37" type="noConversion"/>
  </si>
  <si>
    <t>Industry Category Mapping (in English)</t>
    <phoneticPr fontId="37" type="noConversion"/>
  </si>
  <si>
    <t>Industry Category Mapping (in Korean)</t>
    <phoneticPr fontId="37" type="noConversion"/>
  </si>
  <si>
    <t>Not included</t>
  </si>
  <si>
    <t>Industry&gt;Petro-chemical</t>
  </si>
  <si>
    <t>Industry&gt;Steel</t>
  </si>
  <si>
    <t>EndUse&gt;Industry&gt;Steel</t>
  </si>
  <si>
    <t>Industry&gt;non-ferrous metals</t>
  </si>
  <si>
    <t>EndUse&gt;Industry&gt;non-ferrous metals</t>
  </si>
  <si>
    <t>Industry&gt;fabricated metals</t>
  </si>
  <si>
    <t>Service&gt;Public</t>
  </si>
  <si>
    <t>EndUse&gt;Public</t>
  </si>
  <si>
    <t>EndUse&gt;Industry&gt;non-metallic minerals</t>
  </si>
  <si>
    <t>EndUse&gt;Industry&gt;machinery</t>
    <phoneticPr fontId="37" type="noConversion"/>
  </si>
  <si>
    <t>EndUse&gt;Industry&gt;chemical and Petro-chemical</t>
  </si>
  <si>
    <t>EndUse&gt;Industry&gt;transportation equiment</t>
  </si>
  <si>
    <t>EndUse&gt;Industry&gt;other manufacturing</t>
    <phoneticPr fontId="37" type="noConversion"/>
  </si>
  <si>
    <t>conversion process&gt;gas process
Energy Industry internal consumption&gt;gas process</t>
    <phoneticPr fontId="37" type="noConversion"/>
  </si>
  <si>
    <t>EndUse&gt;Industry&gt;construction</t>
    <phoneticPr fontId="37" type="noConversion"/>
  </si>
  <si>
    <t>EndUse&gt;Industry&gt;agriculture and fishery</t>
    <phoneticPr fontId="37" type="noConversion"/>
  </si>
  <si>
    <t>Energy Industry internal consumption&gt;coal mining</t>
    <phoneticPr fontId="37" type="noConversion"/>
  </si>
  <si>
    <t>Energy Industry internal consumption&gt;crude petroleum and natural gas production</t>
    <phoneticPr fontId="37" type="noConversion"/>
  </si>
  <si>
    <t>EndUse&gt;Industry&gt;mining(exc. Coal mining)</t>
    <phoneticPr fontId="37" type="noConversion"/>
  </si>
  <si>
    <t>EndUse&gt;Industry&gt;food and tobacco</t>
    <phoneticPr fontId="37" type="noConversion"/>
  </si>
  <si>
    <t>EndUse&gt;Industry&gt;fiber and leather</t>
  </si>
  <si>
    <t>conversion process&gt;petroleum refining
Energy Industry internal consumption&gt;petroleum refining</t>
  </si>
  <si>
    <t>Basic chemical substance manufacturing, fertilizer, pesticide and sterilization, pesticide manufacturing, other chemical product manufacturing, chemical fiber manufacturing, basic pharmaceutical and biological product manufacturing, pharmaceutical manufacturing, medical supplies and other pharmaceutical related product manufacturing</t>
    <phoneticPr fontId="37" type="noConversion"/>
  </si>
  <si>
    <t xml:space="preserve">Industry&gt;other </t>
  </si>
  <si>
    <t>Synthetic rubber and plastic material manufacturing, rubber product manufacturing, plastic product manufacturing</t>
    <phoneticPr fontId="37" type="noConversion"/>
  </si>
  <si>
    <t>Glass and glassware manufacturing</t>
    <phoneticPr fontId="37" type="noConversion"/>
  </si>
  <si>
    <t>Refractory and non-refractory ceramic products manufacturing business, cement, lime, plaster and its products manufacturing business, cement manufacturing business, other non-metallic minerals product manufacturing business</t>
    <phoneticPr fontId="37" type="noConversion"/>
  </si>
  <si>
    <t>Primary non-ferrous metals manufacturing</t>
    <phoneticPr fontId="37" type="noConversion"/>
  </si>
  <si>
    <t>Metal Foundry, Structural Metal Products, Tank and Steam Generator Manufacturing, Weapons and Gun Ammunition Manufacturing, other Metalworking Products Manufacturing</t>
    <phoneticPr fontId="37" type="noConversion"/>
  </si>
  <si>
    <t>Semiconductor manufacturing business, electronic component manufacturing business, computer and peripheral device manufacturing business, communication and broadcasting equipment manufacturing business, video and audio equipment manufacturing business</t>
    <phoneticPr fontId="37" type="noConversion"/>
  </si>
  <si>
    <t>Motor, generator and electric conversion supply control device manufacturing, primary battery and storage battery manufacturing, insulated wire and cable manufacturing, light bulb and lighting device manufacturing, household appliance manufacturing, other electrical equipment manufacturing</t>
    <phoneticPr fontId="37" type="noConversion"/>
  </si>
  <si>
    <t>Magnetic and optical media manufacturing, medical equipment manufacturing, measurement, testing, navigation, control and other precision equipment manufacturing; excluding optical instruments, photographic equipment and optical equipment manufacturing, watches and watch parts manufacturing, general purpose machinery manufacturing, special purpose machinery manufacturing</t>
    <phoneticPr fontId="37" type="noConversion"/>
  </si>
  <si>
    <t>Automobile engine and automobile manufacturing business, automobile body and trailer manufacturing business, new automobile parts manufacturing business, automobile remanufactured parts manufacturing business</t>
    <phoneticPr fontId="37" type="noConversion"/>
  </si>
  <si>
    <t>Ship and boat construction business, railway equipment manufacturing business, aircraft, spaceship and parts manufacturing business, and other transportation equipment manufacturing business</t>
    <phoneticPr fontId="37" type="noConversion"/>
  </si>
  <si>
    <t>renewables</t>
    <phoneticPr fontId="37" type="noConversion"/>
  </si>
  <si>
    <t>oil</t>
    <phoneticPr fontId="37" type="noConversion"/>
  </si>
  <si>
    <t>due to the lack of forecast, we applied the KEEI's BAU oil supply growth rate to the demand in 2019</t>
    <phoneticPr fontId="37" type="noConversion"/>
  </si>
  <si>
    <t>due to the lack of forecast, we applied the KEEI's BAU coal supply growth rate to the demand in 2019</t>
    <phoneticPr fontId="37" type="noConversion"/>
  </si>
  <si>
    <t>due to the lack of forecast, we applied the KEEI's BAU gas supply growth rate to the demand in 2019</t>
    <phoneticPr fontId="37" type="noConversion"/>
  </si>
  <si>
    <t>due to the lack of forecast, we applied the population growth rate to the demand in 2018</t>
    <phoneticPr fontId="37" type="noConversion"/>
  </si>
  <si>
    <t>include waste</t>
    <phoneticPr fontId="37" type="noConversion"/>
  </si>
  <si>
    <t>due to the lack of forecast, we applied the energy demand growth rate between 2020 and 2050 to the demand in 2019</t>
    <phoneticPr fontId="37" type="noConversion"/>
  </si>
  <si>
    <t>We estimated using the energy consumption share by industry based on 2019 KESIS Energy Balance</t>
    <phoneticPr fontId="37" type="noConversion"/>
  </si>
  <si>
    <t>petroleum refining only</t>
    <phoneticPr fontId="37" type="noConversion"/>
  </si>
  <si>
    <t>Sub category</t>
    <phoneticPr fontId="37" type="noConversion"/>
  </si>
  <si>
    <t>EndUse&gt;Industry&gt;wood and wood products</t>
    <phoneticPr fontId="37" type="noConversion"/>
  </si>
  <si>
    <t>EndUse&gt;Industry&gt;paper and printing</t>
    <phoneticPr fontId="37" type="noConversion"/>
  </si>
  <si>
    <t>분류별(1)</t>
  </si>
  <si>
    <t>2018. 01</t>
  </si>
  <si>
    <t>2018. 02</t>
  </si>
  <si>
    <t>2018. 03</t>
  </si>
  <si>
    <t>2018. 04</t>
  </si>
  <si>
    <t>2018. 05</t>
  </si>
  <si>
    <t>2018. 06</t>
  </si>
  <si>
    <t>2018. 07</t>
  </si>
  <si>
    <t>2018. 08</t>
  </si>
  <si>
    <t>2018. 09</t>
  </si>
  <si>
    <t>2018. 10</t>
  </si>
  <si>
    <t>2018. 11</t>
  </si>
  <si>
    <t>2018. 12</t>
  </si>
  <si>
    <t>2019. 01</t>
  </si>
  <si>
    <t>2019. 02</t>
  </si>
  <si>
    <t>2019. 03</t>
  </si>
  <si>
    <t>2019. 04</t>
  </si>
  <si>
    <t>2019. 05</t>
  </si>
  <si>
    <t>2019. 06</t>
  </si>
  <si>
    <t>2019. 07</t>
  </si>
  <si>
    <t>2019. 08</t>
  </si>
  <si>
    <t>2019. 09</t>
  </si>
  <si>
    <t>2019. 10</t>
  </si>
  <si>
    <t>2019. 11</t>
  </si>
  <si>
    <t>2019. 12</t>
  </si>
  <si>
    <t>2020. 01</t>
  </si>
  <si>
    <t>2020. 02</t>
  </si>
  <si>
    <t>2020. 03</t>
  </si>
  <si>
    <t>2020. 04</t>
  </si>
  <si>
    <t>2020. 05</t>
  </si>
  <si>
    <t>2020. 06</t>
  </si>
  <si>
    <t>2020. 07</t>
  </si>
  <si>
    <t>2020. 08</t>
  </si>
  <si>
    <t>2020. 09</t>
  </si>
  <si>
    <t>2020. 10</t>
  </si>
  <si>
    <t>2020. 11</t>
  </si>
  <si>
    <t>2020. 12</t>
  </si>
  <si>
    <t>2021. 01</t>
  </si>
  <si>
    <t>2021. 02</t>
  </si>
  <si>
    <t>2021. 03</t>
  </si>
  <si>
    <t>2021. 04</t>
  </si>
  <si>
    <t>2021. 05</t>
  </si>
  <si>
    <t>2021. 06</t>
  </si>
  <si>
    <t>2021. 07</t>
  </si>
  <si>
    <t>2021. 08</t>
  </si>
  <si>
    <t>2021. 09</t>
  </si>
  <si>
    <t>신재생 및 기타</t>
  </si>
  <si>
    <t>Final energy consumption by industry</t>
    <phoneticPr fontId="37" type="noConversion"/>
  </si>
  <si>
    <t>Industry fuel use - original file, didn’t include covid</t>
  </si>
  <si>
    <t>Includes covid</t>
  </si>
  <si>
    <t>Crosswalk pre-covid to post-covid</t>
  </si>
  <si>
    <t>https://www.iea.org/data-and-statistics/data-tables?country</t>
  </si>
  <si>
    <t>KOREA&amp;energy</t>
  </si>
  <si>
    <t>Balances&amp;year</t>
  </si>
  <si>
    <t>Coal</t>
  </si>
  <si>
    <t>Oil products</t>
  </si>
  <si>
    <t>Natural gas</t>
  </si>
  <si>
    <t>Biofuels and waste</t>
  </si>
  <si>
    <t>Electricity Produced</t>
  </si>
  <si>
    <t>CHP plants (TJ)</t>
  </si>
  <si>
    <t>CHP plants (BTU)</t>
  </si>
  <si>
    <t>BTU per TJ</t>
  </si>
  <si>
    <t>Electricity Consumption by Industry</t>
  </si>
  <si>
    <t>CHP Fuel Use Allocated by Industry - Coal</t>
  </si>
  <si>
    <t>CHP Fuel Use Allocated by Industry - Petroleum</t>
  </si>
  <si>
    <t>CHP Fuel Use Allocated by Industry - Natural Gas</t>
  </si>
  <si>
    <t>CHP Fuel Use Allocated by Industry - Biomass</t>
  </si>
  <si>
    <t>Fuels Used for CHP</t>
  </si>
  <si>
    <t>IEA</t>
  </si>
  <si>
    <t>Energy Balances, Korea</t>
  </si>
  <si>
    <t>Notes</t>
  </si>
  <si>
    <t>We account for fuels used for CHP within this file. Fuel use is taken from IEA,</t>
  </si>
  <si>
    <t>then allocated to industries based on the share of electricity consumption</t>
  </si>
  <si>
    <t>by industry.</t>
  </si>
  <si>
    <t>https://www.kesis.net/sub/sub_0001_01.jsp</t>
    <phoneticPr fontId="37" type="noConversion"/>
  </si>
  <si>
    <t>https://www.kesis.net/crosseditor/binary/files/000005/2023_%EC%9E%A5%EA%B8%B0%EC%97%90%EB%84%88%EC%A7%80%EC%A0%84%EB%A7%9D_%EA%B8%B0%EC%A4%80_%EC%8B%9C%EB%82%98%EB%A6%AC%EC%98%A4_(REF).티뉴</t>
    <phoneticPr fontId="37" type="noConversion"/>
  </si>
  <si>
    <t>https://www.kesis.net/FileDownloadAction.do?file=/admin/admin_RegList.jsp/20241231/290581735604309791_01.xlsx&amp;oldFile=BAL_EXTEND_(1990-2022).xlsx</t>
    <phoneticPr fontId="37" type="noConversion"/>
  </si>
  <si>
    <t>https://kosis.kr/statHtml/statHtml.do?orgId=339&amp;tblId=DT_F_M180&amp;vw_cd=MT_ZTITLE&amp;list_id=339_33901_03&amp;seqNo=&amp;lang_mode=ko&amp;language=kor&amp;obj_var_id=&amp;itm_id=&amp;conn_path=MT_ZTITLE</t>
    <phoneticPr fontId="37" type="noConversion"/>
  </si>
  <si>
    <t>https://kosis.kr/statHtml/statHtml.do?sso=ok&amp;returnurl=https%3A%2F%2Fkosis.kr%3A443%2FstatHtml%2FstatHtml.do%3Fconn_path%3DMT_ZTITLE%26list_id%3D339_33901_03%26obj_var_id%3D%26seqNo%3D%26tblId%3DDT_F_M180%26vw_cd%3DMT_ZTITLE%26itm_id%3D%26language%3Dkor%26lang_mode%3Dko%26orgId%3D339%26</t>
  </si>
  <si>
    <t xml:space="preserve"> </t>
    <phoneticPr fontId="37" type="noConversion"/>
  </si>
  <si>
    <t>최종소비 부문별·상품별 수요 - 기준 시나리오(REF)</t>
  </si>
  <si>
    <t>00-22</t>
  </si>
  <si>
    <t>22-50</t>
  </si>
  <si>
    <t>주) 보고서 본문에서 설명한 산업 부문 에너지 수요는 에너지전환 산업인 석유정제의 자체소비를 포함하지만, 여기서는 석유정제 자체소비를 제외한 수치를 제시함.</t>
  </si>
  <si>
    <t>산업 부문 주요 지표 및 에너지 수요 (2) - 기준 시나리오(REF)</t>
    <phoneticPr fontId="37" type="noConversion"/>
  </si>
  <si>
    <r>
      <t>주) 연쇄가중법에 의해 추계된 실질 부가가치는 비가법적 특성에 의해 총량(또는 상위부문)과 그 구성항목의 합이 일치하지 않을 수 있음.
     비제조업 부가가치는 농림어업, 광업, 건설업</t>
    </r>
    <r>
      <rPr>
        <sz val="6"/>
        <color theme="1"/>
        <rFont val="맑은 고딕"/>
        <family val="3"/>
        <charset val="129"/>
      </rPr>
      <t xml:space="preserve"> 부가가치의 합계
   기초유분 생산량은 에틸렌, 부타디엔, 프로필렌, 벤젠, 톨루엔, 크실렌의 합계</t>
    </r>
    <phoneticPr fontId="37" type="noConversion"/>
  </si>
  <si>
    <t>가스</t>
  </si>
  <si>
    <t>신재생</t>
  </si>
  <si>
    <t>조립금속부문이 기계류와 수송장비 카테고리로 나뉘게 됨</t>
    <phoneticPr fontId="37" type="noConversion"/>
  </si>
  <si>
    <t>음수가 나오게 되어 업데이트 불가</t>
    <phoneticPr fontId="37" type="noConversion"/>
  </si>
  <si>
    <t>추정값 구하기 위한 참고셀(old)</t>
    <phoneticPr fontId="37" type="noConversion"/>
  </si>
  <si>
    <t>가스 공급 및 수요 - 기준 시나리오(REF)</t>
  </si>
  <si>
    <t>발전용</t>
    <phoneticPr fontId="57" type="noConversion"/>
  </si>
  <si>
    <t>지역난방</t>
    <phoneticPr fontId="57" type="noConversion"/>
  </si>
  <si>
    <t>수소제조</t>
  </si>
  <si>
    <t>에너지산업</t>
  </si>
  <si>
    <t>수송</t>
    <phoneticPr fontId="57" type="noConversion"/>
  </si>
  <si>
    <t>가정</t>
    <phoneticPr fontId="57" type="noConversion"/>
  </si>
  <si>
    <t>* 자가소비 및 손실 포함
주) 천연가스 손실과 도시가스 손실 차로 인해 합계가 불일치할 수 있음</t>
  </si>
  <si>
    <t>추정값 구하기 위한 참고셀(new)</t>
    <phoneticPr fontId="37" type="noConversion"/>
  </si>
  <si>
    <t>석유 공급 및 수요 - 기준 시나리오(REF)</t>
  </si>
  <si>
    <t>국제 벙커링</t>
    <phoneticPr fontId="57" type="noConversion"/>
  </si>
  <si>
    <t>총공급</t>
    <phoneticPr fontId="57" type="noConversion"/>
  </si>
  <si>
    <t>전환</t>
    <phoneticPr fontId="57" type="noConversion"/>
  </si>
  <si>
    <t>최종소비</t>
    <phoneticPr fontId="57" type="noConversion"/>
  </si>
  <si>
    <t>제품별 석유 수요**</t>
  </si>
  <si>
    <t>휘발유</t>
    <phoneticPr fontId="57" type="noConversion"/>
  </si>
  <si>
    <t>등유</t>
    <phoneticPr fontId="57" type="noConversion"/>
  </si>
  <si>
    <t>경유</t>
    <phoneticPr fontId="57" type="noConversion"/>
  </si>
  <si>
    <t>중유</t>
    <phoneticPr fontId="57" type="noConversion"/>
  </si>
  <si>
    <t>제트유</t>
    <phoneticPr fontId="57" type="noConversion"/>
  </si>
  <si>
    <t>프로판</t>
    <phoneticPr fontId="57" type="noConversion"/>
  </si>
  <si>
    <t>부탄</t>
    <phoneticPr fontId="57" type="noConversion"/>
  </si>
  <si>
    <t>납사</t>
    <phoneticPr fontId="57" type="noConversion"/>
  </si>
  <si>
    <t>기타 비에너지유</t>
    <phoneticPr fontId="57" type="noConversion"/>
  </si>
  <si>
    <t>산업</t>
    <phoneticPr fontId="57" type="noConversion"/>
  </si>
  <si>
    <t>(연료)</t>
    <phoneticPr fontId="57" type="noConversion"/>
  </si>
  <si>
    <t>(석유화학원료)</t>
  </si>
  <si>
    <t>* 원유 수입 및 재고 변화를 포함한 총수요
** 에너지전환공정 제외</t>
  </si>
  <si>
    <t>old</t>
    <phoneticPr fontId="37" type="noConversion"/>
  </si>
  <si>
    <t>new</t>
    <phoneticPr fontId="37" type="noConversion"/>
  </si>
  <si>
    <t>카테고리 변경 - 기존 최종소비가 에너지산업자체소비와 최종소비, 두 카테고리로 나누어졌다고 추정함</t>
    <phoneticPr fontId="37" type="noConversion"/>
  </si>
  <si>
    <t>석탄 공급 및 수요 - 기준 시나리오(REF)</t>
  </si>
  <si>
    <t>전환부문</t>
    <phoneticPr fontId="57" type="noConversion"/>
  </si>
  <si>
    <t>최종소비부문</t>
    <phoneticPr fontId="57" type="noConversion"/>
  </si>
  <si>
    <t>제품별 석탄 수요</t>
    <phoneticPr fontId="57" type="noConversion"/>
  </si>
  <si>
    <t>국내탄</t>
    <phoneticPr fontId="57" type="noConversion"/>
  </si>
  <si>
    <t>수입무연탄</t>
    <phoneticPr fontId="57" type="noConversion"/>
  </si>
  <si>
    <t>연료용 유연탄</t>
    <phoneticPr fontId="57" type="noConversion"/>
  </si>
  <si>
    <t>원료용 유연탄</t>
    <phoneticPr fontId="57" type="noConversion"/>
  </si>
  <si>
    <t>용도별 석탄 수요</t>
    <phoneticPr fontId="57" type="noConversion"/>
  </si>
  <si>
    <t>발전/열생산용</t>
  </si>
  <si>
    <t>코크스 제조 및 고로용</t>
    <phoneticPr fontId="57" type="noConversion"/>
  </si>
  <si>
    <t>킬른가열용</t>
    <phoneticPr fontId="57" type="noConversion"/>
  </si>
  <si>
    <t>기타 산업용</t>
    <phoneticPr fontId="57" type="noConversion"/>
  </si>
  <si>
    <t>연탄용</t>
    <phoneticPr fontId="57" type="noConversion"/>
  </si>
  <si>
    <r>
      <t xml:space="preserve">산업 부문 주요 지표 및 에너지 수요 (2) </t>
    </r>
    <r>
      <rPr>
        <i/>
        <sz val="10"/>
        <color theme="1"/>
        <rFont val="맑은 고딕"/>
        <family val="3"/>
        <charset val="129"/>
      </rPr>
      <t>- 기준 시나리오</t>
    </r>
  </si>
  <si>
    <t>석유/화학</t>
  </si>
  <si>
    <t>비금속</t>
  </si>
  <si>
    <t>조립금속</t>
  </si>
  <si>
    <t>값복사되어 지수표시를 숫자표시로 변환 불가.</t>
    <phoneticPr fontId="37" type="noConversion"/>
  </si>
  <si>
    <t>ENERGY BALANCE</t>
    <phoneticPr fontId="57" type="noConversion"/>
  </si>
  <si>
    <t>국내무연탄</t>
    <phoneticPr fontId="57" type="noConversion"/>
  </si>
  <si>
    <t>원료탄</t>
    <phoneticPr fontId="57" type="noConversion"/>
  </si>
  <si>
    <t>기타유연탄</t>
    <phoneticPr fontId="57" type="noConversion"/>
  </si>
  <si>
    <t>아역청탄</t>
    <phoneticPr fontId="57" type="noConversion"/>
  </si>
  <si>
    <t>갈탄</t>
    <phoneticPr fontId="57" type="noConversion"/>
  </si>
  <si>
    <t>토탄</t>
    <phoneticPr fontId="57" type="noConversion"/>
  </si>
  <si>
    <t>고형연료</t>
    <phoneticPr fontId="57" type="noConversion"/>
  </si>
  <si>
    <t>코크스</t>
    <phoneticPr fontId="57" type="noConversion"/>
  </si>
  <si>
    <t>콜타르</t>
    <phoneticPr fontId="57" type="noConversion"/>
  </si>
  <si>
    <t>코크스로가스</t>
    <phoneticPr fontId="57" type="noConversion"/>
  </si>
  <si>
    <t>고로가스</t>
    <phoneticPr fontId="57" type="noConversion"/>
  </si>
  <si>
    <t>기타석탄가스</t>
    <phoneticPr fontId="57" type="noConversion"/>
  </si>
  <si>
    <t>천연가스</t>
    <phoneticPr fontId="57" type="noConversion"/>
  </si>
  <si>
    <t>원유</t>
    <phoneticPr fontId="57" type="noConversion"/>
  </si>
  <si>
    <t>정제원료</t>
    <phoneticPr fontId="57" type="noConversion"/>
  </si>
  <si>
    <t>첨가물</t>
    <phoneticPr fontId="57" type="noConversion"/>
  </si>
  <si>
    <t>기타탄화수소</t>
    <phoneticPr fontId="57" type="noConversion"/>
  </si>
  <si>
    <t>정제가스</t>
    <phoneticPr fontId="57" type="noConversion"/>
  </si>
  <si>
    <t>항공휘발유</t>
    <phoneticPr fontId="57" type="noConversion"/>
  </si>
  <si>
    <t>휘발유형항공유</t>
    <phoneticPr fontId="57" type="noConversion"/>
  </si>
  <si>
    <t>등유형항공유</t>
    <phoneticPr fontId="57" type="noConversion"/>
  </si>
  <si>
    <t>B-A</t>
    <phoneticPr fontId="57" type="noConversion"/>
  </si>
  <si>
    <t>B-B</t>
    <phoneticPr fontId="57" type="noConversion"/>
  </si>
  <si>
    <t>B-C</t>
    <phoneticPr fontId="57" type="noConversion"/>
  </si>
  <si>
    <t>용제</t>
    <phoneticPr fontId="57" type="noConversion"/>
  </si>
  <si>
    <t>윤활유</t>
    <phoneticPr fontId="57" type="noConversion"/>
  </si>
  <si>
    <t>아스팔트</t>
    <phoneticPr fontId="57" type="noConversion"/>
  </si>
  <si>
    <t>파라핀왁스</t>
    <phoneticPr fontId="57" type="noConversion"/>
  </si>
  <si>
    <t>석유코크</t>
    <phoneticPr fontId="57" type="noConversion"/>
  </si>
  <si>
    <t>기타석유제품</t>
    <phoneticPr fontId="57" type="noConversion"/>
  </si>
  <si>
    <t>산업폐기물</t>
    <phoneticPr fontId="57" type="noConversion"/>
  </si>
  <si>
    <t>도시폐기물_재생</t>
    <phoneticPr fontId="57" type="noConversion"/>
  </si>
  <si>
    <t>도시폐기물_비재생</t>
    <phoneticPr fontId="57" type="noConversion"/>
  </si>
  <si>
    <t>고형바이오매스</t>
    <phoneticPr fontId="57" type="noConversion"/>
  </si>
  <si>
    <t>바이오가스</t>
    <phoneticPr fontId="57" type="noConversion"/>
  </si>
  <si>
    <t>매립지가스</t>
    <phoneticPr fontId="57" type="noConversion"/>
  </si>
  <si>
    <t>바이오휘발유</t>
    <phoneticPr fontId="57" type="noConversion"/>
  </si>
  <si>
    <t>바이오경유</t>
    <phoneticPr fontId="57" type="noConversion"/>
  </si>
  <si>
    <t>기타바이오연료</t>
    <phoneticPr fontId="57" type="noConversion"/>
  </si>
  <si>
    <t>목탄</t>
    <phoneticPr fontId="57" type="noConversion"/>
  </si>
  <si>
    <t>원자력</t>
    <phoneticPr fontId="57" type="noConversion"/>
  </si>
  <si>
    <t>수력</t>
    <phoneticPr fontId="57" type="noConversion"/>
  </si>
  <si>
    <t>지열</t>
    <phoneticPr fontId="57" type="noConversion"/>
  </si>
  <si>
    <t>태양광</t>
    <phoneticPr fontId="57" type="noConversion"/>
  </si>
  <si>
    <t>태양열</t>
    <phoneticPr fontId="57" type="noConversion"/>
  </si>
  <si>
    <t>해양</t>
    <phoneticPr fontId="57" type="noConversion"/>
  </si>
  <si>
    <t>풍력</t>
    <phoneticPr fontId="57" type="noConversion"/>
  </si>
  <si>
    <t>기타에너지원</t>
    <phoneticPr fontId="57" type="noConversion"/>
  </si>
  <si>
    <t>전기</t>
    <phoneticPr fontId="57" type="noConversion"/>
  </si>
  <si>
    <t>열</t>
    <phoneticPr fontId="57" type="noConversion"/>
  </si>
  <si>
    <t>총에너지</t>
    <phoneticPr fontId="57" type="noConversion"/>
  </si>
  <si>
    <t>메모: 신재생</t>
    <phoneticPr fontId="57" type="noConversion"/>
  </si>
  <si>
    <t>Domestic-c</t>
    <phoneticPr fontId="57" type="noConversion"/>
  </si>
  <si>
    <t>Imports-c</t>
    <phoneticPr fontId="57" type="noConversion"/>
  </si>
  <si>
    <t>Coking coal</t>
    <phoneticPr fontId="57" type="noConversion"/>
  </si>
  <si>
    <t>Other bituminous</t>
    <phoneticPr fontId="57" type="noConversion"/>
  </si>
  <si>
    <t>Sub-Bituminous</t>
    <phoneticPr fontId="57" type="noConversion"/>
  </si>
  <si>
    <t>Lignite/Brown coal</t>
    <phoneticPr fontId="57" type="noConversion"/>
  </si>
  <si>
    <t>Peat</t>
    <phoneticPr fontId="57" type="noConversion"/>
  </si>
  <si>
    <t>Patent Fuel</t>
    <phoneticPr fontId="57" type="noConversion"/>
  </si>
  <si>
    <t>Coke Oven Coke</t>
    <phoneticPr fontId="57" type="noConversion"/>
  </si>
  <si>
    <t>Coal Tar</t>
    <phoneticPr fontId="57" type="noConversion"/>
  </si>
  <si>
    <t>Coke Oven Gas</t>
    <phoneticPr fontId="57" type="noConversion"/>
  </si>
  <si>
    <t>Blast Furnace Gas</t>
    <phoneticPr fontId="57" type="noConversion"/>
  </si>
  <si>
    <t>Other Recovered Gas</t>
    <phoneticPr fontId="57" type="noConversion"/>
  </si>
  <si>
    <t>Natural Gas</t>
    <phoneticPr fontId="57" type="noConversion"/>
  </si>
  <si>
    <t>City Gas</t>
    <phoneticPr fontId="57" type="noConversion"/>
  </si>
  <si>
    <t>Crude oil</t>
    <phoneticPr fontId="57" type="noConversion"/>
  </si>
  <si>
    <t>Refinery feedstocks</t>
    <phoneticPr fontId="57" type="noConversion"/>
  </si>
  <si>
    <t>Additives/blending components</t>
    <phoneticPr fontId="57" type="noConversion"/>
  </si>
  <si>
    <t>Other hydrocarbons</t>
    <phoneticPr fontId="57" type="noConversion"/>
  </si>
  <si>
    <t>Refinery gas</t>
    <phoneticPr fontId="57" type="noConversion"/>
  </si>
  <si>
    <t>Propane</t>
    <phoneticPr fontId="57" type="noConversion"/>
  </si>
  <si>
    <t>Motor gasoline</t>
    <phoneticPr fontId="57" type="noConversion"/>
  </si>
  <si>
    <t>Aviation gasoline</t>
    <phoneticPr fontId="57" type="noConversion"/>
  </si>
  <si>
    <t>Gasoline type jet fuel</t>
    <phoneticPr fontId="57" type="noConversion"/>
  </si>
  <si>
    <t>Kerosene type jet fuel</t>
    <phoneticPr fontId="57" type="noConversion"/>
  </si>
  <si>
    <t>Kerosene</t>
    <phoneticPr fontId="57" type="noConversion"/>
  </si>
  <si>
    <t>Gas/diesel oil</t>
    <phoneticPr fontId="57" type="noConversion"/>
  </si>
  <si>
    <t>Naphtha</t>
    <phoneticPr fontId="57" type="noConversion"/>
  </si>
  <si>
    <t>White spirit &amp; SBP</t>
    <phoneticPr fontId="57" type="noConversion"/>
  </si>
  <si>
    <t>Lubricants</t>
    <phoneticPr fontId="57" type="noConversion"/>
  </si>
  <si>
    <t>Bitumen</t>
    <phoneticPr fontId="57" type="noConversion"/>
  </si>
  <si>
    <t>Paraffin waxes</t>
    <phoneticPr fontId="57" type="noConversion"/>
  </si>
  <si>
    <t>Petroleum coke</t>
    <phoneticPr fontId="57" type="noConversion"/>
  </si>
  <si>
    <t>Other oil products</t>
    <phoneticPr fontId="57" type="noConversion"/>
  </si>
  <si>
    <t>Industrial waste</t>
    <phoneticPr fontId="57" type="noConversion"/>
  </si>
  <si>
    <t>Municipal waste (renewable)</t>
    <phoneticPr fontId="57" type="noConversion"/>
  </si>
  <si>
    <t>Municipal waste (non-renewable)</t>
    <phoneticPr fontId="57" type="noConversion"/>
  </si>
  <si>
    <t>Primary solid biomass</t>
    <phoneticPr fontId="57" type="noConversion"/>
  </si>
  <si>
    <t>Biogas</t>
    <phoneticPr fontId="57" type="noConversion"/>
  </si>
  <si>
    <t>LFG</t>
    <phoneticPr fontId="57" type="noConversion"/>
  </si>
  <si>
    <t>Biogasoline</t>
    <phoneticPr fontId="57" type="noConversion"/>
  </si>
  <si>
    <t>Biodiesels</t>
    <phoneticPr fontId="57" type="noConversion"/>
  </si>
  <si>
    <t>Other ligquid biofuels</t>
    <phoneticPr fontId="57" type="noConversion"/>
  </si>
  <si>
    <t>Charcoal</t>
    <phoneticPr fontId="57" type="noConversion"/>
  </si>
  <si>
    <t>Nuclear</t>
    <phoneticPr fontId="57" type="noConversion"/>
  </si>
  <si>
    <t>Hydro</t>
    <phoneticPr fontId="57" type="noConversion"/>
  </si>
  <si>
    <t>Geothermal</t>
    <phoneticPr fontId="57" type="noConversion"/>
  </si>
  <si>
    <t>Solar photovoltaics</t>
    <phoneticPr fontId="57" type="noConversion"/>
  </si>
  <si>
    <t>Solar thermal</t>
    <phoneticPr fontId="57" type="noConversion"/>
  </si>
  <si>
    <t>Tide, wave and ocean</t>
    <phoneticPr fontId="57" type="noConversion"/>
  </si>
  <si>
    <t>Wind</t>
    <phoneticPr fontId="57" type="noConversion"/>
  </si>
  <si>
    <t>Other sources</t>
    <phoneticPr fontId="57" type="noConversion"/>
  </si>
  <si>
    <t>Electricity</t>
    <phoneticPr fontId="57" type="noConversion"/>
  </si>
  <si>
    <t>Heat</t>
    <phoneticPr fontId="57" type="noConversion"/>
  </si>
  <si>
    <t>Total of all energy sources</t>
    <phoneticPr fontId="57" type="noConversion"/>
  </si>
  <si>
    <t>Memo: Renewables</t>
    <phoneticPr fontId="57" type="noConversion"/>
  </si>
  <si>
    <t>(UNIT : 1,000 toe, Gross)</t>
    <phoneticPr fontId="57" type="noConversion"/>
  </si>
  <si>
    <t>국내생산</t>
    <phoneticPr fontId="57" type="noConversion"/>
  </si>
  <si>
    <t>Production</t>
    <phoneticPr fontId="57" type="noConversion"/>
  </si>
  <si>
    <t>수입</t>
    <phoneticPr fontId="57" type="noConversion"/>
  </si>
  <si>
    <t>Imports</t>
    <phoneticPr fontId="57" type="noConversion"/>
  </si>
  <si>
    <t>수출</t>
    <phoneticPr fontId="57" type="noConversion"/>
  </si>
  <si>
    <t>Exports</t>
    <phoneticPr fontId="57" type="noConversion"/>
  </si>
  <si>
    <t>국제해운벙커링</t>
    <phoneticPr fontId="57" type="noConversion"/>
  </si>
  <si>
    <t>International Marine Bunkers</t>
    <phoneticPr fontId="57" type="noConversion"/>
  </si>
  <si>
    <t>국제항공벙커링</t>
    <phoneticPr fontId="57" type="noConversion"/>
  </si>
  <si>
    <t>International Aviation Bunkers</t>
    <phoneticPr fontId="57" type="noConversion"/>
  </si>
  <si>
    <t>재고변화</t>
    <phoneticPr fontId="57" type="noConversion"/>
  </si>
  <si>
    <t>Stocks Changes</t>
    <phoneticPr fontId="57" type="noConversion"/>
  </si>
  <si>
    <t>일차에너지공급</t>
    <phoneticPr fontId="57" type="noConversion"/>
  </si>
  <si>
    <t>Total Primary Energy Supply</t>
    <phoneticPr fontId="57" type="noConversion"/>
  </si>
  <si>
    <t>제품이동</t>
    <phoneticPr fontId="57" type="noConversion"/>
  </si>
  <si>
    <t>Transfers</t>
    <phoneticPr fontId="57" type="noConversion"/>
  </si>
  <si>
    <t>통계오차</t>
    <phoneticPr fontId="57" type="noConversion"/>
  </si>
  <si>
    <t>Statistical Differences</t>
    <phoneticPr fontId="57" type="noConversion"/>
  </si>
  <si>
    <t>일차에너지소비</t>
    <phoneticPr fontId="57" type="noConversion"/>
  </si>
  <si>
    <t>Total Primary Energy Consumption</t>
    <phoneticPr fontId="57" type="noConversion"/>
  </si>
  <si>
    <t>전환공정</t>
    <phoneticPr fontId="57" type="noConversion"/>
  </si>
  <si>
    <t>Transformation Processes</t>
    <phoneticPr fontId="57" type="noConversion"/>
  </si>
  <si>
    <t>발전전용</t>
    <phoneticPr fontId="57" type="noConversion"/>
  </si>
  <si>
    <t>Electricity Plants (transf.)</t>
    <phoneticPr fontId="57" type="noConversion"/>
  </si>
  <si>
    <t>발전전용_사업</t>
    <phoneticPr fontId="57" type="noConversion"/>
  </si>
  <si>
    <t>Main activity producer electricity plants (transf.)</t>
    <phoneticPr fontId="57" type="noConversion"/>
  </si>
  <si>
    <t>발전전용_자가</t>
    <phoneticPr fontId="57" type="noConversion"/>
  </si>
  <si>
    <t>Autoproducer electricity plants (transf.)</t>
    <phoneticPr fontId="57" type="noConversion"/>
  </si>
  <si>
    <t>열병합</t>
    <phoneticPr fontId="57" type="noConversion"/>
  </si>
  <si>
    <t>CHP Plants (transf.)</t>
    <phoneticPr fontId="57" type="noConversion"/>
  </si>
  <si>
    <t>열병합_사업</t>
    <phoneticPr fontId="57" type="noConversion"/>
  </si>
  <si>
    <t>Main activity producer CHP plants (transf.)</t>
    <phoneticPr fontId="57" type="noConversion"/>
  </si>
  <si>
    <t>열병합_자가</t>
    <phoneticPr fontId="57" type="noConversion"/>
  </si>
  <si>
    <t>Autoproducer CHP plants (transf.)</t>
    <phoneticPr fontId="57" type="noConversion"/>
  </si>
  <si>
    <t>열전용</t>
    <phoneticPr fontId="57" type="noConversion"/>
  </si>
  <si>
    <t>Heat Plants (transf.)</t>
    <phoneticPr fontId="57" type="noConversion"/>
  </si>
  <si>
    <t>열전용_사업</t>
    <phoneticPr fontId="57" type="noConversion"/>
  </si>
  <si>
    <t>Main activity producer heat plants (transf.)</t>
    <phoneticPr fontId="57" type="noConversion"/>
  </si>
  <si>
    <t>열전용_자가</t>
    <phoneticPr fontId="57" type="noConversion"/>
  </si>
  <si>
    <t>Autoproducer heat plants (transf.)</t>
    <phoneticPr fontId="57" type="noConversion"/>
  </si>
  <si>
    <t>화학반응열</t>
    <phoneticPr fontId="57" type="noConversion"/>
  </si>
  <si>
    <t>Chemical Heat for Electricity Production (transf.)</t>
    <phoneticPr fontId="57" type="noConversion"/>
  </si>
  <si>
    <t>코크스로</t>
    <phoneticPr fontId="57" type="noConversion"/>
  </si>
  <si>
    <t>Coke Ovens (transf.)</t>
    <phoneticPr fontId="57" type="noConversion"/>
  </si>
  <si>
    <t>고로</t>
    <phoneticPr fontId="57" type="noConversion"/>
  </si>
  <si>
    <t>Blast Furnace (transf.)</t>
    <phoneticPr fontId="57" type="noConversion"/>
  </si>
  <si>
    <t>연탄제조</t>
    <phoneticPr fontId="57" type="noConversion"/>
  </si>
  <si>
    <t>Patent Fuel Plants (transf.)</t>
    <phoneticPr fontId="57" type="noConversion"/>
  </si>
  <si>
    <t>석유정제</t>
    <phoneticPr fontId="57" type="noConversion"/>
  </si>
  <si>
    <t>Oil Refinery (transf.)</t>
    <phoneticPr fontId="57" type="noConversion"/>
  </si>
  <si>
    <t>석유화학</t>
    <phoneticPr fontId="57" type="noConversion"/>
  </si>
  <si>
    <t>Petrochemical Plants (transf.)</t>
    <phoneticPr fontId="57" type="noConversion"/>
  </si>
  <si>
    <t>가스제조</t>
    <phoneticPr fontId="57" type="noConversion"/>
  </si>
  <si>
    <t>Gas Manufacturing (transf.)</t>
    <phoneticPr fontId="57" type="noConversion"/>
  </si>
  <si>
    <t>석탄합성가스제조</t>
    <phoneticPr fontId="57" type="noConversion"/>
  </si>
  <si>
    <t>Coal-to-Gas plants (transf.)</t>
    <phoneticPr fontId="57" type="noConversion"/>
  </si>
  <si>
    <t>기타전환</t>
    <phoneticPr fontId="57" type="noConversion"/>
  </si>
  <si>
    <t>Non-specified Transformation (transf.)</t>
    <phoneticPr fontId="57" type="noConversion"/>
  </si>
  <si>
    <t>에너지산업자체소비</t>
    <phoneticPr fontId="57" type="noConversion"/>
  </si>
  <si>
    <t>Energy Industry Own Use</t>
    <phoneticPr fontId="57" type="noConversion"/>
  </si>
  <si>
    <t>석탄광업</t>
    <phoneticPr fontId="57" type="noConversion"/>
  </si>
  <si>
    <t>Coal Mining (energy)</t>
    <phoneticPr fontId="57" type="noConversion"/>
  </si>
  <si>
    <t>원유및천연가스채굴</t>
    <phoneticPr fontId="57" type="noConversion"/>
  </si>
  <si>
    <t>Oil &amp; Gas Extraction (energy)</t>
    <phoneticPr fontId="57" type="noConversion"/>
  </si>
  <si>
    <t>발전및열생산_자체소비</t>
    <phoneticPr fontId="57" type="noConversion"/>
  </si>
  <si>
    <t>Electricity, CHP and heat plants (energy)</t>
    <phoneticPr fontId="57" type="noConversion"/>
  </si>
  <si>
    <t>양수투입</t>
    <phoneticPr fontId="57" type="noConversion"/>
  </si>
  <si>
    <t>Used for Pumped Storage (energy)</t>
    <phoneticPr fontId="57" type="noConversion"/>
  </si>
  <si>
    <t>코크스로_자체소비</t>
    <phoneticPr fontId="57" type="noConversion"/>
  </si>
  <si>
    <t>Coke Ovens (energy)</t>
    <phoneticPr fontId="57" type="noConversion"/>
  </si>
  <si>
    <t>고로_자체소비</t>
    <phoneticPr fontId="57" type="noConversion"/>
  </si>
  <si>
    <t>Blast Furnace (energy)</t>
    <phoneticPr fontId="57" type="noConversion"/>
  </si>
  <si>
    <t>연탄제조_자체소비</t>
    <phoneticPr fontId="57" type="noConversion"/>
  </si>
  <si>
    <t>Patent Fuel Plants (energy)</t>
    <phoneticPr fontId="57" type="noConversion"/>
  </si>
  <si>
    <t>석유정제_자체소비</t>
    <phoneticPr fontId="57" type="noConversion"/>
  </si>
  <si>
    <t>Oil Refinery (energy)</t>
    <phoneticPr fontId="57" type="noConversion"/>
  </si>
  <si>
    <t>가스제조_자체소비</t>
    <phoneticPr fontId="57" type="noConversion"/>
  </si>
  <si>
    <t>Gas Manufacturing (energy)</t>
    <phoneticPr fontId="57" type="noConversion"/>
  </si>
  <si>
    <t>석탄합성가스제조_자체소비</t>
    <phoneticPr fontId="57" type="noConversion"/>
  </si>
  <si>
    <t>Coal-to-Gas plants (energy)</t>
    <phoneticPr fontId="57" type="noConversion"/>
  </si>
  <si>
    <t>기타전환_자체소비</t>
    <phoneticPr fontId="57" type="noConversion"/>
  </si>
  <si>
    <t>Non-specified Energy Industry (energy)</t>
    <phoneticPr fontId="57" type="noConversion"/>
  </si>
  <si>
    <t>손실</t>
    <phoneticPr fontId="57" type="noConversion"/>
  </si>
  <si>
    <t>Losses</t>
    <phoneticPr fontId="57" type="noConversion"/>
  </si>
  <si>
    <t>Total Final Consumption</t>
    <phoneticPr fontId="57" type="noConversion"/>
  </si>
  <si>
    <t>최종에너지소비</t>
    <phoneticPr fontId="57" type="noConversion"/>
  </si>
  <si>
    <t>Final Energy Consumption</t>
    <phoneticPr fontId="57" type="noConversion"/>
  </si>
  <si>
    <t>Industry</t>
    <phoneticPr fontId="57" type="noConversion"/>
  </si>
  <si>
    <t>농림업</t>
    <phoneticPr fontId="57" type="noConversion"/>
  </si>
  <si>
    <t>Agriculture/Forestry</t>
    <phoneticPr fontId="57" type="noConversion"/>
  </si>
  <si>
    <t>어업</t>
    <phoneticPr fontId="57" type="noConversion"/>
  </si>
  <si>
    <t>Fishing</t>
    <phoneticPr fontId="57" type="noConversion"/>
  </si>
  <si>
    <t>광업(석탄광업제외)</t>
    <phoneticPr fontId="57" type="noConversion"/>
  </si>
  <si>
    <t>Mining and Quarrying</t>
    <phoneticPr fontId="57" type="noConversion"/>
  </si>
  <si>
    <t>제조업</t>
    <phoneticPr fontId="57" type="noConversion"/>
  </si>
  <si>
    <t>Manufacturing</t>
    <phoneticPr fontId="57" type="noConversion"/>
  </si>
  <si>
    <t>식품및담배</t>
    <phoneticPr fontId="57" type="noConversion"/>
  </si>
  <si>
    <t>Food and Tobacco</t>
    <phoneticPr fontId="57" type="noConversion"/>
  </si>
  <si>
    <t>섬유및가죽</t>
    <phoneticPr fontId="57" type="noConversion"/>
  </si>
  <si>
    <t>Textile and Leather</t>
    <phoneticPr fontId="57" type="noConversion"/>
  </si>
  <si>
    <t>목재및나무제품</t>
    <phoneticPr fontId="57" type="noConversion"/>
  </si>
  <si>
    <t>Wood and Wood Products</t>
    <phoneticPr fontId="57" type="noConversion"/>
  </si>
  <si>
    <t>제지및인쇄</t>
    <phoneticPr fontId="57" type="noConversion"/>
  </si>
  <si>
    <t>Paper, Pulp and Print</t>
    <phoneticPr fontId="57" type="noConversion"/>
  </si>
  <si>
    <t>화학및석유화학</t>
    <phoneticPr fontId="57" type="noConversion"/>
  </si>
  <si>
    <t>Chemical and Petrochemical</t>
    <phoneticPr fontId="57" type="noConversion"/>
  </si>
  <si>
    <t>비금속광물</t>
    <phoneticPr fontId="57" type="noConversion"/>
  </si>
  <si>
    <t>Non-metallic Minerals</t>
    <phoneticPr fontId="57" type="noConversion"/>
  </si>
  <si>
    <t>철강</t>
    <phoneticPr fontId="57" type="noConversion"/>
  </si>
  <si>
    <t>Iron and Steel</t>
    <phoneticPr fontId="57" type="noConversion"/>
  </si>
  <si>
    <t>비철금속</t>
    <phoneticPr fontId="57" type="noConversion"/>
  </si>
  <si>
    <t>Non-ferrous Metals</t>
    <phoneticPr fontId="57" type="noConversion"/>
  </si>
  <si>
    <t>기계류</t>
    <phoneticPr fontId="57" type="noConversion"/>
  </si>
  <si>
    <t>Machinery</t>
    <phoneticPr fontId="57" type="noConversion"/>
  </si>
  <si>
    <t>수송장비</t>
    <phoneticPr fontId="57" type="noConversion"/>
  </si>
  <si>
    <t>Transport Equipment</t>
    <phoneticPr fontId="57" type="noConversion"/>
  </si>
  <si>
    <t>기타제조</t>
    <phoneticPr fontId="57" type="noConversion"/>
  </si>
  <si>
    <t>Other Manufacturing</t>
    <phoneticPr fontId="57" type="noConversion"/>
  </si>
  <si>
    <t>건설업</t>
    <phoneticPr fontId="57" type="noConversion"/>
  </si>
  <si>
    <t>Construction</t>
    <phoneticPr fontId="57" type="noConversion"/>
  </si>
  <si>
    <t>Transport</t>
    <phoneticPr fontId="57" type="noConversion"/>
  </si>
  <si>
    <t>Rail</t>
    <phoneticPr fontId="57" type="noConversion"/>
  </si>
  <si>
    <t>Road</t>
    <phoneticPr fontId="57" type="noConversion"/>
  </si>
  <si>
    <t>국내해운</t>
    <phoneticPr fontId="57" type="noConversion"/>
  </si>
  <si>
    <t>Domestic Navigation</t>
    <phoneticPr fontId="57" type="noConversion"/>
  </si>
  <si>
    <t>국내항공</t>
    <phoneticPr fontId="57" type="noConversion"/>
  </si>
  <si>
    <t>Domestic Aviation</t>
    <phoneticPr fontId="57" type="noConversion"/>
  </si>
  <si>
    <t>Residential</t>
    <phoneticPr fontId="57" type="noConversion"/>
  </si>
  <si>
    <t>상업</t>
    <phoneticPr fontId="57" type="noConversion"/>
  </si>
  <si>
    <t>Commercial</t>
    <phoneticPr fontId="57" type="noConversion"/>
  </si>
  <si>
    <t>공공</t>
    <phoneticPr fontId="57" type="noConversion"/>
  </si>
  <si>
    <t>Public Services</t>
    <phoneticPr fontId="57" type="noConversion"/>
  </si>
  <si>
    <t>최종비에너지소비</t>
    <phoneticPr fontId="57" type="noConversion"/>
  </si>
  <si>
    <t>Final Non-Energy Consumption</t>
    <phoneticPr fontId="57" type="noConversion"/>
  </si>
  <si>
    <t>비에너지_산업및에너지</t>
    <phoneticPr fontId="57" type="noConversion"/>
  </si>
  <si>
    <t>Non-Energy Use in Industry &amp; Energy</t>
    <phoneticPr fontId="57" type="noConversion"/>
  </si>
  <si>
    <t>비에너지_수송</t>
    <phoneticPr fontId="57" type="noConversion"/>
  </si>
  <si>
    <t>Non-Energy Use in Transport</t>
    <phoneticPr fontId="57" type="noConversion"/>
  </si>
  <si>
    <t>비에너지_가정</t>
    <phoneticPr fontId="57" type="noConversion"/>
  </si>
  <si>
    <t>Non-Energy Use in Residential</t>
    <phoneticPr fontId="57" type="noConversion"/>
  </si>
  <si>
    <t>비에너지_상업</t>
    <phoneticPr fontId="57" type="noConversion"/>
  </si>
  <si>
    <t>Non-Energy Use in Commercial</t>
    <phoneticPr fontId="57" type="noConversion"/>
  </si>
  <si>
    <t>비에너지_공공</t>
    <phoneticPr fontId="57" type="noConversion"/>
  </si>
  <si>
    <t>Non-Energy Use in Public Service</t>
    <phoneticPr fontId="57" type="noConversion"/>
  </si>
  <si>
    <t>메모: 석유화학원료</t>
    <phoneticPr fontId="57" type="noConversion"/>
  </si>
  <si>
    <t>of which in Petrochemical Feedstock</t>
    <phoneticPr fontId="57" type="noConversion"/>
  </si>
  <si>
    <t>전기생산 (GWh)</t>
    <phoneticPr fontId="57" type="noConversion"/>
  </si>
  <si>
    <t>Electricity Output</t>
    <phoneticPr fontId="57" type="noConversion"/>
  </si>
  <si>
    <t>발전전용발전_사업</t>
    <phoneticPr fontId="57" type="noConversion"/>
  </si>
  <si>
    <t>Main activity producer electricity plants</t>
    <phoneticPr fontId="57" type="noConversion"/>
  </si>
  <si>
    <t>발전전용발전_자가</t>
    <phoneticPr fontId="57" type="noConversion"/>
  </si>
  <si>
    <t>Autoproducer electricity plants</t>
    <phoneticPr fontId="57" type="noConversion"/>
  </si>
  <si>
    <t>열병합발전_사업</t>
    <phoneticPr fontId="57" type="noConversion"/>
  </si>
  <si>
    <t>Main activity producer CHP plants</t>
    <phoneticPr fontId="57" type="noConversion"/>
  </si>
  <si>
    <t>열병합발전_자가</t>
    <phoneticPr fontId="57" type="noConversion"/>
  </si>
  <si>
    <t>Autoproducer CHP plants</t>
    <phoneticPr fontId="57" type="noConversion"/>
  </si>
  <si>
    <t>기타발전</t>
    <phoneticPr fontId="57" type="noConversion"/>
  </si>
  <si>
    <t>Other electricity output</t>
    <phoneticPr fontId="57" type="noConversion"/>
  </si>
  <si>
    <t>열생산 (TJ)</t>
    <phoneticPr fontId="57" type="noConversion"/>
  </si>
  <si>
    <t>Heat Output</t>
    <phoneticPr fontId="57" type="noConversion"/>
  </si>
  <si>
    <t>열병합열생산_사업</t>
    <phoneticPr fontId="57" type="noConversion"/>
  </si>
  <si>
    <t>열병합열생산_자가</t>
    <phoneticPr fontId="57" type="noConversion"/>
  </si>
  <si>
    <t>열전용열생산_사업</t>
    <phoneticPr fontId="57" type="noConversion"/>
  </si>
  <si>
    <t>Main activity producer heat plants</t>
    <phoneticPr fontId="57" type="noConversion"/>
  </si>
  <si>
    <t>열전용열생산_자가</t>
    <phoneticPr fontId="57" type="noConversion"/>
  </si>
  <si>
    <t>Autoproducer heat plants</t>
    <phoneticPr fontId="57" type="noConversion"/>
  </si>
  <si>
    <t>기타열생산</t>
    <phoneticPr fontId="57" type="noConversion"/>
  </si>
  <si>
    <t>Other heat output</t>
    <phoneticPr fontId="57" type="noConversion"/>
  </si>
  <si>
    <t>Petroleum split (based on 2022 Energy Balance)</t>
    <phoneticPr fontId="37" type="noConversion"/>
  </si>
  <si>
    <t>값복사된 데이터 출처 파악 불가 - 다른 탭과 다르게 trend 함수를 사용하지 않음(값이 다름). 다른 탭과 동일하게 trend함수 사용하는 것이 적절해 보이나 다른 탭(Gas, Oil, Coal)과의 정합성을 기존에는 어떻게 고려했는지 알 수 없음</t>
    <phoneticPr fontId="37" type="noConversion"/>
  </si>
  <si>
    <r>
      <t>2019</t>
    </r>
    <r>
      <rPr>
        <sz val="11"/>
        <color theme="1"/>
        <rFont val="맑은 고딕"/>
        <family val="2"/>
        <charset val="129"/>
      </rPr>
      <t>년은 개정전 에너지밸런스, 2022년은 개정에너지밸런스로 통계 집계 방식에 일부 차이 존재</t>
    </r>
    <phoneticPr fontId="37" type="noConversion"/>
  </si>
  <si>
    <r>
      <rPr>
        <sz val="11"/>
        <color theme="1"/>
        <rFont val="맑은 고딕"/>
        <family val="2"/>
        <charset val="129"/>
      </rPr>
      <t>농림업</t>
    </r>
    <r>
      <rPr>
        <sz val="11"/>
        <color theme="1"/>
        <rFont val="Calibri"/>
        <family val="2"/>
      </rPr>
      <t xml:space="preserve">, </t>
    </r>
    <r>
      <rPr>
        <sz val="11"/>
        <color theme="1"/>
        <rFont val="맑은 고딕"/>
        <family val="2"/>
        <charset val="129"/>
      </rPr>
      <t>어업</t>
    </r>
    <r>
      <rPr>
        <sz val="11"/>
        <color theme="1"/>
        <rFont val="Calibri"/>
        <family val="2"/>
      </rPr>
      <t xml:space="preserve">, </t>
    </r>
    <r>
      <rPr>
        <sz val="11"/>
        <color theme="1"/>
        <rFont val="맑은 고딕"/>
        <family val="2"/>
        <charset val="129"/>
      </rPr>
      <t>광업</t>
    </r>
    <r>
      <rPr>
        <sz val="11"/>
        <color theme="1"/>
        <rFont val="Calibri"/>
        <family val="2"/>
      </rPr>
      <t xml:space="preserve">, </t>
    </r>
    <r>
      <rPr>
        <sz val="11"/>
        <color theme="1"/>
        <rFont val="맑은 고딕"/>
        <family val="2"/>
        <charset val="129"/>
      </rPr>
      <t>식품및담배</t>
    </r>
    <r>
      <rPr>
        <sz val="11"/>
        <color theme="1"/>
        <rFont val="Calibri"/>
        <family val="2"/>
      </rPr>
      <t xml:space="preserve">, </t>
    </r>
    <r>
      <rPr>
        <sz val="11"/>
        <color theme="1"/>
        <rFont val="맑은 고딕"/>
        <family val="2"/>
        <charset val="129"/>
      </rPr>
      <t>섬유및가죽</t>
    </r>
    <r>
      <rPr>
        <sz val="11"/>
        <color theme="1"/>
        <rFont val="Calibri"/>
        <family val="2"/>
      </rPr>
      <t xml:space="preserve">, </t>
    </r>
    <r>
      <rPr>
        <sz val="11"/>
        <color theme="1"/>
        <rFont val="맑은 고딕"/>
        <family val="2"/>
        <charset val="129"/>
      </rPr>
      <t>목재및나무제품</t>
    </r>
    <r>
      <rPr>
        <sz val="11"/>
        <color theme="1"/>
        <rFont val="Calibri"/>
        <family val="2"/>
      </rPr>
      <t xml:space="preserve">, </t>
    </r>
    <r>
      <rPr>
        <sz val="11"/>
        <color theme="1"/>
        <rFont val="맑은 고딕"/>
        <family val="2"/>
        <charset val="129"/>
      </rPr>
      <t>제지및인쇄</t>
    </r>
    <r>
      <rPr>
        <sz val="11"/>
        <color theme="1"/>
        <rFont val="Calibri"/>
        <family val="2"/>
      </rPr>
      <t xml:space="preserve">, </t>
    </r>
    <r>
      <rPr>
        <sz val="11"/>
        <color theme="1"/>
        <rFont val="맑은 고딕"/>
        <family val="2"/>
        <charset val="129"/>
      </rPr>
      <t>비금속광물</t>
    </r>
    <r>
      <rPr>
        <sz val="11"/>
        <color theme="1"/>
        <rFont val="Calibri"/>
        <family val="2"/>
      </rPr>
      <t xml:space="preserve">, </t>
    </r>
    <r>
      <rPr>
        <sz val="11"/>
        <color theme="1"/>
        <rFont val="맑은 고딕"/>
        <family val="2"/>
        <charset val="129"/>
      </rPr>
      <t>기타제조</t>
    </r>
    <r>
      <rPr>
        <sz val="11"/>
        <color theme="1"/>
        <rFont val="Calibri"/>
        <family val="2"/>
      </rPr>
      <t xml:space="preserve">, </t>
    </r>
    <r>
      <rPr>
        <sz val="11"/>
        <color theme="1"/>
        <rFont val="맑은 고딕"/>
        <family val="2"/>
        <charset val="129"/>
      </rPr>
      <t>건설업</t>
    </r>
    <phoneticPr fontId="37" type="noConversion"/>
  </si>
  <si>
    <t>철강 외에는 에너지밸런스 기준 split을 수식에 사용x</t>
    <phoneticPr fontId="37" type="noConversion"/>
  </si>
  <si>
    <t>&lt;석유화학 구조조정 시나리오 기반 에너지수요전망&gt;</t>
  </si>
  <si>
    <t>2018산업연구원</t>
  </si>
  <si>
    <t>Coal (석탄류)</t>
  </si>
  <si>
    <t>Petroleum (석유류)</t>
  </si>
  <si>
    <t>Gas (LNG)</t>
  </si>
  <si>
    <t>Electricity (전력)</t>
  </si>
  <si>
    <t>Renewables (신재생전력)</t>
  </si>
  <si>
    <t>-&gt; 2018년 산업연의 석탄 소비량 수치가 실제 제철업계 소비량보다 과다계상되어 있는데, 철강업계의 범위가 KNZS보다 넓을 수 있다는 것이 추정 이유.</t>
  </si>
  <si>
    <t>&lt;철강 Base 시나리오 기반 에너지수요전망&gt;</t>
  </si>
  <si>
    <t>1,000TOE</t>
    <phoneticPr fontId="37" type="noConversion"/>
  </si>
  <si>
    <t>1,000,000TOE</t>
    <phoneticPr fontId="37" type="noConversion"/>
  </si>
  <si>
    <t>(M TOE)</t>
    <phoneticPr fontId="3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</si>
</sst>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41" formatCode="_-* #,##0_-;\-* #,##0_-;_-* &quot;-&quot;_-;_-@_-"/>
    <numFmt numFmtId="176" formatCode="_(* #,##0.00_);_(* \(#,##0.00\);_(* &quot;-&quot;??_);_(@_)"/>
    <numFmt numFmtId="177" formatCode="#,##0.0"/>
    <numFmt numFmtId="178" formatCode="0.000E+00"/>
    <numFmt numFmtId="179" formatCode="#,##0.00000"/>
    <numFmt numFmtId="180" formatCode="#\ ##0"/>
    <numFmt numFmtId="181" formatCode="#\ ##0.00"/>
    <numFmt numFmtId="182" formatCode="#\ ##0;\-#\ ##0;\-"/>
    <numFmt numFmtId="183" formatCode="#\ ##0.0"/>
    <numFmt numFmtId="184" formatCode="#\ ##0.0;\-#\ ##0.0;\-"/>
    <numFmt numFmtId="185" formatCode="_ * #,##0.0_ ;_ * \-#,##0.0_ ;_ * &quot;-&quot;_ ;_ @_ "/>
    <numFmt numFmtId="186" formatCode="_ * #,##0_ ;_ * \-#,##0_ ;_ * &quot;-&quot;_ ;_ @_ "/>
    <numFmt numFmtId="187" formatCode="_-* #,##0.00_-;\-* #,##0.00_-;_-* &quot;-&quot;_-;_-@_-"/>
    <numFmt numFmtId="188" formatCode="0_);[Red]\(0\)"/>
    <numFmt numFmtId="189" formatCode="0.E+00"/>
    <numFmt numFmtId="190" formatCode="0.0%"/>
    <numFmt numFmtId="191" formatCode="_-* #,##0.00000000000_-;\-* #,##0.00000000000_-;_-* &quot;-&quot;_-;_-@_-"/>
  </numFmts>
  <fonts count="92">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b/>
      <sz val="11"/>
      <color theme="1"/>
      <name val="맑은 고딕"/>
      <family val="2"/>
      <scheme val="minor"/>
    </font>
    <font>
      <b/>
      <sz val="9"/>
      <color theme="1"/>
      <name val="맑은 고딕"/>
      <family val="2"/>
      <scheme val="minor"/>
    </font>
    <font>
      <sz val="9"/>
      <color theme="1"/>
      <name val="맑은 고딕"/>
      <family val="2"/>
      <scheme val="minor"/>
    </font>
    <font>
      <u/>
      <sz val="10"/>
      <color theme="4"/>
      <name val="맑은 고딕"/>
      <family val="2"/>
      <scheme val="minor"/>
    </font>
    <font>
      <u/>
      <sz val="11"/>
      <color theme="6"/>
      <name val="Calibri"/>
      <family val="2"/>
    </font>
    <font>
      <b/>
      <sz val="12"/>
      <color theme="4"/>
      <name val="맑은 고딕"/>
      <family val="2"/>
      <scheme val="minor"/>
    </font>
    <font>
      <sz val="9"/>
      <color rgb="FF000000"/>
      <name val="Calibri"/>
      <family val="2"/>
    </font>
    <font>
      <sz val="11"/>
      <color theme="1"/>
      <name val="맑은 고딕"/>
      <family val="2"/>
      <scheme val="minor"/>
    </font>
    <font>
      <sz val="12"/>
      <name val="Helv"/>
    </font>
    <font>
      <b/>
      <sz val="9"/>
      <color indexed="8"/>
      <name val="Calibri"/>
      <family val="2"/>
    </font>
    <font>
      <sz val="11"/>
      <color rgb="FFFF0000"/>
      <name val="맑은 고딕"/>
      <family val="2"/>
      <scheme val="minor"/>
    </font>
    <font>
      <sz val="9"/>
      <color indexed="8"/>
      <name val="Calibri"/>
      <family val="2"/>
    </font>
    <font>
      <b/>
      <sz val="12"/>
      <color indexed="30"/>
      <name val="Calibri"/>
      <family val="2"/>
    </font>
    <font>
      <sz val="18"/>
      <color theme="3"/>
      <name val="맑은 고딕"/>
      <family val="2"/>
      <scheme val="major"/>
    </font>
    <font>
      <b/>
      <sz val="15"/>
      <color theme="3"/>
      <name val="맑은 고딕"/>
      <family val="2"/>
      <scheme val="minor"/>
    </font>
    <font>
      <b/>
      <sz val="13"/>
      <color theme="3"/>
      <name val="맑은 고딕"/>
      <family val="2"/>
      <scheme val="minor"/>
    </font>
    <font>
      <b/>
      <sz val="11"/>
      <color theme="3"/>
      <name val="맑은 고딕"/>
      <family val="2"/>
      <scheme val="minor"/>
    </font>
    <font>
      <sz val="11"/>
      <color rgb="FF006100"/>
      <name val="맑은 고딕"/>
      <family val="2"/>
      <scheme val="minor"/>
    </font>
    <font>
      <sz val="11"/>
      <color rgb="FF9C0006"/>
      <name val="맑은 고딕"/>
      <family val="2"/>
      <scheme val="minor"/>
    </font>
    <font>
      <sz val="11"/>
      <color rgb="FF3F3F76"/>
      <name val="맑은 고딕"/>
      <family val="2"/>
      <scheme val="minor"/>
    </font>
    <font>
      <b/>
      <sz val="11"/>
      <color rgb="FF3F3F3F"/>
      <name val="맑은 고딕"/>
      <family val="2"/>
      <scheme val="minor"/>
    </font>
    <font>
      <b/>
      <sz val="11"/>
      <color rgb="FFFA7D00"/>
      <name val="맑은 고딕"/>
      <family val="2"/>
      <scheme val="minor"/>
    </font>
    <font>
      <sz val="11"/>
      <color rgb="FFFA7D00"/>
      <name val="맑은 고딕"/>
      <family val="2"/>
      <scheme val="minor"/>
    </font>
    <font>
      <b/>
      <sz val="11"/>
      <color theme="0"/>
      <name val="맑은 고딕"/>
      <family val="2"/>
      <scheme val="minor"/>
    </font>
    <font>
      <i/>
      <sz val="11"/>
      <color rgb="FF7F7F7F"/>
      <name val="맑은 고딕"/>
      <family val="2"/>
      <scheme val="minor"/>
    </font>
    <font>
      <sz val="11"/>
      <color theme="0"/>
      <name val="맑은 고딕"/>
      <family val="2"/>
      <scheme val="minor"/>
    </font>
    <font>
      <sz val="11"/>
      <color rgb="FF9C6500"/>
      <name val="맑은 고딕"/>
      <family val="2"/>
      <scheme val="minor"/>
    </font>
    <font>
      <i/>
      <sz val="11"/>
      <color theme="1"/>
      <name val="맑은 고딕"/>
      <family val="2"/>
      <scheme val="minor"/>
    </font>
    <font>
      <sz val="10"/>
      <color theme="1"/>
      <name val="Calibri"/>
      <family val="2"/>
    </font>
    <font>
      <sz val="8"/>
      <name val="맑은 고딕"/>
      <family val="3"/>
      <charset val="129"/>
      <scheme val="minor"/>
    </font>
    <font>
      <b/>
      <sz val="10"/>
      <color theme="1"/>
      <name val="맑은 고딕"/>
      <family val="3"/>
      <charset val="129"/>
    </font>
    <font>
      <i/>
      <sz val="10"/>
      <color theme="1"/>
      <name val="맑은 고딕"/>
      <family val="3"/>
      <charset val="129"/>
    </font>
    <font>
      <sz val="7"/>
      <color theme="1"/>
      <name val="맑은 고딕"/>
      <family val="3"/>
      <charset val="129"/>
    </font>
    <font>
      <sz val="11"/>
      <color theme="1"/>
      <name val="맑은 고딕"/>
      <family val="3"/>
      <charset val="129"/>
      <scheme val="minor"/>
    </font>
    <font>
      <b/>
      <sz val="7.5"/>
      <color theme="0"/>
      <name val="맑은 고딕"/>
      <family val="2"/>
      <scheme val="minor"/>
    </font>
    <font>
      <b/>
      <sz val="8"/>
      <color theme="0"/>
      <name val="맑은 고딕"/>
      <family val="3"/>
      <charset val="129"/>
    </font>
    <font>
      <b/>
      <sz val="1"/>
      <color theme="0"/>
      <name val="맑은 고딕"/>
      <family val="2"/>
      <scheme val="minor"/>
    </font>
    <font>
      <b/>
      <sz val="8"/>
      <color theme="0"/>
      <name val="맑은 고딕"/>
      <family val="2"/>
      <scheme val="minor"/>
    </font>
    <font>
      <b/>
      <sz val="7"/>
      <color theme="1"/>
      <name val="맑은 고딕"/>
      <family val="3"/>
      <charset val="129"/>
    </font>
    <font>
      <b/>
      <sz val="7.5"/>
      <color theme="1"/>
      <name val="맑은 고딕"/>
      <family val="2"/>
      <scheme val="minor"/>
    </font>
    <font>
      <sz val="8"/>
      <color theme="1"/>
      <name val="맑은 고딕"/>
      <family val="3"/>
      <charset val="129"/>
      <scheme val="minor"/>
    </font>
    <font>
      <sz val="1"/>
      <color theme="1"/>
      <name val="맑은 고딕"/>
      <family val="3"/>
      <charset val="129"/>
      <scheme val="minor"/>
    </font>
    <font>
      <sz val="7.5"/>
      <color theme="1"/>
      <name val="맑은 고딕"/>
      <family val="2"/>
      <scheme val="minor"/>
    </font>
    <font>
      <sz val="1"/>
      <color theme="1"/>
      <name val="맑은 고딕"/>
      <family val="2"/>
      <scheme val="minor"/>
    </font>
    <font>
      <sz val="1"/>
      <color theme="1"/>
      <name val="맑은 고딕"/>
      <family val="3"/>
      <charset val="129"/>
    </font>
    <font>
      <sz val="1"/>
      <color theme="1"/>
      <name val="맑은 고딕"/>
      <family val="2"/>
      <charset val="129"/>
      <scheme val="minor"/>
    </font>
    <font>
      <sz val="6"/>
      <color theme="1"/>
      <name val="KoPub돋움체 Light"/>
      <family val="1"/>
      <charset val="129"/>
    </font>
    <font>
      <sz val="6"/>
      <color theme="1"/>
      <name val="맑은 고딕"/>
      <family val="3"/>
      <charset val="129"/>
    </font>
    <font>
      <sz val="7"/>
      <color theme="1"/>
      <name val="Century Gothic"/>
      <family val="2"/>
    </font>
    <font>
      <sz val="8"/>
      <name val="맑은 고딕"/>
      <family val="2"/>
      <charset val="129"/>
      <scheme val="minor"/>
    </font>
    <font>
      <b/>
      <sz val="7.5"/>
      <color indexed="8"/>
      <name val="맑은 고딕"/>
      <family val="2"/>
      <scheme val="minor"/>
    </font>
    <font>
      <b/>
      <sz val="1"/>
      <color indexed="8"/>
      <name val="맑은 고딕"/>
      <family val="2"/>
      <scheme val="minor"/>
    </font>
    <font>
      <b/>
      <sz val="1"/>
      <color theme="1"/>
      <name val="맑은 고딕"/>
      <family val="2"/>
      <scheme val="minor"/>
    </font>
    <font>
      <sz val="7"/>
      <color theme="1"/>
      <name val="HY견고딕"/>
      <family val="1"/>
      <charset val="129"/>
    </font>
    <font>
      <sz val="7.5"/>
      <color indexed="8"/>
      <name val="맑은 고딕"/>
      <family val="2"/>
      <scheme val="minor"/>
    </font>
    <font>
      <sz val="11"/>
      <color theme="1"/>
      <name val="맑은 고딕"/>
      <family val="2"/>
      <charset val="129"/>
    </font>
    <font>
      <sz val="10"/>
      <name val="맑은 고딕"/>
      <family val="2"/>
      <charset val="129"/>
      <scheme val="minor"/>
    </font>
    <font>
      <b/>
      <sz val="10"/>
      <name val="맑은 고딕"/>
      <family val="2"/>
      <scheme val="minor"/>
    </font>
    <font>
      <sz val="10"/>
      <name val="Calibri"/>
      <family val="2"/>
    </font>
    <font>
      <sz val="10"/>
      <name val="맑은 고딕"/>
      <family val="2"/>
      <scheme val="minor"/>
    </font>
    <font>
      <sz val="11"/>
      <color theme="1"/>
      <name val="Calibri"/>
      <family val="2"/>
    </font>
    <font>
      <sz val="11"/>
      <color theme="1"/>
      <name val="맑은 고딕"/>
      <family val="3"/>
      <charset val="129"/>
    </font>
    <font>
      <sz val="11"/>
      <color theme="1"/>
      <name val="Calibri"/>
      <family val="2"/>
      <charset val="129"/>
    </font>
    <font>
      <b/>
      <sz val="10"/>
      <name val="맑은 고딕"/>
      <family val="3"/>
      <charset val="129"/>
      <scheme val="minor"/>
    </font>
    <font>
      <b/>
      <sz val="11"/>
      <color theme="1"/>
      <name val="Calibri"/>
      <family val="2"/>
    </font>
    <font>
      <sz val="7"/>
      <color theme="1"/>
      <name val="맑은 고딕"/>
      <family val="2"/>
      <scheme val="minor"/>
    </font>
    <font>
      <sz val="7"/>
      <color theme="1"/>
      <name val="맑은 고딕"/>
      <family val="3"/>
      <charset val="129"/>
      <scheme val="minor"/>
    </font>
    <font>
      <sz val="7.5"/>
      <color theme="1"/>
      <name val="맑은 고딕"/>
      <family val="2"/>
      <charset val="129"/>
      <scheme val="minor"/>
    </font>
    <font>
      <sz val="7.5"/>
      <color theme="1"/>
      <name val="맑은 고딕"/>
      <family val="3"/>
      <charset val="129"/>
    </font>
    <font>
      <sz val="7.5"/>
      <color theme="1"/>
      <name val="맑은 고딕"/>
      <family val="3"/>
      <charset val="129"/>
      <scheme val="minor"/>
    </font>
    <font>
      <b/>
      <sz val="7.5"/>
      <color theme="1"/>
      <name val="맑은 고딕"/>
      <family val="3"/>
      <charset val="129"/>
    </font>
    <font>
      <b/>
      <sz val="8"/>
      <color theme="1"/>
      <name val="맑은 고딕"/>
      <family val="2"/>
      <scheme val="minor"/>
    </font>
    <font>
      <b/>
      <sz val="7.5"/>
      <color theme="1"/>
      <name val="맑은 고딕"/>
      <family val="3"/>
      <charset val="129"/>
      <scheme val="minor"/>
    </font>
    <font>
      <b/>
      <sz val="11"/>
      <color theme="1"/>
      <name val="맑은 고딕"/>
      <family val="3"/>
      <charset val="129"/>
      <scheme val="minor"/>
    </font>
    <font>
      <sz val="11"/>
      <color rgb="FFFF0000"/>
      <name val="맑은 고딕"/>
      <family val="2"/>
      <charset val="129"/>
    </font>
    <font>
      <b/>
      <sz val="11"/>
      <color theme="1"/>
      <name val="Calibri"/>
      <family val="3"/>
    </font>
    <font>
      <sz val="11"/>
      <color rgb="FF666666"/>
      <name val="����"/>
      <family val="2"/>
    </font>
    <font>
      <sz val="11"/>
      <color theme="1"/>
      <name val="Calibri"/>
      <family val="3"/>
      <charset val="129"/>
    </font>
    <font>
      <b/>
      <sz val="10"/>
      <name val="맑은 고딕"/>
      <family val="2"/>
      <charset val="129"/>
      <scheme val="minor"/>
    </font>
    <font>
      <sz val="11"/>
      <color theme="1"/>
      <name val="나눔고딕OTF"/>
      <family val="2"/>
      <charset val="129"/>
    </font>
    <font>
      <sz val="11"/>
      <color rgb="FF000000"/>
      <name val="맑은 고딕"/>
      <family val="3"/>
      <charset val="129"/>
    </font>
    <font>
      <sz val="9"/>
      <color theme="1"/>
      <name val="맑은 고딕"/>
      <family val="2"/>
    </font>
    <font>
      <sz val="11"/>
      <color rgb="FFFF0000"/>
      <name val="맑은 고딕"/>
      <family val="3"/>
      <charset val="129"/>
      <scheme val="minor"/>
    </font>
    <font>
      <sz val="7.5"/>
      <color rgb="FFFF0000"/>
      <name val="맑은 고딕"/>
      <family val="2"/>
      <scheme val="minor"/>
    </font>
  </fonts>
  <fills count="64">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0"/>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F0EBD7"/>
      </patternFill>
    </fill>
    <fill>
      <patternFill patternType="solid">
        <fgColor theme="6" tint="0.79998168889431442"/>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2" tint="-0.249977111117893"/>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2" tint="-0.499984740745262"/>
        <bgColor indexed="64"/>
      </patternFill>
    </fill>
    <fill>
      <patternFill patternType="solid">
        <fgColor theme="4" tint="0.39997558519241921"/>
        <bgColor indexed="64"/>
      </patternFill>
    </fill>
    <fill>
      <patternFill patternType="solid">
        <fgColor rgb="FFFF9B9B"/>
        <bgColor indexed="64"/>
      </patternFill>
    </fill>
    <fill>
      <patternFill patternType="solid">
        <fgColor rgb="FFFFC000"/>
        <bgColor indexed="64"/>
      </patternFill>
    </fill>
    <fill>
      <patternFill patternType="solid">
        <fgColor theme="9" tint="0.59999389629810485"/>
        <bgColor indexed="64"/>
      </patternFill>
    </fill>
    <fill>
      <patternFill patternType="solid">
        <fgColor theme="2" tint="-9.9978637043366805E-2"/>
        <bgColor indexed="64"/>
      </patternFill>
    </fill>
    <fill>
      <patternFill patternType="lightDown"/>
    </fill>
    <fill>
      <patternFill patternType="solid">
        <fgColor rgb="FFBCCCE0"/>
      </patternFill>
    </fill>
    <fill>
      <patternFill patternType="solid">
        <fgColor rgb="FFE2ECF8"/>
      </patternFill>
    </fill>
    <fill>
      <patternFill patternType="solid">
        <fgColor theme="0" tint="-0.14999847407452621"/>
        <bgColor indexed="64"/>
      </patternFill>
    </fill>
    <fill>
      <patternFill patternType="solid">
        <fgColor rgb="FFFFFFCC"/>
        <bgColor indexed="64"/>
      </patternFill>
    </fill>
  </fills>
  <borders count="51">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dashed">
        <color rgb="FFBFBFBF"/>
      </bottom>
      <diagonal/>
    </border>
    <border>
      <left/>
      <right/>
      <top/>
      <bottom style="thin">
        <color rgb="FFBFBFBF"/>
      </bottom>
      <diagonal/>
    </border>
    <border>
      <left/>
      <right/>
      <top/>
      <bottom style="thick">
        <color rgb="FF0096D7"/>
      </bottom>
      <diagonal/>
    </border>
    <border>
      <left/>
      <right/>
      <top style="medium">
        <color rgb="FF0096D7"/>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0"/>
      </bottom>
      <diagonal/>
    </border>
    <border>
      <left/>
      <right/>
      <top/>
      <bottom style="thin">
        <color theme="3" tint="-0.24994659260841701"/>
      </bottom>
      <diagonal/>
    </border>
    <border>
      <left/>
      <right/>
      <top style="thin">
        <color theme="3" tint="-0.249977111117893"/>
      </top>
      <bottom/>
      <diagonal/>
    </border>
    <border>
      <left/>
      <right/>
      <top style="medium">
        <color theme="3" tint="-0.249977111117893"/>
      </top>
      <bottom/>
      <diagonal/>
    </border>
    <border>
      <left/>
      <right/>
      <top style="thin">
        <color rgb="FF002060"/>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
      <left/>
      <right/>
      <top style="hair">
        <color indexed="64"/>
      </top>
      <bottom/>
      <diagonal/>
    </border>
    <border>
      <left/>
      <right/>
      <top style="medium">
        <color indexed="64"/>
      </top>
      <bottom style="medium">
        <color indexed="64"/>
      </bottom>
      <diagonal/>
    </border>
    <border>
      <left/>
      <right/>
      <top/>
      <bottom style="thin">
        <color theme="3"/>
      </bottom>
      <diagonal/>
    </border>
    <border>
      <left/>
      <right style="thin">
        <color theme="3"/>
      </right>
      <top/>
      <bottom/>
      <diagonal/>
    </border>
    <border>
      <left/>
      <right style="thin">
        <color theme="3"/>
      </right>
      <top/>
      <bottom style="thin">
        <color theme="3"/>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right/>
      <top/>
      <bottom style="medium">
        <color theme="6" tint="-0.2499465926084170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theme="4"/>
      </left>
      <right style="thin">
        <color theme="4"/>
      </right>
      <top/>
      <bottom style="thin">
        <color theme="4"/>
      </bottom>
      <diagonal/>
    </border>
    <border>
      <left/>
      <right/>
      <top/>
      <bottom style="thin">
        <color theme="4"/>
      </bottom>
      <diagonal/>
    </border>
    <border>
      <left/>
      <right style="thin">
        <color theme="3"/>
      </right>
      <top/>
      <bottom style="thin">
        <color theme="4"/>
      </bottom>
      <diagonal/>
    </border>
    <border>
      <left style="thin">
        <color theme="3"/>
      </left>
      <right/>
      <top/>
      <bottom style="thin">
        <color theme="4"/>
      </bottom>
      <diagonal/>
    </border>
    <border>
      <left/>
      <right style="thin">
        <color indexed="64"/>
      </right>
      <top/>
      <bottom style="thin">
        <color indexed="64"/>
      </bottom>
      <diagonal/>
    </border>
  </borders>
  <cellStyleXfs count="89">
    <xf numFmtId="0" fontId="0" fillId="0" borderId="0"/>
    <xf numFmtId="0" fontId="9" fillId="0" borderId="1" applyNumberFormat="0" applyProtection="0">
      <alignment wrapText="1"/>
    </xf>
    <xf numFmtId="0" fontId="10" fillId="0" borderId="2" applyNumberFormat="0" applyFont="0" applyProtection="0">
      <alignment wrapText="1"/>
    </xf>
    <xf numFmtId="0" fontId="9" fillId="0" borderId="7" applyNumberFormat="0" applyProtection="0">
      <alignment horizontal="left" wrapText="1"/>
    </xf>
    <xf numFmtId="0" fontId="9" fillId="0" borderId="6" applyNumberFormat="0" applyFill="0" applyProtection="0">
      <alignment wrapText="1"/>
    </xf>
    <xf numFmtId="0" fontId="9" fillId="0" borderId="4" applyNumberFormat="0" applyProtection="0">
      <alignment wrapText="1"/>
    </xf>
    <xf numFmtId="0" fontId="10" fillId="0" borderId="3" applyNumberFormat="0" applyProtection="0">
      <alignment vertical="top" wrapText="1"/>
    </xf>
    <xf numFmtId="0" fontId="10" fillId="0" borderId="5" applyNumberFormat="0" applyFont="0" applyFill="0" applyProtection="0">
      <alignment wrapText="1"/>
    </xf>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0" fillId="0" borderId="0" applyNumberFormat="0" applyProtection="0">
      <alignment vertical="top" wrapText="1"/>
    </xf>
    <xf numFmtId="0" fontId="13" fillId="0" borderId="0" applyNumberFormat="0" applyProtection="0">
      <alignment horizontal="left"/>
    </xf>
    <xf numFmtId="0" fontId="16" fillId="0" borderId="0"/>
    <xf numFmtId="0" fontId="16" fillId="0" borderId="0"/>
    <xf numFmtId="0" fontId="16" fillId="0" borderId="0"/>
    <xf numFmtId="0" fontId="16" fillId="0" borderId="0"/>
    <xf numFmtId="0" fontId="15" fillId="0" borderId="0"/>
    <xf numFmtId="9" fontId="15" fillId="0" borderId="0" applyFont="0" applyFill="0" applyBorder="0" applyAlignment="0" applyProtection="0"/>
    <xf numFmtId="0" fontId="19" fillId="0" borderId="0"/>
    <xf numFmtId="0" fontId="19" fillId="0" borderId="0" applyNumberFormat="0" applyFill="0" applyBorder="0" applyAlignment="0" applyProtection="0"/>
    <xf numFmtId="0" fontId="17" fillId="0" borderId="10" applyNumberFormat="0" applyProtection="0">
      <alignment wrapText="1"/>
    </xf>
    <xf numFmtId="0" fontId="20" fillId="0" borderId="0" applyNumberFormat="0" applyProtection="0">
      <alignment horizontal="left"/>
    </xf>
    <xf numFmtId="0" fontId="17" fillId="0" borderId="9" applyNumberFormat="0" applyProtection="0">
      <alignment wrapText="1"/>
    </xf>
    <xf numFmtId="0" fontId="19" fillId="0" borderId="8" applyNumberFormat="0" applyFont="0" applyProtection="0">
      <alignment wrapText="1"/>
    </xf>
    <xf numFmtId="0" fontId="19" fillId="0" borderId="11" applyNumberFormat="0" applyProtection="0">
      <alignment wrapText="1"/>
    </xf>
    <xf numFmtId="0" fontId="21" fillId="0" borderId="0" applyNumberFormat="0" applyFill="0" applyBorder="0" applyAlignment="0" applyProtection="0"/>
    <xf numFmtId="0" fontId="22" fillId="0" borderId="1" applyNumberFormat="0" applyFill="0" applyAlignment="0" applyProtection="0"/>
    <xf numFmtId="0" fontId="23" fillId="0" borderId="12" applyNumberFormat="0" applyFill="0" applyAlignment="0" applyProtection="0"/>
    <xf numFmtId="0" fontId="24" fillId="0" borderId="13" applyNumberFormat="0" applyFill="0" applyAlignment="0" applyProtection="0"/>
    <xf numFmtId="0" fontId="24" fillId="0" borderId="0" applyNumberFormat="0" applyFill="0" applyBorder="0" applyAlignment="0" applyProtection="0"/>
    <xf numFmtId="0" fontId="25" fillId="4" borderId="0" applyNumberFormat="0" applyBorder="0" applyAlignment="0" applyProtection="0"/>
    <xf numFmtId="0" fontId="26" fillId="5" borderId="0" applyNumberFormat="0" applyBorder="0" applyAlignment="0" applyProtection="0"/>
    <xf numFmtId="0" fontId="27" fillId="7" borderId="14" applyNumberFormat="0" applyAlignment="0" applyProtection="0"/>
    <xf numFmtId="0" fontId="28" fillId="8" borderId="15" applyNumberFormat="0" applyAlignment="0" applyProtection="0"/>
    <xf numFmtId="0" fontId="29" fillId="8" borderId="14" applyNumberFormat="0" applyAlignment="0" applyProtection="0"/>
    <xf numFmtId="0" fontId="30" fillId="0" borderId="16" applyNumberFormat="0" applyFill="0" applyAlignment="0" applyProtection="0"/>
    <xf numFmtId="0" fontId="31" fillId="9" borderId="17" applyNumberFormat="0" applyAlignment="0" applyProtection="0"/>
    <xf numFmtId="0" fontId="18" fillId="0" borderId="0" applyNumberFormat="0" applyFill="0" applyBorder="0" applyAlignment="0" applyProtection="0"/>
    <xf numFmtId="0" fontId="15" fillId="10" borderId="18" applyNumberFormat="0" applyFont="0" applyAlignment="0" applyProtection="0"/>
    <xf numFmtId="0" fontId="32" fillId="0" borderId="0" applyNumberFormat="0" applyFill="0" applyBorder="0" applyAlignment="0" applyProtection="0"/>
    <xf numFmtId="0" fontId="8" fillId="0" borderId="19" applyNumberFormat="0" applyFill="0" applyAlignment="0" applyProtection="0"/>
    <xf numFmtId="0" fontId="33"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33"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33"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33"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33"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33"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34" fillId="6" borderId="0" applyNumberFormat="0" applyBorder="0" applyAlignment="0" applyProtection="0"/>
    <xf numFmtId="0" fontId="33" fillId="14" borderId="0" applyNumberFormat="0" applyBorder="0" applyAlignment="0" applyProtection="0"/>
    <xf numFmtId="0" fontId="33" fillId="18" borderId="0" applyNumberFormat="0" applyBorder="0" applyAlignment="0" applyProtection="0"/>
    <xf numFmtId="0" fontId="33" fillId="22" borderId="0" applyNumberFormat="0" applyBorder="0" applyAlignment="0" applyProtection="0"/>
    <xf numFmtId="0" fontId="33" fillId="26" borderId="0" applyNumberFormat="0" applyBorder="0" applyAlignment="0" applyProtection="0"/>
    <xf numFmtId="0" fontId="33" fillId="30" borderId="0" applyNumberFormat="0" applyBorder="0" applyAlignment="0" applyProtection="0"/>
    <xf numFmtId="0" fontId="33" fillId="34" borderId="0" applyNumberFormat="0" applyBorder="0" applyAlignment="0" applyProtection="0"/>
    <xf numFmtId="0" fontId="15" fillId="10" borderId="18" applyNumberFormat="0" applyFont="0" applyAlignment="0" applyProtection="0"/>
    <xf numFmtId="0" fontId="15" fillId="12" borderId="0" applyNumberFormat="0" applyBorder="0" applyAlignment="0" applyProtection="0"/>
    <xf numFmtId="0" fontId="15" fillId="13"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36" fillId="0" borderId="0"/>
    <xf numFmtId="0" fontId="15" fillId="0" borderId="0"/>
    <xf numFmtId="0" fontId="15" fillId="0" borderId="0"/>
    <xf numFmtId="176" fontId="36" fillId="0" borderId="0" applyFont="0" applyFill="0" applyBorder="0" applyAlignment="0" applyProtection="0"/>
    <xf numFmtId="41" fontId="15" fillId="0" borderId="0" applyFont="0" applyFill="0" applyBorder="0" applyAlignment="0" applyProtection="0">
      <alignment vertical="center"/>
    </xf>
    <xf numFmtId="0" fontId="7" fillId="0" borderId="0"/>
    <xf numFmtId="0" fontId="41" fillId="0" borderId="0">
      <alignment vertical="center"/>
    </xf>
    <xf numFmtId="0" fontId="5" fillId="0" borderId="0"/>
    <xf numFmtId="0" fontId="4" fillId="0" borderId="0"/>
  </cellStyleXfs>
  <cellXfs count="519">
    <xf numFmtId="0" fontId="0" fillId="0" borderId="0" xfId="0"/>
    <xf numFmtId="0" fontId="8" fillId="0" borderId="0" xfId="0" applyFont="1"/>
    <xf numFmtId="0" fontId="0" fillId="0" borderId="0" xfId="0" applyAlignment="1">
      <alignment horizontal="left"/>
    </xf>
    <xf numFmtId="0" fontId="8" fillId="2" borderId="0" xfId="0" applyFont="1" applyFill="1"/>
    <xf numFmtId="0" fontId="14" fillId="0" borderId="0" xfId="2" applyFont="1" applyBorder="1">
      <alignment wrapText="1"/>
    </xf>
    <xf numFmtId="0" fontId="0" fillId="0" borderId="8" xfId="2" applyFont="1" applyBorder="1">
      <alignment wrapText="1"/>
    </xf>
    <xf numFmtId="177" fontId="0" fillId="0" borderId="2" xfId="2" applyNumberFormat="1" applyFont="1" applyAlignment="1">
      <alignment horizontal="right" wrapText="1"/>
    </xf>
    <xf numFmtId="0" fontId="17" fillId="0" borderId="9" xfId="5" applyFont="1" applyBorder="1">
      <alignment wrapText="1"/>
    </xf>
    <xf numFmtId="177" fontId="9" fillId="0" borderId="4" xfId="5" applyNumberFormat="1" applyAlignment="1">
      <alignment horizontal="right" wrapText="1"/>
    </xf>
    <xf numFmtId="4" fontId="0" fillId="0" borderId="2" xfId="2" applyNumberFormat="1" applyFont="1" applyAlignment="1">
      <alignment horizontal="right" wrapText="1"/>
    </xf>
    <xf numFmtId="4" fontId="9" fillId="0" borderId="4" xfId="5" applyNumberFormat="1" applyAlignment="1">
      <alignment horizontal="right" wrapText="1"/>
    </xf>
    <xf numFmtId="1" fontId="8" fillId="0" borderId="0" xfId="0" applyNumberFormat="1" applyFont="1"/>
    <xf numFmtId="0" fontId="8" fillId="0" borderId="0" xfId="8" applyFont="1" applyFill="1"/>
    <xf numFmtId="0" fontId="8" fillId="0" borderId="0" xfId="2" applyFont="1" applyBorder="1">
      <alignment wrapText="1"/>
    </xf>
    <xf numFmtId="178" fontId="0" fillId="0" borderId="0" xfId="0" applyNumberFormat="1"/>
    <xf numFmtId="0" fontId="18" fillId="0" borderId="8" xfId="2" applyFont="1" applyBorder="1">
      <alignment wrapText="1"/>
    </xf>
    <xf numFmtId="11" fontId="0" fillId="0" borderId="0" xfId="0" applyNumberFormat="1"/>
    <xf numFmtId="0" fontId="10" fillId="0" borderId="0" xfId="0" applyFont="1" applyAlignment="1" applyProtection="1">
      <alignment horizontal="right"/>
      <protection locked="0"/>
    </xf>
    <xf numFmtId="0" fontId="10" fillId="0" borderId="0" xfId="0" applyFont="1"/>
    <xf numFmtId="1" fontId="10" fillId="0" borderId="0" xfId="0" applyNumberFormat="1" applyFont="1"/>
    <xf numFmtId="179" fontId="0" fillId="0" borderId="0" xfId="0" applyNumberFormat="1"/>
    <xf numFmtId="9" fontId="0" fillId="0" borderId="0" xfId="18" applyFont="1"/>
    <xf numFmtId="0" fontId="17" fillId="0" borderId="9" xfId="23">
      <alignment wrapText="1"/>
    </xf>
    <xf numFmtId="0" fontId="0" fillId="0" borderId="8" xfId="24" applyFont="1">
      <alignment wrapText="1"/>
    </xf>
    <xf numFmtId="0" fontId="35" fillId="0" borderId="0" xfId="0" applyFont="1"/>
    <xf numFmtId="9" fontId="0" fillId="0" borderId="2" xfId="18" applyFont="1" applyFill="1" applyBorder="1" applyAlignment="1">
      <alignment horizontal="right" wrapText="1"/>
    </xf>
    <xf numFmtId="11" fontId="0" fillId="0" borderId="2" xfId="2" applyNumberFormat="1" applyFont="1" applyAlignment="1">
      <alignment horizontal="right" wrapText="1"/>
    </xf>
    <xf numFmtId="11" fontId="9" fillId="0" borderId="4" xfId="5" applyNumberFormat="1" applyAlignment="1">
      <alignment horizontal="right" wrapText="1"/>
    </xf>
    <xf numFmtId="11" fontId="10" fillId="0" borderId="0" xfId="0" applyNumberFormat="1" applyFont="1" applyAlignment="1" applyProtection="1">
      <alignment horizontal="right"/>
      <protection locked="0"/>
    </xf>
    <xf numFmtId="11" fontId="10" fillId="0" borderId="0" xfId="0" applyNumberFormat="1" applyFont="1"/>
    <xf numFmtId="0" fontId="7" fillId="36" borderId="0" xfId="85" applyFill="1"/>
    <xf numFmtId="0" fontId="42" fillId="37" borderId="0" xfId="86" applyFont="1" applyFill="1" applyAlignment="1">
      <alignment vertical="center" wrapText="1"/>
    </xf>
    <xf numFmtId="0" fontId="43" fillId="37" borderId="0" xfId="86" applyFont="1" applyFill="1" applyAlignment="1">
      <alignment horizontal="centerContinuous" vertical="center" wrapText="1"/>
    </xf>
    <xf numFmtId="0" fontId="44" fillId="37" borderId="0" xfId="86" applyFont="1" applyFill="1" applyAlignment="1">
      <alignment vertical="center" wrapText="1"/>
    </xf>
    <xf numFmtId="0" fontId="45" fillId="37" borderId="0" xfId="86" applyFont="1" applyFill="1" applyAlignment="1">
      <alignment vertical="center" wrapText="1"/>
    </xf>
    <xf numFmtId="0" fontId="45" fillId="37" borderId="0" xfId="86" applyFont="1" applyFill="1" applyAlignment="1">
      <alignment horizontal="center" vertical="center" wrapText="1"/>
    </xf>
    <xf numFmtId="0" fontId="44" fillId="37" borderId="0" xfId="86" applyFont="1" applyFill="1" applyAlignment="1">
      <alignment horizontal="center" vertical="center" wrapText="1"/>
    </xf>
    <xf numFmtId="0" fontId="46" fillId="36" borderId="0" xfId="86" applyFont="1" applyFill="1" applyAlignment="1">
      <alignment vertical="center" wrapText="1"/>
    </xf>
    <xf numFmtId="180" fontId="47" fillId="38" borderId="0" xfId="86" applyNumberFormat="1" applyFont="1" applyFill="1" applyAlignment="1">
      <alignment horizontal="right" vertical="center" wrapText="1"/>
    </xf>
    <xf numFmtId="180" fontId="47" fillId="36" borderId="0" xfId="86" applyNumberFormat="1" applyFont="1" applyFill="1" applyAlignment="1">
      <alignment horizontal="right" vertical="center" wrapText="1"/>
    </xf>
    <xf numFmtId="181" fontId="48" fillId="36" borderId="0" xfId="86" applyNumberFormat="1" applyFont="1" applyFill="1" applyAlignment="1">
      <alignment horizontal="right" vertical="center" wrapText="1"/>
    </xf>
    <xf numFmtId="181" fontId="49" fillId="36" borderId="0" xfId="86" applyNumberFormat="1" applyFont="1" applyFill="1" applyAlignment="1">
      <alignment horizontal="right" vertical="center" wrapText="1"/>
    </xf>
    <xf numFmtId="0" fontId="40" fillId="36" borderId="0" xfId="86" applyFont="1" applyFill="1" applyAlignment="1">
      <alignment horizontal="left" vertical="center" wrapText="1" indent="1"/>
    </xf>
    <xf numFmtId="182" fontId="50" fillId="38" borderId="0" xfId="86" applyNumberFormat="1" applyFont="1" applyFill="1" applyAlignment="1">
      <alignment horizontal="right" vertical="center" wrapText="1"/>
    </xf>
    <xf numFmtId="182" fontId="50" fillId="36" borderId="0" xfId="86" applyNumberFormat="1" applyFont="1" applyFill="1" applyAlignment="1">
      <alignment horizontal="right" vertical="center" wrapText="1"/>
    </xf>
    <xf numFmtId="180" fontId="50" fillId="36" borderId="0" xfId="86" applyNumberFormat="1" applyFont="1" applyFill="1" applyAlignment="1">
      <alignment horizontal="right" vertical="center" wrapText="1"/>
    </xf>
    <xf numFmtId="181" fontId="51" fillId="36" borderId="0" xfId="86" applyNumberFormat="1" applyFont="1" applyFill="1" applyAlignment="1">
      <alignment horizontal="right" vertical="center" wrapText="1"/>
    </xf>
    <xf numFmtId="183" fontId="50" fillId="36" borderId="0" xfId="86" applyNumberFormat="1" applyFont="1" applyFill="1" applyAlignment="1">
      <alignment horizontal="right" vertical="center" wrapText="1"/>
    </xf>
    <xf numFmtId="0" fontId="40" fillId="36" borderId="0" xfId="86" applyFont="1" applyFill="1" applyAlignment="1">
      <alignment horizontal="left" vertical="center" wrapText="1" indent="2"/>
    </xf>
    <xf numFmtId="0" fontId="40" fillId="36" borderId="21" xfId="86" applyFont="1" applyFill="1" applyBorder="1" applyAlignment="1">
      <alignment horizontal="left" vertical="center" wrapText="1" indent="2"/>
    </xf>
    <xf numFmtId="0" fontId="52" fillId="36" borderId="22" xfId="86" applyFont="1" applyFill="1" applyBorder="1" applyAlignment="1">
      <alignment vertical="center" wrapText="1"/>
    </xf>
    <xf numFmtId="180" fontId="51" fillId="38" borderId="22" xfId="86" applyNumberFormat="1" applyFont="1" applyFill="1" applyBorder="1" applyAlignment="1">
      <alignment horizontal="right" vertical="center" wrapText="1"/>
    </xf>
    <xf numFmtId="180" fontId="51" fillId="36" borderId="22" xfId="86" applyNumberFormat="1" applyFont="1" applyFill="1" applyBorder="1" applyAlignment="1">
      <alignment horizontal="right" vertical="center" wrapText="1"/>
    </xf>
    <xf numFmtId="181" fontId="51" fillId="36" borderId="22" xfId="86" applyNumberFormat="1" applyFont="1" applyFill="1" applyBorder="1" applyAlignment="1">
      <alignment horizontal="right" vertical="center" wrapText="1"/>
    </xf>
    <xf numFmtId="183" fontId="51" fillId="36" borderId="22" xfId="86" applyNumberFormat="1" applyFont="1" applyFill="1" applyBorder="1" applyAlignment="1">
      <alignment horizontal="right" vertical="center" wrapText="1"/>
    </xf>
    <xf numFmtId="0" fontId="53" fillId="36" borderId="0" xfId="85" applyFont="1" applyFill="1"/>
    <xf numFmtId="182" fontId="50" fillId="38" borderId="21" xfId="86" applyNumberFormat="1" applyFont="1" applyFill="1" applyBorder="1" applyAlignment="1">
      <alignment horizontal="right" vertical="center" wrapText="1"/>
    </xf>
    <xf numFmtId="181" fontId="49" fillId="36" borderId="21" xfId="86" applyNumberFormat="1" applyFont="1" applyFill="1" applyBorder="1" applyAlignment="1">
      <alignment horizontal="right" vertical="center" wrapText="1"/>
    </xf>
    <xf numFmtId="0" fontId="7" fillId="36" borderId="0" xfId="85" applyFill="1" applyAlignment="1">
      <alignment horizontal="right" indent="1"/>
    </xf>
    <xf numFmtId="0" fontId="53" fillId="36" borderId="0" xfId="85" applyFont="1" applyFill="1" applyAlignment="1">
      <alignment horizontal="right" indent="1"/>
    </xf>
    <xf numFmtId="181" fontId="50" fillId="36" borderId="0" xfId="86" applyNumberFormat="1" applyFont="1" applyFill="1" applyAlignment="1">
      <alignment horizontal="right" vertical="center" wrapText="1"/>
    </xf>
    <xf numFmtId="182" fontId="58" fillId="38" borderId="0" xfId="86" applyNumberFormat="1" applyFont="1" applyFill="1" applyAlignment="1">
      <alignment horizontal="right" vertical="center" wrapText="1"/>
    </xf>
    <xf numFmtId="182" fontId="58" fillId="36" borderId="0" xfId="86" applyNumberFormat="1" applyFont="1" applyFill="1" applyAlignment="1">
      <alignment horizontal="right" vertical="center" wrapText="1"/>
    </xf>
    <xf numFmtId="180" fontId="58" fillId="36" borderId="0" xfId="86" applyNumberFormat="1" applyFont="1" applyFill="1" applyAlignment="1">
      <alignment horizontal="right" vertical="center" wrapText="1"/>
    </xf>
    <xf numFmtId="183" fontId="59" fillId="36" borderId="0" xfId="86" applyNumberFormat="1" applyFont="1" applyFill="1" applyAlignment="1">
      <alignment horizontal="right" vertical="center" wrapText="1"/>
    </xf>
    <xf numFmtId="183" fontId="58" fillId="36" borderId="0" xfId="86" applyNumberFormat="1" applyFont="1" applyFill="1" applyAlignment="1">
      <alignment horizontal="right" vertical="center" wrapText="1"/>
    </xf>
    <xf numFmtId="183" fontId="51" fillId="36" borderId="0" xfId="86" applyNumberFormat="1" applyFont="1" applyFill="1" applyAlignment="1">
      <alignment horizontal="right" vertical="center" wrapText="1"/>
    </xf>
    <xf numFmtId="182" fontId="47" fillId="38" borderId="0" xfId="86" applyNumberFormat="1" applyFont="1" applyFill="1" applyAlignment="1">
      <alignment horizontal="right" vertical="center" wrapText="1"/>
    </xf>
    <xf numFmtId="182" fontId="47" fillId="36" borderId="0" xfId="86" applyNumberFormat="1" applyFont="1" applyFill="1" applyAlignment="1">
      <alignment horizontal="right" vertical="center" wrapText="1"/>
    </xf>
    <xf numFmtId="180" fontId="50" fillId="36" borderId="0" xfId="86" applyNumberFormat="1" applyFont="1" applyFill="1" applyAlignment="1">
      <alignment horizontal="right" vertical="center" wrapText="1" indent="1"/>
    </xf>
    <xf numFmtId="183" fontId="51" fillId="36" borderId="0" xfId="86" applyNumberFormat="1" applyFont="1" applyFill="1" applyAlignment="1">
      <alignment horizontal="right" vertical="center" wrapText="1" indent="1"/>
    </xf>
    <xf numFmtId="183" fontId="50" fillId="36" borderId="0" xfId="86" applyNumberFormat="1" applyFont="1" applyFill="1" applyAlignment="1">
      <alignment horizontal="right" vertical="center" wrapText="1" indent="1"/>
    </xf>
    <xf numFmtId="184" fontId="47" fillId="38" borderId="0" xfId="86" applyNumberFormat="1" applyFont="1" applyFill="1" applyAlignment="1">
      <alignment horizontal="right" vertical="center" wrapText="1"/>
    </xf>
    <xf numFmtId="184" fontId="47" fillId="36" borderId="0" xfId="86" applyNumberFormat="1" applyFont="1" applyFill="1" applyAlignment="1">
      <alignment horizontal="right" vertical="center" wrapText="1"/>
    </xf>
    <xf numFmtId="181" fontId="60" fillId="36" borderId="0" xfId="86" applyNumberFormat="1" applyFont="1" applyFill="1" applyAlignment="1">
      <alignment horizontal="right" vertical="center" wrapText="1"/>
    </xf>
    <xf numFmtId="183" fontId="47" fillId="36" borderId="0" xfId="86" applyNumberFormat="1" applyFont="1" applyFill="1" applyAlignment="1">
      <alignment horizontal="right" vertical="center" wrapText="1"/>
    </xf>
    <xf numFmtId="184" fontId="50" fillId="38" borderId="0" xfId="86" applyNumberFormat="1" applyFont="1" applyFill="1" applyAlignment="1">
      <alignment horizontal="right" vertical="center" wrapText="1"/>
    </xf>
    <xf numFmtId="184" fontId="50" fillId="36" borderId="0" xfId="86" applyNumberFormat="1" applyFont="1" applyFill="1" applyAlignment="1">
      <alignment horizontal="right" vertical="center" wrapText="1"/>
    </xf>
    <xf numFmtId="181" fontId="50" fillId="38" borderId="0" xfId="86" applyNumberFormat="1" applyFont="1" applyFill="1" applyAlignment="1">
      <alignment horizontal="right" vertical="center" wrapText="1"/>
    </xf>
    <xf numFmtId="181" fontId="51" fillId="36" borderId="0" xfId="86" applyNumberFormat="1" applyFont="1" applyFill="1" applyAlignment="1">
      <alignment horizontal="right" vertical="center" wrapText="1" indent="1"/>
    </xf>
    <xf numFmtId="0" fontId="46" fillId="36" borderId="0" xfId="86" applyFont="1" applyFill="1" applyAlignment="1">
      <alignment horizontal="left" vertical="center" wrapText="1"/>
    </xf>
    <xf numFmtId="180" fontId="62" fillId="36" borderId="0" xfId="86" applyNumberFormat="1" applyFont="1" applyFill="1" applyAlignment="1">
      <alignment horizontal="right" vertical="center" wrapText="1"/>
    </xf>
    <xf numFmtId="181" fontId="59" fillId="36" borderId="0" xfId="86" applyNumberFormat="1" applyFont="1" applyFill="1" applyAlignment="1">
      <alignment horizontal="right" vertical="center" wrapText="1"/>
    </xf>
    <xf numFmtId="180" fontId="50" fillId="38" borderId="0" xfId="86" applyNumberFormat="1" applyFont="1" applyFill="1" applyAlignment="1">
      <alignment horizontal="right" vertical="center" wrapText="1"/>
    </xf>
    <xf numFmtId="0" fontId="52" fillId="36" borderId="24" xfId="86" applyFont="1" applyFill="1" applyBorder="1" applyAlignment="1">
      <alignment vertical="center" wrapText="1"/>
    </xf>
    <xf numFmtId="180" fontId="51" fillId="38" borderId="24" xfId="86" applyNumberFormat="1" applyFont="1" applyFill="1" applyBorder="1" applyAlignment="1">
      <alignment horizontal="right" vertical="center" wrapText="1"/>
    </xf>
    <xf numFmtId="180" fontId="51" fillId="36" borderId="24" xfId="86" applyNumberFormat="1" applyFont="1" applyFill="1" applyBorder="1" applyAlignment="1">
      <alignment horizontal="right" vertical="center" wrapText="1"/>
    </xf>
    <xf numFmtId="181" fontId="49" fillId="36" borderId="24" xfId="86" applyNumberFormat="1" applyFont="1" applyFill="1" applyBorder="1" applyAlignment="1">
      <alignment horizontal="right" vertical="center" wrapText="1"/>
    </xf>
    <xf numFmtId="0" fontId="64" fillId="35" borderId="0" xfId="86" applyFont="1" applyFill="1">
      <alignment vertical="center"/>
    </xf>
    <xf numFmtId="185" fontId="67" fillId="35" borderId="0" xfId="86" applyNumberFormat="1" applyFont="1" applyFill="1">
      <alignment vertical="center"/>
    </xf>
    <xf numFmtId="186" fontId="64" fillId="35" borderId="0" xfId="86" applyNumberFormat="1" applyFont="1" applyFill="1">
      <alignment vertical="center"/>
    </xf>
    <xf numFmtId="0" fontId="64" fillId="35" borderId="0" xfId="0" applyFont="1" applyFill="1" applyAlignment="1">
      <alignment horizontal="left" vertical="center" indent="3"/>
    </xf>
    <xf numFmtId="0" fontId="11" fillId="0" borderId="0" xfId="9" applyAlignment="1" applyProtection="1"/>
    <xf numFmtId="0" fontId="64" fillId="0" borderId="28" xfId="86" applyFont="1" applyBorder="1">
      <alignment vertical="center"/>
    </xf>
    <xf numFmtId="0" fontId="64" fillId="0" borderId="0" xfId="86" applyFont="1" applyAlignment="1">
      <alignment horizontal="center" vertical="center"/>
    </xf>
    <xf numFmtId="0" fontId="64" fillId="0" borderId="0" xfId="86" applyFont="1">
      <alignment vertical="center"/>
    </xf>
    <xf numFmtId="0" fontId="65" fillId="0" borderId="0" xfId="86" applyFont="1" applyAlignment="1">
      <alignment horizontal="center" vertical="center"/>
    </xf>
    <xf numFmtId="0" fontId="64" fillId="0" borderId="0" xfId="86" applyFont="1" applyAlignment="1">
      <alignment horizontal="left" vertical="center"/>
    </xf>
    <xf numFmtId="0" fontId="66" fillId="0" borderId="28" xfId="85" applyFont="1" applyBorder="1" applyAlignment="1">
      <alignment horizontal="center" vertical="center"/>
    </xf>
    <xf numFmtId="0" fontId="64" fillId="0" borderId="28" xfId="86" applyFont="1" applyBorder="1" applyAlignment="1">
      <alignment horizontal="left" vertical="center"/>
    </xf>
    <xf numFmtId="0" fontId="64" fillId="0" borderId="0" xfId="0" applyFont="1" applyAlignment="1">
      <alignment horizontal="left" vertical="center"/>
    </xf>
    <xf numFmtId="49" fontId="64" fillId="0" borderId="0" xfId="86" applyNumberFormat="1" applyFont="1">
      <alignment vertical="center"/>
    </xf>
    <xf numFmtId="185" fontId="67" fillId="0" borderId="0" xfId="86" applyNumberFormat="1" applyFont="1">
      <alignment vertical="center"/>
    </xf>
    <xf numFmtId="185" fontId="66" fillId="0" borderId="0" xfId="85" applyNumberFormat="1" applyFont="1" applyAlignment="1">
      <alignment vertical="center"/>
    </xf>
    <xf numFmtId="186" fontId="64" fillId="0" borderId="0" xfId="86" applyNumberFormat="1" applyFont="1">
      <alignment vertical="center"/>
    </xf>
    <xf numFmtId="49" fontId="64" fillId="0" borderId="0" xfId="86" applyNumberFormat="1" applyFont="1" applyAlignment="1">
      <alignment vertical="center" wrapText="1"/>
    </xf>
    <xf numFmtId="49" fontId="64" fillId="0" borderId="0" xfId="86" applyNumberFormat="1" applyFont="1" applyAlignment="1">
      <alignment horizontal="left" vertical="center" wrapText="1"/>
    </xf>
    <xf numFmtId="0" fontId="65" fillId="0" borderId="0" xfId="0" applyFont="1" applyAlignment="1">
      <alignment horizontal="left" vertical="center"/>
    </xf>
    <xf numFmtId="49" fontId="65" fillId="0" borderId="0" xfId="86" applyNumberFormat="1" applyFont="1">
      <alignment vertical="center"/>
    </xf>
    <xf numFmtId="185" fontId="65" fillId="0" borderId="0" xfId="86" applyNumberFormat="1" applyFont="1">
      <alignment vertical="center"/>
    </xf>
    <xf numFmtId="49" fontId="64" fillId="0" borderId="0" xfId="0" applyNumberFormat="1" applyFont="1" applyAlignment="1">
      <alignment vertical="center"/>
    </xf>
    <xf numFmtId="0" fontId="64" fillId="0" borderId="25" xfId="0" applyFont="1" applyBorder="1" applyAlignment="1">
      <alignment horizontal="left" vertical="center"/>
    </xf>
    <xf numFmtId="49" fontId="64" fillId="0" borderId="25" xfId="86" applyNumberFormat="1" applyFont="1" applyBorder="1">
      <alignment vertical="center"/>
    </xf>
    <xf numFmtId="185" fontId="67" fillId="0" borderId="25" xfId="86" applyNumberFormat="1" applyFont="1" applyBorder="1">
      <alignment vertical="center"/>
    </xf>
    <xf numFmtId="0" fontId="64" fillId="0" borderId="0" xfId="0" applyFont="1" applyAlignment="1">
      <alignment horizontal="left" vertical="center" indent="1"/>
    </xf>
    <xf numFmtId="49" fontId="64" fillId="0" borderId="0" xfId="86" applyNumberFormat="1" applyFont="1" applyAlignment="1">
      <alignment horizontal="left" vertical="center" indent="1"/>
    </xf>
    <xf numFmtId="0" fontId="64" fillId="0" borderId="0" xfId="0" applyFont="1" applyAlignment="1">
      <alignment horizontal="left" vertical="center" indent="2"/>
    </xf>
    <xf numFmtId="49" fontId="64" fillId="0" borderId="0" xfId="86" applyNumberFormat="1" applyFont="1" applyAlignment="1">
      <alignment horizontal="left" vertical="center" indent="2"/>
    </xf>
    <xf numFmtId="0" fontId="65" fillId="0" borderId="26" xfId="0" applyFont="1" applyBorder="1" applyAlignment="1">
      <alignment horizontal="left" vertical="center"/>
    </xf>
    <xf numFmtId="49" fontId="65" fillId="0" borderId="26" xfId="86" applyNumberFormat="1" applyFont="1" applyBorder="1">
      <alignment vertical="center"/>
    </xf>
    <xf numFmtId="185" fontId="65" fillId="0" borderId="26" xfId="86" applyNumberFormat="1" applyFont="1" applyBorder="1">
      <alignment vertical="center"/>
    </xf>
    <xf numFmtId="49" fontId="65" fillId="0" borderId="0" xfId="86" applyNumberFormat="1" applyFont="1" applyAlignment="1">
      <alignment horizontal="left" vertical="center"/>
    </xf>
    <xf numFmtId="49" fontId="64" fillId="0" borderId="0" xfId="86" applyNumberFormat="1" applyFont="1" applyAlignment="1">
      <alignment horizontal="left" vertical="center" wrapText="1" indent="1"/>
    </xf>
    <xf numFmtId="49" fontId="64" fillId="0" borderId="0" xfId="86" applyNumberFormat="1" applyFont="1" applyAlignment="1">
      <alignment horizontal="left" vertical="center" wrapText="1" indent="2"/>
    </xf>
    <xf numFmtId="0" fontId="64" fillId="0" borderId="0" xfId="0" applyFont="1" applyAlignment="1">
      <alignment horizontal="left" vertical="center" indent="3"/>
    </xf>
    <xf numFmtId="49" fontId="64" fillId="0" borderId="0" xfId="86" applyNumberFormat="1" applyFont="1" applyAlignment="1">
      <alignment horizontal="left" vertical="center" wrapText="1" indent="3"/>
    </xf>
    <xf numFmtId="49" fontId="64" fillId="0" borderId="0" xfId="86" applyNumberFormat="1" applyFont="1" applyAlignment="1">
      <alignment horizontal="left" vertical="center" indent="3"/>
    </xf>
    <xf numFmtId="0" fontId="64" fillId="0" borderId="29" xfId="0" applyFont="1" applyBorder="1" applyAlignment="1">
      <alignment horizontal="left" vertical="center" indent="1"/>
    </xf>
    <xf numFmtId="49" fontId="67" fillId="0" borderId="29" xfId="86" applyNumberFormat="1" applyFont="1" applyBorder="1" applyAlignment="1">
      <alignment horizontal="left" vertical="center" indent="1"/>
    </xf>
    <xf numFmtId="185" fontId="67" fillId="0" borderId="29" xfId="86" applyNumberFormat="1" applyFont="1" applyBorder="1">
      <alignment vertical="center"/>
    </xf>
    <xf numFmtId="49" fontId="64" fillId="0" borderId="0" xfId="0" applyNumberFormat="1" applyFont="1" applyAlignment="1">
      <alignment horizontal="left" vertical="center" indent="2"/>
    </xf>
    <xf numFmtId="0" fontId="64" fillId="0" borderId="26" xfId="0" applyFont="1" applyBorder="1" applyAlignment="1">
      <alignment horizontal="left" vertical="center"/>
    </xf>
    <xf numFmtId="49" fontId="64" fillId="0" borderId="26" xfId="86" applyNumberFormat="1" applyFont="1" applyBorder="1" applyAlignment="1">
      <alignment horizontal="left" vertical="center"/>
    </xf>
    <xf numFmtId="185" fontId="67" fillId="0" borderId="26" xfId="86" applyNumberFormat="1" applyFont="1" applyBorder="1">
      <alignment vertical="center"/>
    </xf>
    <xf numFmtId="49" fontId="64" fillId="0" borderId="0" xfId="86" applyNumberFormat="1" applyFont="1" applyAlignment="1">
      <alignment horizontal="left" vertical="center"/>
    </xf>
    <xf numFmtId="0" fontId="64" fillId="0" borderId="30" xfId="86" applyFont="1" applyBorder="1">
      <alignment vertical="center"/>
    </xf>
    <xf numFmtId="49" fontId="64" fillId="35" borderId="0" xfId="86" applyNumberFormat="1" applyFont="1" applyFill="1" applyAlignment="1">
      <alignment horizontal="left" vertical="center" wrapText="1" indent="3"/>
    </xf>
    <xf numFmtId="0" fontId="64" fillId="35" borderId="0" xfId="0" applyFont="1" applyFill="1" applyAlignment="1">
      <alignment horizontal="left" vertical="center" indent="4"/>
    </xf>
    <xf numFmtId="49" fontId="64" fillId="35" borderId="0" xfId="86" applyNumberFormat="1" applyFont="1" applyFill="1" applyAlignment="1">
      <alignment horizontal="left" vertical="center" wrapText="1" indent="4"/>
    </xf>
    <xf numFmtId="0" fontId="68" fillId="0" borderId="0" xfId="0" applyFont="1"/>
    <xf numFmtId="0" fontId="68" fillId="0" borderId="25" xfId="0" applyFont="1" applyBorder="1"/>
    <xf numFmtId="0" fontId="72" fillId="0" borderId="0" xfId="0" applyFont="1"/>
    <xf numFmtId="0" fontId="71" fillId="43" borderId="0" xfId="86" applyFont="1" applyFill="1" applyAlignment="1">
      <alignment horizontal="center" vertical="center"/>
    </xf>
    <xf numFmtId="0" fontId="71" fillId="42" borderId="0" xfId="86" applyFont="1" applyFill="1" applyAlignment="1">
      <alignment horizontal="center" vertical="center"/>
    </xf>
    <xf numFmtId="188" fontId="45" fillId="37" borderId="0" xfId="86" applyNumberFormat="1" applyFont="1" applyFill="1" applyAlignment="1">
      <alignment vertical="center" wrapText="1"/>
    </xf>
    <xf numFmtId="189" fontId="0" fillId="0" borderId="0" xfId="84" quotePrefix="1" applyNumberFormat="1" applyFont="1" applyAlignment="1"/>
    <xf numFmtId="189" fontId="43" fillId="37" borderId="0" xfId="86" applyNumberFormat="1" applyFont="1" applyFill="1" applyAlignment="1">
      <alignment horizontal="centerContinuous" vertical="center" wrapText="1"/>
    </xf>
    <xf numFmtId="189" fontId="47" fillId="38" borderId="0" xfId="86" applyNumberFormat="1" applyFont="1" applyFill="1" applyAlignment="1">
      <alignment horizontal="right" vertical="center" wrapText="1"/>
    </xf>
    <xf numFmtId="189" fontId="47" fillId="36" borderId="0" xfId="86" applyNumberFormat="1" applyFont="1" applyFill="1" applyAlignment="1">
      <alignment horizontal="right" vertical="center" wrapText="1"/>
    </xf>
    <xf numFmtId="189" fontId="50" fillId="38" borderId="0" xfId="84" applyNumberFormat="1" applyFont="1" applyFill="1" applyBorder="1" applyAlignment="1">
      <alignment horizontal="right" vertical="center" wrapText="1"/>
    </xf>
    <xf numFmtId="189" fontId="7" fillId="36" borderId="0" xfId="85" applyNumberFormat="1" applyFill="1"/>
    <xf numFmtId="189" fontId="50" fillId="36" borderId="0" xfId="86" applyNumberFormat="1" applyFont="1" applyFill="1" applyAlignment="1">
      <alignment horizontal="right" vertical="center" wrapText="1"/>
    </xf>
    <xf numFmtId="189" fontId="50" fillId="38" borderId="31" xfId="84" applyNumberFormat="1" applyFont="1" applyFill="1" applyBorder="1" applyAlignment="1">
      <alignment horizontal="right" vertical="center" wrapText="1"/>
    </xf>
    <xf numFmtId="0" fontId="40" fillId="36" borderId="0" xfId="85" applyFont="1" applyFill="1" applyAlignment="1">
      <alignment wrapText="1"/>
    </xf>
    <xf numFmtId="189" fontId="0" fillId="0" borderId="0" xfId="84" applyNumberFormat="1" applyFont="1" applyAlignment="1">
      <alignment horizontal="center"/>
    </xf>
    <xf numFmtId="189" fontId="0" fillId="0" borderId="0" xfId="84" applyNumberFormat="1" applyFont="1" applyAlignment="1"/>
    <xf numFmtId="188" fontId="45" fillId="37" borderId="32" xfId="86" applyNumberFormat="1" applyFont="1" applyFill="1" applyBorder="1" applyAlignment="1">
      <alignment vertical="center" wrapText="1"/>
    </xf>
    <xf numFmtId="189" fontId="47" fillId="36" borderId="32" xfId="86" applyNumberFormat="1" applyFont="1" applyFill="1" applyBorder="1" applyAlignment="1">
      <alignment horizontal="right" vertical="center" wrapText="1"/>
    </xf>
    <xf numFmtId="189" fontId="50" fillId="36" borderId="32" xfId="86" applyNumberFormat="1" applyFont="1" applyFill="1" applyBorder="1" applyAlignment="1">
      <alignment horizontal="right" vertical="center" wrapText="1"/>
    </xf>
    <xf numFmtId="0" fontId="73" fillId="0" borderId="0" xfId="0" applyFont="1"/>
    <xf numFmtId="189" fontId="73" fillId="0" borderId="0" xfId="0" applyNumberFormat="1" applyFont="1"/>
    <xf numFmtId="189" fontId="74" fillId="0" borderId="0" xfId="84" quotePrefix="1" applyNumberFormat="1" applyFont="1" applyAlignment="1"/>
    <xf numFmtId="189" fontId="74" fillId="0" borderId="0" xfId="0" applyNumberFormat="1" applyFont="1"/>
    <xf numFmtId="189" fontId="50" fillId="36" borderId="31" xfId="86" applyNumberFormat="1" applyFont="1" applyFill="1" applyBorder="1" applyAlignment="1">
      <alignment horizontal="right" vertical="center" wrapText="1"/>
    </xf>
    <xf numFmtId="189" fontId="50" fillId="36" borderId="33" xfId="86" applyNumberFormat="1" applyFont="1" applyFill="1" applyBorder="1" applyAlignment="1">
      <alignment horizontal="right" vertical="center" wrapText="1"/>
    </xf>
    <xf numFmtId="41" fontId="7" fillId="36" borderId="0" xfId="84" applyFont="1" applyFill="1" applyAlignment="1"/>
    <xf numFmtId="0" fontId="68" fillId="36" borderId="34" xfId="85" applyFont="1" applyFill="1" applyBorder="1"/>
    <xf numFmtId="41" fontId="68" fillId="0" borderId="34" xfId="84" applyFont="1" applyBorder="1" applyAlignment="1"/>
    <xf numFmtId="2" fontId="68" fillId="0" borderId="34" xfId="0" applyNumberFormat="1" applyFont="1" applyBorder="1"/>
    <xf numFmtId="189" fontId="0" fillId="0" borderId="0" xfId="0" applyNumberFormat="1"/>
    <xf numFmtId="0" fontId="6" fillId="36" borderId="0" xfId="85" applyFont="1" applyFill="1"/>
    <xf numFmtId="9" fontId="7" fillId="36" borderId="0" xfId="85" applyNumberFormat="1" applyFill="1"/>
    <xf numFmtId="187" fontId="7" fillId="36" borderId="0" xfId="84" applyNumberFormat="1" applyFont="1" applyFill="1" applyAlignment="1"/>
    <xf numFmtId="187" fontId="50" fillId="36" borderId="0" xfId="84" applyNumberFormat="1" applyFont="1" applyFill="1" applyBorder="1" applyAlignment="1">
      <alignment horizontal="right" vertical="center" wrapText="1"/>
    </xf>
    <xf numFmtId="190" fontId="75" fillId="36" borderId="0" xfId="85" applyNumberFormat="1" applyFont="1" applyFill="1"/>
    <xf numFmtId="0" fontId="0" fillId="0" borderId="0" xfId="0" applyAlignment="1">
      <alignment vertical="center"/>
    </xf>
    <xf numFmtId="177" fontId="0" fillId="0" borderId="34" xfId="0" applyNumberFormat="1" applyBorder="1" applyAlignment="1">
      <alignment horizontal="right"/>
    </xf>
    <xf numFmtId="3" fontId="0" fillId="0" borderId="34" xfId="0" applyNumberFormat="1" applyBorder="1" applyAlignment="1">
      <alignment horizontal="right"/>
    </xf>
    <xf numFmtId="0" fontId="68" fillId="3" borderId="0" xfId="0" applyFont="1" applyFill="1"/>
    <xf numFmtId="0" fontId="64" fillId="41" borderId="0" xfId="0" applyFont="1" applyFill="1" applyAlignment="1">
      <alignment horizontal="left" vertical="center" indent="4"/>
    </xf>
    <xf numFmtId="49" fontId="64" fillId="41" borderId="0" xfId="86" applyNumberFormat="1" applyFont="1" applyFill="1" applyAlignment="1">
      <alignment horizontal="left" vertical="center" wrapText="1" indent="4"/>
    </xf>
    <xf numFmtId="185" fontId="67" fillId="41" borderId="0" xfId="86" applyNumberFormat="1" applyFont="1" applyFill="1">
      <alignment vertical="center"/>
    </xf>
    <xf numFmtId="186" fontId="64" fillId="41" borderId="0" xfId="86" applyNumberFormat="1" applyFont="1" applyFill="1">
      <alignment vertical="center"/>
    </xf>
    <xf numFmtId="0" fontId="64" fillId="41" borderId="0" xfId="86" applyFont="1" applyFill="1">
      <alignment vertical="center"/>
    </xf>
    <xf numFmtId="0" fontId="68" fillId="41" borderId="25" xfId="0" applyFont="1" applyFill="1" applyBorder="1"/>
    <xf numFmtId="0" fontId="64" fillId="49" borderId="0" xfId="0" applyFont="1" applyFill="1" applyAlignment="1">
      <alignment horizontal="left" vertical="center" indent="4"/>
    </xf>
    <xf numFmtId="49" fontId="64" fillId="49" borderId="0" xfId="86" applyNumberFormat="1" applyFont="1" applyFill="1" applyAlignment="1">
      <alignment horizontal="left" vertical="center" wrapText="1" indent="4"/>
    </xf>
    <xf numFmtId="185" fontId="67" fillId="49" borderId="0" xfId="86" applyNumberFormat="1" applyFont="1" applyFill="1">
      <alignment vertical="center"/>
    </xf>
    <xf numFmtId="186" fontId="64" fillId="49" borderId="0" xfId="86" applyNumberFormat="1" applyFont="1" applyFill="1">
      <alignment vertical="center"/>
    </xf>
    <xf numFmtId="0" fontId="64" fillId="49" borderId="0" xfId="86" applyFont="1" applyFill="1">
      <alignment vertical="center"/>
    </xf>
    <xf numFmtId="0" fontId="64" fillId="40" borderId="0" xfId="0" applyFont="1" applyFill="1" applyAlignment="1">
      <alignment horizontal="left" vertical="center" indent="4"/>
    </xf>
    <xf numFmtId="49" fontId="64" fillId="40" borderId="0" xfId="86" applyNumberFormat="1" applyFont="1" applyFill="1" applyAlignment="1">
      <alignment horizontal="left" vertical="center" wrapText="1" indent="4"/>
    </xf>
    <xf numFmtId="185" fontId="67" fillId="40" borderId="0" xfId="86" applyNumberFormat="1" applyFont="1" applyFill="1">
      <alignment vertical="center"/>
    </xf>
    <xf numFmtId="186" fontId="64" fillId="40" borderId="0" xfId="86" applyNumberFormat="1" applyFont="1" applyFill="1">
      <alignment vertical="center"/>
    </xf>
    <xf numFmtId="0" fontId="64" fillId="40" borderId="0" xfId="86" applyFont="1" applyFill="1">
      <alignment vertical="center"/>
    </xf>
    <xf numFmtId="0" fontId="64" fillId="46" borderId="0" xfId="0" applyFont="1" applyFill="1" applyAlignment="1">
      <alignment horizontal="left" vertical="center" indent="4"/>
    </xf>
    <xf numFmtId="49" fontId="64" fillId="46" borderId="0" xfId="86" applyNumberFormat="1" applyFont="1" applyFill="1" applyAlignment="1">
      <alignment horizontal="left" vertical="center" wrapText="1" indent="4"/>
    </xf>
    <xf numFmtId="185" fontId="67" fillId="46" borderId="0" xfId="86" applyNumberFormat="1" applyFont="1" applyFill="1">
      <alignment vertical="center"/>
    </xf>
    <xf numFmtId="186" fontId="64" fillId="46" borderId="0" xfId="86" applyNumberFormat="1" applyFont="1" applyFill="1">
      <alignment vertical="center"/>
    </xf>
    <xf numFmtId="0" fontId="64" fillId="46" borderId="0" xfId="86" applyFont="1" applyFill="1">
      <alignment vertical="center"/>
    </xf>
    <xf numFmtId="0" fontId="0" fillId="51" borderId="34" xfId="0" applyFill="1" applyBorder="1"/>
    <xf numFmtId="0" fontId="0" fillId="48" borderId="34" xfId="0" applyFill="1" applyBorder="1"/>
    <xf numFmtId="0" fontId="0" fillId="52" borderId="34" xfId="0" applyFill="1" applyBorder="1"/>
    <xf numFmtId="0" fontId="0" fillId="50" borderId="34" xfId="0" applyFill="1" applyBorder="1"/>
    <xf numFmtId="0" fontId="0" fillId="53" borderId="34" xfId="0" applyFill="1" applyBorder="1"/>
    <xf numFmtId="0" fontId="64" fillId="54" borderId="0" xfId="0" applyFont="1" applyFill="1" applyAlignment="1">
      <alignment horizontal="left" vertical="center" indent="1"/>
    </xf>
    <xf numFmtId="49" fontId="64" fillId="54" borderId="0" xfId="86" applyNumberFormat="1" applyFont="1" applyFill="1" applyAlignment="1">
      <alignment horizontal="left" vertical="center" indent="1"/>
    </xf>
    <xf numFmtId="185" fontId="67" fillId="54" borderId="0" xfId="86" applyNumberFormat="1" applyFont="1" applyFill="1">
      <alignment vertical="center"/>
    </xf>
    <xf numFmtId="186" fontId="64" fillId="54" borderId="0" xfId="86" applyNumberFormat="1" applyFont="1" applyFill="1">
      <alignment vertical="center"/>
    </xf>
    <xf numFmtId="0" fontId="64" fillId="54" borderId="0" xfId="86" applyFont="1" applyFill="1">
      <alignment vertical="center"/>
    </xf>
    <xf numFmtId="0" fontId="5" fillId="36" borderId="0" xfId="87" applyFill="1"/>
    <xf numFmtId="0" fontId="53" fillId="36" borderId="0" xfId="87" applyFont="1" applyFill="1"/>
    <xf numFmtId="0" fontId="5" fillId="36" borderId="0" xfId="87" applyFill="1" applyAlignment="1">
      <alignment horizontal="right"/>
    </xf>
    <xf numFmtId="0" fontId="53" fillId="36" borderId="0" xfId="87" applyFont="1" applyFill="1" applyAlignment="1">
      <alignment horizontal="right"/>
    </xf>
    <xf numFmtId="0" fontId="5" fillId="36" borderId="0" xfId="87" applyFill="1" applyAlignment="1">
      <alignment horizontal="right" indent="1"/>
    </xf>
    <xf numFmtId="0" fontId="53" fillId="36" borderId="0" xfId="87" applyFont="1" applyFill="1" applyAlignment="1">
      <alignment horizontal="right" indent="1"/>
    </xf>
    <xf numFmtId="0" fontId="71" fillId="55" borderId="28" xfId="86" applyFont="1" applyFill="1" applyBorder="1">
      <alignment vertical="center"/>
    </xf>
    <xf numFmtId="190" fontId="50" fillId="36" borderId="0" xfId="18" applyNumberFormat="1" applyFont="1" applyFill="1" applyBorder="1" applyAlignment="1">
      <alignment horizontal="right" vertical="center" wrapText="1"/>
    </xf>
    <xf numFmtId="0" fontId="52" fillId="36" borderId="0" xfId="86" applyFont="1" applyFill="1" applyAlignment="1">
      <alignment vertical="center" wrapText="1"/>
    </xf>
    <xf numFmtId="189" fontId="51" fillId="36" borderId="0" xfId="86" applyNumberFormat="1" applyFont="1" applyFill="1" applyAlignment="1">
      <alignment horizontal="right" vertical="center" wrapText="1"/>
    </xf>
    <xf numFmtId="189" fontId="50" fillId="36" borderId="0" xfId="84" applyNumberFormat="1" applyFont="1" applyFill="1" applyBorder="1" applyAlignment="1">
      <alignment horizontal="right" vertical="center" wrapText="1"/>
    </xf>
    <xf numFmtId="41" fontId="0" fillId="0" borderId="0" xfId="84" applyFont="1" applyAlignment="1"/>
    <xf numFmtId="0" fontId="64" fillId="43" borderId="0" xfId="0" applyFont="1" applyFill="1" applyAlignment="1">
      <alignment horizontal="left" vertical="center" indent="1"/>
    </xf>
    <xf numFmtId="49" fontId="64" fillId="43" borderId="0" xfId="86" applyNumberFormat="1" applyFont="1" applyFill="1" applyAlignment="1">
      <alignment horizontal="left" vertical="center" indent="1"/>
    </xf>
    <xf numFmtId="185" fontId="67" fillId="43" borderId="0" xfId="86" applyNumberFormat="1" applyFont="1" applyFill="1">
      <alignment vertical="center"/>
    </xf>
    <xf numFmtId="186" fontId="64" fillId="43" borderId="0" xfId="86" applyNumberFormat="1" applyFont="1" applyFill="1">
      <alignment vertical="center"/>
    </xf>
    <xf numFmtId="0" fontId="64" fillId="43" borderId="0" xfId="86" applyFont="1" applyFill="1">
      <alignment vertical="center"/>
    </xf>
    <xf numFmtId="0" fontId="76" fillId="36" borderId="0" xfId="86" applyFont="1" applyFill="1" applyAlignment="1">
      <alignment horizontal="left" vertical="center" wrapText="1" indent="1"/>
    </xf>
    <xf numFmtId="182" fontId="77" fillId="38" borderId="0" xfId="86" applyNumberFormat="1" applyFont="1" applyFill="1" applyAlignment="1">
      <alignment horizontal="right" vertical="center" wrapText="1"/>
    </xf>
    <xf numFmtId="182" fontId="77" fillId="36" borderId="0" xfId="86" applyNumberFormat="1" applyFont="1" applyFill="1" applyAlignment="1">
      <alignment horizontal="right" vertical="center" wrapText="1"/>
    </xf>
    <xf numFmtId="183" fontId="77" fillId="36" borderId="0" xfId="86" applyNumberFormat="1" applyFont="1" applyFill="1" applyAlignment="1">
      <alignment horizontal="right" vertical="center" wrapText="1"/>
    </xf>
    <xf numFmtId="0" fontId="78" fillId="36" borderId="0" xfId="86" applyFont="1" applyFill="1" applyAlignment="1">
      <alignment vertical="center" wrapText="1"/>
    </xf>
    <xf numFmtId="182" fontId="79" fillId="38" borderId="0" xfId="86" applyNumberFormat="1" applyFont="1" applyFill="1" applyAlignment="1">
      <alignment horizontal="right" vertical="center" wrapText="1"/>
    </xf>
    <xf numFmtId="182" fontId="79" fillId="36" borderId="0" xfId="86" applyNumberFormat="1" applyFont="1" applyFill="1" applyAlignment="1">
      <alignment horizontal="right" vertical="center" wrapText="1"/>
    </xf>
    <xf numFmtId="0" fontId="64" fillId="47" borderId="0" xfId="0" applyFont="1" applyFill="1" applyAlignment="1">
      <alignment horizontal="left" vertical="center" indent="1"/>
    </xf>
    <xf numFmtId="49" fontId="64" fillId="47" borderId="0" xfId="86" applyNumberFormat="1" applyFont="1" applyFill="1" applyAlignment="1">
      <alignment horizontal="left" vertical="center" indent="1"/>
    </xf>
    <xf numFmtId="185" fontId="67" fillId="47" borderId="0" xfId="86" applyNumberFormat="1" applyFont="1" applyFill="1">
      <alignment vertical="center"/>
    </xf>
    <xf numFmtId="186" fontId="64" fillId="47" borderId="0" xfId="86" applyNumberFormat="1" applyFont="1" applyFill="1">
      <alignment vertical="center"/>
    </xf>
    <xf numFmtId="0" fontId="64" fillId="47" borderId="0" xfId="86" applyFont="1" applyFill="1">
      <alignment vertical="center"/>
    </xf>
    <xf numFmtId="180" fontId="77" fillId="36" borderId="0" xfId="86" applyNumberFormat="1" applyFont="1" applyFill="1" applyAlignment="1">
      <alignment horizontal="right" vertical="center" wrapText="1"/>
    </xf>
    <xf numFmtId="182" fontId="80" fillId="38" borderId="0" xfId="86" applyNumberFormat="1" applyFont="1" applyFill="1" applyAlignment="1">
      <alignment horizontal="right" vertical="center" wrapText="1"/>
    </xf>
    <xf numFmtId="182" fontId="80" fillId="36" borderId="0" xfId="86" applyNumberFormat="1" applyFont="1" applyFill="1" applyAlignment="1">
      <alignment horizontal="right" vertical="center" wrapText="1"/>
    </xf>
    <xf numFmtId="0" fontId="40" fillId="36" borderId="37" xfId="86" applyFont="1" applyFill="1" applyBorder="1" applyAlignment="1">
      <alignment horizontal="left" vertical="center" wrapText="1" indent="1"/>
    </xf>
    <xf numFmtId="0" fontId="64" fillId="56" borderId="0" xfId="0" applyFont="1" applyFill="1" applyAlignment="1">
      <alignment horizontal="left" vertical="center" indent="1"/>
    </xf>
    <xf numFmtId="49" fontId="67" fillId="56" borderId="0" xfId="86" applyNumberFormat="1" applyFont="1" applyFill="1" applyAlignment="1">
      <alignment horizontal="left" vertical="center" indent="1"/>
    </xf>
    <xf numFmtId="185" fontId="67" fillId="56" borderId="0" xfId="86" applyNumberFormat="1" applyFont="1" applyFill="1">
      <alignment vertical="center"/>
    </xf>
    <xf numFmtId="186" fontId="64" fillId="56" borderId="0" xfId="86" applyNumberFormat="1" applyFont="1" applyFill="1">
      <alignment vertical="center"/>
    </xf>
    <xf numFmtId="0" fontId="64" fillId="56" borderId="0" xfId="86" applyFont="1" applyFill="1">
      <alignment vertical="center"/>
    </xf>
    <xf numFmtId="49" fontId="64" fillId="56" borderId="0" xfId="86" applyNumberFormat="1" applyFont="1" applyFill="1" applyAlignment="1">
      <alignment horizontal="left" vertical="center" indent="1"/>
    </xf>
    <xf numFmtId="0" fontId="8" fillId="2" borderId="25" xfId="0" applyFont="1" applyFill="1" applyBorder="1"/>
    <xf numFmtId="0" fontId="0" fillId="0" borderId="25" xfId="0" applyBorder="1" applyAlignment="1">
      <alignment vertical="top"/>
    </xf>
    <xf numFmtId="0" fontId="69" fillId="0" borderId="25" xfId="85" applyFont="1" applyBorder="1" applyAlignment="1">
      <alignment vertical="top"/>
    </xf>
    <xf numFmtId="0" fontId="63" fillId="0" borderId="25" xfId="85" applyFont="1" applyBorder="1" applyAlignment="1">
      <alignment vertical="top"/>
    </xf>
    <xf numFmtId="0" fontId="68" fillId="0" borderId="25" xfId="85" applyFont="1" applyBorder="1" applyAlignment="1">
      <alignment vertical="top"/>
    </xf>
    <xf numFmtId="0" fontId="64" fillId="0" borderId="25" xfId="0" applyFont="1" applyBorder="1" applyAlignment="1">
      <alignment horizontal="left" vertical="top"/>
    </xf>
    <xf numFmtId="0" fontId="63" fillId="0" borderId="25" xfId="85" applyFont="1" applyBorder="1" applyAlignment="1">
      <alignment vertical="top" wrapText="1"/>
    </xf>
    <xf numFmtId="189" fontId="41" fillId="36" borderId="0" xfId="0" applyNumberFormat="1" applyFont="1" applyFill="1"/>
    <xf numFmtId="0" fontId="81" fillId="36" borderId="0" xfId="85" applyFont="1" applyFill="1"/>
    <xf numFmtId="189" fontId="41" fillId="36" borderId="0" xfId="84" applyNumberFormat="1" applyFont="1" applyFill="1" applyBorder="1" applyAlignment="1"/>
    <xf numFmtId="0" fontId="82" fillId="0" borderId="25" xfId="85" applyFont="1" applyBorder="1" applyAlignment="1">
      <alignment vertical="top"/>
    </xf>
    <xf numFmtId="0" fontId="4" fillId="36" borderId="0" xfId="88" applyFill="1"/>
    <xf numFmtId="0" fontId="53" fillId="36" borderId="0" xfId="88" applyFont="1" applyFill="1"/>
    <xf numFmtId="0" fontId="4" fillId="36" borderId="0" xfId="88" applyFill="1" applyAlignment="1">
      <alignment horizontal="right" indent="1"/>
    </xf>
    <xf numFmtId="0" fontId="53" fillId="36" borderId="0" xfId="88" applyFont="1" applyFill="1" applyAlignment="1">
      <alignment horizontal="right" indent="1"/>
    </xf>
    <xf numFmtId="0" fontId="64" fillId="3" borderId="0" xfId="0" applyFont="1" applyFill="1" applyAlignment="1">
      <alignment horizontal="left" vertical="center" indent="2"/>
    </xf>
    <xf numFmtId="49" fontId="64" fillId="3" borderId="0" xfId="86" applyNumberFormat="1" applyFont="1" applyFill="1" applyAlignment="1">
      <alignment horizontal="left" vertical="center" indent="2"/>
    </xf>
    <xf numFmtId="185" fontId="67" fillId="3" borderId="0" xfId="86" applyNumberFormat="1" applyFont="1" applyFill="1">
      <alignment vertical="center"/>
    </xf>
    <xf numFmtId="186" fontId="64" fillId="3" borderId="0" xfId="86" applyNumberFormat="1" applyFont="1" applyFill="1">
      <alignment vertical="center"/>
    </xf>
    <xf numFmtId="0" fontId="64" fillId="3" borderId="0" xfId="86" applyFont="1" applyFill="1">
      <alignment vertical="center"/>
    </xf>
    <xf numFmtId="0" fontId="65" fillId="0" borderId="0" xfId="86" applyFont="1" applyAlignment="1">
      <alignment horizontal="left" vertical="center"/>
    </xf>
    <xf numFmtId="0" fontId="68" fillId="0" borderId="0" xfId="0" applyFont="1" applyAlignment="1">
      <alignment horizontal="right"/>
    </xf>
    <xf numFmtId="0" fontId="72" fillId="0" borderId="25" xfId="0" applyFont="1" applyBorder="1"/>
    <xf numFmtId="2" fontId="72" fillId="0" borderId="25" xfId="0" applyNumberFormat="1" applyFont="1" applyBorder="1"/>
    <xf numFmtId="0" fontId="68" fillId="0" borderId="25" xfId="0" applyFont="1" applyBorder="1" applyAlignment="1">
      <alignment horizontal="right"/>
    </xf>
    <xf numFmtId="0" fontId="63" fillId="0" borderId="0" xfId="85" applyFont="1" applyAlignment="1">
      <alignment vertical="top" wrapText="1"/>
    </xf>
    <xf numFmtId="0" fontId="0" fillId="57" borderId="34" xfId="0" applyFill="1" applyBorder="1"/>
    <xf numFmtId="0" fontId="0" fillId="39" borderId="34" xfId="0" applyFill="1" applyBorder="1"/>
    <xf numFmtId="0" fontId="0" fillId="0" borderId="35" xfId="0" applyBorder="1"/>
    <xf numFmtId="0" fontId="0" fillId="0" borderId="36" xfId="0" applyBorder="1"/>
    <xf numFmtId="0" fontId="0" fillId="0" borderId="34" xfId="0" applyBorder="1"/>
    <xf numFmtId="0" fontId="68" fillId="0" borderId="25" xfId="0" applyFont="1" applyBorder="1" applyAlignment="1">
      <alignment wrapText="1"/>
    </xf>
    <xf numFmtId="0" fontId="68" fillId="0" borderId="25" xfId="0" applyFont="1" applyBorder="1" applyAlignment="1">
      <alignment horizontal="right" wrapText="1"/>
    </xf>
    <xf numFmtId="0" fontId="68" fillId="36" borderId="25" xfId="85" applyFont="1" applyFill="1" applyBorder="1" applyAlignment="1">
      <alignment horizontal="right" wrapText="1"/>
    </xf>
    <xf numFmtId="0" fontId="68" fillId="0" borderId="0" xfId="0" applyFont="1" applyAlignment="1">
      <alignment wrapText="1"/>
    </xf>
    <xf numFmtId="2" fontId="72" fillId="0" borderId="0" xfId="0" applyNumberFormat="1" applyFont="1"/>
    <xf numFmtId="0" fontId="68" fillId="0" borderId="25" xfId="85" applyFont="1" applyBorder="1" applyAlignment="1">
      <alignment wrapText="1"/>
    </xf>
    <xf numFmtId="2" fontId="68" fillId="0" borderId="25" xfId="0" applyNumberFormat="1" applyFont="1" applyBorder="1" applyAlignment="1">
      <alignment wrapText="1"/>
    </xf>
    <xf numFmtId="187" fontId="68" fillId="0" borderId="25" xfId="84" applyNumberFormat="1" applyFont="1" applyFill="1" applyBorder="1" applyAlignment="1">
      <alignment wrapText="1"/>
    </xf>
    <xf numFmtId="0" fontId="68" fillId="0" borderId="0" xfId="0" applyFont="1" applyAlignment="1">
      <alignment vertical="top" wrapText="1"/>
    </xf>
    <xf numFmtId="0" fontId="68" fillId="39" borderId="25" xfId="0" applyFont="1" applyFill="1" applyBorder="1" applyAlignment="1">
      <alignment vertical="top"/>
    </xf>
    <xf numFmtId="0" fontId="63" fillId="39" borderId="25" xfId="85" applyFont="1" applyFill="1" applyBorder="1" applyAlignment="1">
      <alignment vertical="top" wrapText="1"/>
    </xf>
    <xf numFmtId="2" fontId="68" fillId="39" borderId="25" xfId="0" applyNumberFormat="1" applyFont="1" applyFill="1" applyBorder="1" applyAlignment="1">
      <alignment vertical="top"/>
    </xf>
    <xf numFmtId="0" fontId="68" fillId="39" borderId="25" xfId="0" applyFont="1" applyFill="1" applyBorder="1" applyAlignment="1">
      <alignment horizontal="right" vertical="top"/>
    </xf>
    <xf numFmtId="0" fontId="68" fillId="0" borderId="0" xfId="0" applyFont="1" applyAlignment="1">
      <alignment vertical="top"/>
    </xf>
    <xf numFmtId="0" fontId="68" fillId="57" borderId="25" xfId="0" applyFont="1" applyFill="1" applyBorder="1" applyAlignment="1">
      <alignment vertical="top"/>
    </xf>
    <xf numFmtId="0" fontId="63" fillId="57" borderId="25" xfId="85" applyFont="1" applyFill="1" applyBorder="1" applyAlignment="1">
      <alignment vertical="top" wrapText="1"/>
    </xf>
    <xf numFmtId="2" fontId="68" fillId="57" borderId="25" xfId="0" applyNumberFormat="1" applyFont="1" applyFill="1" applyBorder="1" applyAlignment="1">
      <alignment vertical="top"/>
    </xf>
    <xf numFmtId="2" fontId="68" fillId="57" borderId="25" xfId="85" applyNumberFormat="1" applyFont="1" applyFill="1" applyBorder="1" applyAlignment="1">
      <alignment vertical="top"/>
    </xf>
    <xf numFmtId="187" fontId="68" fillId="57" borderId="25" xfId="0" applyNumberFormat="1" applyFont="1" applyFill="1" applyBorder="1" applyAlignment="1">
      <alignment vertical="top"/>
    </xf>
    <xf numFmtId="187" fontId="68" fillId="57" borderId="25" xfId="84" applyNumberFormat="1" applyFont="1" applyFill="1" applyBorder="1" applyAlignment="1">
      <alignment vertical="top"/>
    </xf>
    <xf numFmtId="0" fontId="68" fillId="57" borderId="25" xfId="0" applyFont="1" applyFill="1" applyBorder="1" applyAlignment="1">
      <alignment horizontal="right" vertical="top"/>
    </xf>
    <xf numFmtId="0" fontId="68" fillId="39" borderId="25" xfId="0" applyFont="1" applyFill="1" applyBorder="1" applyAlignment="1">
      <alignment vertical="top" wrapText="1"/>
    </xf>
    <xf numFmtId="0" fontId="68" fillId="39" borderId="25" xfId="85" applyFont="1" applyFill="1" applyBorder="1" applyAlignment="1">
      <alignment vertical="top" wrapText="1"/>
    </xf>
    <xf numFmtId="2" fontId="68" fillId="39" borderId="25" xfId="0" applyNumberFormat="1" applyFont="1" applyFill="1" applyBorder="1" applyAlignment="1">
      <alignment vertical="top" wrapText="1"/>
    </xf>
    <xf numFmtId="187" fontId="68" fillId="39" borderId="25" xfId="84" applyNumberFormat="1" applyFont="1" applyFill="1" applyBorder="1" applyAlignment="1">
      <alignment vertical="top" wrapText="1"/>
    </xf>
    <xf numFmtId="0" fontId="68" fillId="57" borderId="25" xfId="0" applyFont="1" applyFill="1" applyBorder="1" applyAlignment="1">
      <alignment vertical="top" wrapText="1"/>
    </xf>
    <xf numFmtId="0" fontId="68" fillId="57" borderId="25" xfId="85" applyFont="1" applyFill="1" applyBorder="1" applyAlignment="1">
      <alignment vertical="top" wrapText="1"/>
    </xf>
    <xf numFmtId="2" fontId="68" fillId="57" borderId="25" xfId="0" applyNumberFormat="1" applyFont="1" applyFill="1" applyBorder="1" applyAlignment="1">
      <alignment vertical="top" wrapText="1"/>
    </xf>
    <xf numFmtId="0" fontId="69" fillId="0" borderId="25" xfId="85" applyFont="1" applyBorder="1" applyAlignment="1">
      <alignment vertical="top" wrapText="1"/>
    </xf>
    <xf numFmtId="0" fontId="83" fillId="0" borderId="25" xfId="0" applyFont="1" applyBorder="1"/>
    <xf numFmtId="0" fontId="0" fillId="41" borderId="25" xfId="0" applyFill="1" applyBorder="1" applyAlignment="1">
      <alignment wrapText="1"/>
    </xf>
    <xf numFmtId="0" fontId="68" fillId="41" borderId="25" xfId="85" applyFont="1" applyFill="1" applyBorder="1" applyAlignment="1">
      <alignment vertical="top" wrapText="1"/>
    </xf>
    <xf numFmtId="2" fontId="68" fillId="41" borderId="25" xfId="0" applyNumberFormat="1" applyFont="1" applyFill="1" applyBorder="1"/>
    <xf numFmtId="0" fontId="0" fillId="48" borderId="25" xfId="0" applyFill="1" applyBorder="1" applyAlignment="1">
      <alignment wrapText="1"/>
    </xf>
    <xf numFmtId="0" fontId="68" fillId="48" borderId="25" xfId="85" applyFont="1" applyFill="1" applyBorder="1" applyAlignment="1">
      <alignment vertical="top" wrapText="1"/>
    </xf>
    <xf numFmtId="2" fontId="68" fillId="48" borderId="25" xfId="0" applyNumberFormat="1" applyFont="1" applyFill="1" applyBorder="1"/>
    <xf numFmtId="0" fontId="68" fillId="48" borderId="25" xfId="0" applyFont="1" applyFill="1" applyBorder="1"/>
    <xf numFmtId="0" fontId="0" fillId="52" borderId="25" xfId="0" applyFill="1" applyBorder="1"/>
    <xf numFmtId="0" fontId="68" fillId="52" borderId="25" xfId="85" applyFont="1" applyFill="1" applyBorder="1" applyAlignment="1">
      <alignment vertical="top" wrapText="1"/>
    </xf>
    <xf numFmtId="2" fontId="68" fillId="52" borderId="25" xfId="0" applyNumberFormat="1" applyFont="1" applyFill="1" applyBorder="1"/>
    <xf numFmtId="0" fontId="68" fillId="52" borderId="25" xfId="0" applyFont="1" applyFill="1" applyBorder="1"/>
    <xf numFmtId="0" fontId="0" fillId="50" borderId="25" xfId="0" applyFill="1" applyBorder="1"/>
    <xf numFmtId="0" fontId="68" fillId="50" borderId="25" xfId="85" applyFont="1" applyFill="1" applyBorder="1" applyAlignment="1">
      <alignment vertical="top" wrapText="1"/>
    </xf>
    <xf numFmtId="2" fontId="68" fillId="50" borderId="25" xfId="0" applyNumberFormat="1" applyFont="1" applyFill="1" applyBorder="1"/>
    <xf numFmtId="0" fontId="68" fillId="50" borderId="25" xfId="0" applyFont="1" applyFill="1" applyBorder="1"/>
    <xf numFmtId="0" fontId="0" fillId="53" borderId="25" xfId="0" applyFill="1" applyBorder="1"/>
    <xf numFmtId="0" fontId="68" fillId="53" borderId="25" xfId="85" applyFont="1" applyFill="1" applyBorder="1" applyAlignment="1">
      <alignment vertical="top" wrapText="1"/>
    </xf>
    <xf numFmtId="2" fontId="68" fillId="53" borderId="25" xfId="0" applyNumberFormat="1" applyFont="1" applyFill="1" applyBorder="1"/>
    <xf numFmtId="0" fontId="68" fillId="53" borderId="25" xfId="0" applyFont="1" applyFill="1" applyBorder="1"/>
    <xf numFmtId="0" fontId="68" fillId="3" borderId="0" xfId="0" applyFont="1" applyFill="1" applyAlignment="1">
      <alignment horizontal="right"/>
    </xf>
    <xf numFmtId="0" fontId="0" fillId="41" borderId="34" xfId="0" applyFill="1" applyBorder="1"/>
    <xf numFmtId="0" fontId="68" fillId="36" borderId="25" xfId="85" applyFont="1" applyFill="1" applyBorder="1" applyAlignment="1">
      <alignment wrapText="1"/>
    </xf>
    <xf numFmtId="0" fontId="70" fillId="0" borderId="25" xfId="85" applyFont="1" applyBorder="1" applyAlignment="1">
      <alignment wrapText="1"/>
    </xf>
    <xf numFmtId="2" fontId="68" fillId="0" borderId="25" xfId="85" applyNumberFormat="1" applyFont="1" applyBorder="1" applyAlignment="1">
      <alignment wrapText="1"/>
    </xf>
    <xf numFmtId="187" fontId="68" fillId="0" borderId="25" xfId="0" applyNumberFormat="1" applyFont="1" applyBorder="1" applyAlignment="1">
      <alignment wrapText="1"/>
    </xf>
    <xf numFmtId="2" fontId="68" fillId="0" borderId="0" xfId="0" applyNumberFormat="1" applyFont="1" applyAlignment="1">
      <alignment wrapText="1"/>
    </xf>
    <xf numFmtId="2" fontId="68" fillId="0" borderId="0" xfId="85" applyNumberFormat="1" applyFont="1" applyAlignment="1">
      <alignment wrapText="1"/>
    </xf>
    <xf numFmtId="187" fontId="68" fillId="0" borderId="0" xfId="0" applyNumberFormat="1" applyFont="1" applyAlignment="1">
      <alignment wrapText="1"/>
    </xf>
    <xf numFmtId="187" fontId="68" fillId="0" borderId="0" xfId="84" applyNumberFormat="1" applyFont="1" applyFill="1" applyBorder="1" applyAlignment="1">
      <alignment wrapText="1"/>
    </xf>
    <xf numFmtId="0" fontId="68" fillId="39" borderId="25" xfId="0" applyFont="1" applyFill="1" applyBorder="1" applyAlignment="1">
      <alignment wrapText="1"/>
    </xf>
    <xf numFmtId="0" fontId="68" fillId="39" borderId="25" xfId="85" applyFont="1" applyFill="1" applyBorder="1" applyAlignment="1">
      <alignment wrapText="1"/>
    </xf>
    <xf numFmtId="0" fontId="70" fillId="39" borderId="25" xfId="85" applyFont="1" applyFill="1" applyBorder="1" applyAlignment="1">
      <alignment wrapText="1"/>
    </xf>
    <xf numFmtId="2" fontId="68" fillId="39" borderId="25" xfId="0" applyNumberFormat="1" applyFont="1" applyFill="1" applyBorder="1" applyAlignment="1">
      <alignment wrapText="1"/>
    </xf>
    <xf numFmtId="187" fontId="68" fillId="39" borderId="25" xfId="0" applyNumberFormat="1" applyFont="1" applyFill="1" applyBorder="1" applyAlignment="1">
      <alignment wrapText="1"/>
    </xf>
    <xf numFmtId="187" fontId="68" fillId="39" borderId="25" xfId="84" applyNumberFormat="1" applyFont="1" applyFill="1" applyBorder="1" applyAlignment="1">
      <alignment wrapText="1"/>
    </xf>
    <xf numFmtId="0" fontId="68" fillId="41" borderId="25" xfId="0" applyFont="1" applyFill="1" applyBorder="1" applyAlignment="1">
      <alignment wrapText="1"/>
    </xf>
    <xf numFmtId="0" fontId="68" fillId="41" borderId="25" xfId="85" applyFont="1" applyFill="1" applyBorder="1" applyAlignment="1">
      <alignment wrapText="1"/>
    </xf>
    <xf numFmtId="0" fontId="70" fillId="41" borderId="25" xfId="85" applyFont="1" applyFill="1" applyBorder="1" applyAlignment="1">
      <alignment wrapText="1"/>
    </xf>
    <xf numFmtId="2" fontId="68" fillId="41" borderId="25" xfId="0" applyNumberFormat="1" applyFont="1" applyFill="1" applyBorder="1" applyAlignment="1">
      <alignment wrapText="1"/>
    </xf>
    <xf numFmtId="187" fontId="68" fillId="41" borderId="25" xfId="0" applyNumberFormat="1" applyFont="1" applyFill="1" applyBorder="1" applyAlignment="1">
      <alignment wrapText="1"/>
    </xf>
    <xf numFmtId="187" fontId="68" fillId="41" borderId="25" xfId="84" applyNumberFormat="1" applyFont="1" applyFill="1" applyBorder="1" applyAlignment="1">
      <alignment wrapText="1"/>
    </xf>
    <xf numFmtId="191" fontId="0" fillId="0" borderId="0" xfId="84" applyNumberFormat="1" applyFont="1" applyAlignment="1"/>
    <xf numFmtId="0" fontId="41" fillId="36" borderId="0" xfId="85" applyFont="1" applyFill="1"/>
    <xf numFmtId="0" fontId="0" fillId="0" borderId="0" xfId="0" applyAlignment="1">
      <alignment vertical="top"/>
    </xf>
    <xf numFmtId="41" fontId="0" fillId="0" borderId="34" xfId="84" applyFont="1" applyBorder="1" applyAlignment="1"/>
    <xf numFmtId="0" fontId="68" fillId="58" borderId="0" xfId="0" applyFont="1" applyFill="1"/>
    <xf numFmtId="0" fontId="81" fillId="0" borderId="0" xfId="0" applyFont="1"/>
    <xf numFmtId="0" fontId="0" fillId="0" borderId="34" xfId="0" applyBorder="1" applyAlignment="1">
      <alignment horizontal="right"/>
    </xf>
    <xf numFmtId="3" fontId="84" fillId="0" borderId="34" xfId="0" applyNumberFormat="1" applyFont="1" applyBorder="1" applyAlignment="1">
      <alignment horizontal="center" vertical="center" wrapText="1"/>
    </xf>
    <xf numFmtId="0" fontId="81" fillId="39" borderId="34" xfId="0" applyFont="1" applyFill="1" applyBorder="1"/>
    <xf numFmtId="0" fontId="0" fillId="0" borderId="42" xfId="0" applyBorder="1" applyAlignment="1">
      <alignment horizontal="right"/>
    </xf>
    <xf numFmtId="9" fontId="0" fillId="39" borderId="34" xfId="18" applyFont="1" applyFill="1" applyBorder="1"/>
    <xf numFmtId="9" fontId="81" fillId="39" borderId="34" xfId="18" applyFont="1" applyFill="1" applyBorder="1"/>
    <xf numFmtId="0" fontId="41" fillId="36" borderId="0" xfId="0" applyFont="1" applyFill="1" applyAlignment="1">
      <alignment vertical="center"/>
    </xf>
    <xf numFmtId="0" fontId="41" fillId="36" borderId="43" xfId="0" applyFont="1" applyFill="1" applyBorder="1" applyAlignment="1">
      <alignment vertical="center"/>
    </xf>
    <xf numFmtId="0" fontId="41" fillId="41" borderId="43" xfId="0" applyFont="1" applyFill="1" applyBorder="1" applyAlignment="1">
      <alignment vertical="center"/>
    </xf>
    <xf numFmtId="0" fontId="81" fillId="36" borderId="43" xfId="0" applyFont="1" applyFill="1" applyBorder="1" applyAlignment="1">
      <alignment vertical="center"/>
    </xf>
    <xf numFmtId="41" fontId="41" fillId="36" borderId="43" xfId="84" applyFont="1" applyFill="1" applyBorder="1">
      <alignment vertical="center"/>
    </xf>
    <xf numFmtId="41" fontId="0" fillId="0" borderId="0" xfId="84" applyFont="1">
      <alignment vertical="center"/>
    </xf>
    <xf numFmtId="0" fontId="85" fillId="58" borderId="0" xfId="0" applyFont="1" applyFill="1"/>
    <xf numFmtId="190" fontId="0" fillId="0" borderId="0" xfId="18" applyNumberFormat="1" applyFont="1"/>
    <xf numFmtId="41" fontId="0" fillId="39" borderId="34" xfId="84" applyFont="1" applyFill="1" applyBorder="1" applyAlignment="1"/>
    <xf numFmtId="41" fontId="0" fillId="39" borderId="34" xfId="0" applyNumberFormat="1" applyFill="1" applyBorder="1"/>
    <xf numFmtId="11" fontId="0" fillId="0" borderId="34" xfId="0" applyNumberFormat="1" applyBorder="1"/>
    <xf numFmtId="41" fontId="0" fillId="59" borderId="34" xfId="84" applyFont="1" applyFill="1" applyBorder="1" applyAlignment="1"/>
    <xf numFmtId="0" fontId="0" fillId="59" borderId="34" xfId="0" applyFill="1" applyBorder="1"/>
    <xf numFmtId="3" fontId="84" fillId="59" borderId="34" xfId="0" applyNumberFormat="1" applyFont="1" applyFill="1" applyBorder="1" applyAlignment="1">
      <alignment horizontal="center" vertical="center" wrapText="1"/>
    </xf>
    <xf numFmtId="0" fontId="84" fillId="59" borderId="34" xfId="0" applyFont="1" applyFill="1" applyBorder="1" applyAlignment="1">
      <alignment horizontal="center" vertical="center" wrapText="1"/>
    </xf>
    <xf numFmtId="0" fontId="81" fillId="59" borderId="34" xfId="0" applyFont="1" applyFill="1" applyBorder="1"/>
    <xf numFmtId="9" fontId="15" fillId="39" borderId="34" xfId="18" applyFont="1" applyFill="1" applyBorder="1"/>
    <xf numFmtId="9" fontId="41" fillId="39" borderId="34" xfId="18" applyFont="1" applyFill="1" applyBorder="1"/>
    <xf numFmtId="9" fontId="41" fillId="39" borderId="34" xfId="0" applyNumberFormat="1" applyFont="1" applyFill="1" applyBorder="1"/>
    <xf numFmtId="9" fontId="0" fillId="0" borderId="34" xfId="0" applyNumberFormat="1" applyBorder="1"/>
    <xf numFmtId="9" fontId="0" fillId="39" borderId="34" xfId="0" applyNumberFormat="1" applyFill="1" applyBorder="1"/>
    <xf numFmtId="41" fontId="41" fillId="39" borderId="34" xfId="84" applyFont="1" applyFill="1" applyBorder="1" applyAlignment="1"/>
    <xf numFmtId="0" fontId="0" fillId="36" borderId="0" xfId="0" applyFill="1"/>
    <xf numFmtId="0" fontId="68" fillId="36" borderId="0" xfId="0" applyFont="1" applyFill="1"/>
    <xf numFmtId="189" fontId="33" fillId="15" borderId="0" xfId="45" applyNumberFormat="1" applyBorder="1" applyAlignment="1"/>
    <xf numFmtId="189" fontId="33" fillId="15" borderId="0" xfId="45" applyNumberFormat="1" applyAlignment="1"/>
    <xf numFmtId="189" fontId="33" fillId="15" borderId="41" xfId="45" applyNumberFormat="1" applyBorder="1" applyAlignment="1"/>
    <xf numFmtId="0" fontId="40" fillId="36" borderId="27" xfId="86" applyFont="1" applyFill="1" applyBorder="1" applyAlignment="1">
      <alignment horizontal="left" vertical="center" wrapText="1" indent="2"/>
    </xf>
    <xf numFmtId="189" fontId="50" fillId="36" borderId="27" xfId="86" applyNumberFormat="1" applyFont="1" applyFill="1" applyBorder="1" applyAlignment="1">
      <alignment horizontal="right" vertical="center" wrapText="1"/>
    </xf>
    <xf numFmtId="11" fontId="33" fillId="15" borderId="34" xfId="45" applyNumberFormat="1" applyBorder="1"/>
    <xf numFmtId="0" fontId="0" fillId="45" borderId="34" xfId="0" applyFill="1" applyBorder="1"/>
    <xf numFmtId="0" fontId="0" fillId="60" borderId="34" xfId="0" applyFill="1" applyBorder="1" applyAlignment="1">
      <alignment vertical="center"/>
    </xf>
    <xf numFmtId="0" fontId="0" fillId="61" borderId="35" xfId="0" applyFill="1" applyBorder="1"/>
    <xf numFmtId="0" fontId="0" fillId="61" borderId="34" xfId="0" applyFill="1" applyBorder="1"/>
    <xf numFmtId="3" fontId="0" fillId="0" borderId="0" xfId="0" applyNumberFormat="1" applyAlignment="1">
      <alignment horizontal="right"/>
    </xf>
    <xf numFmtId="3" fontId="0" fillId="0" borderId="0" xfId="0" applyNumberFormat="1" applyAlignment="1">
      <alignment vertical="center"/>
    </xf>
    <xf numFmtId="10" fontId="0" fillId="0" borderId="0" xfId="18" applyNumberFormat="1" applyFont="1" applyAlignment="1">
      <alignment vertical="center"/>
    </xf>
    <xf numFmtId="10" fontId="0" fillId="0" borderId="0" xfId="0" applyNumberFormat="1" applyAlignment="1">
      <alignment vertical="center"/>
    </xf>
    <xf numFmtId="0" fontId="8" fillId="62" borderId="0" xfId="0" applyFont="1" applyFill="1"/>
    <xf numFmtId="0" fontId="0" fillId="62" borderId="0" xfId="0" applyFill="1"/>
    <xf numFmtId="9" fontId="0" fillId="63" borderId="0" xfId="18" applyFont="1" applyFill="1"/>
    <xf numFmtId="0" fontId="8" fillId="3" borderId="0" xfId="0" applyFont="1" applyFill="1"/>
    <xf numFmtId="0" fontId="0" fillId="3" borderId="0" xfId="0" applyFill="1"/>
    <xf numFmtId="0" fontId="0" fillId="0" borderId="0" xfId="0" applyAlignment="1">
      <alignment wrapText="1"/>
    </xf>
    <xf numFmtId="0" fontId="3" fillId="36" borderId="0" xfId="85" applyFont="1" applyFill="1"/>
    <xf numFmtId="0" fontId="7" fillId="38" borderId="0" xfId="85" applyFill="1"/>
    <xf numFmtId="180" fontId="51" fillId="38" borderId="0" xfId="86" applyNumberFormat="1" applyFont="1" applyFill="1" applyAlignment="1">
      <alignment horizontal="right" vertical="center" wrapText="1"/>
    </xf>
    <xf numFmtId="180" fontId="51" fillId="36" borderId="0" xfId="86" applyNumberFormat="1" applyFont="1" applyFill="1" applyAlignment="1">
      <alignment horizontal="right" vertical="center" wrapText="1"/>
    </xf>
    <xf numFmtId="0" fontId="7" fillId="38" borderId="27" xfId="85" applyFill="1" applyBorder="1"/>
    <xf numFmtId="182" fontId="50" fillId="38" borderId="27" xfId="86" applyNumberFormat="1" applyFont="1" applyFill="1" applyBorder="1" applyAlignment="1">
      <alignment horizontal="right" vertical="center" wrapText="1"/>
    </xf>
    <xf numFmtId="182" fontId="50" fillId="36" borderId="27" xfId="86" applyNumberFormat="1" applyFont="1" applyFill="1" applyBorder="1" applyAlignment="1">
      <alignment horizontal="right" vertical="center" wrapText="1"/>
    </xf>
    <xf numFmtId="0" fontId="53" fillId="36" borderId="27" xfId="85" applyFont="1" applyFill="1" applyBorder="1"/>
    <xf numFmtId="180" fontId="50" fillId="36" borderId="27" xfId="86" applyNumberFormat="1" applyFont="1" applyFill="1" applyBorder="1" applyAlignment="1">
      <alignment horizontal="right" vertical="center" wrapText="1"/>
    </xf>
    <xf numFmtId="183" fontId="50" fillId="36" borderId="27" xfId="86" applyNumberFormat="1" applyFont="1" applyFill="1" applyBorder="1" applyAlignment="1">
      <alignment horizontal="right" vertical="center" wrapText="1"/>
    </xf>
    <xf numFmtId="189" fontId="50" fillId="38" borderId="0" xfId="86" applyNumberFormat="1" applyFont="1" applyFill="1" applyAlignment="1">
      <alignment horizontal="right" vertical="center" wrapText="1"/>
    </xf>
    <xf numFmtId="189" fontId="50" fillId="38" borderId="27" xfId="84" applyNumberFormat="1" applyFont="1" applyFill="1" applyBorder="1" applyAlignment="1">
      <alignment horizontal="right" vertical="center" wrapText="1"/>
    </xf>
    <xf numFmtId="189" fontId="50" fillId="38" borderId="27" xfId="86" applyNumberFormat="1" applyFont="1" applyFill="1" applyBorder="1" applyAlignment="1">
      <alignment horizontal="right" vertical="center" wrapText="1"/>
    </xf>
    <xf numFmtId="189" fontId="50" fillId="0" borderId="0" xfId="84" applyNumberFormat="1" applyFont="1" applyFill="1" applyBorder="1" applyAlignment="1">
      <alignment horizontal="right" vertical="center" wrapText="1"/>
    </xf>
    <xf numFmtId="190" fontId="7" fillId="36" borderId="0" xfId="85" applyNumberFormat="1" applyFill="1"/>
    <xf numFmtId="189" fontId="50" fillId="36" borderId="44" xfId="86" applyNumberFormat="1" applyFont="1" applyFill="1" applyBorder="1" applyAlignment="1">
      <alignment horizontal="right" vertical="center" wrapText="1"/>
    </xf>
    <xf numFmtId="189" fontId="50" fillId="36" borderId="45" xfId="86" applyNumberFormat="1" applyFont="1" applyFill="1" applyBorder="1" applyAlignment="1">
      <alignment horizontal="right" vertical="center" wrapText="1"/>
    </xf>
    <xf numFmtId="189" fontId="50" fillId="36" borderId="46" xfId="86" applyNumberFormat="1" applyFont="1" applyFill="1" applyBorder="1" applyAlignment="1">
      <alignment horizontal="right" vertical="center" wrapText="1"/>
    </xf>
    <xf numFmtId="189" fontId="2" fillId="36" borderId="0" xfId="85" applyNumberFormat="1" applyFont="1" applyFill="1"/>
    <xf numFmtId="9" fontId="7" fillId="36" borderId="0" xfId="18" applyFont="1" applyFill="1"/>
    <xf numFmtId="0" fontId="40" fillId="36" borderId="0" xfId="85" applyFont="1" applyFill="1"/>
    <xf numFmtId="189" fontId="50" fillId="38" borderId="47" xfId="86" applyNumberFormat="1" applyFont="1" applyFill="1" applyBorder="1" applyAlignment="1">
      <alignment horizontal="right" vertical="center" wrapText="1"/>
    </xf>
    <xf numFmtId="190" fontId="50" fillId="38" borderId="0" xfId="18" applyNumberFormat="1" applyFont="1" applyFill="1" applyBorder="1" applyAlignment="1">
      <alignment horizontal="right" vertical="center" wrapText="1"/>
    </xf>
    <xf numFmtId="189" fontId="50" fillId="36" borderId="48" xfId="86" applyNumberFormat="1" applyFont="1" applyFill="1" applyBorder="1" applyAlignment="1">
      <alignment horizontal="right" vertical="center" wrapText="1"/>
    </xf>
    <xf numFmtId="189" fontId="50" fillId="38" borderId="31" xfId="86" applyNumberFormat="1" applyFont="1" applyFill="1" applyBorder="1" applyAlignment="1">
      <alignment horizontal="right" vertical="center" wrapText="1"/>
    </xf>
    <xf numFmtId="0" fontId="40" fillId="36" borderId="0" xfId="86" applyFont="1" applyFill="1" applyAlignment="1">
      <alignment horizontal="left" vertical="center" indent="1"/>
    </xf>
    <xf numFmtId="0" fontId="45" fillId="37" borderId="0" xfId="86" applyFont="1" applyFill="1" applyAlignment="1">
      <alignment horizontal="center" vertical="center"/>
    </xf>
    <xf numFmtId="189" fontId="50" fillId="36" borderId="49" xfId="86" applyNumberFormat="1" applyFont="1" applyFill="1" applyBorder="1" applyAlignment="1">
      <alignment horizontal="right" vertical="center" wrapText="1"/>
    </xf>
    <xf numFmtId="0" fontId="2" fillId="36" borderId="0" xfId="85" applyFont="1" applyFill="1"/>
    <xf numFmtId="190" fontId="2" fillId="36" borderId="0" xfId="85" applyNumberFormat="1" applyFont="1" applyFill="1"/>
    <xf numFmtId="0" fontId="86" fillId="0" borderId="0" xfId="86" applyFont="1" applyAlignment="1">
      <alignment horizontal="left" vertical="center"/>
    </xf>
    <xf numFmtId="0" fontId="86" fillId="0" borderId="0" xfId="86" applyFont="1">
      <alignment vertical="center"/>
    </xf>
    <xf numFmtId="0" fontId="64" fillId="0" borderId="0" xfId="87" applyFont="1" applyAlignment="1">
      <alignment horizontal="left" vertical="center"/>
    </xf>
    <xf numFmtId="0" fontId="65" fillId="0" borderId="0" xfId="87" applyFont="1" applyAlignment="1">
      <alignment horizontal="left" vertical="center"/>
    </xf>
    <xf numFmtId="0" fontId="64" fillId="0" borderId="25" xfId="87" applyFont="1" applyBorder="1" applyAlignment="1">
      <alignment horizontal="left" vertical="center"/>
    </xf>
    <xf numFmtId="185" fontId="67" fillId="3" borderId="25" xfId="86" applyNumberFormat="1" applyFont="1" applyFill="1" applyBorder="1">
      <alignment vertical="center"/>
    </xf>
    <xf numFmtId="185" fontId="65" fillId="3" borderId="0" xfId="86" applyNumberFormat="1" applyFont="1" applyFill="1">
      <alignment vertical="center"/>
    </xf>
    <xf numFmtId="0" fontId="64" fillId="0" borderId="0" xfId="87" applyFont="1" applyAlignment="1">
      <alignment horizontal="left" vertical="center" indent="1"/>
    </xf>
    <xf numFmtId="0" fontId="64" fillId="0" borderId="0" xfId="87" applyFont="1" applyAlignment="1">
      <alignment horizontal="left" vertical="center" indent="2"/>
    </xf>
    <xf numFmtId="0" fontId="65" fillId="0" borderId="26" xfId="87" applyFont="1" applyBorder="1" applyAlignment="1">
      <alignment horizontal="left" vertical="center"/>
    </xf>
    <xf numFmtId="0" fontId="64" fillId="0" borderId="0" xfId="87" applyFont="1" applyAlignment="1">
      <alignment horizontal="left" vertical="center" indent="3"/>
    </xf>
    <xf numFmtId="0" fontId="64" fillId="0" borderId="29" xfId="87" applyFont="1" applyBorder="1" applyAlignment="1">
      <alignment horizontal="left" vertical="center" indent="1"/>
    </xf>
    <xf numFmtId="0" fontId="64" fillId="0" borderId="26" xfId="87" applyFont="1" applyBorder="1" applyAlignment="1">
      <alignment horizontal="left" vertical="center"/>
    </xf>
    <xf numFmtId="185" fontId="67" fillId="3" borderId="26" xfId="86" applyNumberFormat="1" applyFont="1" applyFill="1" applyBorder="1">
      <alignment vertical="center"/>
    </xf>
    <xf numFmtId="49" fontId="64" fillId="0" borderId="0" xfId="87" applyNumberFormat="1" applyFont="1" applyAlignment="1">
      <alignment horizontal="left" vertical="center"/>
    </xf>
    <xf numFmtId="49" fontId="64" fillId="0" borderId="25" xfId="86" applyNumberFormat="1" applyFont="1" applyBorder="1" applyAlignment="1">
      <alignment horizontal="left" vertical="center"/>
    </xf>
    <xf numFmtId="49" fontId="67" fillId="0" borderId="0" xfId="86" applyNumberFormat="1" applyFont="1" applyAlignment="1">
      <alignment horizontal="left" vertical="center"/>
    </xf>
    <xf numFmtId="49" fontId="65" fillId="0" borderId="26" xfId="86" applyNumberFormat="1" applyFont="1" applyBorder="1" applyAlignment="1">
      <alignment horizontal="left" vertical="center"/>
    </xf>
    <xf numFmtId="49" fontId="67" fillId="0" borderId="29" xfId="86" applyNumberFormat="1" applyFont="1" applyBorder="1" applyAlignment="1">
      <alignment horizontal="left" vertical="center"/>
    </xf>
    <xf numFmtId="0" fontId="64" fillId="38" borderId="0" xfId="87" applyFont="1" applyFill="1" applyAlignment="1">
      <alignment horizontal="left" vertical="center" indent="4"/>
    </xf>
    <xf numFmtId="49" fontId="64" fillId="38" borderId="0" xfId="86" applyNumberFormat="1" applyFont="1" applyFill="1" applyAlignment="1">
      <alignment horizontal="left" vertical="center"/>
    </xf>
    <xf numFmtId="185" fontId="67" fillId="38" borderId="0" xfId="86" applyNumberFormat="1" applyFont="1" applyFill="1">
      <alignment vertical="center"/>
    </xf>
    <xf numFmtId="0" fontId="64" fillId="40" borderId="0" xfId="87" applyFont="1" applyFill="1" applyAlignment="1">
      <alignment horizontal="left" vertical="center" indent="3"/>
    </xf>
    <xf numFmtId="0" fontId="64" fillId="40" borderId="0" xfId="87" applyFont="1" applyFill="1" applyAlignment="1">
      <alignment horizontal="left" vertical="center" indent="4"/>
    </xf>
    <xf numFmtId="49" fontId="64" fillId="40" borderId="0" xfId="86" applyNumberFormat="1" applyFont="1" applyFill="1" applyAlignment="1">
      <alignment horizontal="left" vertical="center"/>
    </xf>
    <xf numFmtId="0" fontId="68" fillId="36" borderId="0" xfId="85" applyFont="1" applyFill="1"/>
    <xf numFmtId="2" fontId="68" fillId="0" borderId="0" xfId="0" applyNumberFormat="1" applyFont="1"/>
    <xf numFmtId="0" fontId="87" fillId="0" borderId="0" xfId="0" applyFont="1"/>
    <xf numFmtId="9" fontId="50" fillId="0" borderId="0" xfId="18" applyFont="1" applyAlignment="1">
      <alignment horizontal="right" vertical="center" wrapText="1"/>
    </xf>
    <xf numFmtId="0" fontId="88" fillId="0" borderId="0" xfId="0" applyFont="1"/>
    <xf numFmtId="0" fontId="45" fillId="37" borderId="0" xfId="86" applyFont="1" applyFill="1">
      <alignment vertical="center"/>
    </xf>
    <xf numFmtId="0" fontId="46" fillId="0" borderId="0" xfId="86" applyFont="1" applyAlignment="1">
      <alignment vertical="center" wrapText="1"/>
    </xf>
    <xf numFmtId="180" fontId="47" fillId="0" borderId="0" xfId="86" applyNumberFormat="1" applyFont="1" applyAlignment="1">
      <alignment horizontal="right" vertical="center" wrapText="1"/>
    </xf>
    <xf numFmtId="181" fontId="48" fillId="0" borderId="0" xfId="86" applyNumberFormat="1" applyFont="1" applyAlignment="1">
      <alignment horizontal="right" vertical="center" wrapText="1"/>
    </xf>
    <xf numFmtId="181" fontId="49" fillId="0" borderId="0" xfId="86" applyNumberFormat="1" applyFont="1" applyAlignment="1">
      <alignment horizontal="right" vertical="center" wrapText="1"/>
    </xf>
    <xf numFmtId="0" fontId="40" fillId="0" borderId="0" xfId="86" applyFont="1" applyAlignment="1">
      <alignment horizontal="left" vertical="center" wrapText="1" indent="1"/>
    </xf>
    <xf numFmtId="41" fontId="89" fillId="0" borderId="0" xfId="84" applyFont="1" applyFill="1" applyAlignment="1">
      <alignment horizontal="right" vertical="center" wrapText="1"/>
    </xf>
    <xf numFmtId="0" fontId="40" fillId="0" borderId="0" xfId="86" applyFont="1" applyAlignment="1">
      <alignment horizontal="left" vertical="center" wrapText="1" indent="2"/>
    </xf>
    <xf numFmtId="0" fontId="40" fillId="0" borderId="21" xfId="86" applyFont="1" applyBorder="1" applyAlignment="1">
      <alignment horizontal="left" vertical="center" wrapText="1" indent="2"/>
    </xf>
    <xf numFmtId="41" fontId="89" fillId="0" borderId="27" xfId="84" applyFont="1" applyFill="1" applyBorder="1" applyAlignment="1">
      <alignment horizontal="right" vertical="center" wrapText="1"/>
    </xf>
    <xf numFmtId="0" fontId="40" fillId="0" borderId="0" xfId="86" quotePrefix="1" applyFont="1" applyAlignment="1">
      <alignment horizontal="left" vertical="center"/>
    </xf>
    <xf numFmtId="41" fontId="89" fillId="0" borderId="0" xfId="84" applyFont="1" applyFill="1" applyBorder="1" applyAlignment="1">
      <alignment horizontal="right" vertical="center" wrapText="1"/>
    </xf>
    <xf numFmtId="189" fontId="50" fillId="36" borderId="42" xfId="86" applyNumberFormat="1" applyFont="1" applyFill="1" applyBorder="1" applyAlignment="1">
      <alignment horizontal="right" vertical="center" wrapText="1"/>
    </xf>
    <xf numFmtId="189" fontId="50" fillId="36" borderId="50" xfId="86" applyNumberFormat="1" applyFont="1" applyFill="1" applyBorder="1" applyAlignment="1">
      <alignment horizontal="right" vertical="center" wrapText="1"/>
    </xf>
    <xf numFmtId="189" fontId="1" fillId="36" borderId="0" xfId="85" applyNumberFormat="1" applyFont="1" applyFill="1"/>
    <xf numFmtId="189" fontId="50" fillId="3" borderId="0" xfId="86" applyNumberFormat="1" applyFont="1" applyFill="1" applyAlignment="1">
      <alignment horizontal="right" vertical="center" wrapText="1"/>
    </xf>
    <xf numFmtId="189" fontId="50" fillId="3" borderId="32" xfId="86" applyNumberFormat="1" applyFont="1" applyFill="1" applyBorder="1" applyAlignment="1">
      <alignment horizontal="right" vertical="center" wrapText="1"/>
    </xf>
    <xf numFmtId="0" fontId="18" fillId="3" borderId="0" xfId="0" applyFont="1" applyFill="1"/>
    <xf numFmtId="11" fontId="90" fillId="3" borderId="0" xfId="0" applyNumberFormat="1" applyFont="1" applyFill="1"/>
    <xf numFmtId="189" fontId="91" fillId="3" borderId="0" xfId="84" applyNumberFormat="1" applyFont="1" applyFill="1" applyBorder="1" applyAlignment="1">
      <alignment horizontal="right" vertical="center" wrapText="1"/>
    </xf>
    <xf numFmtId="189" fontId="91" fillId="38" borderId="0" xfId="84" applyNumberFormat="1" applyFont="1" applyFill="1" applyBorder="1" applyAlignment="1">
      <alignment horizontal="right" vertical="center" wrapText="1"/>
    </xf>
    <xf numFmtId="189" fontId="91" fillId="0" borderId="0" xfId="84" applyNumberFormat="1" applyFont="1" applyFill="1" applyBorder="1" applyAlignment="1">
      <alignment horizontal="right" vertical="center" wrapText="1"/>
    </xf>
    <xf numFmtId="0" fontId="63" fillId="0" borderId="26" xfId="85" applyFont="1" applyBorder="1" applyAlignment="1">
      <alignment horizontal="left" vertical="top" wrapText="1"/>
    </xf>
    <xf numFmtId="0" fontId="63" fillId="0" borderId="0" xfId="85" applyFont="1" applyAlignment="1">
      <alignment horizontal="left" vertical="top" wrapText="1"/>
    </xf>
    <xf numFmtId="0" fontId="63" fillId="0" borderId="27" xfId="85" applyFont="1" applyBorder="1" applyAlignment="1">
      <alignment horizontal="left" vertical="top" wrapText="1"/>
    </xf>
    <xf numFmtId="0" fontId="38" fillId="36" borderId="0" xfId="0" applyFont="1" applyFill="1" applyAlignment="1">
      <alignment horizontal="center" wrapText="1"/>
    </xf>
    <xf numFmtId="0" fontId="38" fillId="36" borderId="0" xfId="0" applyFont="1" applyFill="1" applyAlignment="1">
      <alignment horizontal="center"/>
    </xf>
    <xf numFmtId="0" fontId="42" fillId="37" borderId="20" xfId="86" applyFont="1" applyFill="1" applyBorder="1" applyAlignment="1">
      <alignment horizontal="center" vertical="center" wrapText="1"/>
    </xf>
    <xf numFmtId="0" fontId="54" fillId="36" borderId="23" xfId="86" applyFont="1" applyFill="1" applyBorder="1" applyAlignment="1">
      <alignment horizontal="left" vertical="center" wrapText="1"/>
    </xf>
    <xf numFmtId="0" fontId="54" fillId="36" borderId="23" xfId="86" applyFont="1" applyFill="1" applyBorder="1" applyAlignment="1">
      <alignment horizontal="left" vertical="center"/>
    </xf>
    <xf numFmtId="0" fontId="38" fillId="36" borderId="0" xfId="88" applyFont="1" applyFill="1" applyAlignment="1">
      <alignment horizontal="center" wrapText="1"/>
    </xf>
    <xf numFmtId="0" fontId="40" fillId="36" borderId="0" xfId="88" applyFont="1" applyFill="1" applyAlignment="1">
      <alignment horizontal="right" wrapText="1"/>
    </xf>
    <xf numFmtId="0" fontId="40" fillId="36" borderId="0" xfId="0" applyFont="1" applyFill="1" applyAlignment="1">
      <alignment horizontal="right" wrapText="1"/>
    </xf>
    <xf numFmtId="0" fontId="54" fillId="36" borderId="0" xfId="86" applyFont="1" applyFill="1" applyAlignment="1">
      <alignment horizontal="left" vertical="center" wrapText="1"/>
    </xf>
    <xf numFmtId="0" fontId="54" fillId="36" borderId="0" xfId="86" applyFont="1" applyFill="1" applyAlignment="1">
      <alignment horizontal="left" vertical="center"/>
    </xf>
    <xf numFmtId="0" fontId="38" fillId="36" borderId="0" xfId="85" applyFont="1" applyFill="1" applyAlignment="1">
      <alignment horizontal="center" wrapText="1"/>
    </xf>
    <xf numFmtId="0" fontId="38" fillId="36" borderId="0" xfId="85" applyFont="1" applyFill="1" applyAlignment="1">
      <alignment horizontal="center"/>
    </xf>
    <xf numFmtId="0" fontId="40" fillId="36" borderId="0" xfId="85" applyFont="1" applyFill="1" applyAlignment="1">
      <alignment horizontal="right" wrapText="1"/>
    </xf>
    <xf numFmtId="0" fontId="38" fillId="36" borderId="0" xfId="87" applyFont="1" applyFill="1" applyAlignment="1">
      <alignment horizontal="center" wrapText="1"/>
    </xf>
    <xf numFmtId="0" fontId="38" fillId="36" borderId="0" xfId="87" applyFont="1" applyFill="1" applyAlignment="1">
      <alignment horizontal="center"/>
    </xf>
    <xf numFmtId="0" fontId="40" fillId="36" borderId="0" xfId="87" applyFont="1" applyFill="1" applyAlignment="1">
      <alignment horizontal="right" wrapText="1"/>
    </xf>
    <xf numFmtId="0" fontId="71" fillId="39" borderId="28" xfId="86" applyFont="1" applyFill="1" applyBorder="1" applyAlignment="1">
      <alignment horizontal="center" vertical="center"/>
    </xf>
    <xf numFmtId="0" fontId="71" fillId="42" borderId="28" xfId="86" applyFont="1" applyFill="1" applyBorder="1" applyAlignment="1">
      <alignment horizontal="center" vertical="center"/>
    </xf>
    <xf numFmtId="0" fontId="71" fillId="44" borderId="28" xfId="86" applyFont="1" applyFill="1" applyBorder="1" applyAlignment="1">
      <alignment horizontal="center" vertical="center"/>
    </xf>
    <xf numFmtId="0" fontId="0" fillId="0" borderId="34" xfId="0" applyBorder="1" applyAlignment="1">
      <alignment vertical="center"/>
    </xf>
    <xf numFmtId="0" fontId="0" fillId="0" borderId="34" xfId="0" applyBorder="1"/>
    <xf numFmtId="0" fontId="0" fillId="45" borderId="34" xfId="0" applyFill="1" applyBorder="1"/>
    <xf numFmtId="0" fontId="0" fillId="0" borderId="38" xfId="0" applyBorder="1" applyAlignment="1">
      <alignment horizontal="center"/>
    </xf>
    <xf numFmtId="0" fontId="0" fillId="0" borderId="25" xfId="0" applyBorder="1" applyAlignment="1">
      <alignment horizontal="center"/>
    </xf>
    <xf numFmtId="0" fontId="0" fillId="0" borderId="39" xfId="0" applyBorder="1" applyAlignment="1">
      <alignment horizontal="center"/>
    </xf>
    <xf numFmtId="0" fontId="0" fillId="0" borderId="35" xfId="0" applyBorder="1" applyAlignment="1">
      <alignment horizontal="center" vertical="center"/>
    </xf>
    <xf numFmtId="0" fontId="0" fillId="0" borderId="40" xfId="0" applyBorder="1" applyAlignment="1">
      <alignment horizontal="center" vertical="center"/>
    </xf>
  </cellXfs>
  <cellStyles count="89">
    <cellStyle name="20% - Accent1 2" xfId="68" xr:uid="{00000000-0005-0000-0000-000001000000}"/>
    <cellStyle name="20% - Accent2 2" xfId="70" xr:uid="{00000000-0005-0000-0000-000003000000}"/>
    <cellStyle name="20% - Accent3 2" xfId="72" xr:uid="{00000000-0005-0000-0000-000005000000}"/>
    <cellStyle name="20% - Accent4 2" xfId="74" xr:uid="{00000000-0005-0000-0000-000007000000}"/>
    <cellStyle name="20% - Accent5 2" xfId="76" xr:uid="{00000000-0005-0000-0000-000009000000}"/>
    <cellStyle name="20% - Accent6 2" xfId="78" xr:uid="{00000000-0005-0000-0000-00000B000000}"/>
    <cellStyle name="20% - 강조색1" xfId="43" builtinId="30" customBuiltin="1"/>
    <cellStyle name="20% - 강조색2" xfId="46" builtinId="34" customBuiltin="1"/>
    <cellStyle name="20% - 강조색3" xfId="49" builtinId="38" customBuiltin="1"/>
    <cellStyle name="20% - 강조색4" xfId="52" builtinId="42" customBuiltin="1"/>
    <cellStyle name="20% - 강조색5" xfId="55" builtinId="46" customBuiltin="1"/>
    <cellStyle name="20% - 강조색6" xfId="58" builtinId="50" customBuiltin="1"/>
    <cellStyle name="40% - Accent1 2" xfId="69" xr:uid="{00000000-0005-0000-0000-00000D000000}"/>
    <cellStyle name="40% - Accent2 2" xfId="71" xr:uid="{00000000-0005-0000-0000-00000F000000}"/>
    <cellStyle name="40% - Accent3 2" xfId="73" xr:uid="{00000000-0005-0000-0000-000011000000}"/>
    <cellStyle name="40% - Accent4 2" xfId="75" xr:uid="{00000000-0005-0000-0000-000013000000}"/>
    <cellStyle name="40% - Accent5 2" xfId="77" xr:uid="{00000000-0005-0000-0000-000015000000}"/>
    <cellStyle name="40% - Accent6 2" xfId="79" xr:uid="{00000000-0005-0000-0000-000017000000}"/>
    <cellStyle name="40% - 강조색1" xfId="44" builtinId="31" customBuiltin="1"/>
    <cellStyle name="40% - 강조색2" xfId="47" builtinId="35" customBuiltin="1"/>
    <cellStyle name="40% - 강조색3" xfId="50" builtinId="39" customBuiltin="1"/>
    <cellStyle name="40% - 강조색4" xfId="53" builtinId="43" customBuiltin="1"/>
    <cellStyle name="40% - 강조색5" xfId="56" builtinId="47" customBuiltin="1"/>
    <cellStyle name="40% - 강조색6" xfId="59" builtinId="51" customBuiltin="1"/>
    <cellStyle name="60% - Accent1 2" xfId="61" xr:uid="{00000000-0005-0000-0000-000018000000}"/>
    <cellStyle name="60% - Accent2 2" xfId="62" xr:uid="{00000000-0005-0000-0000-000019000000}"/>
    <cellStyle name="60% - Accent3 2" xfId="63" xr:uid="{00000000-0005-0000-0000-00001A000000}"/>
    <cellStyle name="60% - Accent4 2" xfId="64" xr:uid="{00000000-0005-0000-0000-00001B000000}"/>
    <cellStyle name="60% - Accent5 2" xfId="65" xr:uid="{00000000-0005-0000-0000-00001C000000}"/>
    <cellStyle name="60% - Accent6 2" xfId="66" xr:uid="{00000000-0005-0000-0000-00001D000000}"/>
    <cellStyle name="Body: normal cell" xfId="2" xr:uid="{00000000-0005-0000-0000-000025000000}"/>
    <cellStyle name="Body: normal cell 2" xfId="24" xr:uid="{00000000-0005-0000-0000-000026000000}"/>
    <cellStyle name="Comma 2" xfId="83" xr:uid="{B0EABCB8-8FF6-4E8E-9CBF-73B9F155E41F}"/>
    <cellStyle name="Font: Calibri, 9pt regular" xfId="8" xr:uid="{00000000-0005-0000-0000-00002B000000}"/>
    <cellStyle name="Font: Calibri, 9pt regular 2" xfId="20" xr:uid="{00000000-0005-0000-0000-00002C000000}"/>
    <cellStyle name="Footnotes: all except top row" xfId="11" xr:uid="{00000000-0005-0000-0000-00002D000000}"/>
    <cellStyle name="Footnotes: top row" xfId="6" xr:uid="{00000000-0005-0000-0000-00002E000000}"/>
    <cellStyle name="Footnotes: top row 2" xfId="25" xr:uid="{00000000-0005-0000-0000-00002F000000}"/>
    <cellStyle name="Header: bottom row" xfId="1" xr:uid="{00000000-0005-0000-0000-000031000000}"/>
    <cellStyle name="Header: bottom row 2" xfId="21" xr:uid="{00000000-0005-0000-0000-000032000000}"/>
    <cellStyle name="Header: top rows" xfId="3" xr:uid="{00000000-0005-0000-0000-000033000000}"/>
    <cellStyle name="Neutral 2" xfId="60" xr:uid="{00000000-0005-0000-0000-00003B000000}"/>
    <cellStyle name="Normal 2" xfId="19" xr:uid="{00000000-0005-0000-0000-00003D000000}"/>
    <cellStyle name="Normal 2 2" xfId="81" xr:uid="{82E402D6-1DF0-4E6A-9068-58786E0D42A2}"/>
    <cellStyle name="Normal 3" xfId="13" xr:uid="{00000000-0005-0000-0000-00003E000000}"/>
    <cellStyle name="Normal 3 2" xfId="80" xr:uid="{B36BF01F-9627-47E6-A0B3-E5842EE99611}"/>
    <cellStyle name="Normal 4" xfId="14" xr:uid="{00000000-0005-0000-0000-00003F000000}"/>
    <cellStyle name="Normal 4 2 2" xfId="82" xr:uid="{EA7BF279-956F-47C2-9A73-0954A56A37C4}"/>
    <cellStyle name="Normal 5" xfId="15" xr:uid="{00000000-0005-0000-0000-000040000000}"/>
    <cellStyle name="Normal 58" xfId="17" xr:uid="{00000000-0005-0000-0000-000041000000}"/>
    <cellStyle name="Normal 6" xfId="16" xr:uid="{00000000-0005-0000-0000-000042000000}"/>
    <cellStyle name="Note 2" xfId="67" xr:uid="{00000000-0005-0000-0000-000044000000}"/>
    <cellStyle name="Parent row" xfId="5" xr:uid="{00000000-0005-0000-0000-000046000000}"/>
    <cellStyle name="Parent row 2" xfId="23" xr:uid="{00000000-0005-0000-0000-000047000000}"/>
    <cellStyle name="Section Break" xfId="7" xr:uid="{00000000-0005-0000-0000-000049000000}"/>
    <cellStyle name="Section Break: parent row" xfId="4" xr:uid="{00000000-0005-0000-0000-00004A000000}"/>
    <cellStyle name="Table title" xfId="12" xr:uid="{00000000-0005-0000-0000-00004B000000}"/>
    <cellStyle name="Table title 2" xfId="22" xr:uid="{00000000-0005-0000-0000-00004C000000}"/>
    <cellStyle name="강조색1" xfId="42" builtinId="29" customBuiltin="1"/>
    <cellStyle name="강조색2" xfId="45" builtinId="33" customBuiltin="1"/>
    <cellStyle name="강조색3" xfId="48" builtinId="37" customBuiltin="1"/>
    <cellStyle name="강조색4" xfId="51" builtinId="41" customBuiltin="1"/>
    <cellStyle name="강조색5" xfId="54" builtinId="45" customBuiltin="1"/>
    <cellStyle name="강조색6" xfId="57" builtinId="49" customBuiltin="1"/>
    <cellStyle name="경고문" xfId="38" builtinId="11" customBuiltin="1"/>
    <cellStyle name="계산" xfId="35" builtinId="22" customBuiltin="1"/>
    <cellStyle name="나쁨" xfId="32" builtinId="27" customBuiltin="1"/>
    <cellStyle name="메모" xfId="39" builtinId="10" customBuiltin="1"/>
    <cellStyle name="백분율" xfId="18" builtinId="5"/>
    <cellStyle name="설명 텍스트" xfId="40" builtinId="53" customBuiltin="1"/>
    <cellStyle name="셀 확인" xfId="37" builtinId="23" customBuiltin="1"/>
    <cellStyle name="쉼표 [0]" xfId="84" builtinId="6"/>
    <cellStyle name="연결된 셀" xfId="36" builtinId="24" customBuiltin="1"/>
    <cellStyle name="열어 본 하이퍼링크" xfId="10" builtinId="9" customBuiltin="1"/>
    <cellStyle name="요약" xfId="41" builtinId="25" customBuiltin="1"/>
    <cellStyle name="입력" xfId="33" builtinId="20" customBuiltin="1"/>
    <cellStyle name="제목" xfId="26" builtinId="15" customBuiltin="1"/>
    <cellStyle name="제목 1" xfId="27" builtinId="16" customBuiltin="1"/>
    <cellStyle name="제목 2" xfId="28" builtinId="17" customBuiltin="1"/>
    <cellStyle name="제목 3" xfId="29" builtinId="18" customBuiltin="1"/>
    <cellStyle name="제목 4" xfId="30" builtinId="19" customBuiltin="1"/>
    <cellStyle name="좋음" xfId="31" builtinId="26" customBuiltin="1"/>
    <cellStyle name="출력" xfId="34" builtinId="21" customBuiltin="1"/>
    <cellStyle name="표준" xfId="0" builtinId="0"/>
    <cellStyle name="표준 2" xfId="85" xr:uid="{DA2BF1F1-4027-499C-BE3C-4B85B9EC0FDB}"/>
    <cellStyle name="표준 2 2" xfId="88" xr:uid="{96FE3BA5-5011-4CBD-8B8D-3987B71F9590}"/>
    <cellStyle name="표준 3" xfId="86" xr:uid="{A9F49CC7-6DA6-42DE-89EF-87CBB8D6650B}"/>
    <cellStyle name="표준 4" xfId="87" xr:uid="{136112E7-7FAA-4FE4-8445-0AE2130C5A23}"/>
    <cellStyle name="하이퍼링크" xfId="9" builtinId="8" customBuiltin="1"/>
  </cellStyles>
  <dxfs count="3">
    <dxf>
      <font>
        <color rgb="FF9C0006"/>
      </font>
      <fill>
        <patternFill>
          <bgColor rgb="FFFFC7CE"/>
        </patternFill>
      </fill>
    </dxf>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00000000-0011-0000-FFFF-FFFF00000000}">
      <tableStyleElement type="wholeTable" dxfId="2"/>
      <tableStyleElement type="headerRow" dxfId="1"/>
    </tableStyle>
  </tableStyles>
  <colors>
    <mruColors>
      <color rgb="FFFFFF00"/>
      <color rgb="FFFFFFCC"/>
      <color rgb="FFFF8989"/>
      <color rgb="FFFF9B9B"/>
      <color rgb="FFAC0000"/>
      <color rgb="FFFFC1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'BIFUbC-biomass pre-CHP'!$A$2</c:f>
              <c:strCache>
                <c:ptCount val="1"/>
                <c:pt idx="0">
                  <c:v>agriculture and forestry 01T03</c:v>
                </c:pt>
              </c:strCache>
            </c:strRef>
          </c:tx>
          <c:spPr>
            <a:ln w="28575" cap="rnd">
              <a:solidFill>
                <a:schemeClr val="accent2"/>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pre-CHP'!$B$2:$AF$2</c:f>
              <c:numCache>
                <c:formatCode>0.00E+00</c:formatCode>
                <c:ptCount val="31"/>
                <c:pt idx="0">
                  <c:v>24458561772904.477</c:v>
                </c:pt>
                <c:pt idx="1">
                  <c:v>25545826135020.988</c:v>
                </c:pt>
                <c:pt idx="2">
                  <c:v>26633090497137.492</c:v>
                </c:pt>
                <c:pt idx="3">
                  <c:v>27720354859254</c:v>
                </c:pt>
                <c:pt idx="4">
                  <c:v>28807619221370.512</c:v>
                </c:pt>
                <c:pt idx="5">
                  <c:v>29894883583487.02</c:v>
                </c:pt>
                <c:pt idx="6">
                  <c:v>30698221735902.77</c:v>
                </c:pt>
                <c:pt idx="7">
                  <c:v>31501559888318.516</c:v>
                </c:pt>
                <c:pt idx="8">
                  <c:v>32304898040734.004</c:v>
                </c:pt>
                <c:pt idx="9">
                  <c:v>33108236193149.75</c:v>
                </c:pt>
                <c:pt idx="10">
                  <c:v>33911574345565.109</c:v>
                </c:pt>
                <c:pt idx="11">
                  <c:v>34629483841157.801</c:v>
                </c:pt>
                <c:pt idx="12">
                  <c:v>35347393336750.102</c:v>
                </c:pt>
                <c:pt idx="13">
                  <c:v>36065302832342.664</c:v>
                </c:pt>
                <c:pt idx="14">
                  <c:v>36783212327934.969</c:v>
                </c:pt>
                <c:pt idx="15">
                  <c:v>37501121823527.273</c:v>
                </c:pt>
                <c:pt idx="16">
                  <c:v>38234470233003.539</c:v>
                </c:pt>
                <c:pt idx="17">
                  <c:v>38967818642479.813</c:v>
                </c:pt>
                <c:pt idx="18">
                  <c:v>39701167051955.82</c:v>
                </c:pt>
                <c:pt idx="19">
                  <c:v>40434515461432.094</c:v>
                </c:pt>
                <c:pt idx="20">
                  <c:v>41167863870907.977</c:v>
                </c:pt>
                <c:pt idx="21">
                  <c:v>41880627061872.5</c:v>
                </c:pt>
                <c:pt idx="22">
                  <c:v>42607425629095.031</c:v>
                </c:pt>
                <c:pt idx="23">
                  <c:v>43334224196317.563</c:v>
                </c:pt>
                <c:pt idx="24">
                  <c:v>44061022763539.828</c:v>
                </c:pt>
                <c:pt idx="25">
                  <c:v>44787821330762.359</c:v>
                </c:pt>
                <c:pt idx="26">
                  <c:v>45514619897984.891</c:v>
                </c:pt>
                <c:pt idx="27">
                  <c:v>46241418465207.156</c:v>
                </c:pt>
                <c:pt idx="28">
                  <c:v>46968217032429.688</c:v>
                </c:pt>
                <c:pt idx="29">
                  <c:v>47695015599652.211</c:v>
                </c:pt>
                <c:pt idx="30">
                  <c:v>48421814166874.484</c:v>
                </c:pt>
              </c:numCache>
            </c:numRef>
          </c:val>
          <c:smooth val="0"/>
          <c:extLst>
            <c:ext xmlns:c16="http://schemas.microsoft.com/office/drawing/2014/chart" uri="{C3380CC4-5D6E-409C-BE32-E72D297353CC}">
              <c16:uniqueId val="{00000000-C46A-4C29-B5E3-1EC40074C8DF}"/>
            </c:ext>
          </c:extLst>
        </c:ser>
        <c:ser>
          <c:idx val="2"/>
          <c:order val="1"/>
          <c:tx>
            <c:strRef>
              <c:f>'BIFUbC-biomass pre-CHP'!$A$3</c:f>
              <c:strCache>
                <c:ptCount val="1"/>
                <c:pt idx="0">
                  <c:v>coal mining 05</c:v>
                </c:pt>
              </c:strCache>
            </c:strRef>
          </c:tx>
          <c:spPr>
            <a:ln w="28575" cap="rnd">
              <a:solidFill>
                <a:schemeClr val="accent3"/>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pre-CHP'!$B$3:$AF$3</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1-C46A-4C29-B5E3-1EC40074C8DF}"/>
            </c:ext>
          </c:extLst>
        </c:ser>
        <c:ser>
          <c:idx val="3"/>
          <c:order val="2"/>
          <c:tx>
            <c:strRef>
              <c:f>'BIFUbC-biomass pre-CHP'!$A$4</c:f>
              <c:strCache>
                <c:ptCount val="1"/>
                <c:pt idx="0">
                  <c:v>oil and gas extraction 06</c:v>
                </c:pt>
              </c:strCache>
            </c:strRef>
          </c:tx>
          <c:spPr>
            <a:ln w="28575" cap="rnd">
              <a:solidFill>
                <a:schemeClr val="accent4"/>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pre-CHP'!$B$4:$AF$4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C46A-4C29-B5E3-1EC40074C8DF}"/>
            </c:ext>
          </c:extLst>
        </c:ser>
        <c:ser>
          <c:idx val="4"/>
          <c:order val="3"/>
          <c:tx>
            <c:strRef>
              <c:f>'BIFUbC-biomass pre-CHP'!$A$5</c:f>
              <c:strCache>
                <c:ptCount val="1"/>
                <c:pt idx="0">
                  <c:v>other mining and quarrying 07T08</c:v>
                </c:pt>
              </c:strCache>
            </c:strRef>
          </c:tx>
          <c:spPr>
            <a:ln w="28575" cap="rnd">
              <a:solidFill>
                <a:schemeClr val="accent5"/>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pre-CHP'!$B$5:$AF$5</c:f>
              <c:numCache>
                <c:formatCode>0.00E+00</c:formatCode>
                <c:ptCount val="31"/>
                <c:pt idx="0">
                  <c:v>10913154458.729464</c:v>
                </c:pt>
                <c:pt idx="1">
                  <c:v>11398280445.752716</c:v>
                </c:pt>
                <c:pt idx="2">
                  <c:v>11883406432.775965</c:v>
                </c:pt>
                <c:pt idx="3">
                  <c:v>12368532419.799213</c:v>
                </c:pt>
                <c:pt idx="4">
                  <c:v>12853658406.822464</c:v>
                </c:pt>
                <c:pt idx="5">
                  <c:v>13338784393.845715</c:v>
                </c:pt>
                <c:pt idx="6">
                  <c:v>13697225475.594666</c:v>
                </c:pt>
                <c:pt idx="7">
                  <c:v>14055666557.343616</c:v>
                </c:pt>
                <c:pt idx="8">
                  <c:v>14414107639.092451</c:v>
                </c:pt>
                <c:pt idx="9">
                  <c:v>14772548720.8414</c:v>
                </c:pt>
                <c:pt idx="10">
                  <c:v>15130989802.590178</c:v>
                </c:pt>
                <c:pt idx="11">
                  <c:v>15451313511.135908</c:v>
                </c:pt>
                <c:pt idx="12">
                  <c:v>15771637219.681465</c:v>
                </c:pt>
                <c:pt idx="13">
                  <c:v>16091960928.227139</c:v>
                </c:pt>
                <c:pt idx="14">
                  <c:v>16412284636.772696</c:v>
                </c:pt>
                <c:pt idx="15">
                  <c:v>16732608345.318253</c:v>
                </c:pt>
                <c:pt idx="16">
                  <c:v>17059820735.768131</c:v>
                </c:pt>
                <c:pt idx="17">
                  <c:v>17387033126.21801</c:v>
                </c:pt>
                <c:pt idx="18">
                  <c:v>17714245516.667774</c:v>
                </c:pt>
                <c:pt idx="19">
                  <c:v>18041457907.117657</c:v>
                </c:pt>
                <c:pt idx="20">
                  <c:v>18368670297.56736</c:v>
                </c:pt>
                <c:pt idx="21">
                  <c:v>18686697778.811573</c:v>
                </c:pt>
                <c:pt idx="22">
                  <c:v>19010987698.150558</c:v>
                </c:pt>
                <c:pt idx="23">
                  <c:v>19335277617.48954</c:v>
                </c:pt>
                <c:pt idx="24">
                  <c:v>19659567536.828407</c:v>
                </c:pt>
                <c:pt idx="25">
                  <c:v>19983857456.167389</c:v>
                </c:pt>
                <c:pt idx="26">
                  <c:v>20308147375.506374</c:v>
                </c:pt>
                <c:pt idx="27">
                  <c:v>20632437294.845242</c:v>
                </c:pt>
                <c:pt idx="28">
                  <c:v>20956727214.184223</c:v>
                </c:pt>
                <c:pt idx="29">
                  <c:v>21281017133.523205</c:v>
                </c:pt>
                <c:pt idx="30">
                  <c:v>21605307052.862072</c:v>
                </c:pt>
              </c:numCache>
            </c:numRef>
          </c:val>
          <c:smooth val="0"/>
          <c:extLst>
            <c:ext xmlns:c16="http://schemas.microsoft.com/office/drawing/2014/chart" uri="{C3380CC4-5D6E-409C-BE32-E72D297353CC}">
              <c16:uniqueId val="{00000003-C46A-4C29-B5E3-1EC40074C8DF}"/>
            </c:ext>
          </c:extLst>
        </c:ser>
        <c:ser>
          <c:idx val="5"/>
          <c:order val="4"/>
          <c:tx>
            <c:strRef>
              <c:f>'BIFUbC-biomass pre-CHP'!$A$6</c:f>
              <c:strCache>
                <c:ptCount val="1"/>
                <c:pt idx="0">
                  <c:v>food beverage and tobacco 10T12</c:v>
                </c:pt>
              </c:strCache>
            </c:strRef>
          </c:tx>
          <c:spPr>
            <a:ln w="28575" cap="rnd">
              <a:solidFill>
                <a:schemeClr val="accent6"/>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pre-CHP'!$B$6:$AF$6</c:f>
              <c:numCache>
                <c:formatCode>0.00E+00</c:formatCode>
                <c:ptCount val="31"/>
                <c:pt idx="0">
                  <c:v>9241441081559.7559</c:v>
                </c:pt>
                <c:pt idx="1">
                  <c:v>9652253852804.1621</c:v>
                </c:pt>
                <c:pt idx="2">
                  <c:v>10063066624048.566</c:v>
                </c:pt>
                <c:pt idx="3">
                  <c:v>10473879395292.971</c:v>
                </c:pt>
                <c:pt idx="4">
                  <c:v>10884692166537.377</c:v>
                </c:pt>
                <c:pt idx="5">
                  <c:v>11295504937781.783</c:v>
                </c:pt>
                <c:pt idx="6">
                  <c:v>11599038819824.822</c:v>
                </c:pt>
                <c:pt idx="7">
                  <c:v>11902572701867.863</c:v>
                </c:pt>
                <c:pt idx="8">
                  <c:v>12206106583910.805</c:v>
                </c:pt>
                <c:pt idx="9">
                  <c:v>12509640465953.846</c:v>
                </c:pt>
                <c:pt idx="10">
                  <c:v>12813174347996.738</c:v>
                </c:pt>
                <c:pt idx="11">
                  <c:v>13084429803121.74</c:v>
                </c:pt>
                <c:pt idx="12">
                  <c:v>13355685258246.594</c:v>
                </c:pt>
                <c:pt idx="13">
                  <c:v>13626940713371.545</c:v>
                </c:pt>
                <c:pt idx="14">
                  <c:v>13898196168496.398</c:v>
                </c:pt>
                <c:pt idx="15">
                  <c:v>14169451623621.252</c:v>
                </c:pt>
                <c:pt idx="16">
                  <c:v>14446540529394.051</c:v>
                </c:pt>
                <c:pt idx="17">
                  <c:v>14723629435166.85</c:v>
                </c:pt>
                <c:pt idx="18">
                  <c:v>15000718340939.551</c:v>
                </c:pt>
                <c:pt idx="19">
                  <c:v>15277807246712.35</c:v>
                </c:pt>
                <c:pt idx="20">
                  <c:v>15554896152485.002</c:v>
                </c:pt>
                <c:pt idx="21">
                  <c:v>15824207124060.621</c:v>
                </c:pt>
                <c:pt idx="22">
                  <c:v>16098821232588.861</c:v>
                </c:pt>
                <c:pt idx="23">
                  <c:v>16373435341117.102</c:v>
                </c:pt>
                <c:pt idx="24">
                  <c:v>16648049449645.242</c:v>
                </c:pt>
                <c:pt idx="25">
                  <c:v>16922663558173.482</c:v>
                </c:pt>
                <c:pt idx="26">
                  <c:v>17197277666701.723</c:v>
                </c:pt>
                <c:pt idx="27">
                  <c:v>17471891775229.863</c:v>
                </c:pt>
                <c:pt idx="28">
                  <c:v>17746505883758.102</c:v>
                </c:pt>
                <c:pt idx="29">
                  <c:v>18021119992286.344</c:v>
                </c:pt>
                <c:pt idx="30">
                  <c:v>18295734100814.484</c:v>
                </c:pt>
              </c:numCache>
            </c:numRef>
          </c:val>
          <c:smooth val="0"/>
          <c:extLst>
            <c:ext xmlns:c16="http://schemas.microsoft.com/office/drawing/2014/chart" uri="{C3380CC4-5D6E-409C-BE32-E72D297353CC}">
              <c16:uniqueId val="{00000004-C46A-4C29-B5E3-1EC40074C8DF}"/>
            </c:ext>
          </c:extLst>
        </c:ser>
        <c:ser>
          <c:idx val="6"/>
          <c:order val="5"/>
          <c:tx>
            <c:strRef>
              <c:f>'BIFUbC-biomass pre-CHP'!$A$7</c:f>
              <c:strCache>
                <c:ptCount val="1"/>
                <c:pt idx="0">
                  <c:v>textiles apparel and leather 13T15</c:v>
                </c:pt>
              </c:strCache>
            </c:strRef>
          </c:tx>
          <c:spPr>
            <a:ln w="28575" cap="rnd">
              <a:solidFill>
                <a:schemeClr val="accent1">
                  <a:lumMod val="6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pre-CHP'!$B$7:$AF$7</c:f>
              <c:numCache>
                <c:formatCode>0.00E+00</c:formatCode>
                <c:ptCount val="31"/>
                <c:pt idx="0">
                  <c:v>19941789028343.996</c:v>
                </c:pt>
                <c:pt idx="1">
                  <c:v>20828267829864.699</c:v>
                </c:pt>
                <c:pt idx="2">
                  <c:v>21714746631385.402</c:v>
                </c:pt>
                <c:pt idx="3">
                  <c:v>22601225432906.102</c:v>
                </c:pt>
                <c:pt idx="4">
                  <c:v>23487704234426.805</c:v>
                </c:pt>
                <c:pt idx="5">
                  <c:v>24374183035947.508</c:v>
                </c:pt>
                <c:pt idx="6">
                  <c:v>25029168398645.395</c:v>
                </c:pt>
                <c:pt idx="7">
                  <c:v>25684153761343.281</c:v>
                </c:pt>
                <c:pt idx="8">
                  <c:v>26339139124040.957</c:v>
                </c:pt>
                <c:pt idx="9">
                  <c:v>26994124486738.844</c:v>
                </c:pt>
                <c:pt idx="10">
                  <c:v>27649109849436.41</c:v>
                </c:pt>
                <c:pt idx="11">
                  <c:v>28234442700790.5</c:v>
                </c:pt>
                <c:pt idx="12">
                  <c:v>28819775552144.273</c:v>
                </c:pt>
                <c:pt idx="13">
                  <c:v>29405108403498.258</c:v>
                </c:pt>
                <c:pt idx="14">
                  <c:v>29990441254852.027</c:v>
                </c:pt>
                <c:pt idx="15">
                  <c:v>30575774106205.801</c:v>
                </c:pt>
                <c:pt idx="16">
                  <c:v>31173694760814.707</c:v>
                </c:pt>
                <c:pt idx="17">
                  <c:v>31771615415423.613</c:v>
                </c:pt>
                <c:pt idx="18">
                  <c:v>32369536070032.309</c:v>
                </c:pt>
                <c:pt idx="19">
                  <c:v>32967456724641.215</c:v>
                </c:pt>
                <c:pt idx="20">
                  <c:v>33565377379249.801</c:v>
                </c:pt>
                <c:pt idx="21">
                  <c:v>34146514296185.371</c:v>
                </c:pt>
                <c:pt idx="22">
                  <c:v>34739094670625.484</c:v>
                </c:pt>
                <c:pt idx="23">
                  <c:v>35331675045065.602</c:v>
                </c:pt>
                <c:pt idx="24">
                  <c:v>35924255419505.5</c:v>
                </c:pt>
                <c:pt idx="25">
                  <c:v>36516835793945.609</c:v>
                </c:pt>
                <c:pt idx="26">
                  <c:v>37109416168385.727</c:v>
                </c:pt>
                <c:pt idx="27">
                  <c:v>37701996542825.625</c:v>
                </c:pt>
                <c:pt idx="28">
                  <c:v>38294576917265.734</c:v>
                </c:pt>
                <c:pt idx="29">
                  <c:v>38887157291705.852</c:v>
                </c:pt>
                <c:pt idx="30">
                  <c:v>39479737666145.75</c:v>
                </c:pt>
              </c:numCache>
            </c:numRef>
          </c:val>
          <c:smooth val="0"/>
          <c:extLst>
            <c:ext xmlns:c16="http://schemas.microsoft.com/office/drawing/2014/chart" uri="{C3380CC4-5D6E-409C-BE32-E72D297353CC}">
              <c16:uniqueId val="{00000005-C46A-4C29-B5E3-1EC40074C8DF}"/>
            </c:ext>
          </c:extLst>
        </c:ser>
        <c:ser>
          <c:idx val="7"/>
          <c:order val="6"/>
          <c:tx>
            <c:strRef>
              <c:f>'BIFUbC-biomass pre-CHP'!$A$8</c:f>
              <c:strCache>
                <c:ptCount val="1"/>
                <c:pt idx="0">
                  <c:v>wood products 16</c:v>
                </c:pt>
              </c:strCache>
            </c:strRef>
          </c:tx>
          <c:spPr>
            <a:ln w="28575" cap="rnd">
              <a:solidFill>
                <a:schemeClr val="accent2">
                  <a:lumMod val="6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pre-CHP'!$B$8:$AF$8</c:f>
              <c:numCache>
                <c:formatCode>0.00E+00</c:formatCode>
                <c:ptCount val="31"/>
                <c:pt idx="0">
                  <c:v>12298579417265.172</c:v>
                </c:pt>
                <c:pt idx="1">
                  <c:v>12845292148341.025</c:v>
                </c:pt>
                <c:pt idx="2">
                  <c:v>13392004879416.875</c:v>
                </c:pt>
                <c:pt idx="3">
                  <c:v>13938717610492.727</c:v>
                </c:pt>
                <c:pt idx="4">
                  <c:v>14485430341568.578</c:v>
                </c:pt>
                <c:pt idx="5">
                  <c:v>15032143072644.432</c:v>
                </c:pt>
                <c:pt idx="6">
                  <c:v>15436088249721.412</c:v>
                </c:pt>
                <c:pt idx="7">
                  <c:v>15840033426798.391</c:v>
                </c:pt>
                <c:pt idx="8">
                  <c:v>16243978603875.24</c:v>
                </c:pt>
                <c:pt idx="9">
                  <c:v>16647923780952.221</c:v>
                </c:pt>
                <c:pt idx="10">
                  <c:v>17051868958029.004</c:v>
                </c:pt>
                <c:pt idx="11">
                  <c:v>17412857761374.615</c:v>
                </c:pt>
                <c:pt idx="12">
                  <c:v>17773846564720.031</c:v>
                </c:pt>
                <c:pt idx="13">
                  <c:v>18134835368065.578</c:v>
                </c:pt>
                <c:pt idx="14">
                  <c:v>18495824171410.992</c:v>
                </c:pt>
                <c:pt idx="15">
                  <c:v>18856812974756.406</c:v>
                </c:pt>
                <c:pt idx="16">
                  <c:v>19225564978173.898</c:v>
                </c:pt>
                <c:pt idx="17">
                  <c:v>19594316981591.391</c:v>
                </c:pt>
                <c:pt idx="18">
                  <c:v>19963068985008.754</c:v>
                </c:pt>
                <c:pt idx="19">
                  <c:v>20331820988426.246</c:v>
                </c:pt>
                <c:pt idx="20">
                  <c:v>20700572991843.543</c:v>
                </c:pt>
                <c:pt idx="21">
                  <c:v>21058974061831.707</c:v>
                </c:pt>
                <c:pt idx="22">
                  <c:v>21424432586430.773</c:v>
                </c:pt>
                <c:pt idx="23">
                  <c:v>21789891111029.84</c:v>
                </c:pt>
                <c:pt idx="24">
                  <c:v>22155349635628.777</c:v>
                </c:pt>
                <c:pt idx="25">
                  <c:v>22520808160227.844</c:v>
                </c:pt>
                <c:pt idx="26">
                  <c:v>22886266684826.91</c:v>
                </c:pt>
                <c:pt idx="27">
                  <c:v>23251725209425.848</c:v>
                </c:pt>
                <c:pt idx="28">
                  <c:v>23617183734024.914</c:v>
                </c:pt>
                <c:pt idx="29">
                  <c:v>23982642258623.98</c:v>
                </c:pt>
                <c:pt idx="30">
                  <c:v>24348100783222.918</c:v>
                </c:pt>
              </c:numCache>
            </c:numRef>
          </c:val>
          <c:smooth val="0"/>
          <c:extLst>
            <c:ext xmlns:c16="http://schemas.microsoft.com/office/drawing/2014/chart" uri="{C3380CC4-5D6E-409C-BE32-E72D297353CC}">
              <c16:uniqueId val="{00000006-C46A-4C29-B5E3-1EC40074C8DF}"/>
            </c:ext>
          </c:extLst>
        </c:ser>
        <c:ser>
          <c:idx val="8"/>
          <c:order val="7"/>
          <c:tx>
            <c:strRef>
              <c:f>'BIFUbC-biomass pre-CHP'!$A$9</c:f>
              <c:strCache>
                <c:ptCount val="1"/>
                <c:pt idx="0">
                  <c:v>pulp paper and printing 17T18</c:v>
                </c:pt>
              </c:strCache>
            </c:strRef>
          </c:tx>
          <c:spPr>
            <a:ln w="28575" cap="rnd">
              <a:solidFill>
                <a:schemeClr val="accent3">
                  <a:lumMod val="6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pre-CHP'!$B$9:$AF$9</c:f>
              <c:numCache>
                <c:formatCode>0.00E+00</c:formatCode>
                <c:ptCount val="31"/>
                <c:pt idx="0">
                  <c:v>109162828963409.66</c:v>
                </c:pt>
                <c:pt idx="1">
                  <c:v>114015479528138.31</c:v>
                </c:pt>
                <c:pt idx="2">
                  <c:v>118868130092866.94</c:v>
                </c:pt>
                <c:pt idx="3">
                  <c:v>123720780657595.56</c:v>
                </c:pt>
                <c:pt idx="4">
                  <c:v>128573431222324.2</c:v>
                </c:pt>
                <c:pt idx="5">
                  <c:v>133426081787052.84</c:v>
                </c:pt>
                <c:pt idx="6">
                  <c:v>137011520135643.36</c:v>
                </c:pt>
                <c:pt idx="7">
                  <c:v>140596958484233.88</c:v>
                </c:pt>
                <c:pt idx="8">
                  <c:v>144182396832823.25</c:v>
                </c:pt>
                <c:pt idx="9">
                  <c:v>147767835181413.75</c:v>
                </c:pt>
                <c:pt idx="10">
                  <c:v>151353273530002.53</c:v>
                </c:pt>
                <c:pt idx="11">
                  <c:v>154557428876757.66</c:v>
                </c:pt>
                <c:pt idx="12">
                  <c:v>157761584223511.06</c:v>
                </c:pt>
                <c:pt idx="13">
                  <c:v>160965739570265.63</c:v>
                </c:pt>
                <c:pt idx="14">
                  <c:v>164169894917019.03</c:v>
                </c:pt>
                <c:pt idx="15">
                  <c:v>167374050263772.44</c:v>
                </c:pt>
                <c:pt idx="16">
                  <c:v>170647112177123.84</c:v>
                </c:pt>
                <c:pt idx="17">
                  <c:v>173920174090475.28</c:v>
                </c:pt>
                <c:pt idx="18">
                  <c:v>177193236003825.53</c:v>
                </c:pt>
                <c:pt idx="19">
                  <c:v>180466297917176.94</c:v>
                </c:pt>
                <c:pt idx="20">
                  <c:v>183739359830526.63</c:v>
                </c:pt>
                <c:pt idx="21">
                  <c:v>186920546321748.31</c:v>
                </c:pt>
                <c:pt idx="22">
                  <c:v>190164375146240.25</c:v>
                </c:pt>
                <c:pt idx="23">
                  <c:v>193408203970732.19</c:v>
                </c:pt>
                <c:pt idx="24">
                  <c:v>196652032795222.97</c:v>
                </c:pt>
                <c:pt idx="25">
                  <c:v>199895861619714.91</c:v>
                </c:pt>
                <c:pt idx="26">
                  <c:v>203139690444206.84</c:v>
                </c:pt>
                <c:pt idx="27">
                  <c:v>206383519268697.63</c:v>
                </c:pt>
                <c:pt idx="28">
                  <c:v>209627348093189.56</c:v>
                </c:pt>
                <c:pt idx="29">
                  <c:v>212871176917681.5</c:v>
                </c:pt>
                <c:pt idx="30">
                  <c:v>216115005742172.25</c:v>
                </c:pt>
              </c:numCache>
            </c:numRef>
          </c:val>
          <c:smooth val="0"/>
          <c:extLst>
            <c:ext xmlns:c16="http://schemas.microsoft.com/office/drawing/2014/chart" uri="{C3380CC4-5D6E-409C-BE32-E72D297353CC}">
              <c16:uniqueId val="{00000007-C46A-4C29-B5E3-1EC40074C8DF}"/>
            </c:ext>
          </c:extLst>
        </c:ser>
        <c:ser>
          <c:idx val="9"/>
          <c:order val="8"/>
          <c:tx>
            <c:strRef>
              <c:f>'BIFUbC-biomass pre-CHP'!$A$10</c:f>
              <c:strCache>
                <c:ptCount val="1"/>
                <c:pt idx="0">
                  <c:v>refined petroleum and coke 19</c:v>
                </c:pt>
              </c:strCache>
            </c:strRef>
          </c:tx>
          <c:spPr>
            <a:ln w="28575" cap="rnd">
              <a:solidFill>
                <a:schemeClr val="accent4">
                  <a:lumMod val="6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pre-CHP'!$B$10:$AF$10</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8-C46A-4C29-B5E3-1EC40074C8DF}"/>
            </c:ext>
          </c:extLst>
        </c:ser>
        <c:ser>
          <c:idx val="10"/>
          <c:order val="9"/>
          <c:tx>
            <c:strRef>
              <c:f>'BIFUbC-biomass pre-CHP'!$A$11</c:f>
              <c:strCache>
                <c:ptCount val="1"/>
                <c:pt idx="0">
                  <c:v>chemicals 20</c:v>
                </c:pt>
              </c:strCache>
            </c:strRef>
          </c:tx>
          <c:spPr>
            <a:ln w="28575" cap="rnd">
              <a:solidFill>
                <a:schemeClr val="accent5">
                  <a:lumMod val="6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pre-CHP'!$B$11:$AF$11</c:f>
              <c:numCache>
                <c:formatCode>0.00E+00</c:formatCode>
                <c:ptCount val="31"/>
                <c:pt idx="0">
                  <c:v>0</c:v>
                </c:pt>
                <c:pt idx="1">
                  <c:v>0</c:v>
                </c:pt>
                <c:pt idx="2">
                  <c:v>0</c:v>
                </c:pt>
                <c:pt idx="3">
                  <c:v>0</c:v>
                </c:pt>
                <c:pt idx="4">
                  <c:v>0</c:v>
                </c:pt>
                <c:pt idx="5">
                  <c:v>168859267967.55646</c:v>
                </c:pt>
                <c:pt idx="6">
                  <c:v>144960831774.81714</c:v>
                </c:pt>
                <c:pt idx="7">
                  <c:v>141696496115.87561</c:v>
                </c:pt>
                <c:pt idx="8">
                  <c:v>1206354927288.4272</c:v>
                </c:pt>
                <c:pt idx="9">
                  <c:v>1174432632361.7402</c:v>
                </c:pt>
                <c:pt idx="10">
                  <c:v>70513386463962.281</c:v>
                </c:pt>
                <c:pt idx="11">
                  <c:v>70003561560026.844</c:v>
                </c:pt>
                <c:pt idx="12">
                  <c:v>69492210531156.695</c:v>
                </c:pt>
                <c:pt idx="13">
                  <c:v>68979307284086.469</c:v>
                </c:pt>
                <c:pt idx="14">
                  <c:v>68464824965404.727</c:v>
                </c:pt>
                <c:pt idx="15">
                  <c:v>67948735930059.977</c:v>
                </c:pt>
                <c:pt idx="16">
                  <c:v>67903205370420.406</c:v>
                </c:pt>
                <c:pt idx="17">
                  <c:v>67857674810780.836</c:v>
                </c:pt>
                <c:pt idx="18">
                  <c:v>67812144251141.258</c:v>
                </c:pt>
                <c:pt idx="19">
                  <c:v>67766613691501.688</c:v>
                </c:pt>
                <c:pt idx="20">
                  <c:v>67721083131862.125</c:v>
                </c:pt>
                <c:pt idx="21">
                  <c:v>67652685231083.625</c:v>
                </c:pt>
                <c:pt idx="22">
                  <c:v>67584287330305.109</c:v>
                </c:pt>
                <c:pt idx="23">
                  <c:v>67515889429526.594</c:v>
                </c:pt>
                <c:pt idx="24">
                  <c:v>67447491528748.102</c:v>
                </c:pt>
                <c:pt idx="25">
                  <c:v>67379093627969.594</c:v>
                </c:pt>
                <c:pt idx="26">
                  <c:v>67310695727191.078</c:v>
                </c:pt>
                <c:pt idx="27">
                  <c:v>67242297826412.57</c:v>
                </c:pt>
                <c:pt idx="28">
                  <c:v>67173899925634.07</c:v>
                </c:pt>
                <c:pt idx="29">
                  <c:v>67105502024855.57</c:v>
                </c:pt>
                <c:pt idx="30">
                  <c:v>67037104124077.063</c:v>
                </c:pt>
              </c:numCache>
            </c:numRef>
          </c:val>
          <c:smooth val="0"/>
          <c:extLst>
            <c:ext xmlns:c16="http://schemas.microsoft.com/office/drawing/2014/chart" uri="{C3380CC4-5D6E-409C-BE32-E72D297353CC}">
              <c16:uniqueId val="{00000009-C46A-4C29-B5E3-1EC40074C8DF}"/>
            </c:ext>
          </c:extLst>
        </c:ser>
        <c:ser>
          <c:idx val="11"/>
          <c:order val="10"/>
          <c:tx>
            <c:strRef>
              <c:f>'BIFUbC-biomass pre-CHP'!$A$12</c:f>
              <c:strCache>
                <c:ptCount val="1"/>
                <c:pt idx="0">
                  <c:v>rubber and plastic products 22</c:v>
                </c:pt>
              </c:strCache>
            </c:strRef>
          </c:tx>
          <c:spPr>
            <a:ln w="28575" cap="rnd">
              <a:solidFill>
                <a:schemeClr val="accent6">
                  <a:lumMod val="6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pre-CHP'!$B$12:$AF$12</c:f>
              <c:numCache>
                <c:formatCode>0.00E+00</c:formatCode>
                <c:ptCount val="31"/>
                <c:pt idx="0">
                  <c:v>0</c:v>
                </c:pt>
                <c:pt idx="1">
                  <c:v>0</c:v>
                </c:pt>
                <c:pt idx="2">
                  <c:v>0</c:v>
                </c:pt>
                <c:pt idx="3">
                  <c:v>0</c:v>
                </c:pt>
                <c:pt idx="4">
                  <c:v>0</c:v>
                </c:pt>
                <c:pt idx="5">
                  <c:v>5635473142.1211205</c:v>
                </c:pt>
                <c:pt idx="6">
                  <c:v>4837891837.14499</c:v>
                </c:pt>
                <c:pt idx="7">
                  <c:v>4728948596.1002178</c:v>
                </c:pt>
                <c:pt idx="8">
                  <c:v>40260631675.28125</c:v>
                </c:pt>
                <c:pt idx="9">
                  <c:v>39195263822.752251</c:v>
                </c:pt>
                <c:pt idx="10">
                  <c:v>2353298698736.6055</c:v>
                </c:pt>
                <c:pt idx="11">
                  <c:v>2336283911287.3037</c:v>
                </c:pt>
                <c:pt idx="12">
                  <c:v>2319218191270.3994</c:v>
                </c:pt>
                <c:pt idx="13">
                  <c:v>2302100667854.8276</c:v>
                </c:pt>
                <c:pt idx="14">
                  <c:v>2284930444840.5703</c:v>
                </c:pt>
                <c:pt idx="15">
                  <c:v>2267706599607.584</c:v>
                </c:pt>
                <c:pt idx="16">
                  <c:v>2266187072435.147</c:v>
                </c:pt>
                <c:pt idx="17">
                  <c:v>2264667545262.71</c:v>
                </c:pt>
                <c:pt idx="18">
                  <c:v>2263148018090.2725</c:v>
                </c:pt>
                <c:pt idx="19">
                  <c:v>2261628490917.8354</c:v>
                </c:pt>
                <c:pt idx="20">
                  <c:v>2260108963745.3989</c:v>
                </c:pt>
                <c:pt idx="21">
                  <c:v>2257826266814.0776</c:v>
                </c:pt>
                <c:pt idx="22">
                  <c:v>2255543569882.7554</c:v>
                </c:pt>
                <c:pt idx="23">
                  <c:v>2253260872951.4336</c:v>
                </c:pt>
                <c:pt idx="24">
                  <c:v>2250978176020.1128</c:v>
                </c:pt>
                <c:pt idx="25">
                  <c:v>2248695479088.791</c:v>
                </c:pt>
                <c:pt idx="26">
                  <c:v>2246412782157.4692</c:v>
                </c:pt>
                <c:pt idx="27">
                  <c:v>2244130085226.1479</c:v>
                </c:pt>
                <c:pt idx="28">
                  <c:v>2241847388294.8262</c:v>
                </c:pt>
                <c:pt idx="29">
                  <c:v>2239564691363.5049</c:v>
                </c:pt>
                <c:pt idx="30">
                  <c:v>2237281994432.1836</c:v>
                </c:pt>
              </c:numCache>
            </c:numRef>
          </c:val>
          <c:smooth val="0"/>
          <c:extLst>
            <c:ext xmlns:c16="http://schemas.microsoft.com/office/drawing/2014/chart" uri="{C3380CC4-5D6E-409C-BE32-E72D297353CC}">
              <c16:uniqueId val="{0000000A-C46A-4C29-B5E3-1EC40074C8DF}"/>
            </c:ext>
          </c:extLst>
        </c:ser>
        <c:ser>
          <c:idx val="12"/>
          <c:order val="11"/>
          <c:tx>
            <c:strRef>
              <c:f>'BIFUbC-biomass pre-CHP'!$A$13</c:f>
              <c:strCache>
                <c:ptCount val="1"/>
                <c:pt idx="0">
                  <c:v>glass and glass products 231</c:v>
                </c:pt>
              </c:strCache>
            </c:strRef>
          </c:tx>
          <c:spPr>
            <a:ln w="28575" cap="rnd">
              <a:solidFill>
                <a:schemeClr val="accent1">
                  <a:lumMod val="80000"/>
                  <a:lumOff val="2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pre-CHP'!$B$13:$AF$13</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B-C46A-4C29-B5E3-1EC40074C8DF}"/>
            </c:ext>
          </c:extLst>
        </c:ser>
        <c:ser>
          <c:idx val="13"/>
          <c:order val="12"/>
          <c:tx>
            <c:strRef>
              <c:f>'BIFUbC-biomass pre-CHP'!$A$14</c:f>
              <c:strCache>
                <c:ptCount val="1"/>
                <c:pt idx="0">
                  <c:v>cement and other nonmetallic minerals 239</c:v>
                </c:pt>
              </c:strCache>
            </c:strRef>
          </c:tx>
          <c:spPr>
            <a:ln w="28575" cap="rnd">
              <a:solidFill>
                <a:schemeClr val="accent2">
                  <a:lumMod val="80000"/>
                  <a:lumOff val="2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pre-CHP'!$B$14:$AF$14</c:f>
              <c:numCache>
                <c:formatCode>0.00E+00</c:formatCode>
                <c:ptCount val="31"/>
                <c:pt idx="0">
                  <c:v>127229192398021.02</c:v>
                </c:pt>
                <c:pt idx="1">
                  <c:v>132884952863400.41</c:v>
                </c:pt>
                <c:pt idx="2">
                  <c:v>138540713328779.8</c:v>
                </c:pt>
                <c:pt idx="3">
                  <c:v>144196473794159.19</c:v>
                </c:pt>
                <c:pt idx="4">
                  <c:v>149852234259538.56</c:v>
                </c:pt>
                <c:pt idx="5">
                  <c:v>155507994724917.97</c:v>
                </c:pt>
                <c:pt idx="6">
                  <c:v>159686820336307.81</c:v>
                </c:pt>
                <c:pt idx="7">
                  <c:v>163865645947697.66</c:v>
                </c:pt>
                <c:pt idx="8">
                  <c:v>168044471559086.16</c:v>
                </c:pt>
                <c:pt idx="9">
                  <c:v>172223297170476</c:v>
                </c:pt>
                <c:pt idx="10">
                  <c:v>176402122781863.84</c:v>
                </c:pt>
                <c:pt idx="11">
                  <c:v>180136563350659.47</c:v>
                </c:pt>
                <c:pt idx="12">
                  <c:v>183871003919453.09</c:v>
                </c:pt>
                <c:pt idx="13">
                  <c:v>187605444488248.06</c:v>
                </c:pt>
                <c:pt idx="14">
                  <c:v>191339885057041.69</c:v>
                </c:pt>
                <c:pt idx="15">
                  <c:v>195074325625835.31</c:v>
                </c:pt>
                <c:pt idx="16">
                  <c:v>198889076744496.81</c:v>
                </c:pt>
                <c:pt idx="17">
                  <c:v>202703827863158.34</c:v>
                </c:pt>
                <c:pt idx="18">
                  <c:v>206518578981818.5</c:v>
                </c:pt>
                <c:pt idx="19">
                  <c:v>210333330100480</c:v>
                </c:pt>
                <c:pt idx="20">
                  <c:v>214148081219139.5</c:v>
                </c:pt>
                <c:pt idx="21">
                  <c:v>217855751604644.94</c:v>
                </c:pt>
                <c:pt idx="22">
                  <c:v>221636431580938.59</c:v>
                </c:pt>
                <c:pt idx="23">
                  <c:v>225417111557232.22</c:v>
                </c:pt>
                <c:pt idx="24">
                  <c:v>229197791533524.53</c:v>
                </c:pt>
                <c:pt idx="25">
                  <c:v>232978471509818.16</c:v>
                </c:pt>
                <c:pt idx="26">
                  <c:v>236759151486111.81</c:v>
                </c:pt>
                <c:pt idx="27">
                  <c:v>240539831462404.09</c:v>
                </c:pt>
                <c:pt idx="28">
                  <c:v>244320511438697.75</c:v>
                </c:pt>
                <c:pt idx="29">
                  <c:v>248101191414991.41</c:v>
                </c:pt>
                <c:pt idx="30">
                  <c:v>251881871391283.69</c:v>
                </c:pt>
              </c:numCache>
            </c:numRef>
          </c:val>
          <c:smooth val="0"/>
          <c:extLst>
            <c:ext xmlns:c16="http://schemas.microsoft.com/office/drawing/2014/chart" uri="{C3380CC4-5D6E-409C-BE32-E72D297353CC}">
              <c16:uniqueId val="{0000000C-C46A-4C29-B5E3-1EC40074C8DF}"/>
            </c:ext>
          </c:extLst>
        </c:ser>
        <c:ser>
          <c:idx val="14"/>
          <c:order val="13"/>
          <c:tx>
            <c:strRef>
              <c:f>'BIFUbC-biomass pre-CHP'!$A$15</c:f>
              <c:strCache>
                <c:ptCount val="1"/>
                <c:pt idx="0">
                  <c:v>iron and steel 241</c:v>
                </c:pt>
              </c:strCache>
            </c:strRef>
          </c:tx>
          <c:spPr>
            <a:ln w="28575" cap="rnd">
              <a:solidFill>
                <a:schemeClr val="accent3">
                  <a:lumMod val="80000"/>
                  <a:lumOff val="2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pre-CHP'!$B$15:$AF$15</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D-C46A-4C29-B5E3-1EC40074C8DF}"/>
            </c:ext>
          </c:extLst>
        </c:ser>
        <c:ser>
          <c:idx val="15"/>
          <c:order val="14"/>
          <c:tx>
            <c:strRef>
              <c:f>'BIFUbC-biomass pre-CHP'!$A$16</c:f>
              <c:strCache>
                <c:ptCount val="1"/>
                <c:pt idx="0">
                  <c:v>other metals 242</c:v>
                </c:pt>
              </c:strCache>
            </c:strRef>
          </c:tx>
          <c:spPr>
            <a:ln w="28575" cap="rnd">
              <a:solidFill>
                <a:schemeClr val="accent4">
                  <a:lumMod val="80000"/>
                  <a:lumOff val="2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pre-CHP'!$B$16:$AF$16</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E-C46A-4C29-B5E3-1EC40074C8DF}"/>
            </c:ext>
          </c:extLst>
        </c:ser>
        <c:ser>
          <c:idx val="16"/>
          <c:order val="15"/>
          <c:tx>
            <c:strRef>
              <c:f>'BIFUbC-biomass pre-CHP'!$A$17</c:f>
              <c:strCache>
                <c:ptCount val="1"/>
                <c:pt idx="0">
                  <c:v>metal products except machinery and vehicles 25</c:v>
                </c:pt>
              </c:strCache>
            </c:strRef>
          </c:tx>
          <c:spPr>
            <a:ln w="28575" cap="rnd">
              <a:solidFill>
                <a:schemeClr val="accent5">
                  <a:lumMod val="80000"/>
                  <a:lumOff val="2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pre-CHP'!$B$17:$AF$17</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F-C46A-4C29-B5E3-1EC40074C8DF}"/>
            </c:ext>
          </c:extLst>
        </c:ser>
        <c:ser>
          <c:idx val="17"/>
          <c:order val="16"/>
          <c:tx>
            <c:strRef>
              <c:f>'BIFUbC-biomass pre-CHP'!$A$18</c:f>
              <c:strCache>
                <c:ptCount val="1"/>
                <c:pt idx="0">
                  <c:v>computers and electronics 26</c:v>
                </c:pt>
              </c:strCache>
            </c:strRef>
          </c:tx>
          <c:spPr>
            <a:ln w="28575" cap="rnd">
              <a:solidFill>
                <a:schemeClr val="accent6">
                  <a:lumMod val="80000"/>
                  <a:lumOff val="2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pre-CHP'!$B$18:$AF$18</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0-C46A-4C29-B5E3-1EC40074C8DF}"/>
            </c:ext>
          </c:extLst>
        </c:ser>
        <c:ser>
          <c:idx val="18"/>
          <c:order val="17"/>
          <c:tx>
            <c:strRef>
              <c:f>'BIFUbC-biomass pre-CHP'!$A$19</c:f>
              <c:strCache>
                <c:ptCount val="1"/>
                <c:pt idx="0">
                  <c:v>appliances and electrical equipment 27</c:v>
                </c:pt>
              </c:strCache>
            </c:strRef>
          </c:tx>
          <c:spPr>
            <a:ln w="28575" cap="rnd">
              <a:solidFill>
                <a:schemeClr val="accent1">
                  <a:lumMod val="8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pre-CHP'!$B$19:$AF$19</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1-C46A-4C29-B5E3-1EC40074C8DF}"/>
            </c:ext>
          </c:extLst>
        </c:ser>
        <c:ser>
          <c:idx val="19"/>
          <c:order val="18"/>
          <c:tx>
            <c:strRef>
              <c:f>'BIFUbC-biomass pre-CHP'!$A$20</c:f>
              <c:strCache>
                <c:ptCount val="1"/>
                <c:pt idx="0">
                  <c:v>other machinery 28</c:v>
                </c:pt>
              </c:strCache>
            </c:strRef>
          </c:tx>
          <c:spPr>
            <a:ln w="28575" cap="rnd">
              <a:solidFill>
                <a:schemeClr val="accent2">
                  <a:lumMod val="8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pre-CHP'!$B$20:$AF$20</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2-C46A-4C29-B5E3-1EC40074C8DF}"/>
            </c:ext>
          </c:extLst>
        </c:ser>
        <c:ser>
          <c:idx val="20"/>
          <c:order val="19"/>
          <c:tx>
            <c:strRef>
              <c:f>'BIFUbC-biomass pre-CHP'!$A$21</c:f>
              <c:strCache>
                <c:ptCount val="1"/>
                <c:pt idx="0">
                  <c:v>road vehicles 29</c:v>
                </c:pt>
              </c:strCache>
            </c:strRef>
          </c:tx>
          <c:spPr>
            <a:ln w="28575" cap="rnd">
              <a:solidFill>
                <a:schemeClr val="accent3">
                  <a:lumMod val="8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pre-CHP'!$B$21:$AF$21</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3-C46A-4C29-B5E3-1EC40074C8DF}"/>
            </c:ext>
          </c:extLst>
        </c:ser>
        <c:ser>
          <c:idx val="21"/>
          <c:order val="20"/>
          <c:tx>
            <c:strRef>
              <c:f>'BIFUbC-biomass pre-CHP'!$A$22</c:f>
              <c:strCache>
                <c:ptCount val="1"/>
                <c:pt idx="0">
                  <c:v>nonroad vehicles 30</c:v>
                </c:pt>
              </c:strCache>
            </c:strRef>
          </c:tx>
          <c:spPr>
            <a:ln w="28575" cap="rnd">
              <a:solidFill>
                <a:schemeClr val="accent4">
                  <a:lumMod val="8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pre-CHP'!$B$22:$AF$22</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4-C46A-4C29-B5E3-1EC40074C8DF}"/>
            </c:ext>
          </c:extLst>
        </c:ser>
        <c:ser>
          <c:idx val="22"/>
          <c:order val="21"/>
          <c:tx>
            <c:strRef>
              <c:f>'BIFUbC-biomass pre-CHP'!$A$23</c:f>
              <c:strCache>
                <c:ptCount val="1"/>
                <c:pt idx="0">
                  <c:v>other manufacturing 31T33</c:v>
                </c:pt>
              </c:strCache>
            </c:strRef>
          </c:tx>
          <c:spPr>
            <a:ln w="28575" cap="rnd">
              <a:solidFill>
                <a:schemeClr val="accent5">
                  <a:lumMod val="8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pre-CHP'!$B$23:$AF$23</c:f>
              <c:numCache>
                <c:formatCode>0.00E+00</c:formatCode>
                <c:ptCount val="31"/>
                <c:pt idx="0">
                  <c:v>68517148953687.078</c:v>
                </c:pt>
                <c:pt idx="1">
                  <c:v>71562963950613.859</c:v>
                </c:pt>
                <c:pt idx="2">
                  <c:v>74608778947540.625</c:v>
                </c:pt>
                <c:pt idx="3">
                  <c:v>77654593944467.391</c:v>
                </c:pt>
                <c:pt idx="4">
                  <c:v>80700408941394.172</c:v>
                </c:pt>
                <c:pt idx="5">
                  <c:v>83746223938320.953</c:v>
                </c:pt>
                <c:pt idx="6">
                  <c:v>85996660425973.563</c:v>
                </c:pt>
                <c:pt idx="7">
                  <c:v>88247096913626.172</c:v>
                </c:pt>
                <c:pt idx="8">
                  <c:v>90497533401278.047</c:v>
                </c:pt>
                <c:pt idx="9">
                  <c:v>92747969888930.656</c:v>
                </c:pt>
                <c:pt idx="10">
                  <c:v>94998406376582.188</c:v>
                </c:pt>
                <c:pt idx="11">
                  <c:v>97009526748315.703</c:v>
                </c:pt>
                <c:pt idx="12">
                  <c:v>99020647120048.125</c:v>
                </c:pt>
                <c:pt idx="13">
                  <c:v>101031767491781.28</c:v>
                </c:pt>
                <c:pt idx="14">
                  <c:v>103042887863513.7</c:v>
                </c:pt>
                <c:pt idx="15">
                  <c:v>105054008235246.13</c:v>
                </c:pt>
                <c:pt idx="16">
                  <c:v>107108378507446.66</c:v>
                </c:pt>
                <c:pt idx="17">
                  <c:v>109162748779647.17</c:v>
                </c:pt>
                <c:pt idx="18">
                  <c:v>111217119051846.97</c:v>
                </c:pt>
                <c:pt idx="19">
                  <c:v>113271489324047.5</c:v>
                </c:pt>
                <c:pt idx="20">
                  <c:v>115325859596246.94</c:v>
                </c:pt>
                <c:pt idx="21">
                  <c:v>117322563334490.59</c:v>
                </c:pt>
                <c:pt idx="22">
                  <c:v>119358585164068.47</c:v>
                </c:pt>
                <c:pt idx="23">
                  <c:v>121394606993646.34</c:v>
                </c:pt>
                <c:pt idx="24">
                  <c:v>123430628823223.48</c:v>
                </c:pt>
                <c:pt idx="25">
                  <c:v>125466650652801.36</c:v>
                </c:pt>
                <c:pt idx="26">
                  <c:v>127502672482379.22</c:v>
                </c:pt>
                <c:pt idx="27">
                  <c:v>129538694311956.38</c:v>
                </c:pt>
                <c:pt idx="28">
                  <c:v>131574716141534.23</c:v>
                </c:pt>
                <c:pt idx="29">
                  <c:v>133610737971112.11</c:v>
                </c:pt>
                <c:pt idx="30">
                  <c:v>135646759800689.25</c:v>
                </c:pt>
              </c:numCache>
            </c:numRef>
          </c:val>
          <c:smooth val="0"/>
          <c:extLst>
            <c:ext xmlns:c16="http://schemas.microsoft.com/office/drawing/2014/chart" uri="{C3380CC4-5D6E-409C-BE32-E72D297353CC}">
              <c16:uniqueId val="{00000015-C46A-4C29-B5E3-1EC40074C8DF}"/>
            </c:ext>
          </c:extLst>
        </c:ser>
        <c:ser>
          <c:idx val="23"/>
          <c:order val="22"/>
          <c:tx>
            <c:strRef>
              <c:f>'BIFUbC-biomass pre-CHP'!$A$24</c:f>
              <c:strCache>
                <c:ptCount val="1"/>
                <c:pt idx="0">
                  <c:v>energy pipelines and gas processing 352T353</c:v>
                </c:pt>
              </c:strCache>
            </c:strRef>
          </c:tx>
          <c:spPr>
            <a:ln w="28575" cap="rnd">
              <a:solidFill>
                <a:schemeClr val="accent6">
                  <a:lumMod val="8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pre-CHP'!$B$24:$AF$24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6-C46A-4C29-B5E3-1EC40074C8DF}"/>
            </c:ext>
          </c:extLst>
        </c:ser>
        <c:ser>
          <c:idx val="24"/>
          <c:order val="23"/>
          <c:tx>
            <c:strRef>
              <c:f>'BIFUbC-biomass pre-CHP'!$A$25</c:f>
              <c:strCache>
                <c:ptCount val="1"/>
                <c:pt idx="0">
                  <c:v>water and waste 36T39</c:v>
                </c:pt>
              </c:strCache>
            </c:strRef>
          </c:tx>
          <c:spPr>
            <a:ln w="28575" cap="rnd">
              <a:solidFill>
                <a:schemeClr val="accent1">
                  <a:lumMod val="60000"/>
                  <a:lumOff val="4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pre-CHP'!$B$25:$AF$25</c:f>
              <c:numCache>
                <c:formatCode>0.00E+00</c:formatCode>
                <c:ptCount val="31"/>
                <c:pt idx="0">
                  <c:v>25612478040.130802</c:v>
                </c:pt>
                <c:pt idx="1">
                  <c:v>25638090518.170929</c:v>
                </c:pt>
                <c:pt idx="2">
                  <c:v>25663728608.689098</c:v>
                </c:pt>
                <c:pt idx="3">
                  <c:v>25689392337.297783</c:v>
                </c:pt>
                <c:pt idx="4">
                  <c:v>25715081729.635078</c:v>
                </c:pt>
                <c:pt idx="5">
                  <c:v>25740796811.364712</c:v>
                </c:pt>
                <c:pt idx="6">
                  <c:v>25766537608.176075</c:v>
                </c:pt>
                <c:pt idx="7">
                  <c:v>25792304145.784248</c:v>
                </c:pt>
                <c:pt idx="8">
                  <c:v>25818096449.930031</c:v>
                </c:pt>
                <c:pt idx="9">
                  <c:v>25843914546.379959</c:v>
                </c:pt>
                <c:pt idx="10">
                  <c:v>25869758460.926334</c:v>
                </c:pt>
                <c:pt idx="11">
                  <c:v>25895628219.387257</c:v>
                </c:pt>
                <c:pt idx="12">
                  <c:v>25921523847.60664</c:v>
                </c:pt>
                <c:pt idx="13">
                  <c:v>25947445371.454243</c:v>
                </c:pt>
                <c:pt idx="14">
                  <c:v>25973392816.825695</c:v>
                </c:pt>
                <c:pt idx="15">
                  <c:v>25999366209.642517</c:v>
                </c:pt>
                <c:pt idx="16">
                  <c:v>26025365575.852158</c:v>
                </c:pt>
                <c:pt idx="17">
                  <c:v>26051390941.428005</c:v>
                </c:pt>
                <c:pt idx="18">
                  <c:v>26077442332.369431</c:v>
                </c:pt>
                <c:pt idx="19">
                  <c:v>26103519774.701797</c:v>
                </c:pt>
                <c:pt idx="20">
                  <c:v>26129623294.476498</c:v>
                </c:pt>
                <c:pt idx="21">
                  <c:v>25998975178.004116</c:v>
                </c:pt>
                <c:pt idx="22">
                  <c:v>25868980302.114094</c:v>
                </c:pt>
                <c:pt idx="23">
                  <c:v>25739635400.603523</c:v>
                </c:pt>
                <c:pt idx="24">
                  <c:v>25610937223.600506</c:v>
                </c:pt>
                <c:pt idx="25">
                  <c:v>25482882537.482502</c:v>
                </c:pt>
                <c:pt idx="26">
                  <c:v>25355468124.79509</c:v>
                </c:pt>
                <c:pt idx="27">
                  <c:v>25228690784.171116</c:v>
                </c:pt>
                <c:pt idx="28">
                  <c:v>25102547330.250259</c:v>
                </c:pt>
                <c:pt idx="29">
                  <c:v>24977034593.599007</c:v>
                </c:pt>
                <c:pt idx="30">
                  <c:v>24852149420.631008</c:v>
                </c:pt>
              </c:numCache>
            </c:numRef>
          </c:val>
          <c:smooth val="0"/>
          <c:extLst>
            <c:ext xmlns:c16="http://schemas.microsoft.com/office/drawing/2014/chart" uri="{C3380CC4-5D6E-409C-BE32-E72D297353CC}">
              <c16:uniqueId val="{00000017-C46A-4C29-B5E3-1EC40074C8DF}"/>
            </c:ext>
          </c:extLst>
        </c:ser>
        <c:ser>
          <c:idx val="25"/>
          <c:order val="24"/>
          <c:tx>
            <c:strRef>
              <c:f>'BIFUbC-biomass pre-CHP'!$A$26</c:f>
              <c:strCache>
                <c:ptCount val="1"/>
                <c:pt idx="0">
                  <c:v>construction 41T43</c:v>
                </c:pt>
              </c:strCache>
            </c:strRef>
          </c:tx>
          <c:spPr>
            <a:ln w="28575" cap="rnd">
              <a:solidFill>
                <a:schemeClr val="accent2">
                  <a:lumMod val="60000"/>
                  <a:lumOff val="4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pre-CHP'!$B$26:$AF$26</c:f>
              <c:numCache>
                <c:formatCode>0.00E+00</c:formatCode>
                <c:ptCount val="31"/>
                <c:pt idx="0">
                  <c:v>6087721328894.5859</c:v>
                </c:pt>
                <c:pt idx="1">
                  <c:v>6358340775322.3896</c:v>
                </c:pt>
                <c:pt idx="2">
                  <c:v>6628960221750.1924</c:v>
                </c:pt>
                <c:pt idx="3">
                  <c:v>6899579668177.9941</c:v>
                </c:pt>
                <c:pt idx="4">
                  <c:v>7170199114605.7979</c:v>
                </c:pt>
                <c:pt idx="5">
                  <c:v>7440818561033.6016</c:v>
                </c:pt>
                <c:pt idx="6">
                  <c:v>7640768944469.2246</c:v>
                </c:pt>
                <c:pt idx="7">
                  <c:v>7840719327904.8467</c:v>
                </c:pt>
                <c:pt idx="8">
                  <c:v>8040669711340.4053</c:v>
                </c:pt>
                <c:pt idx="9">
                  <c:v>8240620094776.0283</c:v>
                </c:pt>
                <c:pt idx="10">
                  <c:v>8440570478211.5537</c:v>
                </c:pt>
                <c:pt idx="11">
                  <c:v>8619257720295.3145</c:v>
                </c:pt>
                <c:pt idx="12">
                  <c:v>8797944962378.9766</c:v>
                </c:pt>
                <c:pt idx="13">
                  <c:v>8976632204462.7051</c:v>
                </c:pt>
                <c:pt idx="14">
                  <c:v>9155319446546.3691</c:v>
                </c:pt>
                <c:pt idx="15">
                  <c:v>9334006688630.0313</c:v>
                </c:pt>
                <c:pt idx="16">
                  <c:v>9516536667102.6563</c:v>
                </c:pt>
                <c:pt idx="17">
                  <c:v>9699066645575.2813</c:v>
                </c:pt>
                <c:pt idx="18">
                  <c:v>9881596624047.8398</c:v>
                </c:pt>
                <c:pt idx="19">
                  <c:v>10064126602520.465</c:v>
                </c:pt>
                <c:pt idx="20">
                  <c:v>10246656580992.992</c:v>
                </c:pt>
                <c:pt idx="21">
                  <c:v>10424062910947.057</c:v>
                </c:pt>
                <c:pt idx="22">
                  <c:v>10604962637618.318</c:v>
                </c:pt>
                <c:pt idx="23">
                  <c:v>10785862364289.582</c:v>
                </c:pt>
                <c:pt idx="24">
                  <c:v>10966762090960.779</c:v>
                </c:pt>
                <c:pt idx="25">
                  <c:v>11147661817632.043</c:v>
                </c:pt>
                <c:pt idx="26">
                  <c:v>11328561544303.305</c:v>
                </c:pt>
                <c:pt idx="27">
                  <c:v>11509461270974.502</c:v>
                </c:pt>
                <c:pt idx="28">
                  <c:v>11690360997645.766</c:v>
                </c:pt>
                <c:pt idx="29">
                  <c:v>11871260724317.027</c:v>
                </c:pt>
                <c:pt idx="30">
                  <c:v>12052160450988.227</c:v>
                </c:pt>
              </c:numCache>
            </c:numRef>
          </c:val>
          <c:smooth val="0"/>
          <c:extLst>
            <c:ext xmlns:c16="http://schemas.microsoft.com/office/drawing/2014/chart" uri="{C3380CC4-5D6E-409C-BE32-E72D297353CC}">
              <c16:uniqueId val="{00000018-C46A-4C29-B5E3-1EC40074C8DF}"/>
            </c:ext>
          </c:extLst>
        </c:ser>
        <c:dLbls>
          <c:showLegendKey val="0"/>
          <c:showVal val="0"/>
          <c:showCatName val="0"/>
          <c:showSerName val="0"/>
          <c:showPercent val="0"/>
          <c:showBubbleSize val="0"/>
        </c:dLbls>
        <c:smooth val="0"/>
        <c:axId val="1554324768"/>
        <c:axId val="1331715072"/>
        <c:extLst/>
      </c:lineChart>
      <c:catAx>
        <c:axId val="155432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15072"/>
        <c:crosses val="autoZero"/>
        <c:auto val="1"/>
        <c:lblAlgn val="ctr"/>
        <c:lblOffset val="100"/>
        <c:noMultiLvlLbl val="0"/>
      </c:catAx>
      <c:valAx>
        <c:axId val="133171507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32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0"/>
          <c:order val="9"/>
          <c:tx>
            <c:strRef>
              <c:f>'BIFUbC-biomass pre-CHP'!$A$11</c:f>
              <c:strCache>
                <c:ptCount val="1"/>
                <c:pt idx="0">
                  <c:v>chemicals 20</c:v>
                </c:pt>
              </c:strCache>
            </c:strRef>
          </c:tx>
          <c:spPr>
            <a:ln w="28575" cap="rnd">
              <a:solidFill>
                <a:schemeClr val="accent5">
                  <a:lumMod val="6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pre-CHP'!$B$11:$AF$11</c:f>
              <c:numCache>
                <c:formatCode>0.00E+00</c:formatCode>
                <c:ptCount val="31"/>
                <c:pt idx="0">
                  <c:v>0</c:v>
                </c:pt>
                <c:pt idx="1">
                  <c:v>0</c:v>
                </c:pt>
                <c:pt idx="2">
                  <c:v>0</c:v>
                </c:pt>
                <c:pt idx="3">
                  <c:v>0</c:v>
                </c:pt>
                <c:pt idx="4">
                  <c:v>0</c:v>
                </c:pt>
                <c:pt idx="5">
                  <c:v>168859267967.55646</c:v>
                </c:pt>
                <c:pt idx="6">
                  <c:v>144960831774.81714</c:v>
                </c:pt>
                <c:pt idx="7">
                  <c:v>141696496115.87561</c:v>
                </c:pt>
                <c:pt idx="8">
                  <c:v>1206354927288.4272</c:v>
                </c:pt>
                <c:pt idx="9">
                  <c:v>1174432632361.7402</c:v>
                </c:pt>
                <c:pt idx="10">
                  <c:v>70513386463962.281</c:v>
                </c:pt>
                <c:pt idx="11">
                  <c:v>70003561560026.844</c:v>
                </c:pt>
                <c:pt idx="12">
                  <c:v>69492210531156.695</c:v>
                </c:pt>
                <c:pt idx="13">
                  <c:v>68979307284086.469</c:v>
                </c:pt>
                <c:pt idx="14">
                  <c:v>68464824965404.727</c:v>
                </c:pt>
                <c:pt idx="15">
                  <c:v>67948735930059.977</c:v>
                </c:pt>
                <c:pt idx="16">
                  <c:v>67903205370420.406</c:v>
                </c:pt>
                <c:pt idx="17">
                  <c:v>67857674810780.836</c:v>
                </c:pt>
                <c:pt idx="18">
                  <c:v>67812144251141.258</c:v>
                </c:pt>
                <c:pt idx="19">
                  <c:v>67766613691501.688</c:v>
                </c:pt>
                <c:pt idx="20">
                  <c:v>67721083131862.125</c:v>
                </c:pt>
                <c:pt idx="21">
                  <c:v>67652685231083.625</c:v>
                </c:pt>
                <c:pt idx="22">
                  <c:v>67584287330305.109</c:v>
                </c:pt>
                <c:pt idx="23">
                  <c:v>67515889429526.594</c:v>
                </c:pt>
                <c:pt idx="24">
                  <c:v>67447491528748.102</c:v>
                </c:pt>
                <c:pt idx="25">
                  <c:v>67379093627969.594</c:v>
                </c:pt>
                <c:pt idx="26">
                  <c:v>67310695727191.078</c:v>
                </c:pt>
                <c:pt idx="27">
                  <c:v>67242297826412.57</c:v>
                </c:pt>
                <c:pt idx="28">
                  <c:v>67173899925634.07</c:v>
                </c:pt>
                <c:pt idx="29">
                  <c:v>67105502024855.57</c:v>
                </c:pt>
                <c:pt idx="30">
                  <c:v>67037104124077.063</c:v>
                </c:pt>
              </c:numCache>
            </c:numRef>
          </c:val>
          <c:smooth val="0"/>
          <c:extLst>
            <c:ext xmlns:c16="http://schemas.microsoft.com/office/drawing/2014/chart" uri="{C3380CC4-5D6E-409C-BE32-E72D297353CC}">
              <c16:uniqueId val="{00000009-9A89-4644-8781-06508B0FCA18}"/>
            </c:ext>
          </c:extLst>
        </c:ser>
        <c:ser>
          <c:idx val="11"/>
          <c:order val="10"/>
          <c:tx>
            <c:strRef>
              <c:f>'BIFUbC-biomass pre-CHP'!$A$12</c:f>
              <c:strCache>
                <c:ptCount val="1"/>
                <c:pt idx="0">
                  <c:v>rubber and plastic products 22</c:v>
                </c:pt>
              </c:strCache>
            </c:strRef>
          </c:tx>
          <c:spPr>
            <a:ln w="28575" cap="rnd">
              <a:solidFill>
                <a:schemeClr val="accent6">
                  <a:lumMod val="60000"/>
                </a:schemeClr>
              </a:solidFill>
              <a:round/>
            </a:ln>
            <a:effectLst/>
          </c:spPr>
          <c:marker>
            <c:symbol val="none"/>
          </c:marker>
          <c:cat>
            <c:numRef>
              <c:f>'BIFUbC-biomass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 pre-CHP'!$B$12:$AF$12</c:f>
              <c:numCache>
                <c:formatCode>0.00E+00</c:formatCode>
                <c:ptCount val="31"/>
                <c:pt idx="0">
                  <c:v>0</c:v>
                </c:pt>
                <c:pt idx="1">
                  <c:v>0</c:v>
                </c:pt>
                <c:pt idx="2">
                  <c:v>0</c:v>
                </c:pt>
                <c:pt idx="3">
                  <c:v>0</c:v>
                </c:pt>
                <c:pt idx="4">
                  <c:v>0</c:v>
                </c:pt>
                <c:pt idx="5">
                  <c:v>5635473142.1211205</c:v>
                </c:pt>
                <c:pt idx="6">
                  <c:v>4837891837.14499</c:v>
                </c:pt>
                <c:pt idx="7">
                  <c:v>4728948596.1002178</c:v>
                </c:pt>
                <c:pt idx="8">
                  <c:v>40260631675.28125</c:v>
                </c:pt>
                <c:pt idx="9">
                  <c:v>39195263822.752251</c:v>
                </c:pt>
                <c:pt idx="10">
                  <c:v>2353298698736.6055</c:v>
                </c:pt>
                <c:pt idx="11">
                  <c:v>2336283911287.3037</c:v>
                </c:pt>
                <c:pt idx="12">
                  <c:v>2319218191270.3994</c:v>
                </c:pt>
                <c:pt idx="13">
                  <c:v>2302100667854.8276</c:v>
                </c:pt>
                <c:pt idx="14">
                  <c:v>2284930444840.5703</c:v>
                </c:pt>
                <c:pt idx="15">
                  <c:v>2267706599607.584</c:v>
                </c:pt>
                <c:pt idx="16">
                  <c:v>2266187072435.147</c:v>
                </c:pt>
                <c:pt idx="17">
                  <c:v>2264667545262.71</c:v>
                </c:pt>
                <c:pt idx="18">
                  <c:v>2263148018090.2725</c:v>
                </c:pt>
                <c:pt idx="19">
                  <c:v>2261628490917.8354</c:v>
                </c:pt>
                <c:pt idx="20">
                  <c:v>2260108963745.3989</c:v>
                </c:pt>
                <c:pt idx="21">
                  <c:v>2257826266814.0776</c:v>
                </c:pt>
                <c:pt idx="22">
                  <c:v>2255543569882.7554</c:v>
                </c:pt>
                <c:pt idx="23">
                  <c:v>2253260872951.4336</c:v>
                </c:pt>
                <c:pt idx="24">
                  <c:v>2250978176020.1128</c:v>
                </c:pt>
                <c:pt idx="25">
                  <c:v>2248695479088.791</c:v>
                </c:pt>
                <c:pt idx="26">
                  <c:v>2246412782157.4692</c:v>
                </c:pt>
                <c:pt idx="27">
                  <c:v>2244130085226.1479</c:v>
                </c:pt>
                <c:pt idx="28">
                  <c:v>2241847388294.8262</c:v>
                </c:pt>
                <c:pt idx="29">
                  <c:v>2239564691363.5049</c:v>
                </c:pt>
                <c:pt idx="30">
                  <c:v>2237281994432.1836</c:v>
                </c:pt>
              </c:numCache>
            </c:numRef>
          </c:val>
          <c:smooth val="0"/>
          <c:extLst>
            <c:ext xmlns:c16="http://schemas.microsoft.com/office/drawing/2014/chart" uri="{C3380CC4-5D6E-409C-BE32-E72D297353CC}">
              <c16:uniqueId val="{0000000A-9A89-4644-8781-06508B0FCA18}"/>
            </c:ext>
          </c:extLst>
        </c:ser>
        <c:dLbls>
          <c:showLegendKey val="0"/>
          <c:showVal val="0"/>
          <c:showCatName val="0"/>
          <c:showSerName val="0"/>
          <c:showPercent val="0"/>
          <c:showBubbleSize val="0"/>
        </c:dLbls>
        <c:smooth val="0"/>
        <c:axId val="1554324768"/>
        <c:axId val="1331715072"/>
        <c:extLst>
          <c:ext xmlns:c15="http://schemas.microsoft.com/office/drawing/2012/chart" uri="{02D57815-91ED-43cb-92C2-25804820EDAC}">
            <c15:filteredLineSeries>
              <c15:ser>
                <c:idx val="1"/>
                <c:order val="0"/>
                <c:tx>
                  <c:strRef>
                    <c:extLst>
                      <c:ext uri="{02D57815-91ED-43cb-92C2-25804820EDAC}">
                        <c15:formulaRef>
                          <c15:sqref>'BIFUbC-biomass pre-CHP'!$A$2</c15:sqref>
                        </c15:formulaRef>
                      </c:ext>
                    </c:extLst>
                    <c:strCache>
                      <c:ptCount val="1"/>
                      <c:pt idx="0">
                        <c:v>agriculture and forestry 01T03</c:v>
                      </c:pt>
                    </c:strCache>
                  </c:strRef>
                </c:tx>
                <c:spPr>
                  <a:ln w="28575" cap="rnd">
                    <a:solidFill>
                      <a:schemeClr val="accent2"/>
                    </a:solidFill>
                    <a:round/>
                  </a:ln>
                  <a:effectLst/>
                </c:spPr>
                <c:marker>
                  <c:symbol val="none"/>
                </c:marker>
                <c:cat>
                  <c:numRef>
                    <c:extLst>
                      <c:ex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c:ext uri="{02D57815-91ED-43cb-92C2-25804820EDAC}">
                        <c15:formulaRef>
                          <c15:sqref>'BIFUbC-biomass pre-CHP'!$B$2:$AF$2</c15:sqref>
                        </c15:formulaRef>
                      </c:ext>
                    </c:extLst>
                    <c:numCache>
                      <c:formatCode>0.00E+00</c:formatCode>
                      <c:ptCount val="31"/>
                      <c:pt idx="0">
                        <c:v>24458561772904.477</c:v>
                      </c:pt>
                      <c:pt idx="1">
                        <c:v>25545826135020.988</c:v>
                      </c:pt>
                      <c:pt idx="2">
                        <c:v>26633090497137.492</c:v>
                      </c:pt>
                      <c:pt idx="3">
                        <c:v>27720354859254</c:v>
                      </c:pt>
                      <c:pt idx="4">
                        <c:v>28807619221370.512</c:v>
                      </c:pt>
                      <c:pt idx="5">
                        <c:v>29894883583487.02</c:v>
                      </c:pt>
                      <c:pt idx="6">
                        <c:v>30698221735902.77</c:v>
                      </c:pt>
                      <c:pt idx="7">
                        <c:v>31501559888318.516</c:v>
                      </c:pt>
                      <c:pt idx="8">
                        <c:v>32304898040734.004</c:v>
                      </c:pt>
                      <c:pt idx="9">
                        <c:v>33108236193149.75</c:v>
                      </c:pt>
                      <c:pt idx="10">
                        <c:v>33911574345565.109</c:v>
                      </c:pt>
                      <c:pt idx="11">
                        <c:v>34629483841157.801</c:v>
                      </c:pt>
                      <c:pt idx="12">
                        <c:v>35347393336750.102</c:v>
                      </c:pt>
                      <c:pt idx="13">
                        <c:v>36065302832342.664</c:v>
                      </c:pt>
                      <c:pt idx="14">
                        <c:v>36783212327934.969</c:v>
                      </c:pt>
                      <c:pt idx="15">
                        <c:v>37501121823527.273</c:v>
                      </c:pt>
                      <c:pt idx="16">
                        <c:v>38234470233003.539</c:v>
                      </c:pt>
                      <c:pt idx="17">
                        <c:v>38967818642479.813</c:v>
                      </c:pt>
                      <c:pt idx="18">
                        <c:v>39701167051955.82</c:v>
                      </c:pt>
                      <c:pt idx="19">
                        <c:v>40434515461432.094</c:v>
                      </c:pt>
                      <c:pt idx="20">
                        <c:v>41167863870907.977</c:v>
                      </c:pt>
                      <c:pt idx="21">
                        <c:v>41880627061872.5</c:v>
                      </c:pt>
                      <c:pt idx="22">
                        <c:v>42607425629095.031</c:v>
                      </c:pt>
                      <c:pt idx="23">
                        <c:v>43334224196317.563</c:v>
                      </c:pt>
                      <c:pt idx="24">
                        <c:v>44061022763539.828</c:v>
                      </c:pt>
                      <c:pt idx="25">
                        <c:v>44787821330762.359</c:v>
                      </c:pt>
                      <c:pt idx="26">
                        <c:v>45514619897984.891</c:v>
                      </c:pt>
                      <c:pt idx="27">
                        <c:v>46241418465207.156</c:v>
                      </c:pt>
                      <c:pt idx="28">
                        <c:v>46968217032429.688</c:v>
                      </c:pt>
                      <c:pt idx="29">
                        <c:v>47695015599652.211</c:v>
                      </c:pt>
                      <c:pt idx="30">
                        <c:v>48421814166874.484</c:v>
                      </c:pt>
                    </c:numCache>
                  </c:numRef>
                </c:val>
                <c:smooth val="0"/>
                <c:extLst>
                  <c:ext xmlns:c16="http://schemas.microsoft.com/office/drawing/2014/chart" uri="{C3380CC4-5D6E-409C-BE32-E72D297353CC}">
                    <c16:uniqueId val="{00000000-9A89-4644-8781-06508B0FCA18}"/>
                  </c:ext>
                </c:extLst>
              </c15:ser>
            </c15:filteredLineSeries>
            <c15:filteredLineSeries>
              <c15:ser>
                <c:idx val="2"/>
                <c:order val="1"/>
                <c:tx>
                  <c:strRef>
                    <c:extLst xmlns:c15="http://schemas.microsoft.com/office/drawing/2012/chart">
                      <c:ext xmlns:c15="http://schemas.microsoft.com/office/drawing/2012/chart" uri="{02D57815-91ED-43cb-92C2-25804820EDAC}">
                        <c15:formulaRef>
                          <c15:sqref>'BIFUbC-biomass pre-CHP'!$A$3</c15:sqref>
                        </c15:formulaRef>
                      </c:ext>
                    </c:extLst>
                    <c:strCache>
                      <c:ptCount val="1"/>
                      <c:pt idx="0">
                        <c:v>coal mining 05</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pre-CHP'!$B$3:$AF$3</c15:sqref>
                        </c15:formulaRef>
                      </c:ext>
                    </c:extLst>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xmlns:c15="http://schemas.microsoft.com/office/drawing/2012/chart">
                  <c:ext xmlns:c16="http://schemas.microsoft.com/office/drawing/2014/chart" uri="{C3380CC4-5D6E-409C-BE32-E72D297353CC}">
                    <c16:uniqueId val="{00000001-9A89-4644-8781-06508B0FCA18}"/>
                  </c:ext>
                </c:extLst>
              </c15:ser>
            </c15:filteredLineSeries>
            <c15:filteredLineSeries>
              <c15:ser>
                <c:idx val="3"/>
                <c:order val="2"/>
                <c:tx>
                  <c:strRef>
                    <c:extLst xmlns:c15="http://schemas.microsoft.com/office/drawing/2012/chart">
                      <c:ext xmlns:c15="http://schemas.microsoft.com/office/drawing/2012/chart" uri="{02D57815-91ED-43cb-92C2-25804820EDAC}">
                        <c15:formulaRef>
                          <c15:sqref>'BIFUbC-biomass pre-CHP'!$A$4</c15:sqref>
                        </c15:formulaRef>
                      </c:ext>
                    </c:extLst>
                    <c:strCache>
                      <c:ptCount val="1"/>
                      <c:pt idx="0">
                        <c:v>oil and gas extraction 06</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pre-CHP'!$B$4:$AF$4</c15:sqref>
                        </c15:formulaRef>
                      </c:ext>
                    </c:extLst>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xmlns:c15="http://schemas.microsoft.com/office/drawing/2012/chart">
                  <c:ext xmlns:c16="http://schemas.microsoft.com/office/drawing/2014/chart" uri="{C3380CC4-5D6E-409C-BE32-E72D297353CC}">
                    <c16:uniqueId val="{00000002-9A89-4644-8781-06508B0FCA18}"/>
                  </c:ext>
                </c:extLst>
              </c15:ser>
            </c15:filteredLineSeries>
            <c15:filteredLineSeries>
              <c15:ser>
                <c:idx val="4"/>
                <c:order val="3"/>
                <c:tx>
                  <c:strRef>
                    <c:extLst xmlns:c15="http://schemas.microsoft.com/office/drawing/2012/chart">
                      <c:ext xmlns:c15="http://schemas.microsoft.com/office/drawing/2012/chart" uri="{02D57815-91ED-43cb-92C2-25804820EDAC}">
                        <c15:formulaRef>
                          <c15:sqref>'BIFUbC-biomass pre-CHP'!$A$5</c15:sqref>
                        </c15:formulaRef>
                      </c:ext>
                    </c:extLst>
                    <c:strCache>
                      <c:ptCount val="1"/>
                      <c:pt idx="0">
                        <c:v>other mining and quarrying 07T08</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pre-CHP'!$B$5:$AF$5</c15:sqref>
                        </c15:formulaRef>
                      </c:ext>
                    </c:extLst>
                    <c:numCache>
                      <c:formatCode>0.00E+00</c:formatCode>
                      <c:ptCount val="31"/>
                      <c:pt idx="0">
                        <c:v>10913154458.729464</c:v>
                      </c:pt>
                      <c:pt idx="1">
                        <c:v>11398280445.752716</c:v>
                      </c:pt>
                      <c:pt idx="2">
                        <c:v>11883406432.775965</c:v>
                      </c:pt>
                      <c:pt idx="3">
                        <c:v>12368532419.799213</c:v>
                      </c:pt>
                      <c:pt idx="4">
                        <c:v>12853658406.822464</c:v>
                      </c:pt>
                      <c:pt idx="5">
                        <c:v>13338784393.845715</c:v>
                      </c:pt>
                      <c:pt idx="6">
                        <c:v>13697225475.594666</c:v>
                      </c:pt>
                      <c:pt idx="7">
                        <c:v>14055666557.343616</c:v>
                      </c:pt>
                      <c:pt idx="8">
                        <c:v>14414107639.092451</c:v>
                      </c:pt>
                      <c:pt idx="9">
                        <c:v>14772548720.8414</c:v>
                      </c:pt>
                      <c:pt idx="10">
                        <c:v>15130989802.590178</c:v>
                      </c:pt>
                      <c:pt idx="11">
                        <c:v>15451313511.135908</c:v>
                      </c:pt>
                      <c:pt idx="12">
                        <c:v>15771637219.681465</c:v>
                      </c:pt>
                      <c:pt idx="13">
                        <c:v>16091960928.227139</c:v>
                      </c:pt>
                      <c:pt idx="14">
                        <c:v>16412284636.772696</c:v>
                      </c:pt>
                      <c:pt idx="15">
                        <c:v>16732608345.318253</c:v>
                      </c:pt>
                      <c:pt idx="16">
                        <c:v>17059820735.768131</c:v>
                      </c:pt>
                      <c:pt idx="17">
                        <c:v>17387033126.21801</c:v>
                      </c:pt>
                      <c:pt idx="18">
                        <c:v>17714245516.667774</c:v>
                      </c:pt>
                      <c:pt idx="19">
                        <c:v>18041457907.117657</c:v>
                      </c:pt>
                      <c:pt idx="20">
                        <c:v>18368670297.56736</c:v>
                      </c:pt>
                      <c:pt idx="21">
                        <c:v>18686697778.811573</c:v>
                      </c:pt>
                      <c:pt idx="22">
                        <c:v>19010987698.150558</c:v>
                      </c:pt>
                      <c:pt idx="23">
                        <c:v>19335277617.48954</c:v>
                      </c:pt>
                      <c:pt idx="24">
                        <c:v>19659567536.828407</c:v>
                      </c:pt>
                      <c:pt idx="25">
                        <c:v>19983857456.167389</c:v>
                      </c:pt>
                      <c:pt idx="26">
                        <c:v>20308147375.506374</c:v>
                      </c:pt>
                      <c:pt idx="27">
                        <c:v>20632437294.845242</c:v>
                      </c:pt>
                      <c:pt idx="28">
                        <c:v>20956727214.184223</c:v>
                      </c:pt>
                      <c:pt idx="29">
                        <c:v>21281017133.523205</c:v>
                      </c:pt>
                      <c:pt idx="30">
                        <c:v>21605307052.862072</c:v>
                      </c:pt>
                    </c:numCache>
                  </c:numRef>
                </c:val>
                <c:smooth val="0"/>
                <c:extLst xmlns:c15="http://schemas.microsoft.com/office/drawing/2012/chart">
                  <c:ext xmlns:c16="http://schemas.microsoft.com/office/drawing/2014/chart" uri="{C3380CC4-5D6E-409C-BE32-E72D297353CC}">
                    <c16:uniqueId val="{00000003-9A89-4644-8781-06508B0FCA18}"/>
                  </c:ext>
                </c:extLst>
              </c15:ser>
            </c15:filteredLineSeries>
            <c15:filteredLineSeries>
              <c15:ser>
                <c:idx val="5"/>
                <c:order val="4"/>
                <c:tx>
                  <c:strRef>
                    <c:extLst xmlns:c15="http://schemas.microsoft.com/office/drawing/2012/chart">
                      <c:ext xmlns:c15="http://schemas.microsoft.com/office/drawing/2012/chart" uri="{02D57815-91ED-43cb-92C2-25804820EDAC}">
                        <c15:formulaRef>
                          <c15:sqref>'BIFUbC-biomass pre-CHP'!$A$6</c15:sqref>
                        </c15:formulaRef>
                      </c:ext>
                    </c:extLst>
                    <c:strCache>
                      <c:ptCount val="1"/>
                      <c:pt idx="0">
                        <c:v>food beverage and tobacco 10T12</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pre-CHP'!$B$6:$AF$6</c15:sqref>
                        </c15:formulaRef>
                      </c:ext>
                    </c:extLst>
                    <c:numCache>
                      <c:formatCode>0.00E+00</c:formatCode>
                      <c:ptCount val="31"/>
                      <c:pt idx="0">
                        <c:v>9241441081559.7559</c:v>
                      </c:pt>
                      <c:pt idx="1">
                        <c:v>9652253852804.1621</c:v>
                      </c:pt>
                      <c:pt idx="2">
                        <c:v>10063066624048.566</c:v>
                      </c:pt>
                      <c:pt idx="3">
                        <c:v>10473879395292.971</c:v>
                      </c:pt>
                      <c:pt idx="4">
                        <c:v>10884692166537.377</c:v>
                      </c:pt>
                      <c:pt idx="5">
                        <c:v>11295504937781.783</c:v>
                      </c:pt>
                      <c:pt idx="6">
                        <c:v>11599038819824.822</c:v>
                      </c:pt>
                      <c:pt idx="7">
                        <c:v>11902572701867.863</c:v>
                      </c:pt>
                      <c:pt idx="8">
                        <c:v>12206106583910.805</c:v>
                      </c:pt>
                      <c:pt idx="9">
                        <c:v>12509640465953.846</c:v>
                      </c:pt>
                      <c:pt idx="10">
                        <c:v>12813174347996.738</c:v>
                      </c:pt>
                      <c:pt idx="11">
                        <c:v>13084429803121.74</c:v>
                      </c:pt>
                      <c:pt idx="12">
                        <c:v>13355685258246.594</c:v>
                      </c:pt>
                      <c:pt idx="13">
                        <c:v>13626940713371.545</c:v>
                      </c:pt>
                      <c:pt idx="14">
                        <c:v>13898196168496.398</c:v>
                      </c:pt>
                      <c:pt idx="15">
                        <c:v>14169451623621.252</c:v>
                      </c:pt>
                      <c:pt idx="16">
                        <c:v>14446540529394.051</c:v>
                      </c:pt>
                      <c:pt idx="17">
                        <c:v>14723629435166.85</c:v>
                      </c:pt>
                      <c:pt idx="18">
                        <c:v>15000718340939.551</c:v>
                      </c:pt>
                      <c:pt idx="19">
                        <c:v>15277807246712.35</c:v>
                      </c:pt>
                      <c:pt idx="20">
                        <c:v>15554896152485.002</c:v>
                      </c:pt>
                      <c:pt idx="21">
                        <c:v>15824207124060.621</c:v>
                      </c:pt>
                      <c:pt idx="22">
                        <c:v>16098821232588.861</c:v>
                      </c:pt>
                      <c:pt idx="23">
                        <c:v>16373435341117.102</c:v>
                      </c:pt>
                      <c:pt idx="24">
                        <c:v>16648049449645.242</c:v>
                      </c:pt>
                      <c:pt idx="25">
                        <c:v>16922663558173.482</c:v>
                      </c:pt>
                      <c:pt idx="26">
                        <c:v>17197277666701.723</c:v>
                      </c:pt>
                      <c:pt idx="27">
                        <c:v>17471891775229.863</c:v>
                      </c:pt>
                      <c:pt idx="28">
                        <c:v>17746505883758.102</c:v>
                      </c:pt>
                      <c:pt idx="29">
                        <c:v>18021119992286.344</c:v>
                      </c:pt>
                      <c:pt idx="30">
                        <c:v>18295734100814.484</c:v>
                      </c:pt>
                    </c:numCache>
                  </c:numRef>
                </c:val>
                <c:smooth val="0"/>
                <c:extLst xmlns:c15="http://schemas.microsoft.com/office/drawing/2012/chart">
                  <c:ext xmlns:c16="http://schemas.microsoft.com/office/drawing/2014/chart" uri="{C3380CC4-5D6E-409C-BE32-E72D297353CC}">
                    <c16:uniqueId val="{00000004-9A89-4644-8781-06508B0FCA18}"/>
                  </c:ext>
                </c:extLst>
              </c15:ser>
            </c15:filteredLineSeries>
            <c15:filteredLineSeries>
              <c15:ser>
                <c:idx val="6"/>
                <c:order val="5"/>
                <c:tx>
                  <c:strRef>
                    <c:extLst xmlns:c15="http://schemas.microsoft.com/office/drawing/2012/chart">
                      <c:ext xmlns:c15="http://schemas.microsoft.com/office/drawing/2012/chart" uri="{02D57815-91ED-43cb-92C2-25804820EDAC}">
                        <c15:formulaRef>
                          <c15:sqref>'BIFUbC-biomass pre-CHP'!$A$7</c15:sqref>
                        </c15:formulaRef>
                      </c:ext>
                    </c:extLst>
                    <c:strCache>
                      <c:ptCount val="1"/>
                      <c:pt idx="0">
                        <c:v>textiles apparel and leather 13T15</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pre-CHP'!$B$7:$AF$7</c15:sqref>
                        </c15:formulaRef>
                      </c:ext>
                    </c:extLst>
                    <c:numCache>
                      <c:formatCode>0.00E+00</c:formatCode>
                      <c:ptCount val="31"/>
                      <c:pt idx="0">
                        <c:v>19941789028343.996</c:v>
                      </c:pt>
                      <c:pt idx="1">
                        <c:v>20828267829864.699</c:v>
                      </c:pt>
                      <c:pt idx="2">
                        <c:v>21714746631385.402</c:v>
                      </c:pt>
                      <c:pt idx="3">
                        <c:v>22601225432906.102</c:v>
                      </c:pt>
                      <c:pt idx="4">
                        <c:v>23487704234426.805</c:v>
                      </c:pt>
                      <c:pt idx="5">
                        <c:v>24374183035947.508</c:v>
                      </c:pt>
                      <c:pt idx="6">
                        <c:v>25029168398645.395</c:v>
                      </c:pt>
                      <c:pt idx="7">
                        <c:v>25684153761343.281</c:v>
                      </c:pt>
                      <c:pt idx="8">
                        <c:v>26339139124040.957</c:v>
                      </c:pt>
                      <c:pt idx="9">
                        <c:v>26994124486738.844</c:v>
                      </c:pt>
                      <c:pt idx="10">
                        <c:v>27649109849436.41</c:v>
                      </c:pt>
                      <c:pt idx="11">
                        <c:v>28234442700790.5</c:v>
                      </c:pt>
                      <c:pt idx="12">
                        <c:v>28819775552144.273</c:v>
                      </c:pt>
                      <c:pt idx="13">
                        <c:v>29405108403498.258</c:v>
                      </c:pt>
                      <c:pt idx="14">
                        <c:v>29990441254852.027</c:v>
                      </c:pt>
                      <c:pt idx="15">
                        <c:v>30575774106205.801</c:v>
                      </c:pt>
                      <c:pt idx="16">
                        <c:v>31173694760814.707</c:v>
                      </c:pt>
                      <c:pt idx="17">
                        <c:v>31771615415423.613</c:v>
                      </c:pt>
                      <c:pt idx="18">
                        <c:v>32369536070032.309</c:v>
                      </c:pt>
                      <c:pt idx="19">
                        <c:v>32967456724641.215</c:v>
                      </c:pt>
                      <c:pt idx="20">
                        <c:v>33565377379249.801</c:v>
                      </c:pt>
                      <c:pt idx="21">
                        <c:v>34146514296185.371</c:v>
                      </c:pt>
                      <c:pt idx="22">
                        <c:v>34739094670625.484</c:v>
                      </c:pt>
                      <c:pt idx="23">
                        <c:v>35331675045065.602</c:v>
                      </c:pt>
                      <c:pt idx="24">
                        <c:v>35924255419505.5</c:v>
                      </c:pt>
                      <c:pt idx="25">
                        <c:v>36516835793945.609</c:v>
                      </c:pt>
                      <c:pt idx="26">
                        <c:v>37109416168385.727</c:v>
                      </c:pt>
                      <c:pt idx="27">
                        <c:v>37701996542825.625</c:v>
                      </c:pt>
                      <c:pt idx="28">
                        <c:v>38294576917265.734</c:v>
                      </c:pt>
                      <c:pt idx="29">
                        <c:v>38887157291705.852</c:v>
                      </c:pt>
                      <c:pt idx="30">
                        <c:v>39479737666145.75</c:v>
                      </c:pt>
                    </c:numCache>
                  </c:numRef>
                </c:val>
                <c:smooth val="0"/>
                <c:extLst xmlns:c15="http://schemas.microsoft.com/office/drawing/2012/chart">
                  <c:ext xmlns:c16="http://schemas.microsoft.com/office/drawing/2014/chart" uri="{C3380CC4-5D6E-409C-BE32-E72D297353CC}">
                    <c16:uniqueId val="{00000005-9A89-4644-8781-06508B0FCA18}"/>
                  </c:ext>
                </c:extLst>
              </c15:ser>
            </c15:filteredLineSeries>
            <c15:filteredLineSeries>
              <c15:ser>
                <c:idx val="7"/>
                <c:order val="6"/>
                <c:tx>
                  <c:strRef>
                    <c:extLst xmlns:c15="http://schemas.microsoft.com/office/drawing/2012/chart">
                      <c:ext xmlns:c15="http://schemas.microsoft.com/office/drawing/2012/chart" uri="{02D57815-91ED-43cb-92C2-25804820EDAC}">
                        <c15:formulaRef>
                          <c15:sqref>'BIFUbC-biomass pre-CHP'!$A$8</c15:sqref>
                        </c15:formulaRef>
                      </c:ext>
                    </c:extLst>
                    <c:strCache>
                      <c:ptCount val="1"/>
                      <c:pt idx="0">
                        <c:v>wood products 16</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pre-CHP'!$B$8:$AF$8</c15:sqref>
                        </c15:formulaRef>
                      </c:ext>
                    </c:extLst>
                    <c:numCache>
                      <c:formatCode>0.00E+00</c:formatCode>
                      <c:ptCount val="31"/>
                      <c:pt idx="0">
                        <c:v>12298579417265.172</c:v>
                      </c:pt>
                      <c:pt idx="1">
                        <c:v>12845292148341.025</c:v>
                      </c:pt>
                      <c:pt idx="2">
                        <c:v>13392004879416.875</c:v>
                      </c:pt>
                      <c:pt idx="3">
                        <c:v>13938717610492.727</c:v>
                      </c:pt>
                      <c:pt idx="4">
                        <c:v>14485430341568.578</c:v>
                      </c:pt>
                      <c:pt idx="5">
                        <c:v>15032143072644.432</c:v>
                      </c:pt>
                      <c:pt idx="6">
                        <c:v>15436088249721.412</c:v>
                      </c:pt>
                      <c:pt idx="7">
                        <c:v>15840033426798.391</c:v>
                      </c:pt>
                      <c:pt idx="8">
                        <c:v>16243978603875.24</c:v>
                      </c:pt>
                      <c:pt idx="9">
                        <c:v>16647923780952.221</c:v>
                      </c:pt>
                      <c:pt idx="10">
                        <c:v>17051868958029.004</c:v>
                      </c:pt>
                      <c:pt idx="11">
                        <c:v>17412857761374.615</c:v>
                      </c:pt>
                      <c:pt idx="12">
                        <c:v>17773846564720.031</c:v>
                      </c:pt>
                      <c:pt idx="13">
                        <c:v>18134835368065.578</c:v>
                      </c:pt>
                      <c:pt idx="14">
                        <c:v>18495824171410.992</c:v>
                      </c:pt>
                      <c:pt idx="15">
                        <c:v>18856812974756.406</c:v>
                      </c:pt>
                      <c:pt idx="16">
                        <c:v>19225564978173.898</c:v>
                      </c:pt>
                      <c:pt idx="17">
                        <c:v>19594316981591.391</c:v>
                      </c:pt>
                      <c:pt idx="18">
                        <c:v>19963068985008.754</c:v>
                      </c:pt>
                      <c:pt idx="19">
                        <c:v>20331820988426.246</c:v>
                      </c:pt>
                      <c:pt idx="20">
                        <c:v>20700572991843.543</c:v>
                      </c:pt>
                      <c:pt idx="21">
                        <c:v>21058974061831.707</c:v>
                      </c:pt>
                      <c:pt idx="22">
                        <c:v>21424432586430.773</c:v>
                      </c:pt>
                      <c:pt idx="23">
                        <c:v>21789891111029.84</c:v>
                      </c:pt>
                      <c:pt idx="24">
                        <c:v>22155349635628.777</c:v>
                      </c:pt>
                      <c:pt idx="25">
                        <c:v>22520808160227.844</c:v>
                      </c:pt>
                      <c:pt idx="26">
                        <c:v>22886266684826.91</c:v>
                      </c:pt>
                      <c:pt idx="27">
                        <c:v>23251725209425.848</c:v>
                      </c:pt>
                      <c:pt idx="28">
                        <c:v>23617183734024.914</c:v>
                      </c:pt>
                      <c:pt idx="29">
                        <c:v>23982642258623.98</c:v>
                      </c:pt>
                      <c:pt idx="30">
                        <c:v>24348100783222.918</c:v>
                      </c:pt>
                    </c:numCache>
                  </c:numRef>
                </c:val>
                <c:smooth val="0"/>
                <c:extLst xmlns:c15="http://schemas.microsoft.com/office/drawing/2012/chart">
                  <c:ext xmlns:c16="http://schemas.microsoft.com/office/drawing/2014/chart" uri="{C3380CC4-5D6E-409C-BE32-E72D297353CC}">
                    <c16:uniqueId val="{00000006-9A89-4644-8781-06508B0FCA18}"/>
                  </c:ext>
                </c:extLst>
              </c15:ser>
            </c15:filteredLineSeries>
            <c15:filteredLineSeries>
              <c15:ser>
                <c:idx val="8"/>
                <c:order val="7"/>
                <c:tx>
                  <c:strRef>
                    <c:extLst xmlns:c15="http://schemas.microsoft.com/office/drawing/2012/chart">
                      <c:ext xmlns:c15="http://schemas.microsoft.com/office/drawing/2012/chart" uri="{02D57815-91ED-43cb-92C2-25804820EDAC}">
                        <c15:formulaRef>
                          <c15:sqref>'BIFUbC-biomass pre-CHP'!$A$9</c15:sqref>
                        </c15:formulaRef>
                      </c:ext>
                    </c:extLst>
                    <c:strCache>
                      <c:ptCount val="1"/>
                      <c:pt idx="0">
                        <c:v>pulp paper and printing 17T18</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pre-CHP'!$B$9:$AF$9</c15:sqref>
                        </c15:formulaRef>
                      </c:ext>
                    </c:extLst>
                    <c:numCache>
                      <c:formatCode>0.00E+00</c:formatCode>
                      <c:ptCount val="31"/>
                      <c:pt idx="0">
                        <c:v>109162828963409.66</c:v>
                      </c:pt>
                      <c:pt idx="1">
                        <c:v>114015479528138.31</c:v>
                      </c:pt>
                      <c:pt idx="2">
                        <c:v>118868130092866.94</c:v>
                      </c:pt>
                      <c:pt idx="3">
                        <c:v>123720780657595.56</c:v>
                      </c:pt>
                      <c:pt idx="4">
                        <c:v>128573431222324.2</c:v>
                      </c:pt>
                      <c:pt idx="5">
                        <c:v>133426081787052.84</c:v>
                      </c:pt>
                      <c:pt idx="6">
                        <c:v>137011520135643.36</c:v>
                      </c:pt>
                      <c:pt idx="7">
                        <c:v>140596958484233.88</c:v>
                      </c:pt>
                      <c:pt idx="8">
                        <c:v>144182396832823.25</c:v>
                      </c:pt>
                      <c:pt idx="9">
                        <c:v>147767835181413.75</c:v>
                      </c:pt>
                      <c:pt idx="10">
                        <c:v>151353273530002.53</c:v>
                      </c:pt>
                      <c:pt idx="11">
                        <c:v>154557428876757.66</c:v>
                      </c:pt>
                      <c:pt idx="12">
                        <c:v>157761584223511.06</c:v>
                      </c:pt>
                      <c:pt idx="13">
                        <c:v>160965739570265.63</c:v>
                      </c:pt>
                      <c:pt idx="14">
                        <c:v>164169894917019.03</c:v>
                      </c:pt>
                      <c:pt idx="15">
                        <c:v>167374050263772.44</c:v>
                      </c:pt>
                      <c:pt idx="16">
                        <c:v>170647112177123.84</c:v>
                      </c:pt>
                      <c:pt idx="17">
                        <c:v>173920174090475.28</c:v>
                      </c:pt>
                      <c:pt idx="18">
                        <c:v>177193236003825.53</c:v>
                      </c:pt>
                      <c:pt idx="19">
                        <c:v>180466297917176.94</c:v>
                      </c:pt>
                      <c:pt idx="20">
                        <c:v>183739359830526.63</c:v>
                      </c:pt>
                      <c:pt idx="21">
                        <c:v>186920546321748.31</c:v>
                      </c:pt>
                      <c:pt idx="22">
                        <c:v>190164375146240.25</c:v>
                      </c:pt>
                      <c:pt idx="23">
                        <c:v>193408203970732.19</c:v>
                      </c:pt>
                      <c:pt idx="24">
                        <c:v>196652032795222.97</c:v>
                      </c:pt>
                      <c:pt idx="25">
                        <c:v>199895861619714.91</c:v>
                      </c:pt>
                      <c:pt idx="26">
                        <c:v>203139690444206.84</c:v>
                      </c:pt>
                      <c:pt idx="27">
                        <c:v>206383519268697.63</c:v>
                      </c:pt>
                      <c:pt idx="28">
                        <c:v>209627348093189.56</c:v>
                      </c:pt>
                      <c:pt idx="29">
                        <c:v>212871176917681.5</c:v>
                      </c:pt>
                      <c:pt idx="30">
                        <c:v>216115005742172.25</c:v>
                      </c:pt>
                    </c:numCache>
                  </c:numRef>
                </c:val>
                <c:smooth val="0"/>
                <c:extLst xmlns:c15="http://schemas.microsoft.com/office/drawing/2012/chart">
                  <c:ext xmlns:c16="http://schemas.microsoft.com/office/drawing/2014/chart" uri="{C3380CC4-5D6E-409C-BE32-E72D297353CC}">
                    <c16:uniqueId val="{00000007-9A89-4644-8781-06508B0FCA18}"/>
                  </c:ext>
                </c:extLst>
              </c15:ser>
            </c15:filteredLineSeries>
            <c15:filteredLineSeries>
              <c15:ser>
                <c:idx val="9"/>
                <c:order val="8"/>
                <c:tx>
                  <c:strRef>
                    <c:extLst xmlns:c15="http://schemas.microsoft.com/office/drawing/2012/chart">
                      <c:ext xmlns:c15="http://schemas.microsoft.com/office/drawing/2012/chart" uri="{02D57815-91ED-43cb-92C2-25804820EDAC}">
                        <c15:formulaRef>
                          <c15:sqref>'BIFUbC-biomass pre-CHP'!$A$10</c15:sqref>
                        </c15:formulaRef>
                      </c:ext>
                    </c:extLst>
                    <c:strCache>
                      <c:ptCount val="1"/>
                      <c:pt idx="0">
                        <c:v>refined petroleum and coke 19</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pre-CHP'!$B$10:$AF$10</c15:sqref>
                        </c15:formulaRef>
                      </c:ext>
                    </c:extLst>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xmlns:c15="http://schemas.microsoft.com/office/drawing/2012/chart">
                  <c:ext xmlns:c16="http://schemas.microsoft.com/office/drawing/2014/chart" uri="{C3380CC4-5D6E-409C-BE32-E72D297353CC}">
                    <c16:uniqueId val="{00000008-9A89-4644-8781-06508B0FCA18}"/>
                  </c:ext>
                </c:extLst>
              </c15:ser>
            </c15:filteredLineSeries>
            <c15:filteredLineSeries>
              <c15:ser>
                <c:idx val="12"/>
                <c:order val="11"/>
                <c:tx>
                  <c:strRef>
                    <c:extLst xmlns:c15="http://schemas.microsoft.com/office/drawing/2012/chart">
                      <c:ext xmlns:c15="http://schemas.microsoft.com/office/drawing/2012/chart" uri="{02D57815-91ED-43cb-92C2-25804820EDAC}">
                        <c15:formulaRef>
                          <c15:sqref>'BIFUbC-biomass pre-CHP'!$A$13</c15:sqref>
                        </c15:formulaRef>
                      </c:ext>
                    </c:extLst>
                    <c:strCache>
                      <c:ptCount val="1"/>
                      <c:pt idx="0">
                        <c:v>glass and glass products 231</c:v>
                      </c:pt>
                    </c:strCache>
                  </c:strRef>
                </c:tx>
                <c:spPr>
                  <a:ln w="28575" cap="rnd">
                    <a:solidFill>
                      <a:schemeClr val="accent1">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pre-CHP'!$B$13:$AF$13</c15:sqref>
                        </c15:formulaRef>
                      </c:ext>
                    </c:extLst>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xmlns:c15="http://schemas.microsoft.com/office/drawing/2012/chart">
                  <c:ext xmlns:c16="http://schemas.microsoft.com/office/drawing/2014/chart" uri="{C3380CC4-5D6E-409C-BE32-E72D297353CC}">
                    <c16:uniqueId val="{0000000B-9A89-4644-8781-06508B0FCA18}"/>
                  </c:ext>
                </c:extLst>
              </c15:ser>
            </c15:filteredLineSeries>
            <c15:filteredLineSeries>
              <c15:ser>
                <c:idx val="13"/>
                <c:order val="12"/>
                <c:tx>
                  <c:strRef>
                    <c:extLst xmlns:c15="http://schemas.microsoft.com/office/drawing/2012/chart">
                      <c:ext xmlns:c15="http://schemas.microsoft.com/office/drawing/2012/chart" uri="{02D57815-91ED-43cb-92C2-25804820EDAC}">
                        <c15:formulaRef>
                          <c15:sqref>'BIFUbC-biomass pre-CHP'!$A$14</c15:sqref>
                        </c15:formulaRef>
                      </c:ext>
                    </c:extLst>
                    <c:strCache>
                      <c:ptCount val="1"/>
                      <c:pt idx="0">
                        <c:v>cement and other nonmetallic minerals 239</c:v>
                      </c:pt>
                    </c:strCache>
                  </c:strRef>
                </c:tx>
                <c:spPr>
                  <a:ln w="28575" cap="rnd">
                    <a:solidFill>
                      <a:schemeClr val="accent2">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pre-CHP'!$B$14:$AF$14</c15:sqref>
                        </c15:formulaRef>
                      </c:ext>
                    </c:extLst>
                    <c:numCache>
                      <c:formatCode>0.00E+00</c:formatCode>
                      <c:ptCount val="31"/>
                      <c:pt idx="0">
                        <c:v>127229192398021.02</c:v>
                      </c:pt>
                      <c:pt idx="1">
                        <c:v>132884952863400.41</c:v>
                      </c:pt>
                      <c:pt idx="2">
                        <c:v>138540713328779.8</c:v>
                      </c:pt>
                      <c:pt idx="3">
                        <c:v>144196473794159.19</c:v>
                      </c:pt>
                      <c:pt idx="4">
                        <c:v>149852234259538.56</c:v>
                      </c:pt>
                      <c:pt idx="5">
                        <c:v>155507994724917.97</c:v>
                      </c:pt>
                      <c:pt idx="6">
                        <c:v>159686820336307.81</c:v>
                      </c:pt>
                      <c:pt idx="7">
                        <c:v>163865645947697.66</c:v>
                      </c:pt>
                      <c:pt idx="8">
                        <c:v>168044471559086.16</c:v>
                      </c:pt>
                      <c:pt idx="9">
                        <c:v>172223297170476</c:v>
                      </c:pt>
                      <c:pt idx="10">
                        <c:v>176402122781863.84</c:v>
                      </c:pt>
                      <c:pt idx="11">
                        <c:v>180136563350659.47</c:v>
                      </c:pt>
                      <c:pt idx="12">
                        <c:v>183871003919453.09</c:v>
                      </c:pt>
                      <c:pt idx="13">
                        <c:v>187605444488248.06</c:v>
                      </c:pt>
                      <c:pt idx="14">
                        <c:v>191339885057041.69</c:v>
                      </c:pt>
                      <c:pt idx="15">
                        <c:v>195074325625835.31</c:v>
                      </c:pt>
                      <c:pt idx="16">
                        <c:v>198889076744496.81</c:v>
                      </c:pt>
                      <c:pt idx="17">
                        <c:v>202703827863158.34</c:v>
                      </c:pt>
                      <c:pt idx="18">
                        <c:v>206518578981818.5</c:v>
                      </c:pt>
                      <c:pt idx="19">
                        <c:v>210333330100480</c:v>
                      </c:pt>
                      <c:pt idx="20">
                        <c:v>214148081219139.5</c:v>
                      </c:pt>
                      <c:pt idx="21">
                        <c:v>217855751604644.94</c:v>
                      </c:pt>
                      <c:pt idx="22">
                        <c:v>221636431580938.59</c:v>
                      </c:pt>
                      <c:pt idx="23">
                        <c:v>225417111557232.22</c:v>
                      </c:pt>
                      <c:pt idx="24">
                        <c:v>229197791533524.53</c:v>
                      </c:pt>
                      <c:pt idx="25">
                        <c:v>232978471509818.16</c:v>
                      </c:pt>
                      <c:pt idx="26">
                        <c:v>236759151486111.81</c:v>
                      </c:pt>
                      <c:pt idx="27">
                        <c:v>240539831462404.09</c:v>
                      </c:pt>
                      <c:pt idx="28">
                        <c:v>244320511438697.75</c:v>
                      </c:pt>
                      <c:pt idx="29">
                        <c:v>248101191414991.41</c:v>
                      </c:pt>
                      <c:pt idx="30">
                        <c:v>251881871391283.69</c:v>
                      </c:pt>
                    </c:numCache>
                  </c:numRef>
                </c:val>
                <c:smooth val="0"/>
                <c:extLst xmlns:c15="http://schemas.microsoft.com/office/drawing/2012/chart">
                  <c:ext xmlns:c16="http://schemas.microsoft.com/office/drawing/2014/chart" uri="{C3380CC4-5D6E-409C-BE32-E72D297353CC}">
                    <c16:uniqueId val="{0000000C-9A89-4644-8781-06508B0FCA18}"/>
                  </c:ext>
                </c:extLst>
              </c15:ser>
            </c15:filteredLineSeries>
            <c15:filteredLineSeries>
              <c15:ser>
                <c:idx val="14"/>
                <c:order val="13"/>
                <c:tx>
                  <c:strRef>
                    <c:extLst xmlns:c15="http://schemas.microsoft.com/office/drawing/2012/chart">
                      <c:ext xmlns:c15="http://schemas.microsoft.com/office/drawing/2012/chart" uri="{02D57815-91ED-43cb-92C2-25804820EDAC}">
                        <c15:formulaRef>
                          <c15:sqref>'BIFUbC-biomass pre-CHP'!$A$15</c15:sqref>
                        </c15:formulaRef>
                      </c:ext>
                    </c:extLst>
                    <c:strCache>
                      <c:ptCount val="1"/>
                      <c:pt idx="0">
                        <c:v>iron and steel 241</c:v>
                      </c:pt>
                    </c:strCache>
                  </c:strRef>
                </c:tx>
                <c:spPr>
                  <a:ln w="28575" cap="rnd">
                    <a:solidFill>
                      <a:schemeClr val="accent3">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pre-CHP'!$B$15:$AF$15</c15:sqref>
                        </c15:formulaRef>
                      </c:ext>
                    </c:extLst>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xmlns:c15="http://schemas.microsoft.com/office/drawing/2012/chart">
                  <c:ext xmlns:c16="http://schemas.microsoft.com/office/drawing/2014/chart" uri="{C3380CC4-5D6E-409C-BE32-E72D297353CC}">
                    <c16:uniqueId val="{0000000D-9A89-4644-8781-06508B0FCA18}"/>
                  </c:ext>
                </c:extLst>
              </c15:ser>
            </c15:filteredLineSeries>
            <c15:filteredLineSeries>
              <c15:ser>
                <c:idx val="15"/>
                <c:order val="14"/>
                <c:tx>
                  <c:strRef>
                    <c:extLst xmlns:c15="http://schemas.microsoft.com/office/drawing/2012/chart">
                      <c:ext xmlns:c15="http://schemas.microsoft.com/office/drawing/2012/chart" uri="{02D57815-91ED-43cb-92C2-25804820EDAC}">
                        <c15:formulaRef>
                          <c15:sqref>'BIFUbC-biomass pre-CHP'!$A$16</c15:sqref>
                        </c15:formulaRef>
                      </c:ext>
                    </c:extLst>
                    <c:strCache>
                      <c:ptCount val="1"/>
                      <c:pt idx="0">
                        <c:v>other metals 242</c:v>
                      </c:pt>
                    </c:strCache>
                  </c:strRef>
                </c:tx>
                <c:spPr>
                  <a:ln w="28575" cap="rnd">
                    <a:solidFill>
                      <a:schemeClr val="accent4">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pre-CHP'!$B$16:$AF$16</c15:sqref>
                        </c15:formulaRef>
                      </c:ext>
                    </c:extLst>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xmlns:c15="http://schemas.microsoft.com/office/drawing/2012/chart">
                  <c:ext xmlns:c16="http://schemas.microsoft.com/office/drawing/2014/chart" uri="{C3380CC4-5D6E-409C-BE32-E72D297353CC}">
                    <c16:uniqueId val="{0000000E-9A89-4644-8781-06508B0FCA18}"/>
                  </c:ext>
                </c:extLst>
              </c15:ser>
            </c15:filteredLineSeries>
            <c15:filteredLineSeries>
              <c15:ser>
                <c:idx val="16"/>
                <c:order val="15"/>
                <c:tx>
                  <c:strRef>
                    <c:extLst xmlns:c15="http://schemas.microsoft.com/office/drawing/2012/chart">
                      <c:ext xmlns:c15="http://schemas.microsoft.com/office/drawing/2012/chart" uri="{02D57815-91ED-43cb-92C2-25804820EDAC}">
                        <c15:formulaRef>
                          <c15:sqref>'BIFUbC-biomass pre-CHP'!$A$17</c15:sqref>
                        </c15:formulaRef>
                      </c:ext>
                    </c:extLst>
                    <c:strCache>
                      <c:ptCount val="1"/>
                      <c:pt idx="0">
                        <c:v>metal products except machinery and vehicles 25</c:v>
                      </c:pt>
                    </c:strCache>
                  </c:strRef>
                </c:tx>
                <c:spPr>
                  <a:ln w="28575" cap="rnd">
                    <a:solidFill>
                      <a:schemeClr val="accent5">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pre-CHP'!$B$17:$AF$17</c15:sqref>
                        </c15:formulaRef>
                      </c:ext>
                    </c:extLst>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xmlns:c15="http://schemas.microsoft.com/office/drawing/2012/chart">
                  <c:ext xmlns:c16="http://schemas.microsoft.com/office/drawing/2014/chart" uri="{C3380CC4-5D6E-409C-BE32-E72D297353CC}">
                    <c16:uniqueId val="{0000000F-9A89-4644-8781-06508B0FCA18}"/>
                  </c:ext>
                </c:extLst>
              </c15:ser>
            </c15:filteredLineSeries>
            <c15:filteredLineSeries>
              <c15:ser>
                <c:idx val="17"/>
                <c:order val="16"/>
                <c:tx>
                  <c:strRef>
                    <c:extLst xmlns:c15="http://schemas.microsoft.com/office/drawing/2012/chart">
                      <c:ext xmlns:c15="http://schemas.microsoft.com/office/drawing/2012/chart" uri="{02D57815-91ED-43cb-92C2-25804820EDAC}">
                        <c15:formulaRef>
                          <c15:sqref>'BIFUbC-biomass pre-CHP'!$A$18</c15:sqref>
                        </c15:formulaRef>
                      </c:ext>
                    </c:extLst>
                    <c:strCache>
                      <c:ptCount val="1"/>
                      <c:pt idx="0">
                        <c:v>computers and electronics 26</c:v>
                      </c:pt>
                    </c:strCache>
                  </c:strRef>
                </c:tx>
                <c:spPr>
                  <a:ln w="28575" cap="rnd">
                    <a:solidFill>
                      <a:schemeClr val="accent6">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pre-CHP'!$B$18:$AF$18</c15:sqref>
                        </c15:formulaRef>
                      </c:ext>
                    </c:extLst>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xmlns:c15="http://schemas.microsoft.com/office/drawing/2012/chart">
                  <c:ext xmlns:c16="http://schemas.microsoft.com/office/drawing/2014/chart" uri="{C3380CC4-5D6E-409C-BE32-E72D297353CC}">
                    <c16:uniqueId val="{00000010-9A89-4644-8781-06508B0FCA18}"/>
                  </c:ext>
                </c:extLst>
              </c15:ser>
            </c15:filteredLineSeries>
            <c15:filteredLineSeries>
              <c15:ser>
                <c:idx val="18"/>
                <c:order val="17"/>
                <c:tx>
                  <c:strRef>
                    <c:extLst xmlns:c15="http://schemas.microsoft.com/office/drawing/2012/chart">
                      <c:ext xmlns:c15="http://schemas.microsoft.com/office/drawing/2012/chart" uri="{02D57815-91ED-43cb-92C2-25804820EDAC}">
                        <c15:formulaRef>
                          <c15:sqref>'BIFUbC-biomass pre-CHP'!$A$19</c15:sqref>
                        </c15:formulaRef>
                      </c:ext>
                    </c:extLst>
                    <c:strCache>
                      <c:ptCount val="1"/>
                      <c:pt idx="0">
                        <c:v>appliances and electrical equipment 27</c:v>
                      </c:pt>
                    </c:strCache>
                  </c:strRef>
                </c:tx>
                <c:spPr>
                  <a:ln w="28575" cap="rnd">
                    <a:solidFill>
                      <a:schemeClr val="accent1">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pre-CHP'!$B$19:$AF$19</c15:sqref>
                        </c15:formulaRef>
                      </c:ext>
                    </c:extLst>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xmlns:c15="http://schemas.microsoft.com/office/drawing/2012/chart">
                  <c:ext xmlns:c16="http://schemas.microsoft.com/office/drawing/2014/chart" uri="{C3380CC4-5D6E-409C-BE32-E72D297353CC}">
                    <c16:uniqueId val="{00000011-9A89-4644-8781-06508B0FCA18}"/>
                  </c:ext>
                </c:extLst>
              </c15:ser>
            </c15:filteredLineSeries>
            <c15:filteredLineSeries>
              <c15:ser>
                <c:idx val="19"/>
                <c:order val="18"/>
                <c:tx>
                  <c:strRef>
                    <c:extLst xmlns:c15="http://schemas.microsoft.com/office/drawing/2012/chart">
                      <c:ext xmlns:c15="http://schemas.microsoft.com/office/drawing/2012/chart" uri="{02D57815-91ED-43cb-92C2-25804820EDAC}">
                        <c15:formulaRef>
                          <c15:sqref>'BIFUbC-biomass pre-CHP'!$A$20</c15:sqref>
                        </c15:formulaRef>
                      </c:ext>
                    </c:extLst>
                    <c:strCache>
                      <c:ptCount val="1"/>
                      <c:pt idx="0">
                        <c:v>other machinery 28</c:v>
                      </c:pt>
                    </c:strCache>
                  </c:strRef>
                </c:tx>
                <c:spPr>
                  <a:ln w="28575" cap="rnd">
                    <a:solidFill>
                      <a:schemeClr val="accent2">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pre-CHP'!$B$20:$AF$20</c15:sqref>
                        </c15:formulaRef>
                      </c:ext>
                    </c:extLst>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xmlns:c15="http://schemas.microsoft.com/office/drawing/2012/chart">
                  <c:ext xmlns:c16="http://schemas.microsoft.com/office/drawing/2014/chart" uri="{C3380CC4-5D6E-409C-BE32-E72D297353CC}">
                    <c16:uniqueId val="{00000012-9A89-4644-8781-06508B0FCA18}"/>
                  </c:ext>
                </c:extLst>
              </c15:ser>
            </c15:filteredLineSeries>
            <c15:filteredLineSeries>
              <c15:ser>
                <c:idx val="20"/>
                <c:order val="19"/>
                <c:tx>
                  <c:strRef>
                    <c:extLst xmlns:c15="http://schemas.microsoft.com/office/drawing/2012/chart">
                      <c:ext xmlns:c15="http://schemas.microsoft.com/office/drawing/2012/chart" uri="{02D57815-91ED-43cb-92C2-25804820EDAC}">
                        <c15:formulaRef>
                          <c15:sqref>'BIFUbC-biomass pre-CHP'!$A$21</c15:sqref>
                        </c15:formulaRef>
                      </c:ext>
                    </c:extLst>
                    <c:strCache>
                      <c:ptCount val="1"/>
                      <c:pt idx="0">
                        <c:v>road vehicles 29</c:v>
                      </c:pt>
                    </c:strCache>
                  </c:strRef>
                </c:tx>
                <c:spPr>
                  <a:ln w="28575" cap="rnd">
                    <a:solidFill>
                      <a:schemeClr val="accent3">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pre-CHP'!$B$21:$AF$21</c15:sqref>
                        </c15:formulaRef>
                      </c:ext>
                    </c:extLst>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xmlns:c15="http://schemas.microsoft.com/office/drawing/2012/chart">
                  <c:ext xmlns:c16="http://schemas.microsoft.com/office/drawing/2014/chart" uri="{C3380CC4-5D6E-409C-BE32-E72D297353CC}">
                    <c16:uniqueId val="{00000013-9A89-4644-8781-06508B0FCA18}"/>
                  </c:ext>
                </c:extLst>
              </c15:ser>
            </c15:filteredLineSeries>
            <c15:filteredLineSeries>
              <c15:ser>
                <c:idx val="21"/>
                <c:order val="20"/>
                <c:tx>
                  <c:strRef>
                    <c:extLst xmlns:c15="http://schemas.microsoft.com/office/drawing/2012/chart">
                      <c:ext xmlns:c15="http://schemas.microsoft.com/office/drawing/2012/chart" uri="{02D57815-91ED-43cb-92C2-25804820EDAC}">
                        <c15:formulaRef>
                          <c15:sqref>'BIFUbC-biomass pre-CHP'!$A$22</c15:sqref>
                        </c15:formulaRef>
                      </c:ext>
                    </c:extLst>
                    <c:strCache>
                      <c:ptCount val="1"/>
                      <c:pt idx="0">
                        <c:v>nonroad vehicles 30</c:v>
                      </c:pt>
                    </c:strCache>
                  </c:strRef>
                </c:tx>
                <c:spPr>
                  <a:ln w="28575" cap="rnd">
                    <a:solidFill>
                      <a:schemeClr val="accent4">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pre-CHP'!$B$22:$AF$22</c15:sqref>
                        </c15:formulaRef>
                      </c:ext>
                    </c:extLst>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xmlns:c15="http://schemas.microsoft.com/office/drawing/2012/chart">
                  <c:ext xmlns:c16="http://schemas.microsoft.com/office/drawing/2014/chart" uri="{C3380CC4-5D6E-409C-BE32-E72D297353CC}">
                    <c16:uniqueId val="{00000014-9A89-4644-8781-06508B0FCA18}"/>
                  </c:ext>
                </c:extLst>
              </c15:ser>
            </c15:filteredLineSeries>
            <c15:filteredLineSeries>
              <c15:ser>
                <c:idx val="22"/>
                <c:order val="21"/>
                <c:tx>
                  <c:strRef>
                    <c:extLst xmlns:c15="http://schemas.microsoft.com/office/drawing/2012/chart">
                      <c:ext xmlns:c15="http://schemas.microsoft.com/office/drawing/2012/chart" uri="{02D57815-91ED-43cb-92C2-25804820EDAC}">
                        <c15:formulaRef>
                          <c15:sqref>'BIFUbC-biomass pre-CHP'!$A$23</c15:sqref>
                        </c15:formulaRef>
                      </c:ext>
                    </c:extLst>
                    <c:strCache>
                      <c:ptCount val="1"/>
                      <c:pt idx="0">
                        <c:v>other manufacturing 31T33</c:v>
                      </c:pt>
                    </c:strCache>
                  </c:strRef>
                </c:tx>
                <c:spPr>
                  <a:ln w="28575" cap="rnd">
                    <a:solidFill>
                      <a:schemeClr val="accent5">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pre-CHP'!$B$23:$AF$23</c15:sqref>
                        </c15:formulaRef>
                      </c:ext>
                    </c:extLst>
                    <c:numCache>
                      <c:formatCode>0.00E+00</c:formatCode>
                      <c:ptCount val="31"/>
                      <c:pt idx="0">
                        <c:v>68517148953687.078</c:v>
                      </c:pt>
                      <c:pt idx="1">
                        <c:v>71562963950613.859</c:v>
                      </c:pt>
                      <c:pt idx="2">
                        <c:v>74608778947540.625</c:v>
                      </c:pt>
                      <c:pt idx="3">
                        <c:v>77654593944467.391</c:v>
                      </c:pt>
                      <c:pt idx="4">
                        <c:v>80700408941394.172</c:v>
                      </c:pt>
                      <c:pt idx="5">
                        <c:v>83746223938320.953</c:v>
                      </c:pt>
                      <c:pt idx="6">
                        <c:v>85996660425973.563</c:v>
                      </c:pt>
                      <c:pt idx="7">
                        <c:v>88247096913626.172</c:v>
                      </c:pt>
                      <c:pt idx="8">
                        <c:v>90497533401278.047</c:v>
                      </c:pt>
                      <c:pt idx="9">
                        <c:v>92747969888930.656</c:v>
                      </c:pt>
                      <c:pt idx="10">
                        <c:v>94998406376582.188</c:v>
                      </c:pt>
                      <c:pt idx="11">
                        <c:v>97009526748315.703</c:v>
                      </c:pt>
                      <c:pt idx="12">
                        <c:v>99020647120048.125</c:v>
                      </c:pt>
                      <c:pt idx="13">
                        <c:v>101031767491781.28</c:v>
                      </c:pt>
                      <c:pt idx="14">
                        <c:v>103042887863513.7</c:v>
                      </c:pt>
                      <c:pt idx="15">
                        <c:v>105054008235246.13</c:v>
                      </c:pt>
                      <c:pt idx="16">
                        <c:v>107108378507446.66</c:v>
                      </c:pt>
                      <c:pt idx="17">
                        <c:v>109162748779647.17</c:v>
                      </c:pt>
                      <c:pt idx="18">
                        <c:v>111217119051846.97</c:v>
                      </c:pt>
                      <c:pt idx="19">
                        <c:v>113271489324047.5</c:v>
                      </c:pt>
                      <c:pt idx="20">
                        <c:v>115325859596246.94</c:v>
                      </c:pt>
                      <c:pt idx="21">
                        <c:v>117322563334490.59</c:v>
                      </c:pt>
                      <c:pt idx="22">
                        <c:v>119358585164068.47</c:v>
                      </c:pt>
                      <c:pt idx="23">
                        <c:v>121394606993646.34</c:v>
                      </c:pt>
                      <c:pt idx="24">
                        <c:v>123430628823223.48</c:v>
                      </c:pt>
                      <c:pt idx="25">
                        <c:v>125466650652801.36</c:v>
                      </c:pt>
                      <c:pt idx="26">
                        <c:v>127502672482379.22</c:v>
                      </c:pt>
                      <c:pt idx="27">
                        <c:v>129538694311956.38</c:v>
                      </c:pt>
                      <c:pt idx="28">
                        <c:v>131574716141534.23</c:v>
                      </c:pt>
                      <c:pt idx="29">
                        <c:v>133610737971112.11</c:v>
                      </c:pt>
                      <c:pt idx="30">
                        <c:v>135646759800689.25</c:v>
                      </c:pt>
                    </c:numCache>
                  </c:numRef>
                </c:val>
                <c:smooth val="0"/>
                <c:extLst xmlns:c15="http://schemas.microsoft.com/office/drawing/2012/chart">
                  <c:ext xmlns:c16="http://schemas.microsoft.com/office/drawing/2014/chart" uri="{C3380CC4-5D6E-409C-BE32-E72D297353CC}">
                    <c16:uniqueId val="{00000015-9A89-4644-8781-06508B0FCA18}"/>
                  </c:ext>
                </c:extLst>
              </c15:ser>
            </c15:filteredLineSeries>
            <c15:filteredLineSeries>
              <c15:ser>
                <c:idx val="23"/>
                <c:order val="22"/>
                <c:tx>
                  <c:strRef>
                    <c:extLst xmlns:c15="http://schemas.microsoft.com/office/drawing/2012/chart">
                      <c:ext xmlns:c15="http://schemas.microsoft.com/office/drawing/2012/chart" uri="{02D57815-91ED-43cb-92C2-25804820EDAC}">
                        <c15:formulaRef>
                          <c15:sqref>'BIFUbC-biomass pre-CHP'!$A$24</c15:sqref>
                        </c15:formulaRef>
                      </c:ext>
                    </c:extLst>
                    <c:strCache>
                      <c:ptCount val="1"/>
                      <c:pt idx="0">
                        <c:v>energy pipelines and gas processing 352T353</c:v>
                      </c:pt>
                    </c:strCache>
                  </c:strRef>
                </c:tx>
                <c:spPr>
                  <a:ln w="28575" cap="rnd">
                    <a:solidFill>
                      <a:schemeClr val="accent6">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pre-CHP'!$B$24:$AF$24</c15:sqref>
                        </c15:formulaRef>
                      </c:ext>
                    </c:extLst>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xmlns:c15="http://schemas.microsoft.com/office/drawing/2012/chart">
                  <c:ext xmlns:c16="http://schemas.microsoft.com/office/drawing/2014/chart" uri="{C3380CC4-5D6E-409C-BE32-E72D297353CC}">
                    <c16:uniqueId val="{00000016-9A89-4644-8781-06508B0FCA18}"/>
                  </c:ext>
                </c:extLst>
              </c15:ser>
            </c15:filteredLineSeries>
            <c15:filteredLineSeries>
              <c15:ser>
                <c:idx val="24"/>
                <c:order val="23"/>
                <c:tx>
                  <c:strRef>
                    <c:extLst xmlns:c15="http://schemas.microsoft.com/office/drawing/2012/chart">
                      <c:ext xmlns:c15="http://schemas.microsoft.com/office/drawing/2012/chart" uri="{02D57815-91ED-43cb-92C2-25804820EDAC}">
                        <c15:formulaRef>
                          <c15:sqref>'BIFUbC-biomass pre-CHP'!$A$25</c15:sqref>
                        </c15:formulaRef>
                      </c:ext>
                    </c:extLst>
                    <c:strCache>
                      <c:ptCount val="1"/>
                      <c:pt idx="0">
                        <c:v>water and waste 36T39</c:v>
                      </c:pt>
                    </c:strCache>
                  </c:strRef>
                </c:tx>
                <c:spPr>
                  <a:ln w="28575" cap="rnd">
                    <a:solidFill>
                      <a:schemeClr val="accent1">
                        <a:lumMod val="60000"/>
                        <a:lumOff val="4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pre-CHP'!$B$25:$AF$25</c15:sqref>
                        </c15:formulaRef>
                      </c:ext>
                    </c:extLst>
                    <c:numCache>
                      <c:formatCode>0.00E+00</c:formatCode>
                      <c:ptCount val="31"/>
                      <c:pt idx="0">
                        <c:v>25612478040.130802</c:v>
                      </c:pt>
                      <c:pt idx="1">
                        <c:v>25638090518.170929</c:v>
                      </c:pt>
                      <c:pt idx="2">
                        <c:v>25663728608.689098</c:v>
                      </c:pt>
                      <c:pt idx="3">
                        <c:v>25689392337.297783</c:v>
                      </c:pt>
                      <c:pt idx="4">
                        <c:v>25715081729.635078</c:v>
                      </c:pt>
                      <c:pt idx="5">
                        <c:v>25740796811.364712</c:v>
                      </c:pt>
                      <c:pt idx="6">
                        <c:v>25766537608.176075</c:v>
                      </c:pt>
                      <c:pt idx="7">
                        <c:v>25792304145.784248</c:v>
                      </c:pt>
                      <c:pt idx="8">
                        <c:v>25818096449.930031</c:v>
                      </c:pt>
                      <c:pt idx="9">
                        <c:v>25843914546.379959</c:v>
                      </c:pt>
                      <c:pt idx="10">
                        <c:v>25869758460.926334</c:v>
                      </c:pt>
                      <c:pt idx="11">
                        <c:v>25895628219.387257</c:v>
                      </c:pt>
                      <c:pt idx="12">
                        <c:v>25921523847.60664</c:v>
                      </c:pt>
                      <c:pt idx="13">
                        <c:v>25947445371.454243</c:v>
                      </c:pt>
                      <c:pt idx="14">
                        <c:v>25973392816.825695</c:v>
                      </c:pt>
                      <c:pt idx="15">
                        <c:v>25999366209.642517</c:v>
                      </c:pt>
                      <c:pt idx="16">
                        <c:v>26025365575.852158</c:v>
                      </c:pt>
                      <c:pt idx="17">
                        <c:v>26051390941.428005</c:v>
                      </c:pt>
                      <c:pt idx="18">
                        <c:v>26077442332.369431</c:v>
                      </c:pt>
                      <c:pt idx="19">
                        <c:v>26103519774.701797</c:v>
                      </c:pt>
                      <c:pt idx="20">
                        <c:v>26129623294.476498</c:v>
                      </c:pt>
                      <c:pt idx="21">
                        <c:v>25998975178.004116</c:v>
                      </c:pt>
                      <c:pt idx="22">
                        <c:v>25868980302.114094</c:v>
                      </c:pt>
                      <c:pt idx="23">
                        <c:v>25739635400.603523</c:v>
                      </c:pt>
                      <c:pt idx="24">
                        <c:v>25610937223.600506</c:v>
                      </c:pt>
                      <c:pt idx="25">
                        <c:v>25482882537.482502</c:v>
                      </c:pt>
                      <c:pt idx="26">
                        <c:v>25355468124.79509</c:v>
                      </c:pt>
                      <c:pt idx="27">
                        <c:v>25228690784.171116</c:v>
                      </c:pt>
                      <c:pt idx="28">
                        <c:v>25102547330.250259</c:v>
                      </c:pt>
                      <c:pt idx="29">
                        <c:v>24977034593.599007</c:v>
                      </c:pt>
                      <c:pt idx="30">
                        <c:v>24852149420.631008</c:v>
                      </c:pt>
                    </c:numCache>
                  </c:numRef>
                </c:val>
                <c:smooth val="0"/>
                <c:extLst xmlns:c15="http://schemas.microsoft.com/office/drawing/2012/chart">
                  <c:ext xmlns:c16="http://schemas.microsoft.com/office/drawing/2014/chart" uri="{C3380CC4-5D6E-409C-BE32-E72D297353CC}">
                    <c16:uniqueId val="{00000017-9A89-4644-8781-06508B0FCA18}"/>
                  </c:ext>
                </c:extLst>
              </c15:ser>
            </c15:filteredLineSeries>
            <c15:filteredLineSeries>
              <c15:ser>
                <c:idx val="25"/>
                <c:order val="24"/>
                <c:tx>
                  <c:strRef>
                    <c:extLst xmlns:c15="http://schemas.microsoft.com/office/drawing/2012/chart">
                      <c:ext xmlns:c15="http://schemas.microsoft.com/office/drawing/2012/chart" uri="{02D57815-91ED-43cb-92C2-25804820EDAC}">
                        <c15:formulaRef>
                          <c15:sqref>'BIFUbC-biomass pre-CHP'!$A$26</c15:sqref>
                        </c15:formulaRef>
                      </c:ext>
                    </c:extLst>
                    <c:strCache>
                      <c:ptCount val="1"/>
                      <c:pt idx="0">
                        <c:v>construction 41T43</c:v>
                      </c:pt>
                    </c:strCache>
                  </c:strRef>
                </c:tx>
                <c:spPr>
                  <a:ln w="28575" cap="rnd">
                    <a:solidFill>
                      <a:schemeClr val="accent2">
                        <a:lumMod val="60000"/>
                        <a:lumOff val="40000"/>
                      </a:schemeClr>
                    </a:solidFill>
                    <a:round/>
                  </a:ln>
                  <a:effectLst/>
                </c:spPr>
                <c:marker>
                  <c:symbol val="none"/>
                </c:marker>
                <c:cat>
                  <c:numRef>
                    <c:extLst xmlns:c15="http://schemas.microsoft.com/office/drawing/2012/chart">
                      <c:ext xmlns:c15="http://schemas.microsoft.com/office/drawing/2012/chart" uri="{02D57815-91ED-43cb-92C2-25804820EDAC}">
                        <c15:formulaRef>
                          <c15:sqref>'BIFUbC-biomass pre-CHP'!$B$1:$AF$1</c15:sqref>
                        </c15:formulaRef>
                      </c:ext>
                    </c:extLst>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extLst xmlns:c15="http://schemas.microsoft.com/office/drawing/2012/chart">
                      <c:ext xmlns:c15="http://schemas.microsoft.com/office/drawing/2012/chart" uri="{02D57815-91ED-43cb-92C2-25804820EDAC}">
                        <c15:formulaRef>
                          <c15:sqref>'BIFUbC-biomass pre-CHP'!$B$26:$AF$26</c15:sqref>
                        </c15:formulaRef>
                      </c:ext>
                    </c:extLst>
                    <c:numCache>
                      <c:formatCode>0.00E+00</c:formatCode>
                      <c:ptCount val="31"/>
                      <c:pt idx="0">
                        <c:v>6087721328894.5859</c:v>
                      </c:pt>
                      <c:pt idx="1">
                        <c:v>6358340775322.3896</c:v>
                      </c:pt>
                      <c:pt idx="2">
                        <c:v>6628960221750.1924</c:v>
                      </c:pt>
                      <c:pt idx="3">
                        <c:v>6899579668177.9941</c:v>
                      </c:pt>
                      <c:pt idx="4">
                        <c:v>7170199114605.7979</c:v>
                      </c:pt>
                      <c:pt idx="5">
                        <c:v>7440818561033.6016</c:v>
                      </c:pt>
                      <c:pt idx="6">
                        <c:v>7640768944469.2246</c:v>
                      </c:pt>
                      <c:pt idx="7">
                        <c:v>7840719327904.8467</c:v>
                      </c:pt>
                      <c:pt idx="8">
                        <c:v>8040669711340.4053</c:v>
                      </c:pt>
                      <c:pt idx="9">
                        <c:v>8240620094776.0283</c:v>
                      </c:pt>
                      <c:pt idx="10">
                        <c:v>8440570478211.5537</c:v>
                      </c:pt>
                      <c:pt idx="11">
                        <c:v>8619257720295.3145</c:v>
                      </c:pt>
                      <c:pt idx="12">
                        <c:v>8797944962378.9766</c:v>
                      </c:pt>
                      <c:pt idx="13">
                        <c:v>8976632204462.7051</c:v>
                      </c:pt>
                      <c:pt idx="14">
                        <c:v>9155319446546.3691</c:v>
                      </c:pt>
                      <c:pt idx="15">
                        <c:v>9334006688630.0313</c:v>
                      </c:pt>
                      <c:pt idx="16">
                        <c:v>9516536667102.6563</c:v>
                      </c:pt>
                      <c:pt idx="17">
                        <c:v>9699066645575.2813</c:v>
                      </c:pt>
                      <c:pt idx="18">
                        <c:v>9881596624047.8398</c:v>
                      </c:pt>
                      <c:pt idx="19">
                        <c:v>10064126602520.465</c:v>
                      </c:pt>
                      <c:pt idx="20">
                        <c:v>10246656580992.992</c:v>
                      </c:pt>
                      <c:pt idx="21">
                        <c:v>10424062910947.057</c:v>
                      </c:pt>
                      <c:pt idx="22">
                        <c:v>10604962637618.318</c:v>
                      </c:pt>
                      <c:pt idx="23">
                        <c:v>10785862364289.582</c:v>
                      </c:pt>
                      <c:pt idx="24">
                        <c:v>10966762090960.779</c:v>
                      </c:pt>
                      <c:pt idx="25">
                        <c:v>11147661817632.043</c:v>
                      </c:pt>
                      <c:pt idx="26">
                        <c:v>11328561544303.305</c:v>
                      </c:pt>
                      <c:pt idx="27">
                        <c:v>11509461270974.502</c:v>
                      </c:pt>
                      <c:pt idx="28">
                        <c:v>11690360997645.766</c:v>
                      </c:pt>
                      <c:pt idx="29">
                        <c:v>11871260724317.027</c:v>
                      </c:pt>
                      <c:pt idx="30">
                        <c:v>12052160450988.227</c:v>
                      </c:pt>
                    </c:numCache>
                  </c:numRef>
                </c:val>
                <c:smooth val="0"/>
                <c:extLst xmlns:c15="http://schemas.microsoft.com/office/drawing/2012/chart">
                  <c:ext xmlns:c16="http://schemas.microsoft.com/office/drawing/2014/chart" uri="{C3380CC4-5D6E-409C-BE32-E72D297353CC}">
                    <c16:uniqueId val="{00000018-9A89-4644-8781-06508B0FCA18}"/>
                  </c:ext>
                </c:extLst>
              </c15:ser>
            </c15:filteredLineSeries>
          </c:ext>
        </c:extLst>
      </c:lineChart>
      <c:catAx>
        <c:axId val="155432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15072"/>
        <c:crosses val="autoZero"/>
        <c:auto val="1"/>
        <c:lblAlgn val="ctr"/>
        <c:lblOffset val="100"/>
        <c:noMultiLvlLbl val="0"/>
      </c:catAx>
      <c:valAx>
        <c:axId val="133171507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32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0"/>
          <c:tx>
            <c:strRef>
              <c:f>'BIFUbC-petroleum-diesel pre-CHP'!$A$2</c:f>
              <c:strCache>
                <c:ptCount val="1"/>
                <c:pt idx="0">
                  <c:v>agriculture and forestry 01T03</c:v>
                </c:pt>
              </c:strCache>
            </c:strRef>
          </c:tx>
          <c:spPr>
            <a:ln w="28575" cap="rnd">
              <a:solidFill>
                <a:schemeClr val="accent4"/>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pre-CHP'!$B$2:$AF$2</c:f>
              <c:numCache>
                <c:formatCode>0.00E+00</c:formatCode>
                <c:ptCount val="31"/>
                <c:pt idx="0">
                  <c:v>76236330577659.875</c:v>
                </c:pt>
                <c:pt idx="1">
                  <c:v>77927733637930.109</c:v>
                </c:pt>
                <c:pt idx="2">
                  <c:v>79619136698200.344</c:v>
                </c:pt>
                <c:pt idx="3">
                  <c:v>81310539758470.594</c:v>
                </c:pt>
                <c:pt idx="4">
                  <c:v>83001942818740.828</c:v>
                </c:pt>
                <c:pt idx="5">
                  <c:v>84693345879011.063</c:v>
                </c:pt>
                <c:pt idx="6">
                  <c:v>85474970809551.922</c:v>
                </c:pt>
                <c:pt idx="7">
                  <c:v>86256595740092.547</c:v>
                </c:pt>
                <c:pt idx="8">
                  <c:v>87038220670633.172</c:v>
                </c:pt>
                <c:pt idx="9">
                  <c:v>87819845601173.781</c:v>
                </c:pt>
                <c:pt idx="10">
                  <c:v>88601470531714.563</c:v>
                </c:pt>
                <c:pt idx="11">
                  <c:v>89157177292962.563</c:v>
                </c:pt>
                <c:pt idx="12">
                  <c:v>89712884054210.719</c:v>
                </c:pt>
                <c:pt idx="13">
                  <c:v>90268590815458.875</c:v>
                </c:pt>
                <c:pt idx="14">
                  <c:v>90824297576707</c:v>
                </c:pt>
                <c:pt idx="15">
                  <c:v>91380004337955.125</c:v>
                </c:pt>
                <c:pt idx="16">
                  <c:v>91816260113140.781</c:v>
                </c:pt>
                <c:pt idx="17">
                  <c:v>92252515888326.094</c:v>
                </c:pt>
                <c:pt idx="18">
                  <c:v>92688771663511.547</c:v>
                </c:pt>
                <c:pt idx="19">
                  <c:v>93125027438697.031</c:v>
                </c:pt>
                <c:pt idx="20">
                  <c:v>93561283213882.328</c:v>
                </c:pt>
                <c:pt idx="21">
                  <c:v>94156806970484.75</c:v>
                </c:pt>
                <c:pt idx="22">
                  <c:v>94643738921575.547</c:v>
                </c:pt>
                <c:pt idx="23">
                  <c:v>95130670872666.5</c:v>
                </c:pt>
                <c:pt idx="24">
                  <c:v>95617602823757.313</c:v>
                </c:pt>
                <c:pt idx="25">
                  <c:v>96104534774848.109</c:v>
                </c:pt>
                <c:pt idx="26">
                  <c:v>96591466725938.891</c:v>
                </c:pt>
                <c:pt idx="27">
                  <c:v>97078398677029.844</c:v>
                </c:pt>
                <c:pt idx="28">
                  <c:v>97565330628120.656</c:v>
                </c:pt>
                <c:pt idx="29">
                  <c:v>98052262579211.453</c:v>
                </c:pt>
                <c:pt idx="30">
                  <c:v>98539194530302.406</c:v>
                </c:pt>
              </c:numCache>
            </c:numRef>
          </c:val>
          <c:smooth val="0"/>
          <c:extLst>
            <c:ext xmlns:c16="http://schemas.microsoft.com/office/drawing/2014/chart" uri="{C3380CC4-5D6E-409C-BE32-E72D297353CC}">
              <c16:uniqueId val="{00000000-945C-4A73-9CE9-7E42B39E2FAC}"/>
            </c:ext>
          </c:extLst>
        </c:ser>
        <c:ser>
          <c:idx val="4"/>
          <c:order val="1"/>
          <c:tx>
            <c:strRef>
              <c:f>'BIFUbC-petroleum-diesel pre-CHP'!$A$3</c:f>
              <c:strCache>
                <c:ptCount val="1"/>
                <c:pt idx="0">
                  <c:v>coal mining 05</c:v>
                </c:pt>
              </c:strCache>
            </c:strRef>
          </c:tx>
          <c:spPr>
            <a:ln w="28575" cap="rnd">
              <a:solidFill>
                <a:schemeClr val="accent5"/>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pre-CHP'!$B$3:$AF$3</c:f>
              <c:numCache>
                <c:formatCode>0.00E+00</c:formatCode>
                <c:ptCount val="31"/>
                <c:pt idx="0">
                  <c:v>350079024747.12341</c:v>
                </c:pt>
                <c:pt idx="1">
                  <c:v>336704684433.10022</c:v>
                </c:pt>
                <c:pt idx="2">
                  <c:v>300436717704.85895</c:v>
                </c:pt>
                <c:pt idx="3">
                  <c:v>294693586195.57178</c:v>
                </c:pt>
                <c:pt idx="4">
                  <c:v>288950454686.2879</c:v>
                </c:pt>
                <c:pt idx="5">
                  <c:v>283207323177.00226</c:v>
                </c:pt>
                <c:pt idx="6">
                  <c:v>277464191667.71667</c:v>
                </c:pt>
                <c:pt idx="7">
                  <c:v>271721060158.43106</c:v>
                </c:pt>
                <c:pt idx="8">
                  <c:v>265977928649.14545</c:v>
                </c:pt>
                <c:pt idx="9">
                  <c:v>260234797139.85983</c:v>
                </c:pt>
                <c:pt idx="10">
                  <c:v>254491665630.57596</c:v>
                </c:pt>
                <c:pt idx="11">
                  <c:v>248769517072.19168</c:v>
                </c:pt>
                <c:pt idx="12">
                  <c:v>243047368513.80563</c:v>
                </c:pt>
                <c:pt idx="13">
                  <c:v>237325219955.41962</c:v>
                </c:pt>
                <c:pt idx="14">
                  <c:v>231603071397.03534</c:v>
                </c:pt>
                <c:pt idx="15">
                  <c:v>225880922838.64932</c:v>
                </c:pt>
                <c:pt idx="16">
                  <c:v>220158774280.26328</c:v>
                </c:pt>
                <c:pt idx="17">
                  <c:v>214436625721.87903</c:v>
                </c:pt>
                <c:pt idx="18">
                  <c:v>208714477163.49301</c:v>
                </c:pt>
                <c:pt idx="19">
                  <c:v>202992328605.10873</c:v>
                </c:pt>
                <c:pt idx="20">
                  <c:v>197270180046.72226</c:v>
                </c:pt>
                <c:pt idx="21">
                  <c:v>191783301466.30484</c:v>
                </c:pt>
                <c:pt idx="22">
                  <c:v>186296422885.88699</c:v>
                </c:pt>
                <c:pt idx="23">
                  <c:v>180809544305.46738</c:v>
                </c:pt>
                <c:pt idx="24">
                  <c:v>175322665725.04953</c:v>
                </c:pt>
                <c:pt idx="25">
                  <c:v>169835787144.62991</c:v>
                </c:pt>
                <c:pt idx="26">
                  <c:v>164348908564.21207</c:v>
                </c:pt>
                <c:pt idx="27">
                  <c:v>158862029983.79245</c:v>
                </c:pt>
                <c:pt idx="28">
                  <c:v>153375151403.3746</c:v>
                </c:pt>
                <c:pt idx="29">
                  <c:v>147888272822.95676</c:v>
                </c:pt>
                <c:pt idx="30">
                  <c:v>142401394242.53604</c:v>
                </c:pt>
              </c:numCache>
            </c:numRef>
          </c:val>
          <c:smooth val="0"/>
          <c:extLst>
            <c:ext xmlns:c16="http://schemas.microsoft.com/office/drawing/2014/chart" uri="{C3380CC4-5D6E-409C-BE32-E72D297353CC}">
              <c16:uniqueId val="{00000001-945C-4A73-9CE9-7E42B39E2FAC}"/>
            </c:ext>
          </c:extLst>
        </c:ser>
        <c:ser>
          <c:idx val="5"/>
          <c:order val="2"/>
          <c:tx>
            <c:strRef>
              <c:f>'BIFUbC-petroleum-diesel pre-CHP'!$A$4</c:f>
              <c:strCache>
                <c:ptCount val="1"/>
                <c:pt idx="0">
                  <c:v>oil and gas extraction 06</c:v>
                </c:pt>
              </c:strCache>
            </c:strRef>
          </c:tx>
          <c:spPr>
            <a:ln w="28575" cap="rnd">
              <a:solidFill>
                <a:schemeClr val="accent6"/>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pre-CHP'!$B$4:$AF$4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945C-4A73-9CE9-7E42B39E2FAC}"/>
            </c:ext>
          </c:extLst>
        </c:ser>
        <c:ser>
          <c:idx val="6"/>
          <c:order val="3"/>
          <c:tx>
            <c:strRef>
              <c:f>'BIFUbC-petroleum-diesel pre-CHP'!$A$5</c:f>
              <c:strCache>
                <c:ptCount val="1"/>
                <c:pt idx="0">
                  <c:v>other mining and quarrying 07T08</c:v>
                </c:pt>
              </c:strCache>
            </c:strRef>
          </c:tx>
          <c:spPr>
            <a:ln w="28575" cap="rnd">
              <a:solidFill>
                <a:schemeClr val="accent1">
                  <a:lumMod val="6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pre-CHP'!$B$5:$AF$5</c:f>
              <c:numCache>
                <c:formatCode>0.00E+00</c:formatCode>
                <c:ptCount val="31"/>
                <c:pt idx="0">
                  <c:v>1977644354360.5574</c:v>
                </c:pt>
                <c:pt idx="1">
                  <c:v>2021520990181.6394</c:v>
                </c:pt>
                <c:pt idx="2">
                  <c:v>2065397626002.7214</c:v>
                </c:pt>
                <c:pt idx="3">
                  <c:v>2109274261823.8037</c:v>
                </c:pt>
                <c:pt idx="4">
                  <c:v>2153150897644.8857</c:v>
                </c:pt>
                <c:pt idx="5">
                  <c:v>2197027533465.9678</c:v>
                </c:pt>
                <c:pt idx="6">
                  <c:v>2217303642237.1914</c:v>
                </c:pt>
                <c:pt idx="7">
                  <c:v>2237579751008.4087</c:v>
                </c:pt>
                <c:pt idx="8">
                  <c:v>2257855859779.6265</c:v>
                </c:pt>
                <c:pt idx="9">
                  <c:v>2278131968550.8438</c:v>
                </c:pt>
                <c:pt idx="10">
                  <c:v>2298408077322.0654</c:v>
                </c:pt>
                <c:pt idx="11">
                  <c:v>2312823649671.0332</c:v>
                </c:pt>
                <c:pt idx="12">
                  <c:v>2327239222020.0054</c:v>
                </c:pt>
                <c:pt idx="13">
                  <c:v>2341654794368.9771</c:v>
                </c:pt>
                <c:pt idx="14">
                  <c:v>2356070366717.9487</c:v>
                </c:pt>
                <c:pt idx="15">
                  <c:v>2370485939066.9199</c:v>
                </c:pt>
                <c:pt idx="16">
                  <c:v>2381802836985.7441</c:v>
                </c:pt>
                <c:pt idx="17">
                  <c:v>2393119734904.5591</c:v>
                </c:pt>
                <c:pt idx="18">
                  <c:v>2404436632823.3779</c:v>
                </c:pt>
                <c:pt idx="19">
                  <c:v>2415753530742.1973</c:v>
                </c:pt>
                <c:pt idx="20">
                  <c:v>2427070428661.0122</c:v>
                </c:pt>
                <c:pt idx="21">
                  <c:v>2442518892486.7026</c:v>
                </c:pt>
                <c:pt idx="22">
                  <c:v>2455150379557.7065</c:v>
                </c:pt>
                <c:pt idx="23">
                  <c:v>2467781866628.7144</c:v>
                </c:pt>
                <c:pt idx="24">
                  <c:v>2480413353699.7188</c:v>
                </c:pt>
                <c:pt idx="25">
                  <c:v>2493044840770.7222</c:v>
                </c:pt>
                <c:pt idx="26">
                  <c:v>2505676327841.7261</c:v>
                </c:pt>
                <c:pt idx="27">
                  <c:v>2518307814912.7339</c:v>
                </c:pt>
                <c:pt idx="28">
                  <c:v>2530939301983.7383</c:v>
                </c:pt>
                <c:pt idx="29">
                  <c:v>2543570789054.7417</c:v>
                </c:pt>
                <c:pt idx="30">
                  <c:v>2556202276125.75</c:v>
                </c:pt>
              </c:numCache>
            </c:numRef>
          </c:val>
          <c:smooth val="0"/>
          <c:extLst>
            <c:ext xmlns:c16="http://schemas.microsoft.com/office/drawing/2014/chart" uri="{C3380CC4-5D6E-409C-BE32-E72D297353CC}">
              <c16:uniqueId val="{00000003-945C-4A73-9CE9-7E42B39E2FAC}"/>
            </c:ext>
          </c:extLst>
        </c:ser>
        <c:ser>
          <c:idx val="7"/>
          <c:order val="4"/>
          <c:tx>
            <c:strRef>
              <c:f>'BIFUbC-petroleum-diesel pre-CHP'!$A$6</c:f>
              <c:strCache>
                <c:ptCount val="1"/>
                <c:pt idx="0">
                  <c:v>food beverage and tobacco 10T12</c:v>
                </c:pt>
              </c:strCache>
            </c:strRef>
          </c:tx>
          <c:spPr>
            <a:ln w="28575" cap="rnd">
              <a:solidFill>
                <a:schemeClr val="accent2">
                  <a:lumMod val="6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pre-CHP'!$B$6:$AF$6</c:f>
              <c:numCache>
                <c:formatCode>0.00E+00</c:formatCode>
                <c:ptCount val="31"/>
                <c:pt idx="0">
                  <c:v>2279367476664.3818</c:v>
                </c:pt>
                <c:pt idx="1">
                  <c:v>2329938235989.9932</c:v>
                </c:pt>
                <c:pt idx="2">
                  <c:v>2380508995315.6045</c:v>
                </c:pt>
                <c:pt idx="3">
                  <c:v>2431079754641.2158</c:v>
                </c:pt>
                <c:pt idx="4">
                  <c:v>2481650513966.8271</c:v>
                </c:pt>
                <c:pt idx="5">
                  <c:v>2532221273292.439</c:v>
                </c:pt>
                <c:pt idx="6">
                  <c:v>2555590845675.1235</c:v>
                </c:pt>
                <c:pt idx="7">
                  <c:v>2578960418057.8008</c:v>
                </c:pt>
                <c:pt idx="8">
                  <c:v>2602329990440.4785</c:v>
                </c:pt>
                <c:pt idx="9">
                  <c:v>2625699562823.1558</c:v>
                </c:pt>
                <c:pt idx="10">
                  <c:v>2649069135205.8379</c:v>
                </c:pt>
                <c:pt idx="11">
                  <c:v>2665684047132.3877</c:v>
                </c:pt>
                <c:pt idx="12">
                  <c:v>2682298959058.9429</c:v>
                </c:pt>
                <c:pt idx="13">
                  <c:v>2698913870985.4976</c:v>
                </c:pt>
                <c:pt idx="14">
                  <c:v>2715528782912.0522</c:v>
                </c:pt>
                <c:pt idx="15">
                  <c:v>2732143694838.606</c:v>
                </c:pt>
                <c:pt idx="16">
                  <c:v>2745187177098.7109</c:v>
                </c:pt>
                <c:pt idx="17">
                  <c:v>2758230659358.8052</c:v>
                </c:pt>
                <c:pt idx="18">
                  <c:v>2771274141618.9043</c:v>
                </c:pt>
                <c:pt idx="19">
                  <c:v>2784317623879.0034</c:v>
                </c:pt>
                <c:pt idx="20">
                  <c:v>2797361106139.0981</c:v>
                </c:pt>
                <c:pt idx="21">
                  <c:v>2815166494621.1392</c:v>
                </c:pt>
                <c:pt idx="22">
                  <c:v>2829725128860.9453</c:v>
                </c:pt>
                <c:pt idx="23">
                  <c:v>2844283763100.7559</c:v>
                </c:pt>
                <c:pt idx="24">
                  <c:v>2858842397340.5625</c:v>
                </c:pt>
                <c:pt idx="25">
                  <c:v>2873401031580.3682</c:v>
                </c:pt>
                <c:pt idx="26">
                  <c:v>2887959665820.1743</c:v>
                </c:pt>
                <c:pt idx="27">
                  <c:v>2902518300059.9849</c:v>
                </c:pt>
                <c:pt idx="28">
                  <c:v>2917076934299.7915</c:v>
                </c:pt>
                <c:pt idx="29">
                  <c:v>2931635568539.5972</c:v>
                </c:pt>
                <c:pt idx="30">
                  <c:v>2946194202779.4082</c:v>
                </c:pt>
              </c:numCache>
            </c:numRef>
          </c:val>
          <c:smooth val="0"/>
          <c:extLst>
            <c:ext xmlns:c16="http://schemas.microsoft.com/office/drawing/2014/chart" uri="{C3380CC4-5D6E-409C-BE32-E72D297353CC}">
              <c16:uniqueId val="{00000004-945C-4A73-9CE9-7E42B39E2FAC}"/>
            </c:ext>
          </c:extLst>
        </c:ser>
        <c:ser>
          <c:idx val="8"/>
          <c:order val="5"/>
          <c:tx>
            <c:strRef>
              <c:f>'BIFUbC-petroleum-diesel pre-CHP'!$A$7</c:f>
              <c:strCache>
                <c:ptCount val="1"/>
                <c:pt idx="0">
                  <c:v>textiles apparel and leather 13T15</c:v>
                </c:pt>
              </c:strCache>
            </c:strRef>
          </c:tx>
          <c:spPr>
            <a:ln w="28575" cap="rnd">
              <a:solidFill>
                <a:schemeClr val="accent3">
                  <a:lumMod val="6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pre-CHP'!$B$7:$AF$7</c:f>
              <c:numCache>
                <c:formatCode>0.00E+00</c:formatCode>
                <c:ptCount val="31"/>
                <c:pt idx="0">
                  <c:v>412921970345.76807</c:v>
                </c:pt>
                <c:pt idx="1">
                  <c:v>422083186251.66986</c:v>
                </c:pt>
                <c:pt idx="2">
                  <c:v>431244402157.57172</c:v>
                </c:pt>
                <c:pt idx="3">
                  <c:v>440405618063.47357</c:v>
                </c:pt>
                <c:pt idx="4">
                  <c:v>449566833969.37543</c:v>
                </c:pt>
                <c:pt idx="5">
                  <c:v>458728049875.27728</c:v>
                </c:pt>
                <c:pt idx="6">
                  <c:v>462961597108.52887</c:v>
                </c:pt>
                <c:pt idx="7">
                  <c:v>467195144341.77917</c:v>
                </c:pt>
                <c:pt idx="8">
                  <c:v>471428691575.02948</c:v>
                </c:pt>
                <c:pt idx="9">
                  <c:v>475662238808.27979</c:v>
                </c:pt>
                <c:pt idx="10">
                  <c:v>479895786041.53094</c:v>
                </c:pt>
                <c:pt idx="11">
                  <c:v>482905683410.02032</c:v>
                </c:pt>
                <c:pt idx="12">
                  <c:v>485915580778.51062</c:v>
                </c:pt>
                <c:pt idx="13">
                  <c:v>488925478147.00085</c:v>
                </c:pt>
                <c:pt idx="14">
                  <c:v>491935375515.49109</c:v>
                </c:pt>
                <c:pt idx="15">
                  <c:v>494945272883.98114</c:v>
                </c:pt>
                <c:pt idx="16">
                  <c:v>497308182967.6568</c:v>
                </c:pt>
                <c:pt idx="17">
                  <c:v>499671093051.33057</c:v>
                </c:pt>
                <c:pt idx="18">
                  <c:v>502034003135.00513</c:v>
                </c:pt>
                <c:pt idx="19">
                  <c:v>504396913218.67975</c:v>
                </c:pt>
                <c:pt idx="20">
                  <c:v>506759823302.35352</c:v>
                </c:pt>
                <c:pt idx="21">
                  <c:v>509985383099.11591</c:v>
                </c:pt>
                <c:pt idx="22">
                  <c:v>512622772636.95441</c:v>
                </c:pt>
                <c:pt idx="23">
                  <c:v>515260162174.79382</c:v>
                </c:pt>
                <c:pt idx="24">
                  <c:v>517897551712.63245</c:v>
                </c:pt>
                <c:pt idx="25">
                  <c:v>520534941250.47095</c:v>
                </c:pt>
                <c:pt idx="26">
                  <c:v>523172330788.30945</c:v>
                </c:pt>
                <c:pt idx="27">
                  <c:v>525809720326.14886</c:v>
                </c:pt>
                <c:pt idx="28">
                  <c:v>528447109863.98749</c:v>
                </c:pt>
                <c:pt idx="29">
                  <c:v>531084499401.82599</c:v>
                </c:pt>
                <c:pt idx="30">
                  <c:v>533721888939.66541</c:v>
                </c:pt>
              </c:numCache>
            </c:numRef>
          </c:val>
          <c:smooth val="0"/>
          <c:extLst>
            <c:ext xmlns:c16="http://schemas.microsoft.com/office/drawing/2014/chart" uri="{C3380CC4-5D6E-409C-BE32-E72D297353CC}">
              <c16:uniqueId val="{00000005-945C-4A73-9CE9-7E42B39E2FAC}"/>
            </c:ext>
          </c:extLst>
        </c:ser>
        <c:ser>
          <c:idx val="9"/>
          <c:order val="6"/>
          <c:tx>
            <c:strRef>
              <c:f>'BIFUbC-petroleum-diesel pre-CHP'!$A$8</c:f>
              <c:strCache>
                <c:ptCount val="1"/>
                <c:pt idx="0">
                  <c:v>wood products 16</c:v>
                </c:pt>
              </c:strCache>
            </c:strRef>
          </c:tx>
          <c:spPr>
            <a:ln w="28575" cap="rnd">
              <a:solidFill>
                <a:schemeClr val="accent4">
                  <a:lumMod val="6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pre-CHP'!$B$8:$AF$8</c:f>
              <c:numCache>
                <c:formatCode>0.00E+00</c:formatCode>
                <c:ptCount val="31"/>
                <c:pt idx="0">
                  <c:v>64642164481.709572</c:v>
                </c:pt>
                <c:pt idx="1">
                  <c:v>66076335748.852058</c:v>
                </c:pt>
                <c:pt idx="2">
                  <c:v>67510507015.994537</c:v>
                </c:pt>
                <c:pt idx="3">
                  <c:v>68944678283.137024</c:v>
                </c:pt>
                <c:pt idx="4">
                  <c:v>70378849550.27951</c:v>
                </c:pt>
                <c:pt idx="5">
                  <c:v>71813020817.421997</c:v>
                </c:pt>
                <c:pt idx="6">
                  <c:v>72475774742.488693</c:v>
                </c:pt>
                <c:pt idx="7">
                  <c:v>73138528667.555206</c:v>
                </c:pt>
                <c:pt idx="8">
                  <c:v>73801282592.621719</c:v>
                </c:pt>
                <c:pt idx="9">
                  <c:v>74464036517.688217</c:v>
                </c:pt>
                <c:pt idx="10">
                  <c:v>75126790442.754852</c:v>
                </c:pt>
                <c:pt idx="11">
                  <c:v>75597984263.233887</c:v>
                </c:pt>
                <c:pt idx="12">
                  <c:v>76069178083.713074</c:v>
                </c:pt>
                <c:pt idx="13">
                  <c:v>76540371904.192245</c:v>
                </c:pt>
                <c:pt idx="14">
                  <c:v>77011565724.671417</c:v>
                </c:pt>
                <c:pt idx="15">
                  <c:v>77482759545.150574</c:v>
                </c:pt>
                <c:pt idx="16">
                  <c:v>77852668712.629715</c:v>
                </c:pt>
                <c:pt idx="17">
                  <c:v>78222577880.108566</c:v>
                </c:pt>
                <c:pt idx="18">
                  <c:v>78592487047.58754</c:v>
                </c:pt>
                <c:pt idx="19">
                  <c:v>78962396215.066528</c:v>
                </c:pt>
                <c:pt idx="20">
                  <c:v>79332305382.54538</c:v>
                </c:pt>
                <c:pt idx="21">
                  <c:v>79837260754.024658</c:v>
                </c:pt>
                <c:pt idx="22">
                  <c:v>80250139168.230942</c:v>
                </c:pt>
                <c:pt idx="23">
                  <c:v>80663017582.437378</c:v>
                </c:pt>
                <c:pt idx="24">
                  <c:v>81075895996.643677</c:v>
                </c:pt>
                <c:pt idx="25">
                  <c:v>81488774410.84996</c:v>
                </c:pt>
                <c:pt idx="26">
                  <c:v>81901652825.056259</c:v>
                </c:pt>
                <c:pt idx="27">
                  <c:v>82314531239.262695</c:v>
                </c:pt>
                <c:pt idx="28">
                  <c:v>82727409653.468994</c:v>
                </c:pt>
                <c:pt idx="29">
                  <c:v>83140288067.675278</c:v>
                </c:pt>
                <c:pt idx="30">
                  <c:v>83553166481.881714</c:v>
                </c:pt>
              </c:numCache>
            </c:numRef>
          </c:val>
          <c:smooth val="0"/>
          <c:extLst>
            <c:ext xmlns:c16="http://schemas.microsoft.com/office/drawing/2014/chart" uri="{C3380CC4-5D6E-409C-BE32-E72D297353CC}">
              <c16:uniqueId val="{00000006-945C-4A73-9CE9-7E42B39E2FAC}"/>
            </c:ext>
          </c:extLst>
        </c:ser>
        <c:ser>
          <c:idx val="10"/>
          <c:order val="7"/>
          <c:tx>
            <c:strRef>
              <c:f>'BIFUbC-petroleum-diesel pre-CHP'!$A$9</c:f>
              <c:strCache>
                <c:ptCount val="1"/>
                <c:pt idx="0">
                  <c:v>pulp paper and printing 17T18</c:v>
                </c:pt>
              </c:strCache>
            </c:strRef>
          </c:tx>
          <c:spPr>
            <a:ln w="28575" cap="rnd">
              <a:solidFill>
                <a:schemeClr val="accent5">
                  <a:lumMod val="6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pre-CHP'!$B$9:$AF$9</c:f>
              <c:numCache>
                <c:formatCode>0.00E+00</c:formatCode>
                <c:ptCount val="31"/>
                <c:pt idx="0">
                  <c:v>200492179588.23868</c:v>
                </c:pt>
                <c:pt idx="1">
                  <c:v>204940361754.74985</c:v>
                </c:pt>
                <c:pt idx="2">
                  <c:v>209388543921.26102</c:v>
                </c:pt>
                <c:pt idx="3">
                  <c:v>213836726087.77219</c:v>
                </c:pt>
                <c:pt idx="4">
                  <c:v>218284908254.28336</c:v>
                </c:pt>
                <c:pt idx="5">
                  <c:v>222733090420.79453</c:v>
                </c:pt>
                <c:pt idx="6">
                  <c:v>224788667922.45575</c:v>
                </c:pt>
                <c:pt idx="7">
                  <c:v>226844245424.11627</c:v>
                </c:pt>
                <c:pt idx="8">
                  <c:v>228899822925.77689</c:v>
                </c:pt>
                <c:pt idx="9">
                  <c:v>230955400427.43741</c:v>
                </c:pt>
                <c:pt idx="10">
                  <c:v>233010977929.09839</c:v>
                </c:pt>
                <c:pt idx="11">
                  <c:v>234472418412.00616</c:v>
                </c:pt>
                <c:pt idx="12">
                  <c:v>235933858894.91434</c:v>
                </c:pt>
                <c:pt idx="13">
                  <c:v>237395299377.82254</c:v>
                </c:pt>
                <c:pt idx="14">
                  <c:v>238856739860.73068</c:v>
                </c:pt>
                <c:pt idx="15">
                  <c:v>240318180343.63876</c:v>
                </c:pt>
                <c:pt idx="16">
                  <c:v>241465479414.33356</c:v>
                </c:pt>
                <c:pt idx="17">
                  <c:v>242612778485.0274</c:v>
                </c:pt>
                <c:pt idx="18">
                  <c:v>243760077555.72165</c:v>
                </c:pt>
                <c:pt idx="19">
                  <c:v>244907376626.41595</c:v>
                </c:pt>
                <c:pt idx="20">
                  <c:v>246054675697.10983</c:v>
                </c:pt>
                <c:pt idx="21">
                  <c:v>247620829984.08942</c:v>
                </c:pt>
                <c:pt idx="22">
                  <c:v>248901401169.05609</c:v>
                </c:pt>
                <c:pt idx="23">
                  <c:v>250181972354.02322</c:v>
                </c:pt>
                <c:pt idx="24">
                  <c:v>251462543538.98996</c:v>
                </c:pt>
                <c:pt idx="25">
                  <c:v>252743114723.95667</c:v>
                </c:pt>
                <c:pt idx="26">
                  <c:v>254023685908.92334</c:v>
                </c:pt>
                <c:pt idx="27">
                  <c:v>255304257093.89047</c:v>
                </c:pt>
                <c:pt idx="28">
                  <c:v>256584828278.85721</c:v>
                </c:pt>
                <c:pt idx="29">
                  <c:v>257865399463.82391</c:v>
                </c:pt>
                <c:pt idx="30">
                  <c:v>259145970648.79105</c:v>
                </c:pt>
              </c:numCache>
            </c:numRef>
          </c:val>
          <c:smooth val="0"/>
          <c:extLst>
            <c:ext xmlns:c16="http://schemas.microsoft.com/office/drawing/2014/chart" uri="{C3380CC4-5D6E-409C-BE32-E72D297353CC}">
              <c16:uniqueId val="{00000007-945C-4A73-9CE9-7E42B39E2FAC}"/>
            </c:ext>
          </c:extLst>
        </c:ser>
        <c:ser>
          <c:idx val="11"/>
          <c:order val="8"/>
          <c:tx>
            <c:strRef>
              <c:f>'BIFUbC-petroleum-diesel pre-CHP'!$A$10</c:f>
              <c:strCache>
                <c:ptCount val="1"/>
                <c:pt idx="0">
                  <c:v>refined petroleum and coke 19</c:v>
                </c:pt>
              </c:strCache>
            </c:strRef>
          </c:tx>
          <c:spPr>
            <a:ln w="28575" cap="rnd">
              <a:solidFill>
                <a:schemeClr val="accent6">
                  <a:lumMod val="6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pre-CHP'!$B$10:$AF$10</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8-945C-4A73-9CE9-7E42B39E2FAC}"/>
            </c:ext>
          </c:extLst>
        </c:ser>
        <c:ser>
          <c:idx val="12"/>
          <c:order val="9"/>
          <c:tx>
            <c:strRef>
              <c:f>'BIFUbC-petroleum-diesel pre-CHP'!$A$11</c:f>
              <c:strCache>
                <c:ptCount val="1"/>
                <c:pt idx="0">
                  <c:v>chemicals 20</c:v>
                </c:pt>
              </c:strCache>
            </c:strRef>
          </c:tx>
          <c:spPr>
            <a:ln w="28575" cap="rnd">
              <a:solidFill>
                <a:schemeClr val="accent1">
                  <a:lumMod val="80000"/>
                  <a:lumOff val="2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pre-CHP'!$B$11:$AF$11</c:f>
              <c:numCache>
                <c:formatCode>0.00E+00</c:formatCode>
                <c:ptCount val="31"/>
                <c:pt idx="0">
                  <c:v>73801896915186.719</c:v>
                </c:pt>
                <c:pt idx="1">
                  <c:v>82652418311185.25</c:v>
                </c:pt>
                <c:pt idx="2">
                  <c:v>77966258407649.109</c:v>
                </c:pt>
                <c:pt idx="3">
                  <c:v>72503972277071.672</c:v>
                </c:pt>
                <c:pt idx="4">
                  <c:v>70213265564065.633</c:v>
                </c:pt>
                <c:pt idx="5">
                  <c:v>68953396871099.359</c:v>
                </c:pt>
                <c:pt idx="6">
                  <c:v>67601015271568.828</c:v>
                </c:pt>
                <c:pt idx="7">
                  <c:v>66159149019964.234</c:v>
                </c:pt>
                <c:pt idx="8">
                  <c:v>64622297127489.398</c:v>
                </c:pt>
                <c:pt idx="9">
                  <c:v>62576655076498.656</c:v>
                </c:pt>
                <c:pt idx="10">
                  <c:v>58639769756523.906</c:v>
                </c:pt>
                <c:pt idx="11">
                  <c:v>58215793310601.898</c:v>
                </c:pt>
                <c:pt idx="12">
                  <c:v>57790547721056.547</c:v>
                </c:pt>
                <c:pt idx="13">
                  <c:v>57364011288418.422</c:v>
                </c:pt>
                <c:pt idx="14">
                  <c:v>56936161681071.617</c:v>
                </c:pt>
                <c:pt idx="15">
                  <c:v>56118232104471.555</c:v>
                </c:pt>
                <c:pt idx="16">
                  <c:v>56003140562175.672</c:v>
                </c:pt>
                <c:pt idx="17">
                  <c:v>55888049019879.836</c:v>
                </c:pt>
                <c:pt idx="18">
                  <c:v>55772957477583.945</c:v>
                </c:pt>
                <c:pt idx="19">
                  <c:v>55657865935288.07</c:v>
                </c:pt>
                <c:pt idx="20">
                  <c:v>55542774392992.219</c:v>
                </c:pt>
                <c:pt idx="21">
                  <c:v>55448323689621.117</c:v>
                </c:pt>
                <c:pt idx="22">
                  <c:v>55353872986250.031</c:v>
                </c:pt>
                <c:pt idx="23">
                  <c:v>55259422282878.961</c:v>
                </c:pt>
                <c:pt idx="24">
                  <c:v>55164971579507.852</c:v>
                </c:pt>
                <c:pt idx="25">
                  <c:v>55070520876136.805</c:v>
                </c:pt>
                <c:pt idx="26">
                  <c:v>54976070172765.711</c:v>
                </c:pt>
                <c:pt idx="27">
                  <c:v>54881619469394.648</c:v>
                </c:pt>
                <c:pt idx="28">
                  <c:v>54787168766023.547</c:v>
                </c:pt>
                <c:pt idx="29">
                  <c:v>54692718062652.445</c:v>
                </c:pt>
                <c:pt idx="30">
                  <c:v>54598267359281.398</c:v>
                </c:pt>
              </c:numCache>
            </c:numRef>
          </c:val>
          <c:smooth val="0"/>
          <c:extLst>
            <c:ext xmlns:c16="http://schemas.microsoft.com/office/drawing/2014/chart" uri="{C3380CC4-5D6E-409C-BE32-E72D297353CC}">
              <c16:uniqueId val="{00000009-945C-4A73-9CE9-7E42B39E2FAC}"/>
            </c:ext>
          </c:extLst>
        </c:ser>
        <c:ser>
          <c:idx val="13"/>
          <c:order val="10"/>
          <c:tx>
            <c:strRef>
              <c:f>'BIFUbC-petroleum-diesel pre-CHP'!$A$12</c:f>
              <c:strCache>
                <c:ptCount val="1"/>
                <c:pt idx="0">
                  <c:v>rubber and plastic products 22</c:v>
                </c:pt>
              </c:strCache>
            </c:strRef>
          </c:tx>
          <c:spPr>
            <a:ln w="28575" cap="rnd">
              <a:solidFill>
                <a:schemeClr val="accent2">
                  <a:lumMod val="80000"/>
                  <a:lumOff val="2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pre-CHP'!$B$12:$AF$12</c:f>
              <c:numCache>
                <c:formatCode>0.00E+00</c:formatCode>
                <c:ptCount val="31"/>
                <c:pt idx="0">
                  <c:v>38218839473935.984</c:v>
                </c:pt>
                <c:pt idx="1">
                  <c:v>42802145196863.789</c:v>
                </c:pt>
                <c:pt idx="2">
                  <c:v>40375383818246.859</c:v>
                </c:pt>
                <c:pt idx="3">
                  <c:v>37546699929197.828</c:v>
                </c:pt>
                <c:pt idx="4">
                  <c:v>36360441095676.852</c:v>
                </c:pt>
                <c:pt idx="5">
                  <c:v>35708009093962.172</c:v>
                </c:pt>
                <c:pt idx="6">
                  <c:v>35007668622776.719</c:v>
                </c:pt>
                <c:pt idx="7">
                  <c:v>34260987885338.625</c:v>
                </c:pt>
                <c:pt idx="8">
                  <c:v>33465118155307.012</c:v>
                </c:pt>
                <c:pt idx="9">
                  <c:v>32405767807472.52</c:v>
                </c:pt>
                <c:pt idx="10">
                  <c:v>30367023623914.168</c:v>
                </c:pt>
                <c:pt idx="11">
                  <c:v>30147464392990.27</c:v>
                </c:pt>
                <c:pt idx="12">
                  <c:v>29927247926975.715</c:v>
                </c:pt>
                <c:pt idx="13">
                  <c:v>29706362988645.254</c:v>
                </c:pt>
                <c:pt idx="14">
                  <c:v>29484798013412.086</c:v>
                </c:pt>
                <c:pt idx="15">
                  <c:v>29061227339815.629</c:v>
                </c:pt>
                <c:pt idx="16">
                  <c:v>29001626362555.262</c:v>
                </c:pt>
                <c:pt idx="17">
                  <c:v>28942025385294.914</c:v>
                </c:pt>
                <c:pt idx="18">
                  <c:v>28882424408034.543</c:v>
                </c:pt>
                <c:pt idx="19">
                  <c:v>28822823430774.18</c:v>
                </c:pt>
                <c:pt idx="20">
                  <c:v>28763222453513.828</c:v>
                </c:pt>
                <c:pt idx="21">
                  <c:v>28714310482125.223</c:v>
                </c:pt>
                <c:pt idx="22">
                  <c:v>28665398510736.625</c:v>
                </c:pt>
                <c:pt idx="23">
                  <c:v>28616486539348.035</c:v>
                </c:pt>
                <c:pt idx="24">
                  <c:v>28567574567959.426</c:v>
                </c:pt>
                <c:pt idx="25">
                  <c:v>28518662596570.848</c:v>
                </c:pt>
                <c:pt idx="26">
                  <c:v>28469750625182.242</c:v>
                </c:pt>
                <c:pt idx="27">
                  <c:v>28420838653793.66</c:v>
                </c:pt>
                <c:pt idx="28">
                  <c:v>28371926682405.051</c:v>
                </c:pt>
                <c:pt idx="29">
                  <c:v>28323014711016.445</c:v>
                </c:pt>
                <c:pt idx="30">
                  <c:v>28274102739627.867</c:v>
                </c:pt>
              </c:numCache>
            </c:numRef>
          </c:val>
          <c:smooth val="0"/>
          <c:extLst>
            <c:ext xmlns:c16="http://schemas.microsoft.com/office/drawing/2014/chart" uri="{C3380CC4-5D6E-409C-BE32-E72D297353CC}">
              <c16:uniqueId val="{0000000A-945C-4A73-9CE9-7E42B39E2FAC}"/>
            </c:ext>
          </c:extLst>
        </c:ser>
        <c:ser>
          <c:idx val="14"/>
          <c:order val="11"/>
          <c:tx>
            <c:strRef>
              <c:f>'BIFUbC-petroleum-diesel pre-CHP'!$A$13</c:f>
              <c:strCache>
                <c:ptCount val="1"/>
                <c:pt idx="0">
                  <c:v>glass and glass products 231</c:v>
                </c:pt>
              </c:strCache>
            </c:strRef>
          </c:tx>
          <c:spPr>
            <a:ln w="28575" cap="rnd">
              <a:solidFill>
                <a:schemeClr val="accent3">
                  <a:lumMod val="80000"/>
                  <a:lumOff val="2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pre-CHP'!$B$13:$AF$13</c:f>
              <c:numCache>
                <c:formatCode>0.00E+00</c:formatCode>
                <c:ptCount val="31"/>
                <c:pt idx="0">
                  <c:v>70943688343.373352</c:v>
                </c:pt>
                <c:pt idx="1">
                  <c:v>72517667188.651123</c:v>
                </c:pt>
                <c:pt idx="2">
                  <c:v>74091646033.928894</c:v>
                </c:pt>
                <c:pt idx="3">
                  <c:v>75665624879.20668</c:v>
                </c:pt>
                <c:pt idx="4">
                  <c:v>77239603724.484451</c:v>
                </c:pt>
                <c:pt idx="5">
                  <c:v>78813582569.762222</c:v>
                </c:pt>
                <c:pt idx="6">
                  <c:v>79540943856.087708</c:v>
                </c:pt>
                <c:pt idx="7">
                  <c:v>80268305142.412964</c:v>
                </c:pt>
                <c:pt idx="8">
                  <c:v>80995666428.738235</c:v>
                </c:pt>
                <c:pt idx="9">
                  <c:v>81723027715.063507</c:v>
                </c:pt>
                <c:pt idx="10">
                  <c:v>82450389001.388916</c:v>
                </c:pt>
                <c:pt idx="11">
                  <c:v>82967516294.656555</c:v>
                </c:pt>
                <c:pt idx="12">
                  <c:v>83484643587.924362</c:v>
                </c:pt>
                <c:pt idx="13">
                  <c:v>84001770881.192154</c:v>
                </c:pt>
                <c:pt idx="14">
                  <c:v>84518898174.459946</c:v>
                </c:pt>
                <c:pt idx="15">
                  <c:v>85036025467.727707</c:v>
                </c:pt>
                <c:pt idx="16">
                  <c:v>85441994557.769897</c:v>
                </c:pt>
                <c:pt idx="17">
                  <c:v>85847963647.811768</c:v>
                </c:pt>
                <c:pt idx="18">
                  <c:v>86253932737.85376</c:v>
                </c:pt>
                <c:pt idx="19">
                  <c:v>86659901827.895782</c:v>
                </c:pt>
                <c:pt idx="20">
                  <c:v>87065870917.937653</c:v>
                </c:pt>
                <c:pt idx="21">
                  <c:v>87620050945.614075</c:v>
                </c:pt>
                <c:pt idx="22">
                  <c:v>88073178061.266968</c:v>
                </c:pt>
                <c:pt idx="23">
                  <c:v>88526305176.920029</c:v>
                </c:pt>
                <c:pt idx="24">
                  <c:v>88979432292.572937</c:v>
                </c:pt>
                <c:pt idx="25">
                  <c:v>89432559408.22583</c:v>
                </c:pt>
                <c:pt idx="26">
                  <c:v>89885686523.878738</c:v>
                </c:pt>
                <c:pt idx="27">
                  <c:v>90338813639.531784</c:v>
                </c:pt>
                <c:pt idx="28">
                  <c:v>90791940755.184708</c:v>
                </c:pt>
                <c:pt idx="29">
                  <c:v>91245067870.837601</c:v>
                </c:pt>
                <c:pt idx="30">
                  <c:v>91698194986.490646</c:v>
                </c:pt>
              </c:numCache>
            </c:numRef>
          </c:val>
          <c:smooth val="0"/>
          <c:extLst>
            <c:ext xmlns:c16="http://schemas.microsoft.com/office/drawing/2014/chart" uri="{C3380CC4-5D6E-409C-BE32-E72D297353CC}">
              <c16:uniqueId val="{0000000B-945C-4A73-9CE9-7E42B39E2FAC}"/>
            </c:ext>
          </c:extLst>
        </c:ser>
        <c:ser>
          <c:idx val="15"/>
          <c:order val="12"/>
          <c:tx>
            <c:strRef>
              <c:f>'BIFUbC-petroleum-diesel pre-CHP'!$A$14</c:f>
              <c:strCache>
                <c:ptCount val="1"/>
                <c:pt idx="0">
                  <c:v>cement and other nonmetallic minerals 239</c:v>
                </c:pt>
              </c:strCache>
            </c:strRef>
          </c:tx>
          <c:spPr>
            <a:ln w="28575" cap="rnd">
              <a:solidFill>
                <a:schemeClr val="accent4">
                  <a:lumMod val="80000"/>
                  <a:lumOff val="2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pre-CHP'!$B$14:$AF$14</c:f>
              <c:numCache>
                <c:formatCode>0.00E+00</c:formatCode>
                <c:ptCount val="31"/>
                <c:pt idx="0">
                  <c:v>8205819951716.8506</c:v>
                </c:pt>
                <c:pt idx="1">
                  <c:v>8387876838153.9795</c:v>
                </c:pt>
                <c:pt idx="2">
                  <c:v>8569933724591.1084</c:v>
                </c:pt>
                <c:pt idx="3">
                  <c:v>8751990611028.2383</c:v>
                </c:pt>
                <c:pt idx="4">
                  <c:v>8934047497465.3672</c:v>
                </c:pt>
                <c:pt idx="5">
                  <c:v>9116104383902.4961</c:v>
                </c:pt>
                <c:pt idx="6">
                  <c:v>9200235839354.1445</c:v>
                </c:pt>
                <c:pt idx="7">
                  <c:v>9284367294805.7656</c:v>
                </c:pt>
                <c:pt idx="8">
                  <c:v>9368498750257.3887</c:v>
                </c:pt>
                <c:pt idx="9">
                  <c:v>9452630205709.0098</c:v>
                </c:pt>
                <c:pt idx="10">
                  <c:v>9536761661160.6504</c:v>
                </c:pt>
                <c:pt idx="11">
                  <c:v>9596576051415.2734</c:v>
                </c:pt>
                <c:pt idx="12">
                  <c:v>9656390441669.916</c:v>
                </c:pt>
                <c:pt idx="13">
                  <c:v>9716204831924.5586</c:v>
                </c:pt>
                <c:pt idx="14">
                  <c:v>9776019222179.1992</c:v>
                </c:pt>
                <c:pt idx="15">
                  <c:v>9835833612433.8379</c:v>
                </c:pt>
                <c:pt idx="16">
                  <c:v>9882790703848.7168</c:v>
                </c:pt>
                <c:pt idx="17">
                  <c:v>9929747795263.5605</c:v>
                </c:pt>
                <c:pt idx="18">
                  <c:v>9976704886678.418</c:v>
                </c:pt>
                <c:pt idx="19">
                  <c:v>10023661978093.277</c:v>
                </c:pt>
                <c:pt idx="20">
                  <c:v>10070619069508.121</c:v>
                </c:pt>
                <c:pt idx="21">
                  <c:v>10134719226042.693</c:v>
                </c:pt>
                <c:pt idx="22">
                  <c:v>10187130929086.545</c:v>
                </c:pt>
                <c:pt idx="23">
                  <c:v>10239542632130.416</c:v>
                </c:pt>
                <c:pt idx="24">
                  <c:v>10291954335174.27</c:v>
                </c:pt>
                <c:pt idx="25">
                  <c:v>10344366038218.121</c:v>
                </c:pt>
                <c:pt idx="26">
                  <c:v>10396777741261.973</c:v>
                </c:pt>
                <c:pt idx="27">
                  <c:v>10449189444305.842</c:v>
                </c:pt>
                <c:pt idx="28">
                  <c:v>10501601147349.695</c:v>
                </c:pt>
                <c:pt idx="29">
                  <c:v>10554012850393.549</c:v>
                </c:pt>
                <c:pt idx="30">
                  <c:v>10606424553437.418</c:v>
                </c:pt>
              </c:numCache>
            </c:numRef>
          </c:val>
          <c:smooth val="0"/>
          <c:extLst>
            <c:ext xmlns:c16="http://schemas.microsoft.com/office/drawing/2014/chart" uri="{C3380CC4-5D6E-409C-BE32-E72D297353CC}">
              <c16:uniqueId val="{0000000C-945C-4A73-9CE9-7E42B39E2FAC}"/>
            </c:ext>
          </c:extLst>
        </c:ser>
        <c:ser>
          <c:idx val="16"/>
          <c:order val="13"/>
          <c:tx>
            <c:strRef>
              <c:f>'BIFUbC-petroleum-diesel pre-CHP'!$A$15</c:f>
              <c:strCache>
                <c:ptCount val="1"/>
                <c:pt idx="0">
                  <c:v>iron and steel 241</c:v>
                </c:pt>
              </c:strCache>
            </c:strRef>
          </c:tx>
          <c:spPr>
            <a:ln w="28575" cap="rnd">
              <a:solidFill>
                <a:schemeClr val="accent5">
                  <a:lumMod val="80000"/>
                  <a:lumOff val="2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pre-CHP'!$B$15:$AF$15</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D-945C-4A73-9CE9-7E42B39E2FAC}"/>
            </c:ext>
          </c:extLst>
        </c:ser>
        <c:ser>
          <c:idx val="17"/>
          <c:order val="14"/>
          <c:tx>
            <c:strRef>
              <c:f>'BIFUbC-petroleum-diesel pre-CHP'!$A$16</c:f>
              <c:strCache>
                <c:ptCount val="1"/>
                <c:pt idx="0">
                  <c:v>other metals 242</c:v>
                </c:pt>
              </c:strCache>
            </c:strRef>
          </c:tx>
          <c:spPr>
            <a:ln w="28575" cap="rnd">
              <a:solidFill>
                <a:schemeClr val="accent6">
                  <a:lumMod val="80000"/>
                  <a:lumOff val="2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pre-CHP'!$B$16:$AF$16</c:f>
              <c:numCache>
                <c:formatCode>0.00E+00</c:formatCode>
                <c:ptCount val="31"/>
                <c:pt idx="0">
                  <c:v>251690520001.31882</c:v>
                </c:pt>
                <c:pt idx="1">
                  <c:v>255290266137.87906</c:v>
                </c:pt>
                <c:pt idx="2">
                  <c:v>269689250684.12018</c:v>
                </c:pt>
                <c:pt idx="3">
                  <c:v>262489758410.9996</c:v>
                </c:pt>
                <c:pt idx="4">
                  <c:v>266089504547.55991</c:v>
                </c:pt>
                <c:pt idx="5">
                  <c:v>269689250684.12018</c:v>
                </c:pt>
                <c:pt idx="6">
                  <c:v>269591003233.96204</c:v>
                </c:pt>
                <c:pt idx="7">
                  <c:v>269492755783.80386</c:v>
                </c:pt>
                <c:pt idx="8">
                  <c:v>269394508333.64569</c:v>
                </c:pt>
                <c:pt idx="9">
                  <c:v>269296260883.48758</c:v>
                </c:pt>
                <c:pt idx="10">
                  <c:v>269198013433.32941</c:v>
                </c:pt>
                <c:pt idx="11">
                  <c:v>268608528732.38052</c:v>
                </c:pt>
                <c:pt idx="12">
                  <c:v>268019044031.43164</c:v>
                </c:pt>
                <c:pt idx="13">
                  <c:v>267429559330.48273</c:v>
                </c:pt>
                <c:pt idx="14">
                  <c:v>266840074629.53384</c:v>
                </c:pt>
                <c:pt idx="15">
                  <c:v>266250589928.58496</c:v>
                </c:pt>
                <c:pt idx="16">
                  <c:v>266250589928.58496</c:v>
                </c:pt>
                <c:pt idx="17">
                  <c:v>266250589928.58496</c:v>
                </c:pt>
                <c:pt idx="18">
                  <c:v>266250589928.58496</c:v>
                </c:pt>
                <c:pt idx="19">
                  <c:v>266250589928.58496</c:v>
                </c:pt>
                <c:pt idx="20">
                  <c:v>266250589928.58496</c:v>
                </c:pt>
                <c:pt idx="21">
                  <c:v>265464610327.31973</c:v>
                </c:pt>
                <c:pt idx="22">
                  <c:v>265214525908.73541</c:v>
                </c:pt>
                <c:pt idx="23">
                  <c:v>264964441490.151</c:v>
                </c:pt>
                <c:pt idx="24">
                  <c:v>264714357071.56668</c:v>
                </c:pt>
                <c:pt idx="25">
                  <c:v>264464272652.9823</c:v>
                </c:pt>
                <c:pt idx="26">
                  <c:v>264214188234.39783</c:v>
                </c:pt>
                <c:pt idx="27">
                  <c:v>263964103815.81345</c:v>
                </c:pt>
                <c:pt idx="28">
                  <c:v>263714019397.22913</c:v>
                </c:pt>
                <c:pt idx="29">
                  <c:v>263463934978.64471</c:v>
                </c:pt>
                <c:pt idx="30">
                  <c:v>263213850560.06039</c:v>
                </c:pt>
              </c:numCache>
            </c:numRef>
          </c:val>
          <c:smooth val="0"/>
          <c:extLst>
            <c:ext xmlns:c16="http://schemas.microsoft.com/office/drawing/2014/chart" uri="{C3380CC4-5D6E-409C-BE32-E72D297353CC}">
              <c16:uniqueId val="{0000000E-945C-4A73-9CE9-7E42B39E2FAC}"/>
            </c:ext>
          </c:extLst>
        </c:ser>
        <c:ser>
          <c:idx val="18"/>
          <c:order val="15"/>
          <c:tx>
            <c:strRef>
              <c:f>'BIFUbC-petroleum-diesel pre-CHP'!$A$17</c:f>
              <c:strCache>
                <c:ptCount val="1"/>
                <c:pt idx="0">
                  <c:v>metal products except machinery and vehicles 25</c:v>
                </c:pt>
              </c:strCache>
            </c:strRef>
          </c:tx>
          <c:spPr>
            <a:ln w="28575" cap="rnd">
              <a:solidFill>
                <a:schemeClr val="accent1">
                  <a:lumMod val="8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pre-CHP'!$B$17:$AF$17</c:f>
              <c:numCache>
                <c:formatCode>0.00E+00</c:formatCode>
                <c:ptCount val="31"/>
                <c:pt idx="0">
                  <c:v>2139369420011.2097</c:v>
                </c:pt>
                <c:pt idx="1">
                  <c:v>2169967262171.9719</c:v>
                </c:pt>
                <c:pt idx="2">
                  <c:v>2292358630815.021</c:v>
                </c:pt>
                <c:pt idx="3">
                  <c:v>2231162946493.4966</c:v>
                </c:pt>
                <c:pt idx="4">
                  <c:v>2261760788654.2588</c:v>
                </c:pt>
                <c:pt idx="5">
                  <c:v>2292358630815.021</c:v>
                </c:pt>
                <c:pt idx="6">
                  <c:v>2291523527488.6768</c:v>
                </c:pt>
                <c:pt idx="7">
                  <c:v>2290688424162.333</c:v>
                </c:pt>
                <c:pt idx="8">
                  <c:v>2289853320835.9883</c:v>
                </c:pt>
                <c:pt idx="9">
                  <c:v>2289018217509.644</c:v>
                </c:pt>
                <c:pt idx="10">
                  <c:v>2288183114183.2998</c:v>
                </c:pt>
                <c:pt idx="11">
                  <c:v>2283172494225.2339</c:v>
                </c:pt>
                <c:pt idx="12">
                  <c:v>2278161874267.1689</c:v>
                </c:pt>
                <c:pt idx="13">
                  <c:v>2273151254309.103</c:v>
                </c:pt>
                <c:pt idx="14">
                  <c:v>2268140634351.0371</c:v>
                </c:pt>
                <c:pt idx="15">
                  <c:v>2263130014392.9722</c:v>
                </c:pt>
                <c:pt idx="16">
                  <c:v>2263130014392.9722</c:v>
                </c:pt>
                <c:pt idx="17">
                  <c:v>2263130014392.9722</c:v>
                </c:pt>
                <c:pt idx="18">
                  <c:v>2263130014392.9722</c:v>
                </c:pt>
                <c:pt idx="19">
                  <c:v>2263130014392.9722</c:v>
                </c:pt>
                <c:pt idx="20">
                  <c:v>2263130014392.9722</c:v>
                </c:pt>
                <c:pt idx="21">
                  <c:v>2256449187782.2173</c:v>
                </c:pt>
                <c:pt idx="22">
                  <c:v>2254323470224.251</c:v>
                </c:pt>
                <c:pt idx="23">
                  <c:v>2252197752666.2837</c:v>
                </c:pt>
                <c:pt idx="24">
                  <c:v>2250072035108.3164</c:v>
                </c:pt>
                <c:pt idx="25">
                  <c:v>2247946317550.3491</c:v>
                </c:pt>
                <c:pt idx="26">
                  <c:v>2245820599992.3813</c:v>
                </c:pt>
                <c:pt idx="27">
                  <c:v>2243694882434.4141</c:v>
                </c:pt>
                <c:pt idx="28">
                  <c:v>2241569164876.4473</c:v>
                </c:pt>
                <c:pt idx="29">
                  <c:v>2239443447318.48</c:v>
                </c:pt>
                <c:pt idx="30">
                  <c:v>2237317729760.5127</c:v>
                </c:pt>
              </c:numCache>
            </c:numRef>
          </c:val>
          <c:smooth val="0"/>
          <c:extLst>
            <c:ext xmlns:c16="http://schemas.microsoft.com/office/drawing/2014/chart" uri="{C3380CC4-5D6E-409C-BE32-E72D297353CC}">
              <c16:uniqueId val="{0000000F-945C-4A73-9CE9-7E42B39E2FAC}"/>
            </c:ext>
          </c:extLst>
        </c:ser>
        <c:ser>
          <c:idx val="19"/>
          <c:order val="16"/>
          <c:tx>
            <c:strRef>
              <c:f>'BIFUbC-petroleum-diesel pre-CHP'!$A$18</c:f>
              <c:strCache>
                <c:ptCount val="1"/>
                <c:pt idx="0">
                  <c:v>computers and electronics 26</c:v>
                </c:pt>
              </c:strCache>
            </c:strRef>
          </c:tx>
          <c:spPr>
            <a:ln w="28575" cap="rnd">
              <a:solidFill>
                <a:schemeClr val="accent2">
                  <a:lumMod val="8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pre-CHP'!$B$18:$AF$18</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0-945C-4A73-9CE9-7E42B39E2FAC}"/>
            </c:ext>
          </c:extLst>
        </c:ser>
        <c:ser>
          <c:idx val="20"/>
          <c:order val="17"/>
          <c:tx>
            <c:strRef>
              <c:f>'BIFUbC-petroleum-diesel pre-CHP'!$A$19</c:f>
              <c:strCache>
                <c:ptCount val="1"/>
                <c:pt idx="0">
                  <c:v>appliances and electrical equipment 27</c:v>
                </c:pt>
              </c:strCache>
            </c:strRef>
          </c:tx>
          <c:spPr>
            <a:ln w="28575" cap="rnd">
              <a:solidFill>
                <a:schemeClr val="accent3">
                  <a:lumMod val="8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pre-CHP'!$B$19:$AF$19</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1-945C-4A73-9CE9-7E42B39E2FAC}"/>
            </c:ext>
          </c:extLst>
        </c:ser>
        <c:ser>
          <c:idx val="21"/>
          <c:order val="18"/>
          <c:tx>
            <c:strRef>
              <c:f>'BIFUbC-petroleum-diesel pre-CHP'!$A$20</c:f>
              <c:strCache>
                <c:ptCount val="1"/>
                <c:pt idx="0">
                  <c:v>other machinery 28</c:v>
                </c:pt>
              </c:strCache>
            </c:strRef>
          </c:tx>
          <c:spPr>
            <a:ln w="28575" cap="rnd">
              <a:solidFill>
                <a:schemeClr val="accent4">
                  <a:lumMod val="8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pre-CHP'!$B$20:$AF$20</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2-945C-4A73-9CE9-7E42B39E2FAC}"/>
            </c:ext>
          </c:extLst>
        </c:ser>
        <c:ser>
          <c:idx val="22"/>
          <c:order val="19"/>
          <c:tx>
            <c:strRef>
              <c:f>'BIFUbC-petroleum-diesel pre-CHP'!$A$21</c:f>
              <c:strCache>
                <c:ptCount val="1"/>
                <c:pt idx="0">
                  <c:v>road vehicles 29</c:v>
                </c:pt>
              </c:strCache>
            </c:strRef>
          </c:tx>
          <c:spPr>
            <a:ln w="28575" cap="rnd">
              <a:solidFill>
                <a:schemeClr val="accent5">
                  <a:lumMod val="8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pre-CHP'!$B$21:$AF$21</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3-945C-4A73-9CE9-7E42B39E2FAC}"/>
            </c:ext>
          </c:extLst>
        </c:ser>
        <c:ser>
          <c:idx val="23"/>
          <c:order val="20"/>
          <c:tx>
            <c:strRef>
              <c:f>'BIFUbC-petroleum-diesel pre-CHP'!$A$22</c:f>
              <c:strCache>
                <c:ptCount val="1"/>
                <c:pt idx="0">
                  <c:v>nonroad vehicles 30</c:v>
                </c:pt>
              </c:strCache>
            </c:strRef>
          </c:tx>
          <c:spPr>
            <a:ln w="28575" cap="rnd">
              <a:solidFill>
                <a:schemeClr val="accent6">
                  <a:lumMod val="8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pre-CHP'!$B$22:$AF$22</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4-945C-4A73-9CE9-7E42B39E2FAC}"/>
            </c:ext>
          </c:extLst>
        </c:ser>
        <c:ser>
          <c:idx val="24"/>
          <c:order val="21"/>
          <c:tx>
            <c:strRef>
              <c:f>'BIFUbC-petroleum-diesel pre-CHP'!$A$23</c:f>
              <c:strCache>
                <c:ptCount val="1"/>
                <c:pt idx="0">
                  <c:v>other manufacturing 31T33</c:v>
                </c:pt>
              </c:strCache>
            </c:strRef>
          </c:tx>
          <c:spPr>
            <a:ln w="28575" cap="rnd">
              <a:solidFill>
                <a:schemeClr val="accent1">
                  <a:lumMod val="60000"/>
                  <a:lumOff val="4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pre-CHP'!$B$23:$AF$23</c:f>
              <c:numCache>
                <c:formatCode>0.00E+00</c:formatCode>
                <c:ptCount val="31"/>
                <c:pt idx="0">
                  <c:v>12033291122812.645</c:v>
                </c:pt>
                <c:pt idx="1">
                  <c:v>12300265481048.771</c:v>
                </c:pt>
                <c:pt idx="2">
                  <c:v>12567239839284.898</c:v>
                </c:pt>
                <c:pt idx="3">
                  <c:v>12834214197521.027</c:v>
                </c:pt>
                <c:pt idx="4">
                  <c:v>13101188555757.154</c:v>
                </c:pt>
                <c:pt idx="5">
                  <c:v>13368162913993.281</c:v>
                </c:pt>
                <c:pt idx="6">
                  <c:v>13491536117645.381</c:v>
                </c:pt>
                <c:pt idx="7">
                  <c:v>13614909321297.441</c:v>
                </c:pt>
                <c:pt idx="8">
                  <c:v>13738282524949.504</c:v>
                </c:pt>
                <c:pt idx="9">
                  <c:v>13861655728601.564</c:v>
                </c:pt>
                <c:pt idx="10">
                  <c:v>13985028932253.652</c:v>
                </c:pt>
                <c:pt idx="11">
                  <c:v>14072742771394.959</c:v>
                </c:pt>
                <c:pt idx="12">
                  <c:v>14160456610536.293</c:v>
                </c:pt>
                <c:pt idx="13">
                  <c:v>14248170449677.627</c:v>
                </c:pt>
                <c:pt idx="14">
                  <c:v>14335884288818.957</c:v>
                </c:pt>
                <c:pt idx="15">
                  <c:v>14423598127960.285</c:v>
                </c:pt>
                <c:pt idx="16">
                  <c:v>14492457590463.791</c:v>
                </c:pt>
                <c:pt idx="17">
                  <c:v>14561317052967.244</c:v>
                </c:pt>
                <c:pt idx="18">
                  <c:v>14630176515470.719</c:v>
                </c:pt>
                <c:pt idx="19">
                  <c:v>14699035977974.197</c:v>
                </c:pt>
                <c:pt idx="20">
                  <c:v>14767895440477.648</c:v>
                </c:pt>
                <c:pt idx="21">
                  <c:v>14861894071831.607</c:v>
                </c:pt>
                <c:pt idx="22">
                  <c:v>14938752360787.498</c:v>
                </c:pt>
                <c:pt idx="23">
                  <c:v>15015610649743.416</c:v>
                </c:pt>
                <c:pt idx="24">
                  <c:v>15092468938699.311</c:v>
                </c:pt>
                <c:pt idx="25">
                  <c:v>15169327227655.203</c:v>
                </c:pt>
                <c:pt idx="26">
                  <c:v>15246185516611.094</c:v>
                </c:pt>
                <c:pt idx="27">
                  <c:v>15323043805567.012</c:v>
                </c:pt>
                <c:pt idx="28">
                  <c:v>15399902094522.906</c:v>
                </c:pt>
                <c:pt idx="29">
                  <c:v>15476760383478.799</c:v>
                </c:pt>
                <c:pt idx="30">
                  <c:v>15553618672434.715</c:v>
                </c:pt>
              </c:numCache>
            </c:numRef>
          </c:val>
          <c:smooth val="0"/>
          <c:extLst>
            <c:ext xmlns:c16="http://schemas.microsoft.com/office/drawing/2014/chart" uri="{C3380CC4-5D6E-409C-BE32-E72D297353CC}">
              <c16:uniqueId val="{00000015-945C-4A73-9CE9-7E42B39E2FAC}"/>
            </c:ext>
          </c:extLst>
        </c:ser>
        <c:ser>
          <c:idx val="25"/>
          <c:order val="22"/>
          <c:tx>
            <c:strRef>
              <c:f>'BIFUbC-petroleum-diesel pre-CHP'!$A$24</c:f>
              <c:strCache>
                <c:ptCount val="1"/>
                <c:pt idx="0">
                  <c:v>energy pipelines and gas processing 352T353</c:v>
                </c:pt>
              </c:strCache>
            </c:strRef>
          </c:tx>
          <c:spPr>
            <a:ln w="28575" cap="rnd">
              <a:solidFill>
                <a:schemeClr val="accent2">
                  <a:lumMod val="60000"/>
                  <a:lumOff val="40000"/>
                </a:schemeClr>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pre-CHP'!$B$24:$AF$24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6-945C-4A73-9CE9-7E42B39E2FAC}"/>
            </c:ext>
          </c:extLst>
        </c:ser>
        <c:ser>
          <c:idx val="0"/>
          <c:order val="23"/>
          <c:tx>
            <c:strRef>
              <c:f>'BIFUbC-petroleum-diesel pre-CHP'!$A$25</c:f>
              <c:strCache>
                <c:ptCount val="1"/>
                <c:pt idx="0">
                  <c:v>water and waste 36T39</c:v>
                </c:pt>
              </c:strCache>
            </c:strRef>
          </c:tx>
          <c:spPr>
            <a:ln w="28575" cap="rnd">
              <a:solidFill>
                <a:schemeClr val="accent1"/>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pre-CHP'!$B$25:$AF$25</c:f>
              <c:numCache>
                <c:formatCode>0.00E+00</c:formatCode>
                <c:ptCount val="31"/>
                <c:pt idx="0">
                  <c:v>355814807146.05389</c:v>
                </c:pt>
                <c:pt idx="1">
                  <c:v>356170621953.19989</c:v>
                </c:pt>
                <c:pt idx="2">
                  <c:v>356526792575.15308</c:v>
                </c:pt>
                <c:pt idx="3">
                  <c:v>356883319367.72821</c:v>
                </c:pt>
                <c:pt idx="4">
                  <c:v>357240202687.09589</c:v>
                </c:pt>
                <c:pt idx="5">
                  <c:v>357597442889.78296</c:v>
                </c:pt>
                <c:pt idx="6">
                  <c:v>357955040332.67273</c:v>
                </c:pt>
                <c:pt idx="7">
                  <c:v>358312995373.00537</c:v>
                </c:pt>
                <c:pt idx="8">
                  <c:v>358671308368.37836</c:v>
                </c:pt>
                <c:pt idx="9">
                  <c:v>359029979676.7467</c:v>
                </c:pt>
                <c:pt idx="10">
                  <c:v>359389009656.4234</c:v>
                </c:pt>
                <c:pt idx="11">
                  <c:v>359748398666.07977</c:v>
                </c:pt>
                <c:pt idx="12">
                  <c:v>360108147064.74579</c:v>
                </c:pt>
                <c:pt idx="13">
                  <c:v>360468255211.81049</c:v>
                </c:pt>
                <c:pt idx="14">
                  <c:v>360828723467.02228</c:v>
                </c:pt>
                <c:pt idx="15">
                  <c:v>361189552190.48926</c:v>
                </c:pt>
                <c:pt idx="16">
                  <c:v>361550741742.67969</c:v>
                </c:pt>
                <c:pt idx="17">
                  <c:v>361912292484.4223</c:v>
                </c:pt>
                <c:pt idx="18">
                  <c:v>362274204776.90668</c:v>
                </c:pt>
                <c:pt idx="19">
                  <c:v>362636478981.68353</c:v>
                </c:pt>
                <c:pt idx="20">
                  <c:v>362999115460.66516</c:v>
                </c:pt>
                <c:pt idx="21">
                  <c:v>361184119883.36182</c:v>
                </c:pt>
                <c:pt idx="22">
                  <c:v>359378199283.94501</c:v>
                </c:pt>
                <c:pt idx="23">
                  <c:v>357581308287.52527</c:v>
                </c:pt>
                <c:pt idx="24">
                  <c:v>355793401746.08765</c:v>
                </c:pt>
                <c:pt idx="25">
                  <c:v>354014434737.35718</c:v>
                </c:pt>
                <c:pt idx="26">
                  <c:v>352244362563.67041</c:v>
                </c:pt>
                <c:pt idx="27">
                  <c:v>350483140750.85205</c:v>
                </c:pt>
                <c:pt idx="28">
                  <c:v>348730725047.09778</c:v>
                </c:pt>
                <c:pt idx="29">
                  <c:v>346987071421.8623</c:v>
                </c:pt>
                <c:pt idx="30">
                  <c:v>345252136064.75293</c:v>
                </c:pt>
              </c:numCache>
            </c:numRef>
          </c:val>
          <c:smooth val="0"/>
          <c:extLst>
            <c:ext xmlns:c16="http://schemas.microsoft.com/office/drawing/2014/chart" uri="{C3380CC4-5D6E-409C-BE32-E72D297353CC}">
              <c16:uniqueId val="{00000017-945C-4A73-9CE9-7E42B39E2FAC}"/>
            </c:ext>
          </c:extLst>
        </c:ser>
        <c:ser>
          <c:idx val="1"/>
          <c:order val="24"/>
          <c:tx>
            <c:strRef>
              <c:f>'BIFUbC-petroleum-diesel pre-CHP'!$A$26</c:f>
              <c:strCache>
                <c:ptCount val="1"/>
                <c:pt idx="0">
                  <c:v>construction 41T43</c:v>
                </c:pt>
              </c:strCache>
            </c:strRef>
          </c:tx>
          <c:spPr>
            <a:ln w="28575" cap="rnd">
              <a:solidFill>
                <a:schemeClr val="accent2"/>
              </a:solidFill>
              <a:round/>
            </a:ln>
            <a:effectLst/>
          </c:spPr>
          <c:marker>
            <c:symbol val="none"/>
          </c:marker>
          <c:cat>
            <c:numRef>
              <c:f>'BIFUbC-petroleum-diesel pre-CHP'!$B$1:$AF$1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 pre-CHP'!$B$26:$AF$26</c:f>
              <c:numCache>
                <c:formatCode>0.00E+00</c:formatCode>
                <c:ptCount val="31"/>
                <c:pt idx="0">
                  <c:v>42981369015031.453</c:v>
                </c:pt>
                <c:pt idx="1">
                  <c:v>43934967103184.086</c:v>
                </c:pt>
                <c:pt idx="2">
                  <c:v>44888565191336.727</c:v>
                </c:pt>
                <c:pt idx="3">
                  <c:v>45842163279489.359</c:v>
                </c:pt>
                <c:pt idx="4">
                  <c:v>46795761367641.992</c:v>
                </c:pt>
                <c:pt idx="5">
                  <c:v>47749359455794.625</c:v>
                </c:pt>
                <c:pt idx="6">
                  <c:v>48190032679654.773</c:v>
                </c:pt>
                <c:pt idx="7">
                  <c:v>48630705903514.773</c:v>
                </c:pt>
                <c:pt idx="8">
                  <c:v>49071379127374.789</c:v>
                </c:pt>
                <c:pt idx="9">
                  <c:v>49512052351234.797</c:v>
                </c:pt>
                <c:pt idx="10">
                  <c:v>49952725575094.898</c:v>
                </c:pt>
                <c:pt idx="11">
                  <c:v>50266028132922.188</c:v>
                </c:pt>
                <c:pt idx="12">
                  <c:v>50579330690749.57</c:v>
                </c:pt>
                <c:pt idx="13">
                  <c:v>50892633248576.953</c:v>
                </c:pt>
                <c:pt idx="14">
                  <c:v>51205935806404.336</c:v>
                </c:pt>
                <c:pt idx="15">
                  <c:v>51519238364231.695</c:v>
                </c:pt>
                <c:pt idx="16">
                  <c:v>51765195512432.742</c:v>
                </c:pt>
                <c:pt idx="17">
                  <c:v>52011152660633.594</c:v>
                </c:pt>
                <c:pt idx="18">
                  <c:v>52257109808834.523</c:v>
                </c:pt>
                <c:pt idx="19">
                  <c:v>52503066957035.469</c:v>
                </c:pt>
                <c:pt idx="20">
                  <c:v>52749024105236.313</c:v>
                </c:pt>
                <c:pt idx="21">
                  <c:v>53084775132939.203</c:v>
                </c:pt>
                <c:pt idx="22">
                  <c:v>53359303060981.633</c:v>
                </c:pt>
                <c:pt idx="23">
                  <c:v>53633830989024.148</c:v>
                </c:pt>
                <c:pt idx="24">
                  <c:v>53908358917066.586</c:v>
                </c:pt>
                <c:pt idx="25">
                  <c:v>54182886845109.016</c:v>
                </c:pt>
                <c:pt idx="26">
                  <c:v>54457414773151.445</c:v>
                </c:pt>
                <c:pt idx="27">
                  <c:v>54731942701193.969</c:v>
                </c:pt>
                <c:pt idx="28">
                  <c:v>55006470629236.406</c:v>
                </c:pt>
                <c:pt idx="29">
                  <c:v>55280998557278.828</c:v>
                </c:pt>
                <c:pt idx="30">
                  <c:v>55555526485321.352</c:v>
                </c:pt>
              </c:numCache>
            </c:numRef>
          </c:val>
          <c:smooth val="0"/>
          <c:extLst>
            <c:ext xmlns:c16="http://schemas.microsoft.com/office/drawing/2014/chart" uri="{C3380CC4-5D6E-409C-BE32-E72D297353CC}">
              <c16:uniqueId val="{00000018-945C-4A73-9CE9-7E42B39E2FAC}"/>
            </c:ext>
          </c:extLst>
        </c:ser>
        <c:dLbls>
          <c:showLegendKey val="0"/>
          <c:showVal val="0"/>
          <c:showCatName val="0"/>
          <c:showSerName val="0"/>
          <c:showPercent val="0"/>
          <c:showBubbleSize val="0"/>
        </c:dLbls>
        <c:smooth val="0"/>
        <c:axId val="1554324768"/>
        <c:axId val="1331715072"/>
        <c:extLst/>
      </c:lineChart>
      <c:catAx>
        <c:axId val="155432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15072"/>
        <c:crosses val="autoZero"/>
        <c:auto val="1"/>
        <c:lblAlgn val="ctr"/>
        <c:lblOffset val="100"/>
        <c:noMultiLvlLbl val="0"/>
      </c:catAx>
      <c:valAx>
        <c:axId val="133171507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32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81905642315121441"/>
          <c:y val="0.869419485455993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'BIFUbC-coal'!$A$1</c:f>
              <c:strCache>
                <c:ptCount val="1"/>
                <c:pt idx="0">
                  <c:v>Unit: BTU</c:v>
                </c:pt>
              </c:strCache>
            </c:strRef>
          </c:tx>
          <c:spPr>
            <a:ln w="28575" cap="rnd">
              <a:solidFill>
                <a:schemeClr val="accent1"/>
              </a:solidFill>
              <a:round/>
            </a:ln>
            <a:effectLst/>
          </c:spPr>
          <c:marker>
            <c:symbol val="none"/>
          </c:marker>
          <c:val>
            <c:numRef>
              <c:f>'BIFUbC-coal'!$B$1:$AF$1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val>
          <c:smooth val="0"/>
          <c:extLst>
            <c:ext xmlns:c16="http://schemas.microsoft.com/office/drawing/2014/chart" uri="{C3380CC4-5D6E-409C-BE32-E72D297353CC}">
              <c16:uniqueId val="{00000000-8B04-4933-814C-A1F1407CA4DD}"/>
            </c:ext>
          </c:extLst>
        </c:ser>
        <c:ser>
          <c:idx val="1"/>
          <c:order val="1"/>
          <c:tx>
            <c:strRef>
              <c:f>'BIFUbC-coal'!$A$2</c:f>
              <c:strCache>
                <c:ptCount val="1"/>
                <c:pt idx="0">
                  <c:v>agriculture and forestry 01T03</c:v>
                </c:pt>
              </c:strCache>
            </c:strRef>
          </c:tx>
          <c:spPr>
            <a:ln w="28575" cap="rnd">
              <a:solidFill>
                <a:schemeClr val="accent2"/>
              </a:solidFill>
              <a:round/>
            </a:ln>
            <a:effectLst/>
          </c:spPr>
          <c:marker>
            <c:symbol val="none"/>
          </c:marker>
          <c:val>
            <c:numRef>
              <c:f>'BIFUbC-coal'!$B$2:$AF$2</c:f>
              <c:numCache>
                <c:formatCode>0.00E+00</c:formatCode>
                <c:ptCount val="31"/>
                <c:pt idx="0">
                  <c:v>27717358243796.008</c:v>
                </c:pt>
                <c:pt idx="1">
                  <c:v>15343504605384.717</c:v>
                </c:pt>
                <c:pt idx="2">
                  <c:v>15984364844712.246</c:v>
                </c:pt>
                <c:pt idx="3">
                  <c:v>16625225084039.777</c:v>
                </c:pt>
                <c:pt idx="4">
                  <c:v>17266085323367.307</c:v>
                </c:pt>
                <c:pt idx="5">
                  <c:v>17906945562694.836</c:v>
                </c:pt>
                <c:pt idx="6">
                  <c:v>18089615925528.289</c:v>
                </c:pt>
                <c:pt idx="7">
                  <c:v>18272286288361.75</c:v>
                </c:pt>
                <c:pt idx="8">
                  <c:v>18454956651195.207</c:v>
                </c:pt>
                <c:pt idx="9">
                  <c:v>18637627014028.664</c:v>
                </c:pt>
                <c:pt idx="10">
                  <c:v>18820297376862.125</c:v>
                </c:pt>
                <c:pt idx="11">
                  <c:v>18926604970381.32</c:v>
                </c:pt>
                <c:pt idx="12">
                  <c:v>19032912563900.516</c:v>
                </c:pt>
                <c:pt idx="13">
                  <c:v>19139220157419.711</c:v>
                </c:pt>
                <c:pt idx="14">
                  <c:v>19245527750938.906</c:v>
                </c:pt>
                <c:pt idx="15">
                  <c:v>19351835344458.105</c:v>
                </c:pt>
                <c:pt idx="16">
                  <c:v>19424966222590.953</c:v>
                </c:pt>
                <c:pt idx="17">
                  <c:v>19498097100723.797</c:v>
                </c:pt>
                <c:pt idx="18">
                  <c:v>19571227978856.645</c:v>
                </c:pt>
                <c:pt idx="19">
                  <c:v>19644358856989.492</c:v>
                </c:pt>
                <c:pt idx="20">
                  <c:v>19717489735122.336</c:v>
                </c:pt>
                <c:pt idx="21">
                  <c:v>19834856233770.328</c:v>
                </c:pt>
                <c:pt idx="22">
                  <c:v>19922062082067.066</c:v>
                </c:pt>
                <c:pt idx="23">
                  <c:v>20009267930363.832</c:v>
                </c:pt>
                <c:pt idx="24">
                  <c:v>20096473778660.582</c:v>
                </c:pt>
                <c:pt idx="25">
                  <c:v>20183679626957.336</c:v>
                </c:pt>
                <c:pt idx="26">
                  <c:v>20270885475254.074</c:v>
                </c:pt>
                <c:pt idx="27">
                  <c:v>20358091323550.84</c:v>
                </c:pt>
                <c:pt idx="28">
                  <c:v>20445297171847.594</c:v>
                </c:pt>
                <c:pt idx="29">
                  <c:v>20532503020144.348</c:v>
                </c:pt>
                <c:pt idx="30">
                  <c:v>20619708868441.109</c:v>
                </c:pt>
              </c:numCache>
            </c:numRef>
          </c:val>
          <c:smooth val="0"/>
          <c:extLst>
            <c:ext xmlns:c16="http://schemas.microsoft.com/office/drawing/2014/chart" uri="{C3380CC4-5D6E-409C-BE32-E72D297353CC}">
              <c16:uniqueId val="{00000001-8B04-4933-814C-A1F1407CA4DD}"/>
            </c:ext>
          </c:extLst>
        </c:ser>
        <c:ser>
          <c:idx val="2"/>
          <c:order val="2"/>
          <c:tx>
            <c:strRef>
              <c:f>'BIFUbC-coal'!$A$3</c:f>
              <c:strCache>
                <c:ptCount val="1"/>
                <c:pt idx="0">
                  <c:v>coal mining 05</c:v>
                </c:pt>
              </c:strCache>
            </c:strRef>
          </c:tx>
          <c:spPr>
            <a:ln w="28575" cap="rnd">
              <a:solidFill>
                <a:schemeClr val="accent3"/>
              </a:solidFill>
              <a:round/>
            </a:ln>
            <a:effectLst/>
          </c:spPr>
          <c:marker>
            <c:symbol val="none"/>
          </c:marker>
          <c:val>
            <c:numRef>
              <c:f>'BIFUbC-coal'!$B$3:$AF$3</c:f>
              <c:numCache>
                <c:formatCode>0.00E+00</c:formatCode>
                <c:ptCount val="31"/>
                <c:pt idx="0">
                  <c:v>13014713877738.818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8B04-4933-814C-A1F1407CA4DD}"/>
            </c:ext>
          </c:extLst>
        </c:ser>
        <c:ser>
          <c:idx val="3"/>
          <c:order val="3"/>
          <c:tx>
            <c:strRef>
              <c:f>'BIFUbC-coal'!$A$4</c:f>
              <c:strCache>
                <c:ptCount val="1"/>
                <c:pt idx="0">
                  <c:v>oil and gas extraction 06</c:v>
                </c:pt>
              </c:strCache>
            </c:strRef>
          </c:tx>
          <c:spPr>
            <a:ln w="28575" cap="rnd">
              <a:solidFill>
                <a:schemeClr val="accent4"/>
              </a:solidFill>
              <a:round/>
            </a:ln>
            <a:effectLst/>
          </c:spPr>
          <c:marker>
            <c:symbol val="none"/>
          </c:marker>
          <c:val>
            <c:numRef>
              <c:f>'BIFUbC-coal'!$B$4:$AF$4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3-8B04-4933-814C-A1F1407CA4DD}"/>
            </c:ext>
          </c:extLst>
        </c:ser>
        <c:ser>
          <c:idx val="4"/>
          <c:order val="4"/>
          <c:tx>
            <c:strRef>
              <c:f>'BIFUbC-coal'!$A$5</c:f>
              <c:strCache>
                <c:ptCount val="1"/>
                <c:pt idx="0">
                  <c:v>other mining and quarrying 07T08</c:v>
                </c:pt>
              </c:strCache>
            </c:strRef>
          </c:tx>
          <c:spPr>
            <a:ln w="28575" cap="rnd">
              <a:solidFill>
                <a:schemeClr val="accent5"/>
              </a:solidFill>
              <a:round/>
            </a:ln>
            <a:effectLst/>
          </c:spPr>
          <c:marker>
            <c:symbol val="none"/>
          </c:marker>
          <c:val>
            <c:numRef>
              <c:f>'BIFUbC-coal'!$B$5:$AF$5</c:f>
              <c:numCache>
                <c:formatCode>0.00E+00</c:formatCode>
                <c:ptCount val="31"/>
                <c:pt idx="0">
                  <c:v>1122507386093.0371</c:v>
                </c:pt>
                <c:pt idx="1">
                  <c:v>1163757596687.0708</c:v>
                </c:pt>
                <c:pt idx="2">
                  <c:v>1205007807281.1045</c:v>
                </c:pt>
                <c:pt idx="3">
                  <c:v>1246258017875.1384</c:v>
                </c:pt>
                <c:pt idx="4">
                  <c:v>1287508228469.1724</c:v>
                </c:pt>
                <c:pt idx="5">
                  <c:v>1328758439063.2058</c:v>
                </c:pt>
                <c:pt idx="6">
                  <c:v>1339459578292.8596</c:v>
                </c:pt>
                <c:pt idx="7">
                  <c:v>1350160717522.5129</c:v>
                </c:pt>
                <c:pt idx="8">
                  <c:v>1360861856752.1667</c:v>
                </c:pt>
                <c:pt idx="9">
                  <c:v>1371562995981.8201</c:v>
                </c:pt>
                <c:pt idx="10">
                  <c:v>1382264135211.4739</c:v>
                </c:pt>
                <c:pt idx="11">
                  <c:v>1387917567257.3286</c:v>
                </c:pt>
                <c:pt idx="12">
                  <c:v>1393570999303.1831</c:v>
                </c:pt>
                <c:pt idx="13">
                  <c:v>1399224431349.0381</c:v>
                </c:pt>
                <c:pt idx="14">
                  <c:v>1404877863394.8926</c:v>
                </c:pt>
                <c:pt idx="15">
                  <c:v>1410531295440.7473</c:v>
                </c:pt>
                <c:pt idx="16">
                  <c:v>1414569461187.7861</c:v>
                </c:pt>
                <c:pt idx="17">
                  <c:v>1418607626934.8254</c:v>
                </c:pt>
                <c:pt idx="18">
                  <c:v>1422645792681.8645</c:v>
                </c:pt>
                <c:pt idx="19">
                  <c:v>1426683958428.9033</c:v>
                </c:pt>
                <c:pt idx="20">
                  <c:v>1430722124175.9421</c:v>
                </c:pt>
                <c:pt idx="21">
                  <c:v>1436913978321.4031</c:v>
                </c:pt>
                <c:pt idx="22">
                  <c:v>1441637408558.8481</c:v>
                </c:pt>
                <c:pt idx="23">
                  <c:v>1446360838796.2939</c:v>
                </c:pt>
                <c:pt idx="24">
                  <c:v>1451084269033.7397</c:v>
                </c:pt>
                <c:pt idx="25">
                  <c:v>1455807699271.186</c:v>
                </c:pt>
                <c:pt idx="26">
                  <c:v>1460531129508.6304</c:v>
                </c:pt>
                <c:pt idx="27">
                  <c:v>1465254559746.0767</c:v>
                </c:pt>
                <c:pt idx="28">
                  <c:v>1469977989983.5225</c:v>
                </c:pt>
                <c:pt idx="29">
                  <c:v>1474701420220.9683</c:v>
                </c:pt>
                <c:pt idx="30">
                  <c:v>1479424850458.4143</c:v>
                </c:pt>
              </c:numCache>
            </c:numRef>
          </c:val>
          <c:smooth val="0"/>
          <c:extLst>
            <c:ext xmlns:c16="http://schemas.microsoft.com/office/drawing/2014/chart" uri="{C3380CC4-5D6E-409C-BE32-E72D297353CC}">
              <c16:uniqueId val="{00000004-8B04-4933-814C-A1F1407CA4DD}"/>
            </c:ext>
          </c:extLst>
        </c:ser>
        <c:ser>
          <c:idx val="5"/>
          <c:order val="5"/>
          <c:tx>
            <c:strRef>
              <c:f>'BIFUbC-coal'!$A$6</c:f>
              <c:strCache>
                <c:ptCount val="1"/>
                <c:pt idx="0">
                  <c:v>food beverage and tobacco 10T12</c:v>
                </c:pt>
              </c:strCache>
            </c:strRef>
          </c:tx>
          <c:spPr>
            <a:ln w="28575" cap="rnd">
              <a:solidFill>
                <a:schemeClr val="accent6"/>
              </a:solidFill>
              <a:round/>
            </a:ln>
            <a:effectLst/>
          </c:spPr>
          <c:marker>
            <c:symbol val="none"/>
          </c:marker>
          <c:val>
            <c:numRef>
              <c:f>'BIFUbC-coal'!$B$6:$AF$6</c:f>
              <c:numCache>
                <c:formatCode>0.00E+00</c:formatCode>
                <c:ptCount val="31"/>
                <c:pt idx="0">
                  <c:v>10310878715299.299</c:v>
                </c:pt>
                <c:pt idx="1">
                  <c:v>10689785726233.107</c:v>
                </c:pt>
                <c:pt idx="2">
                  <c:v>11068692737166.918</c:v>
                </c:pt>
                <c:pt idx="3">
                  <c:v>11447599748100.729</c:v>
                </c:pt>
                <c:pt idx="4">
                  <c:v>11826506759034.537</c:v>
                </c:pt>
                <c:pt idx="5">
                  <c:v>12205413769968.348</c:v>
                </c:pt>
                <c:pt idx="6">
                  <c:v>12303709914901.992</c:v>
                </c:pt>
                <c:pt idx="7">
                  <c:v>12402006059835.639</c:v>
                </c:pt>
                <c:pt idx="8">
                  <c:v>12500302204769.285</c:v>
                </c:pt>
                <c:pt idx="9">
                  <c:v>12598598349702.93</c:v>
                </c:pt>
                <c:pt idx="10">
                  <c:v>12696894494636.576</c:v>
                </c:pt>
                <c:pt idx="11">
                  <c:v>12748824533469.445</c:v>
                </c:pt>
                <c:pt idx="12">
                  <c:v>12800754572302.314</c:v>
                </c:pt>
                <c:pt idx="13">
                  <c:v>12852684611135.184</c:v>
                </c:pt>
                <c:pt idx="14">
                  <c:v>12904614649968.055</c:v>
                </c:pt>
                <c:pt idx="15">
                  <c:v>12956544688800.926</c:v>
                </c:pt>
                <c:pt idx="16">
                  <c:v>12993637573681.545</c:v>
                </c:pt>
                <c:pt idx="17">
                  <c:v>13030730458562.166</c:v>
                </c:pt>
                <c:pt idx="18">
                  <c:v>13067823343442.785</c:v>
                </c:pt>
                <c:pt idx="19">
                  <c:v>13104916228323.406</c:v>
                </c:pt>
                <c:pt idx="20">
                  <c:v>13142009113204.025</c:v>
                </c:pt>
                <c:pt idx="21">
                  <c:v>13198884870020.99</c:v>
                </c:pt>
                <c:pt idx="22">
                  <c:v>13242272305063.16</c:v>
                </c:pt>
                <c:pt idx="23">
                  <c:v>13285659740105.344</c:v>
                </c:pt>
                <c:pt idx="24">
                  <c:v>13329047175147.527</c:v>
                </c:pt>
                <c:pt idx="25">
                  <c:v>13372434610189.711</c:v>
                </c:pt>
                <c:pt idx="26">
                  <c:v>13415822045231.881</c:v>
                </c:pt>
                <c:pt idx="27">
                  <c:v>13459209480274.066</c:v>
                </c:pt>
                <c:pt idx="28">
                  <c:v>13502596915316.248</c:v>
                </c:pt>
                <c:pt idx="29">
                  <c:v>13545984350358.432</c:v>
                </c:pt>
                <c:pt idx="30">
                  <c:v>13589371785400.615</c:v>
                </c:pt>
              </c:numCache>
            </c:numRef>
          </c:val>
          <c:smooth val="0"/>
          <c:extLst>
            <c:ext xmlns:c16="http://schemas.microsoft.com/office/drawing/2014/chart" uri="{C3380CC4-5D6E-409C-BE32-E72D297353CC}">
              <c16:uniqueId val="{00000005-8B04-4933-814C-A1F1407CA4DD}"/>
            </c:ext>
          </c:extLst>
        </c:ser>
        <c:ser>
          <c:idx val="6"/>
          <c:order val="6"/>
          <c:tx>
            <c:strRef>
              <c:f>'BIFUbC-coal'!$A$7</c:f>
              <c:strCache>
                <c:ptCount val="1"/>
                <c:pt idx="0">
                  <c:v>textiles apparel and leather 13T15</c:v>
                </c:pt>
              </c:strCache>
            </c:strRef>
          </c:tx>
          <c:spPr>
            <a:ln w="28575" cap="rnd">
              <a:solidFill>
                <a:schemeClr val="accent1">
                  <a:lumMod val="60000"/>
                </a:schemeClr>
              </a:solidFill>
              <a:round/>
            </a:ln>
            <a:effectLst/>
          </c:spPr>
          <c:marker>
            <c:symbol val="none"/>
          </c:marker>
          <c:val>
            <c:numRef>
              <c:f>'BIFUbC-coal'!$B$7:$AF$7</c:f>
              <c:numCache>
                <c:formatCode>0.00E+00</c:formatCode>
                <c:ptCount val="31"/>
                <c:pt idx="0">
                  <c:v>21987527939570.906</c:v>
                </c:pt>
                <c:pt idx="1">
                  <c:v>23642627281034.305</c:v>
                </c:pt>
                <c:pt idx="2">
                  <c:v>25297726622497.699</c:v>
                </c:pt>
                <c:pt idx="3">
                  <c:v>26952825963961.094</c:v>
                </c:pt>
                <c:pt idx="4">
                  <c:v>28607925305424.484</c:v>
                </c:pt>
                <c:pt idx="5">
                  <c:v>30263024646887.887</c:v>
                </c:pt>
                <c:pt idx="6">
                  <c:v>30830689984392.703</c:v>
                </c:pt>
                <c:pt idx="7">
                  <c:v>31398355321897.535</c:v>
                </c:pt>
                <c:pt idx="8">
                  <c:v>31966020659402.367</c:v>
                </c:pt>
                <c:pt idx="9">
                  <c:v>32533685996907.203</c:v>
                </c:pt>
                <c:pt idx="10">
                  <c:v>33101351334412.039</c:v>
                </c:pt>
                <c:pt idx="11">
                  <c:v>33483821299141.563</c:v>
                </c:pt>
                <c:pt idx="12">
                  <c:v>33866291263871.09</c:v>
                </c:pt>
                <c:pt idx="13">
                  <c:v>34248761228600.609</c:v>
                </c:pt>
                <c:pt idx="14">
                  <c:v>34631231193330.141</c:v>
                </c:pt>
                <c:pt idx="15">
                  <c:v>35013701158059.672</c:v>
                </c:pt>
                <c:pt idx="16">
                  <c:v>35263281940721.367</c:v>
                </c:pt>
                <c:pt idx="17">
                  <c:v>35512862723383.07</c:v>
                </c:pt>
                <c:pt idx="18">
                  <c:v>35762443506044.766</c:v>
                </c:pt>
                <c:pt idx="19">
                  <c:v>36012024288706.477</c:v>
                </c:pt>
                <c:pt idx="20">
                  <c:v>36261605071368.172</c:v>
                </c:pt>
                <c:pt idx="21">
                  <c:v>36688371430120.313</c:v>
                </c:pt>
                <c:pt idx="22">
                  <c:v>36994329441538.031</c:v>
                </c:pt>
                <c:pt idx="23">
                  <c:v>37300287452955.852</c:v>
                </c:pt>
                <c:pt idx="24">
                  <c:v>37606245464373.578</c:v>
                </c:pt>
                <c:pt idx="25">
                  <c:v>37912203475791.305</c:v>
                </c:pt>
                <c:pt idx="26">
                  <c:v>38218161487209.016</c:v>
                </c:pt>
                <c:pt idx="27">
                  <c:v>38524119498626.844</c:v>
                </c:pt>
                <c:pt idx="28">
                  <c:v>38830077510044.563</c:v>
                </c:pt>
                <c:pt idx="29">
                  <c:v>39136035521462.289</c:v>
                </c:pt>
                <c:pt idx="30">
                  <c:v>39441993532880.109</c:v>
                </c:pt>
              </c:numCache>
            </c:numRef>
          </c:val>
          <c:smooth val="0"/>
          <c:extLst>
            <c:ext xmlns:c16="http://schemas.microsoft.com/office/drawing/2014/chart" uri="{C3380CC4-5D6E-409C-BE32-E72D297353CC}">
              <c16:uniqueId val="{00000006-8B04-4933-814C-A1F1407CA4DD}"/>
            </c:ext>
          </c:extLst>
        </c:ser>
        <c:ser>
          <c:idx val="7"/>
          <c:order val="7"/>
          <c:tx>
            <c:strRef>
              <c:f>'BIFUbC-coal'!$A$8</c:f>
              <c:strCache>
                <c:ptCount val="1"/>
                <c:pt idx="0">
                  <c:v>wood products 16</c:v>
                </c:pt>
              </c:strCache>
            </c:strRef>
          </c:tx>
          <c:spPr>
            <a:ln w="28575" cap="rnd">
              <a:solidFill>
                <a:schemeClr val="accent2">
                  <a:lumMod val="60000"/>
                </a:schemeClr>
              </a:solidFill>
              <a:round/>
            </a:ln>
            <a:effectLst/>
          </c:spPr>
          <c:marker>
            <c:symbol val="none"/>
          </c:marker>
          <c:val>
            <c:numRef>
              <c:f>'BIFUbC-coal'!$B$8:$AF$8</c:f>
              <c:numCache>
                <c:formatCode>0.00E+00</c:formatCode>
                <c:ptCount val="31"/>
                <c:pt idx="0">
                  <c:v>1304540101677.2446</c:v>
                </c:pt>
                <c:pt idx="1">
                  <c:v>1352479700640.4612</c:v>
                </c:pt>
                <c:pt idx="2">
                  <c:v>1400419299603.6775</c:v>
                </c:pt>
                <c:pt idx="3">
                  <c:v>1448358898566.8938</c:v>
                </c:pt>
                <c:pt idx="4">
                  <c:v>1496298497530.1104</c:v>
                </c:pt>
                <c:pt idx="5">
                  <c:v>1544238096493.3269</c:v>
                </c:pt>
                <c:pt idx="6">
                  <c:v>1556674598410.0791</c:v>
                </c:pt>
                <c:pt idx="7">
                  <c:v>1569111100326.8315</c:v>
                </c:pt>
                <c:pt idx="8">
                  <c:v>1581547602243.5837</c:v>
                </c:pt>
                <c:pt idx="9">
                  <c:v>1593984104160.3357</c:v>
                </c:pt>
                <c:pt idx="10">
                  <c:v>1606420606077.0881</c:v>
                </c:pt>
                <c:pt idx="11">
                  <c:v>1612990833504.8062</c:v>
                </c:pt>
                <c:pt idx="12">
                  <c:v>1619561060932.5244</c:v>
                </c:pt>
                <c:pt idx="13">
                  <c:v>1626131288360.2424</c:v>
                </c:pt>
                <c:pt idx="14">
                  <c:v>1632701515787.9607</c:v>
                </c:pt>
                <c:pt idx="15">
                  <c:v>1639271743215.679</c:v>
                </c:pt>
                <c:pt idx="16">
                  <c:v>1643964762806.906</c:v>
                </c:pt>
                <c:pt idx="17">
                  <c:v>1648657782398.1333</c:v>
                </c:pt>
                <c:pt idx="18">
                  <c:v>1653350801989.3606</c:v>
                </c:pt>
                <c:pt idx="19">
                  <c:v>1658043821580.5876</c:v>
                </c:pt>
                <c:pt idx="20">
                  <c:v>1662736841171.8147</c:v>
                </c:pt>
                <c:pt idx="21">
                  <c:v>1669932804545.0313</c:v>
                </c:pt>
                <c:pt idx="22">
                  <c:v>1675422215339.6169</c:v>
                </c:pt>
                <c:pt idx="23">
                  <c:v>1680911626134.2043</c:v>
                </c:pt>
                <c:pt idx="24">
                  <c:v>1686401036928.7917</c:v>
                </c:pt>
                <c:pt idx="25">
                  <c:v>1691890447723.3792</c:v>
                </c:pt>
                <c:pt idx="26">
                  <c:v>1697379858517.9648</c:v>
                </c:pt>
                <c:pt idx="27">
                  <c:v>1702869269312.5522</c:v>
                </c:pt>
                <c:pt idx="28">
                  <c:v>1708358680107.1396</c:v>
                </c:pt>
                <c:pt idx="29">
                  <c:v>1713848090901.7268</c:v>
                </c:pt>
                <c:pt idx="30">
                  <c:v>1719337501696.3142</c:v>
                </c:pt>
              </c:numCache>
            </c:numRef>
          </c:val>
          <c:smooth val="0"/>
          <c:extLst>
            <c:ext xmlns:c16="http://schemas.microsoft.com/office/drawing/2014/chart" uri="{C3380CC4-5D6E-409C-BE32-E72D297353CC}">
              <c16:uniqueId val="{00000007-8B04-4933-814C-A1F1407CA4DD}"/>
            </c:ext>
          </c:extLst>
        </c:ser>
        <c:ser>
          <c:idx val="8"/>
          <c:order val="8"/>
          <c:tx>
            <c:strRef>
              <c:f>'BIFUbC-coal'!$A$9</c:f>
              <c:strCache>
                <c:ptCount val="1"/>
                <c:pt idx="0">
                  <c:v>pulp paper and printing 17T18</c:v>
                </c:pt>
              </c:strCache>
            </c:strRef>
          </c:tx>
          <c:spPr>
            <a:ln w="28575" cap="rnd">
              <a:solidFill>
                <a:schemeClr val="accent3">
                  <a:lumMod val="60000"/>
                </a:schemeClr>
              </a:solidFill>
              <a:round/>
            </a:ln>
            <a:effectLst/>
          </c:spPr>
          <c:marker>
            <c:symbol val="none"/>
          </c:marker>
          <c:val>
            <c:numRef>
              <c:f>'BIFUbC-coal'!$B$9:$AF$9</c:f>
              <c:numCache>
                <c:formatCode>0.00E+00</c:formatCode>
                <c:ptCount val="31"/>
                <c:pt idx="0">
                  <c:v>7447696057752.4131</c:v>
                </c:pt>
                <c:pt idx="1">
                  <c:v>7721386043786.2158</c:v>
                </c:pt>
                <c:pt idx="2">
                  <c:v>7995076029820.0156</c:v>
                </c:pt>
                <c:pt idx="3">
                  <c:v>8268766015853.8174</c:v>
                </c:pt>
                <c:pt idx="4">
                  <c:v>8542456001887.6191</c:v>
                </c:pt>
                <c:pt idx="5">
                  <c:v>8816145987921.418</c:v>
                </c:pt>
                <c:pt idx="6">
                  <c:v>8887146707775.5215</c:v>
                </c:pt>
                <c:pt idx="7">
                  <c:v>8958147427629.6211</c:v>
                </c:pt>
                <c:pt idx="8">
                  <c:v>9029148147483.7227</c:v>
                </c:pt>
                <c:pt idx="9">
                  <c:v>9100148867337.8223</c:v>
                </c:pt>
                <c:pt idx="10">
                  <c:v>9171149587191.9238</c:v>
                </c:pt>
                <c:pt idx="11">
                  <c:v>9208659401454.4668</c:v>
                </c:pt>
                <c:pt idx="12">
                  <c:v>9246169215717.0117</c:v>
                </c:pt>
                <c:pt idx="13">
                  <c:v>9283679029979.5547</c:v>
                </c:pt>
                <c:pt idx="14">
                  <c:v>9321188844242.0977</c:v>
                </c:pt>
                <c:pt idx="15">
                  <c:v>9358698658504.6426</c:v>
                </c:pt>
                <c:pt idx="16">
                  <c:v>9385491382977.8848</c:v>
                </c:pt>
                <c:pt idx="17">
                  <c:v>9412284107451.1328</c:v>
                </c:pt>
                <c:pt idx="18">
                  <c:v>9439076831924.3789</c:v>
                </c:pt>
                <c:pt idx="19">
                  <c:v>9465869556397.623</c:v>
                </c:pt>
                <c:pt idx="20">
                  <c:v>9492662280870.8652</c:v>
                </c:pt>
                <c:pt idx="21">
                  <c:v>9533744458396.5176</c:v>
                </c:pt>
                <c:pt idx="22">
                  <c:v>9565083827022.791</c:v>
                </c:pt>
                <c:pt idx="23">
                  <c:v>9596423195649.0762</c:v>
                </c:pt>
                <c:pt idx="24">
                  <c:v>9627762564275.3574</c:v>
                </c:pt>
                <c:pt idx="25">
                  <c:v>9659101932901.6406</c:v>
                </c:pt>
                <c:pt idx="26">
                  <c:v>9690441301527.916</c:v>
                </c:pt>
                <c:pt idx="27">
                  <c:v>9721780670154.1973</c:v>
                </c:pt>
                <c:pt idx="28">
                  <c:v>9753120038780.4805</c:v>
                </c:pt>
                <c:pt idx="29">
                  <c:v>9784459407406.7617</c:v>
                </c:pt>
                <c:pt idx="30">
                  <c:v>9815798776033.0469</c:v>
                </c:pt>
              </c:numCache>
            </c:numRef>
          </c:val>
          <c:smooth val="0"/>
          <c:extLst>
            <c:ext xmlns:c16="http://schemas.microsoft.com/office/drawing/2014/chart" uri="{C3380CC4-5D6E-409C-BE32-E72D297353CC}">
              <c16:uniqueId val="{00000008-8B04-4933-814C-A1F1407CA4DD}"/>
            </c:ext>
          </c:extLst>
        </c:ser>
        <c:ser>
          <c:idx val="9"/>
          <c:order val="9"/>
          <c:tx>
            <c:strRef>
              <c:f>'BIFUbC-coal'!$A$10</c:f>
              <c:strCache>
                <c:ptCount val="1"/>
                <c:pt idx="0">
                  <c:v>refined petroleum and coke 19</c:v>
                </c:pt>
              </c:strCache>
            </c:strRef>
          </c:tx>
          <c:spPr>
            <a:ln w="28575" cap="rnd">
              <a:solidFill>
                <a:schemeClr val="accent4">
                  <a:lumMod val="60000"/>
                </a:schemeClr>
              </a:solidFill>
              <a:round/>
            </a:ln>
            <a:effectLst/>
          </c:spPr>
          <c:marker>
            <c:symbol val="none"/>
          </c:marker>
          <c:val>
            <c:numRef>
              <c:f>'BIFUbC-coal'!$B$10:$AF$10</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9-8B04-4933-814C-A1F1407CA4DD}"/>
            </c:ext>
          </c:extLst>
        </c:ser>
        <c:ser>
          <c:idx val="10"/>
          <c:order val="10"/>
          <c:tx>
            <c:strRef>
              <c:f>'BIFUbC-coal'!$A$11</c:f>
              <c:strCache>
                <c:ptCount val="1"/>
                <c:pt idx="0">
                  <c:v>chemicals 20</c:v>
                </c:pt>
              </c:strCache>
            </c:strRef>
          </c:tx>
          <c:spPr>
            <a:ln w="28575" cap="rnd">
              <a:solidFill>
                <a:schemeClr val="accent5">
                  <a:lumMod val="60000"/>
                </a:schemeClr>
              </a:solidFill>
              <a:round/>
            </a:ln>
            <a:effectLst/>
          </c:spPr>
          <c:marker>
            <c:symbol val="none"/>
          </c:marker>
          <c:val>
            <c:numRef>
              <c:f>'BIFUbC-coal'!$B$11:$AF$11</c:f>
              <c:numCache>
                <c:formatCode>0.00E+00</c:formatCode>
                <c:ptCount val="31"/>
                <c:pt idx="0">
                  <c:v>30538012799198.793</c:v>
                </c:pt>
                <c:pt idx="1">
                  <c:v>28245505736073.109</c:v>
                </c:pt>
                <c:pt idx="2">
                  <c:v>26865151149093.371</c:v>
                </c:pt>
                <c:pt idx="3">
                  <c:v>25237360607640.785</c:v>
                </c:pt>
                <c:pt idx="4">
                  <c:v>24617494801740.168</c:v>
                </c:pt>
                <c:pt idx="5">
                  <c:v>24349651286857.98</c:v>
                </c:pt>
                <c:pt idx="6">
                  <c:v>24042136253385.301</c:v>
                </c:pt>
                <c:pt idx="7">
                  <c:v>23695362512141.578</c:v>
                </c:pt>
                <c:pt idx="8">
                  <c:v>23306700299686.73</c:v>
                </c:pt>
                <c:pt idx="9">
                  <c:v>22548060704397.082</c:v>
                </c:pt>
                <c:pt idx="10">
                  <c:v>21758088853991.613</c:v>
                </c:pt>
                <c:pt idx="11">
                  <c:v>21600773823242.469</c:v>
                </c:pt>
                <c:pt idx="12">
                  <c:v>21442987881031.008</c:v>
                </c:pt>
                <c:pt idx="13">
                  <c:v>21284722975842.289</c:v>
                </c:pt>
                <c:pt idx="14">
                  <c:v>21125970821605.504</c:v>
                </c:pt>
                <c:pt idx="15">
                  <c:v>20658419281705.387</c:v>
                </c:pt>
                <c:pt idx="16">
                  <c:v>20583122513470.391</c:v>
                </c:pt>
                <c:pt idx="17">
                  <c:v>20507825745235.406</c:v>
                </c:pt>
                <c:pt idx="18">
                  <c:v>20432528977000.41</c:v>
                </c:pt>
                <c:pt idx="19">
                  <c:v>20357232208765.426</c:v>
                </c:pt>
                <c:pt idx="20">
                  <c:v>20281935440530.414</c:v>
                </c:pt>
                <c:pt idx="21">
                  <c:v>20231034077304.188</c:v>
                </c:pt>
                <c:pt idx="22">
                  <c:v>20180132714077.961</c:v>
                </c:pt>
                <c:pt idx="23">
                  <c:v>20129231350851.738</c:v>
                </c:pt>
                <c:pt idx="24">
                  <c:v>20078329987625.512</c:v>
                </c:pt>
                <c:pt idx="25">
                  <c:v>20027428624399.281</c:v>
                </c:pt>
                <c:pt idx="26">
                  <c:v>19976527261173.059</c:v>
                </c:pt>
                <c:pt idx="27">
                  <c:v>19925625897946.836</c:v>
                </c:pt>
                <c:pt idx="28">
                  <c:v>19874724534720.605</c:v>
                </c:pt>
                <c:pt idx="29">
                  <c:v>19823823171494.379</c:v>
                </c:pt>
                <c:pt idx="30">
                  <c:v>19772921808268.141</c:v>
                </c:pt>
              </c:numCache>
            </c:numRef>
          </c:val>
          <c:smooth val="0"/>
          <c:extLst>
            <c:ext xmlns:c16="http://schemas.microsoft.com/office/drawing/2014/chart" uri="{C3380CC4-5D6E-409C-BE32-E72D297353CC}">
              <c16:uniqueId val="{0000000A-8B04-4933-814C-A1F1407CA4DD}"/>
            </c:ext>
          </c:extLst>
        </c:ser>
        <c:ser>
          <c:idx val="11"/>
          <c:order val="11"/>
          <c:tx>
            <c:strRef>
              <c:f>'BIFUbC-coal'!$A$12</c:f>
              <c:strCache>
                <c:ptCount val="1"/>
                <c:pt idx="0">
                  <c:v>rubber and plastic products 22</c:v>
                </c:pt>
              </c:strCache>
            </c:strRef>
          </c:tx>
          <c:spPr>
            <a:ln w="28575" cap="rnd">
              <a:solidFill>
                <a:schemeClr val="accent6">
                  <a:lumMod val="60000"/>
                </a:schemeClr>
              </a:solidFill>
              <a:round/>
            </a:ln>
            <a:effectLst/>
          </c:spPr>
          <c:marker>
            <c:symbol val="none"/>
          </c:marker>
          <c:val>
            <c:numRef>
              <c:f>'BIFUbC-coal'!$B$12:$AF$12</c:f>
              <c:numCache>
                <c:formatCode>0.00E+00</c:formatCode>
                <c:ptCount val="31"/>
                <c:pt idx="0">
                  <c:v>26347609779096.238</c:v>
                </c:pt>
                <c:pt idx="1">
                  <c:v>24685694492301.664</c:v>
                </c:pt>
                <c:pt idx="2">
                  <c:v>23479307467632.07</c:v>
                </c:pt>
                <c:pt idx="3">
                  <c:v>22056669106002.816</c:v>
                </c:pt>
                <c:pt idx="4">
                  <c:v>21514925649409.484</c:v>
                </c:pt>
                <c:pt idx="5">
                  <c:v>21280838738666.66</c:v>
                </c:pt>
                <c:pt idx="6">
                  <c:v>21012080153175.965</c:v>
                </c:pt>
                <c:pt idx="7">
                  <c:v>20709010676768.523</c:v>
                </c:pt>
                <c:pt idx="8">
                  <c:v>20369331977898.238</c:v>
                </c:pt>
                <c:pt idx="9">
                  <c:v>19583386438655.094</c:v>
                </c:pt>
                <c:pt idx="10">
                  <c:v>18775182126559.355</c:v>
                </c:pt>
                <c:pt idx="11">
                  <c:v>18639434066452.563</c:v>
                </c:pt>
                <c:pt idx="12">
                  <c:v>18503279654090.777</c:v>
                </c:pt>
                <c:pt idx="13">
                  <c:v>18366711941774.637</c:v>
                </c:pt>
                <c:pt idx="14">
                  <c:v>18229723779405.195</c:v>
                </c:pt>
                <c:pt idx="15">
                  <c:v>17706881726718.148</c:v>
                </c:pt>
                <c:pt idx="16">
                  <c:v>17618189884779.109</c:v>
                </c:pt>
                <c:pt idx="17">
                  <c:v>17529498042840.092</c:v>
                </c:pt>
                <c:pt idx="18">
                  <c:v>17440806200901.061</c:v>
                </c:pt>
                <c:pt idx="19">
                  <c:v>17352114358962.027</c:v>
                </c:pt>
                <c:pt idx="20">
                  <c:v>17263422517022.977</c:v>
                </c:pt>
                <c:pt idx="21">
                  <c:v>17207961058105.795</c:v>
                </c:pt>
                <c:pt idx="22">
                  <c:v>17152499599188.615</c:v>
                </c:pt>
                <c:pt idx="23">
                  <c:v>17097038140271.436</c:v>
                </c:pt>
                <c:pt idx="24">
                  <c:v>17041576681354.254</c:v>
                </c:pt>
                <c:pt idx="25">
                  <c:v>16986115222437.07</c:v>
                </c:pt>
                <c:pt idx="26">
                  <c:v>16930653763519.891</c:v>
                </c:pt>
                <c:pt idx="27">
                  <c:v>16875192304602.709</c:v>
                </c:pt>
                <c:pt idx="28">
                  <c:v>16819730845685.527</c:v>
                </c:pt>
                <c:pt idx="29">
                  <c:v>16764269386768.346</c:v>
                </c:pt>
                <c:pt idx="30">
                  <c:v>16708807927851.156</c:v>
                </c:pt>
              </c:numCache>
            </c:numRef>
          </c:val>
          <c:smooth val="0"/>
          <c:extLst>
            <c:ext xmlns:c16="http://schemas.microsoft.com/office/drawing/2014/chart" uri="{C3380CC4-5D6E-409C-BE32-E72D297353CC}">
              <c16:uniqueId val="{0000000B-8B04-4933-814C-A1F1407CA4DD}"/>
            </c:ext>
          </c:extLst>
        </c:ser>
        <c:ser>
          <c:idx val="12"/>
          <c:order val="12"/>
          <c:tx>
            <c:strRef>
              <c:f>'BIFUbC-coal'!$A$13</c:f>
              <c:strCache>
                <c:ptCount val="1"/>
                <c:pt idx="0">
                  <c:v>glass and glass products 231</c:v>
                </c:pt>
              </c:strCache>
            </c:strRef>
          </c:tx>
          <c:spPr>
            <a:ln w="28575" cap="rnd">
              <a:solidFill>
                <a:schemeClr val="accent1">
                  <a:lumMod val="80000"/>
                  <a:lumOff val="20000"/>
                </a:schemeClr>
              </a:solidFill>
              <a:round/>
            </a:ln>
            <a:effectLst/>
          </c:spPr>
          <c:marker>
            <c:symbol val="none"/>
          </c:marker>
          <c:val>
            <c:numRef>
              <c:f>'BIFUbC-coal'!$B$13:$AF$13</c:f>
              <c:numCache>
                <c:formatCode>0.00E+00</c:formatCode>
                <c:ptCount val="31"/>
                <c:pt idx="0">
                  <c:v>2504881200512.1089</c:v>
                </c:pt>
                <c:pt idx="1">
                  <c:v>2596931264782.7739</c:v>
                </c:pt>
                <c:pt idx="2">
                  <c:v>2688981329053.439</c:v>
                </c:pt>
                <c:pt idx="3">
                  <c:v>2781031393324.104</c:v>
                </c:pt>
                <c:pt idx="4">
                  <c:v>2873081457594.7695</c:v>
                </c:pt>
                <c:pt idx="5">
                  <c:v>2965131521865.4351</c:v>
                </c:pt>
                <c:pt idx="6">
                  <c:v>2989011170955.0674</c:v>
                </c:pt>
                <c:pt idx="7">
                  <c:v>3012890820044.6997</c:v>
                </c:pt>
                <c:pt idx="8">
                  <c:v>3036770469134.332</c:v>
                </c:pt>
                <c:pt idx="9">
                  <c:v>3060650118223.9639</c:v>
                </c:pt>
                <c:pt idx="10">
                  <c:v>3084529767313.5952</c:v>
                </c:pt>
                <c:pt idx="11">
                  <c:v>3097145430983.5898</c:v>
                </c:pt>
                <c:pt idx="12">
                  <c:v>3109761094653.5845</c:v>
                </c:pt>
                <c:pt idx="13">
                  <c:v>3122376758323.5786</c:v>
                </c:pt>
                <c:pt idx="14">
                  <c:v>3134992421993.5723</c:v>
                </c:pt>
                <c:pt idx="15">
                  <c:v>3147608085663.5674</c:v>
                </c:pt>
                <c:pt idx="16">
                  <c:v>3156619273999.2769</c:v>
                </c:pt>
                <c:pt idx="17">
                  <c:v>3165630462334.9873</c:v>
                </c:pt>
                <c:pt idx="18">
                  <c:v>3174641650670.6973</c:v>
                </c:pt>
                <c:pt idx="19">
                  <c:v>3183652839006.4077</c:v>
                </c:pt>
                <c:pt idx="20">
                  <c:v>3192664027342.1172</c:v>
                </c:pt>
                <c:pt idx="21">
                  <c:v>3206481182790.2085</c:v>
                </c:pt>
                <c:pt idx="22">
                  <c:v>3217021542479.855</c:v>
                </c:pt>
                <c:pt idx="23">
                  <c:v>3227561902169.5044</c:v>
                </c:pt>
                <c:pt idx="24">
                  <c:v>3238102261859.1543</c:v>
                </c:pt>
                <c:pt idx="25">
                  <c:v>3248642621548.8037</c:v>
                </c:pt>
                <c:pt idx="26">
                  <c:v>3259182981238.4502</c:v>
                </c:pt>
                <c:pt idx="27">
                  <c:v>3269723340928.0996</c:v>
                </c:pt>
                <c:pt idx="28">
                  <c:v>3280263700617.749</c:v>
                </c:pt>
                <c:pt idx="29">
                  <c:v>3290804060307.3984</c:v>
                </c:pt>
                <c:pt idx="30">
                  <c:v>3301344419997.0479</c:v>
                </c:pt>
              </c:numCache>
            </c:numRef>
          </c:val>
          <c:smooth val="0"/>
          <c:extLst>
            <c:ext xmlns:c16="http://schemas.microsoft.com/office/drawing/2014/chart" uri="{C3380CC4-5D6E-409C-BE32-E72D297353CC}">
              <c16:uniqueId val="{0000000C-8B04-4933-814C-A1F1407CA4DD}"/>
            </c:ext>
          </c:extLst>
        </c:ser>
        <c:ser>
          <c:idx val="13"/>
          <c:order val="13"/>
          <c:tx>
            <c:strRef>
              <c:f>'BIFUbC-coal'!$A$14</c:f>
              <c:strCache>
                <c:ptCount val="1"/>
                <c:pt idx="0">
                  <c:v>cement and other nonmetallic minerals 239</c:v>
                </c:pt>
              </c:strCache>
            </c:strRef>
          </c:tx>
          <c:spPr>
            <a:ln w="28575" cap="rnd">
              <a:solidFill>
                <a:schemeClr val="accent2">
                  <a:lumMod val="80000"/>
                  <a:lumOff val="20000"/>
                </a:schemeClr>
              </a:solidFill>
              <a:round/>
            </a:ln>
            <a:effectLst/>
          </c:spPr>
          <c:marker>
            <c:symbol val="none"/>
          </c:marker>
          <c:val>
            <c:numRef>
              <c:f>'BIFUbC-coal'!$B$14:$AF$14</c:f>
              <c:numCache>
                <c:formatCode>0.00E+00</c:formatCode>
                <c:ptCount val="31"/>
                <c:pt idx="0">
                  <c:v>78365143230836.656</c:v>
                </c:pt>
                <c:pt idx="1">
                  <c:v>85537660370790.688</c:v>
                </c:pt>
                <c:pt idx="2">
                  <c:v>92710177510744.719</c:v>
                </c:pt>
                <c:pt idx="3">
                  <c:v>99882694650698.75</c:v>
                </c:pt>
                <c:pt idx="4">
                  <c:v>107055211790652.78</c:v>
                </c:pt>
                <c:pt idx="5">
                  <c:v>114227728930606.81</c:v>
                </c:pt>
                <c:pt idx="6">
                  <c:v>116789268043015.61</c:v>
                </c:pt>
                <c:pt idx="7">
                  <c:v>119350807155424.47</c:v>
                </c:pt>
                <c:pt idx="8">
                  <c:v>121912346267833.33</c:v>
                </c:pt>
                <c:pt idx="9">
                  <c:v>124473885380242.19</c:v>
                </c:pt>
                <c:pt idx="10">
                  <c:v>127035424492651.06</c:v>
                </c:pt>
                <c:pt idx="11">
                  <c:v>128807127915575.22</c:v>
                </c:pt>
                <c:pt idx="12">
                  <c:v>130578831338499.38</c:v>
                </c:pt>
                <c:pt idx="13">
                  <c:v>132350534761423.55</c:v>
                </c:pt>
                <c:pt idx="14">
                  <c:v>134122238184347.7</c:v>
                </c:pt>
                <c:pt idx="15">
                  <c:v>135893941607271.91</c:v>
                </c:pt>
                <c:pt idx="16">
                  <c:v>137039787866347.5</c:v>
                </c:pt>
                <c:pt idx="17">
                  <c:v>138185634125423.14</c:v>
                </c:pt>
                <c:pt idx="18">
                  <c:v>139331480384498.78</c:v>
                </c:pt>
                <c:pt idx="19">
                  <c:v>140477326643574.42</c:v>
                </c:pt>
                <c:pt idx="20">
                  <c:v>141623172902650.03</c:v>
                </c:pt>
                <c:pt idx="21">
                  <c:v>143603495380190.41</c:v>
                </c:pt>
                <c:pt idx="22">
                  <c:v>145014856799686.5</c:v>
                </c:pt>
                <c:pt idx="23">
                  <c:v>146426218219183.06</c:v>
                </c:pt>
                <c:pt idx="24">
                  <c:v>147837579638679.16</c:v>
                </c:pt>
                <c:pt idx="25">
                  <c:v>149248941058175.25</c:v>
                </c:pt>
                <c:pt idx="26">
                  <c:v>150660302477671.34</c:v>
                </c:pt>
                <c:pt idx="27">
                  <c:v>152071663897167.91</c:v>
                </c:pt>
                <c:pt idx="28">
                  <c:v>153483025316664.03</c:v>
                </c:pt>
                <c:pt idx="29">
                  <c:v>154894386736160.13</c:v>
                </c:pt>
                <c:pt idx="30">
                  <c:v>156305748155656.66</c:v>
                </c:pt>
              </c:numCache>
            </c:numRef>
          </c:val>
          <c:smooth val="0"/>
          <c:extLst>
            <c:ext xmlns:c16="http://schemas.microsoft.com/office/drawing/2014/chart" uri="{C3380CC4-5D6E-409C-BE32-E72D297353CC}">
              <c16:uniqueId val="{0000000D-8B04-4933-814C-A1F1407CA4DD}"/>
            </c:ext>
          </c:extLst>
        </c:ser>
        <c:ser>
          <c:idx val="14"/>
          <c:order val="14"/>
          <c:tx>
            <c:strRef>
              <c:f>'BIFUbC-coal'!$A$15</c:f>
              <c:strCache>
                <c:ptCount val="1"/>
                <c:pt idx="0">
                  <c:v>iron and steel 241</c:v>
                </c:pt>
              </c:strCache>
            </c:strRef>
          </c:tx>
          <c:spPr>
            <a:ln w="28575" cap="rnd">
              <a:solidFill>
                <a:schemeClr val="accent3">
                  <a:lumMod val="80000"/>
                  <a:lumOff val="20000"/>
                </a:schemeClr>
              </a:solidFill>
              <a:round/>
            </a:ln>
            <a:effectLst/>
          </c:spPr>
          <c:marker>
            <c:symbol val="none"/>
          </c:marker>
          <c:val>
            <c:numRef>
              <c:f>'BIFUbC-coal'!$B$15:$AF$15</c:f>
              <c:numCache>
                <c:formatCode>0.00E+00</c:formatCode>
                <c:ptCount val="31"/>
                <c:pt idx="0">
                  <c:v>760782019909150.75</c:v>
                </c:pt>
                <c:pt idx="1">
                  <c:v>790475736751233.63</c:v>
                </c:pt>
                <c:pt idx="2">
                  <c:v>728941086028557.75</c:v>
                </c:pt>
                <c:pt idx="3">
                  <c:v>732379530664296.88</c:v>
                </c:pt>
                <c:pt idx="4">
                  <c:v>732657428802675.13</c:v>
                </c:pt>
                <c:pt idx="5">
                  <c:v>732657428802675.13</c:v>
                </c:pt>
                <c:pt idx="6">
                  <c:v>732657428802675.13</c:v>
                </c:pt>
                <c:pt idx="7">
                  <c:v>655586099764412.88</c:v>
                </c:pt>
                <c:pt idx="8">
                  <c:v>602430071990000.25</c:v>
                </c:pt>
                <c:pt idx="9">
                  <c:v>588511571764796.38</c:v>
                </c:pt>
                <c:pt idx="10">
                  <c:v>604730407764383.38</c:v>
                </c:pt>
                <c:pt idx="11">
                  <c:v>534361266535055.44</c:v>
                </c:pt>
                <c:pt idx="12">
                  <c:v>535507794206701.69</c:v>
                </c:pt>
                <c:pt idx="13">
                  <c:v>538766041897019.56</c:v>
                </c:pt>
                <c:pt idx="14">
                  <c:v>467403700194924.88</c:v>
                </c:pt>
                <c:pt idx="15">
                  <c:v>477919276575907.63</c:v>
                </c:pt>
                <c:pt idx="16">
                  <c:v>477919276575907.63</c:v>
                </c:pt>
                <c:pt idx="17">
                  <c:v>477919276575907.63</c:v>
                </c:pt>
                <c:pt idx="18">
                  <c:v>429939767172850.13</c:v>
                </c:pt>
                <c:pt idx="19">
                  <c:v>251474977346122.56</c:v>
                </c:pt>
                <c:pt idx="20">
                  <c:v>256905390163318.94</c:v>
                </c:pt>
                <c:pt idx="21">
                  <c:v>186468087826085.59</c:v>
                </c:pt>
                <c:pt idx="22">
                  <c:v>122962401585914.53</c:v>
                </c:pt>
                <c:pt idx="23">
                  <c:v>53683172009091.219</c:v>
                </c:pt>
                <c:pt idx="24">
                  <c:v>53683172009091.219</c:v>
                </c:pt>
                <c:pt idx="25">
                  <c:v>55855337135969.789</c:v>
                </c:pt>
                <c:pt idx="26">
                  <c:v>55855337135969.789</c:v>
                </c:pt>
                <c:pt idx="27">
                  <c:v>59113584826287.617</c:v>
                </c:pt>
                <c:pt idx="28">
                  <c:v>59113584826287.617</c:v>
                </c:pt>
                <c:pt idx="29">
                  <c:v>59113584826287.617</c:v>
                </c:pt>
                <c:pt idx="30">
                  <c:v>59113584826287.617</c:v>
                </c:pt>
              </c:numCache>
            </c:numRef>
          </c:val>
          <c:smooth val="0"/>
          <c:extLst>
            <c:ext xmlns:c16="http://schemas.microsoft.com/office/drawing/2014/chart" uri="{C3380CC4-5D6E-409C-BE32-E72D297353CC}">
              <c16:uniqueId val="{0000000E-8B04-4933-814C-A1F1407CA4DD}"/>
            </c:ext>
          </c:extLst>
        </c:ser>
        <c:ser>
          <c:idx val="15"/>
          <c:order val="15"/>
          <c:tx>
            <c:strRef>
              <c:f>'BIFUbC-coal'!$A$16</c:f>
              <c:strCache>
                <c:ptCount val="1"/>
                <c:pt idx="0">
                  <c:v>other metals 242</c:v>
                </c:pt>
              </c:strCache>
            </c:strRef>
          </c:tx>
          <c:spPr>
            <a:ln w="28575" cap="rnd">
              <a:solidFill>
                <a:schemeClr val="accent4">
                  <a:lumMod val="80000"/>
                  <a:lumOff val="20000"/>
                </a:schemeClr>
              </a:solidFill>
              <a:round/>
            </a:ln>
            <a:effectLst/>
          </c:spPr>
          <c:marker>
            <c:symbol val="none"/>
          </c:marker>
          <c:val>
            <c:numRef>
              <c:f>'BIFUbC-coal'!$B$16:$AF$16</c:f>
              <c:numCache>
                <c:formatCode>0.00E+00</c:formatCode>
                <c:ptCount val="31"/>
                <c:pt idx="0">
                  <c:v>82899338926845.016</c:v>
                </c:pt>
                <c:pt idx="1">
                  <c:v>83720680212635.016</c:v>
                </c:pt>
                <c:pt idx="2">
                  <c:v>87006045355795.047</c:v>
                </c:pt>
                <c:pt idx="3">
                  <c:v>85363362784215.031</c:v>
                </c:pt>
                <c:pt idx="4">
                  <c:v>86184704070005.047</c:v>
                </c:pt>
                <c:pt idx="5">
                  <c:v>87006045355795.047</c:v>
                </c:pt>
                <c:pt idx="6">
                  <c:v>86395729189577.297</c:v>
                </c:pt>
                <c:pt idx="7">
                  <c:v>85785413023359.547</c:v>
                </c:pt>
                <c:pt idx="8">
                  <c:v>85175096857141.797</c:v>
                </c:pt>
                <c:pt idx="9">
                  <c:v>84564780690924.047</c:v>
                </c:pt>
                <c:pt idx="10">
                  <c:v>83954464524706.281</c:v>
                </c:pt>
                <c:pt idx="11">
                  <c:v>83300500330697.703</c:v>
                </c:pt>
                <c:pt idx="12">
                  <c:v>82646536136689.141</c:v>
                </c:pt>
                <c:pt idx="13">
                  <c:v>81992571942680.563</c:v>
                </c:pt>
                <c:pt idx="14">
                  <c:v>81338607748671.969</c:v>
                </c:pt>
                <c:pt idx="15">
                  <c:v>80684643554663.391</c:v>
                </c:pt>
                <c:pt idx="16">
                  <c:v>80148054083182.797</c:v>
                </c:pt>
                <c:pt idx="17">
                  <c:v>79611464611702.172</c:v>
                </c:pt>
                <c:pt idx="18">
                  <c:v>79074875140221.578</c:v>
                </c:pt>
                <c:pt idx="19">
                  <c:v>78538285668740.969</c:v>
                </c:pt>
                <c:pt idx="20">
                  <c:v>78001696197260.359</c:v>
                </c:pt>
                <c:pt idx="21">
                  <c:v>77308607095742.453</c:v>
                </c:pt>
                <c:pt idx="22">
                  <c:v>76722222287431.688</c:v>
                </c:pt>
                <c:pt idx="23">
                  <c:v>76135837479121.172</c:v>
                </c:pt>
                <c:pt idx="24">
                  <c:v>75549452670810.391</c:v>
                </c:pt>
                <c:pt idx="25">
                  <c:v>74963067862499.859</c:v>
                </c:pt>
                <c:pt idx="26">
                  <c:v>74376683054189.109</c:v>
                </c:pt>
                <c:pt idx="27">
                  <c:v>73790298245878.578</c:v>
                </c:pt>
                <c:pt idx="28">
                  <c:v>73203913437567.813</c:v>
                </c:pt>
                <c:pt idx="29">
                  <c:v>72617528629257.047</c:v>
                </c:pt>
                <c:pt idx="30">
                  <c:v>72031143820946.516</c:v>
                </c:pt>
              </c:numCache>
            </c:numRef>
          </c:val>
          <c:smooth val="0"/>
          <c:extLst>
            <c:ext xmlns:c16="http://schemas.microsoft.com/office/drawing/2014/chart" uri="{C3380CC4-5D6E-409C-BE32-E72D297353CC}">
              <c16:uniqueId val="{0000000F-8B04-4933-814C-A1F1407CA4DD}"/>
            </c:ext>
          </c:extLst>
        </c:ser>
        <c:ser>
          <c:idx val="16"/>
          <c:order val="16"/>
          <c:tx>
            <c:strRef>
              <c:f>'BIFUbC-coal'!$A$17</c:f>
              <c:strCache>
                <c:ptCount val="1"/>
                <c:pt idx="0">
                  <c:v>metal products except machinery and vehicles 25</c:v>
                </c:pt>
              </c:strCache>
            </c:strRef>
          </c:tx>
          <c:spPr>
            <a:ln w="28575" cap="rnd">
              <a:solidFill>
                <a:schemeClr val="accent5">
                  <a:lumMod val="80000"/>
                  <a:lumOff val="20000"/>
                </a:schemeClr>
              </a:solidFill>
              <a:round/>
            </a:ln>
            <a:effectLst/>
          </c:spPr>
          <c:marker>
            <c:symbol val="none"/>
          </c:marker>
          <c:val>
            <c:numRef>
              <c:f>'BIFUbC-coal'!$B$17:$AF$17</c:f>
              <c:numCache>
                <c:formatCode>0.00E+00</c:formatCode>
                <c:ptCount val="31"/>
                <c:pt idx="0">
                  <c:v>8739994441016.5117</c:v>
                </c:pt>
                <c:pt idx="1">
                  <c:v>8963544463990.6641</c:v>
                </c:pt>
                <c:pt idx="2">
                  <c:v>9857744555887.2695</c:v>
                </c:pt>
                <c:pt idx="3">
                  <c:v>9410644509938.9668</c:v>
                </c:pt>
                <c:pt idx="4">
                  <c:v>9634194532913.1191</c:v>
                </c:pt>
                <c:pt idx="5">
                  <c:v>9857744555887.2695</c:v>
                </c:pt>
                <c:pt idx="6">
                  <c:v>9893780326570.2656</c:v>
                </c:pt>
                <c:pt idx="7">
                  <c:v>9929816097253.2656</c:v>
                </c:pt>
                <c:pt idx="8">
                  <c:v>9965851867936.2617</c:v>
                </c:pt>
                <c:pt idx="9">
                  <c:v>10001887638619.258</c:v>
                </c:pt>
                <c:pt idx="10">
                  <c:v>10037923409302.258</c:v>
                </c:pt>
                <c:pt idx="11">
                  <c:v>10062674121573.129</c:v>
                </c:pt>
                <c:pt idx="12">
                  <c:v>10087424833844</c:v>
                </c:pt>
                <c:pt idx="13">
                  <c:v>10112175546114.873</c:v>
                </c:pt>
                <c:pt idx="14">
                  <c:v>10136926258385.744</c:v>
                </c:pt>
                <c:pt idx="15">
                  <c:v>10161676970656.619</c:v>
                </c:pt>
                <c:pt idx="16">
                  <c:v>10193751622039.375</c:v>
                </c:pt>
                <c:pt idx="17">
                  <c:v>10225826273422.133</c:v>
                </c:pt>
                <c:pt idx="18">
                  <c:v>10257900924804.891</c:v>
                </c:pt>
                <c:pt idx="19">
                  <c:v>10289975576187.648</c:v>
                </c:pt>
                <c:pt idx="20">
                  <c:v>10322050227570.406</c:v>
                </c:pt>
                <c:pt idx="21">
                  <c:v>10344359626803.984</c:v>
                </c:pt>
                <c:pt idx="22">
                  <c:v>10373327152502.904</c:v>
                </c:pt>
                <c:pt idx="23">
                  <c:v>10402294678201.834</c:v>
                </c:pt>
                <c:pt idx="24">
                  <c:v>10431262203900.754</c:v>
                </c:pt>
                <c:pt idx="25">
                  <c:v>10460229729599.682</c:v>
                </c:pt>
                <c:pt idx="26">
                  <c:v>10489197255298.623</c:v>
                </c:pt>
                <c:pt idx="27">
                  <c:v>10518164780997.551</c:v>
                </c:pt>
                <c:pt idx="28">
                  <c:v>10547132306696.471</c:v>
                </c:pt>
                <c:pt idx="29">
                  <c:v>10576099832395.391</c:v>
                </c:pt>
                <c:pt idx="30">
                  <c:v>10605067358094.32</c:v>
                </c:pt>
              </c:numCache>
            </c:numRef>
          </c:val>
          <c:smooth val="0"/>
          <c:extLst>
            <c:ext xmlns:c16="http://schemas.microsoft.com/office/drawing/2014/chart" uri="{C3380CC4-5D6E-409C-BE32-E72D297353CC}">
              <c16:uniqueId val="{00000010-8B04-4933-814C-A1F1407CA4DD}"/>
            </c:ext>
          </c:extLst>
        </c:ser>
        <c:ser>
          <c:idx val="17"/>
          <c:order val="17"/>
          <c:tx>
            <c:strRef>
              <c:f>'BIFUbC-coal'!$A$18</c:f>
              <c:strCache>
                <c:ptCount val="1"/>
                <c:pt idx="0">
                  <c:v>computers and electronics 26</c:v>
                </c:pt>
              </c:strCache>
            </c:strRef>
          </c:tx>
          <c:spPr>
            <a:ln w="28575" cap="rnd">
              <a:solidFill>
                <a:schemeClr val="accent6">
                  <a:lumMod val="80000"/>
                  <a:lumOff val="20000"/>
                </a:schemeClr>
              </a:solidFill>
              <a:round/>
            </a:ln>
            <a:effectLst/>
          </c:spPr>
          <c:marker>
            <c:symbol val="none"/>
          </c:marker>
          <c:val>
            <c:numRef>
              <c:f>'BIFUbC-coal'!$B$18:$AF$18</c:f>
              <c:numCache>
                <c:formatCode>0.00E+00</c:formatCode>
                <c:ptCount val="31"/>
                <c:pt idx="0">
                  <c:v>46379434612386.43</c:v>
                </c:pt>
                <c:pt idx="1">
                  <c:v>48488716789319.57</c:v>
                </c:pt>
                <c:pt idx="2">
                  <c:v>56925845497052.156</c:v>
                </c:pt>
                <c:pt idx="3">
                  <c:v>52707281143185.867</c:v>
                </c:pt>
                <c:pt idx="4">
                  <c:v>54816563320119.016</c:v>
                </c:pt>
                <c:pt idx="5">
                  <c:v>56925845497052.156</c:v>
                </c:pt>
                <c:pt idx="6">
                  <c:v>57958742107447.828</c:v>
                </c:pt>
                <c:pt idx="7">
                  <c:v>58991638717843.781</c:v>
                </c:pt>
                <c:pt idx="8">
                  <c:v>60024535328239.719</c:v>
                </c:pt>
                <c:pt idx="9">
                  <c:v>61057431938635.664</c:v>
                </c:pt>
                <c:pt idx="10">
                  <c:v>62090328549031.875</c:v>
                </c:pt>
                <c:pt idx="11">
                  <c:v>62952664796070.125</c:v>
                </c:pt>
                <c:pt idx="12">
                  <c:v>63815001043108.375</c:v>
                </c:pt>
                <c:pt idx="13">
                  <c:v>64677337290146.625</c:v>
                </c:pt>
                <c:pt idx="14">
                  <c:v>65539673537184.875</c:v>
                </c:pt>
                <c:pt idx="15">
                  <c:v>66402009784223.125</c:v>
                </c:pt>
                <c:pt idx="16">
                  <c:v>67289771178594.203</c:v>
                </c:pt>
                <c:pt idx="17">
                  <c:v>68177532572965.273</c:v>
                </c:pt>
                <c:pt idx="18">
                  <c:v>69065293967336.352</c:v>
                </c:pt>
                <c:pt idx="19">
                  <c:v>69953055361707.43</c:v>
                </c:pt>
                <c:pt idx="20">
                  <c:v>70840816756078.5</c:v>
                </c:pt>
                <c:pt idx="21">
                  <c:v>71694677954005.813</c:v>
                </c:pt>
                <c:pt idx="22">
                  <c:v>72571652922235.672</c:v>
                </c:pt>
                <c:pt idx="23">
                  <c:v>73448627890465.797</c:v>
                </c:pt>
                <c:pt idx="24">
                  <c:v>74325602858695.641</c:v>
                </c:pt>
                <c:pt idx="25">
                  <c:v>75202577826925.484</c:v>
                </c:pt>
                <c:pt idx="26">
                  <c:v>76079552795155.359</c:v>
                </c:pt>
                <c:pt idx="27">
                  <c:v>76956527763385.188</c:v>
                </c:pt>
                <c:pt idx="28">
                  <c:v>77833502731615.047</c:v>
                </c:pt>
                <c:pt idx="29">
                  <c:v>78710477699844.906</c:v>
                </c:pt>
                <c:pt idx="30">
                  <c:v>79587452668074.75</c:v>
                </c:pt>
              </c:numCache>
            </c:numRef>
          </c:val>
          <c:smooth val="0"/>
          <c:extLst>
            <c:ext xmlns:c16="http://schemas.microsoft.com/office/drawing/2014/chart" uri="{C3380CC4-5D6E-409C-BE32-E72D297353CC}">
              <c16:uniqueId val="{00000011-8B04-4933-814C-A1F1407CA4DD}"/>
            </c:ext>
          </c:extLst>
        </c:ser>
        <c:ser>
          <c:idx val="18"/>
          <c:order val="18"/>
          <c:tx>
            <c:strRef>
              <c:f>'BIFUbC-coal'!$A$19</c:f>
              <c:strCache>
                <c:ptCount val="1"/>
                <c:pt idx="0">
                  <c:v>appliances and electrical equipment 27</c:v>
                </c:pt>
              </c:strCache>
            </c:strRef>
          </c:tx>
          <c:spPr>
            <a:ln w="28575" cap="rnd">
              <a:solidFill>
                <a:schemeClr val="accent1">
                  <a:lumMod val="80000"/>
                </a:schemeClr>
              </a:solidFill>
              <a:round/>
            </a:ln>
            <a:effectLst/>
          </c:spPr>
          <c:marker>
            <c:symbol val="none"/>
          </c:marker>
          <c:val>
            <c:numRef>
              <c:f>'BIFUbC-coal'!$B$19:$AF$19</c:f>
              <c:numCache>
                <c:formatCode>0.00E+00</c:formatCode>
                <c:ptCount val="31"/>
                <c:pt idx="0">
                  <c:v>8076511102438.6621</c:v>
                </c:pt>
                <c:pt idx="1">
                  <c:v>8443821335143.1123</c:v>
                </c:pt>
                <c:pt idx="2">
                  <c:v>9913062265960.9199</c:v>
                </c:pt>
                <c:pt idx="3">
                  <c:v>9178441800552.0176</c:v>
                </c:pt>
                <c:pt idx="4">
                  <c:v>9545752033256.4688</c:v>
                </c:pt>
                <c:pt idx="5">
                  <c:v>9913062265960.9199</c:v>
                </c:pt>
                <c:pt idx="6">
                  <c:v>10092930800608.902</c:v>
                </c:pt>
                <c:pt idx="7">
                  <c:v>10272799335256.934</c:v>
                </c:pt>
                <c:pt idx="8">
                  <c:v>10452667869904.963</c:v>
                </c:pt>
                <c:pt idx="9">
                  <c:v>10632536404552.994</c:v>
                </c:pt>
                <c:pt idx="10">
                  <c:v>10812404939201.07</c:v>
                </c:pt>
                <c:pt idx="11">
                  <c:v>10962572105563.631</c:v>
                </c:pt>
                <c:pt idx="12">
                  <c:v>11112739271926.189</c:v>
                </c:pt>
                <c:pt idx="13">
                  <c:v>11262906438288.752</c:v>
                </c:pt>
                <c:pt idx="14">
                  <c:v>11413073604651.313</c:v>
                </c:pt>
                <c:pt idx="15">
                  <c:v>11563240771013.873</c:v>
                </c:pt>
                <c:pt idx="16">
                  <c:v>11717835470536.998</c:v>
                </c:pt>
                <c:pt idx="17">
                  <c:v>11872430170060.125</c:v>
                </c:pt>
                <c:pt idx="18">
                  <c:v>12027024869583.254</c:v>
                </c:pt>
                <c:pt idx="19">
                  <c:v>12181619569106.383</c:v>
                </c:pt>
                <c:pt idx="20">
                  <c:v>12336214268629.51</c:v>
                </c:pt>
                <c:pt idx="21">
                  <c:v>12484905590605.213</c:v>
                </c:pt>
                <c:pt idx="22">
                  <c:v>12637621942726.885</c:v>
                </c:pt>
                <c:pt idx="23">
                  <c:v>12790338294848.602</c:v>
                </c:pt>
                <c:pt idx="24">
                  <c:v>12943054646970.273</c:v>
                </c:pt>
                <c:pt idx="25">
                  <c:v>13095770999091.943</c:v>
                </c:pt>
                <c:pt idx="26">
                  <c:v>13248487351213.611</c:v>
                </c:pt>
                <c:pt idx="27">
                  <c:v>13401203703335.283</c:v>
                </c:pt>
                <c:pt idx="28">
                  <c:v>13553920055456.955</c:v>
                </c:pt>
                <c:pt idx="29">
                  <c:v>13706636407578.625</c:v>
                </c:pt>
                <c:pt idx="30">
                  <c:v>13859352759700.295</c:v>
                </c:pt>
              </c:numCache>
            </c:numRef>
          </c:val>
          <c:smooth val="0"/>
          <c:extLst>
            <c:ext xmlns:c16="http://schemas.microsoft.com/office/drawing/2014/chart" uri="{C3380CC4-5D6E-409C-BE32-E72D297353CC}">
              <c16:uniqueId val="{00000012-8B04-4933-814C-A1F1407CA4DD}"/>
            </c:ext>
          </c:extLst>
        </c:ser>
        <c:ser>
          <c:idx val="19"/>
          <c:order val="19"/>
          <c:tx>
            <c:strRef>
              <c:f>'BIFUbC-coal'!$A$20</c:f>
              <c:strCache>
                <c:ptCount val="1"/>
                <c:pt idx="0">
                  <c:v>other machinery 28</c:v>
                </c:pt>
              </c:strCache>
            </c:strRef>
          </c:tx>
          <c:spPr>
            <a:ln w="28575" cap="rnd">
              <a:solidFill>
                <a:schemeClr val="accent2">
                  <a:lumMod val="80000"/>
                </a:schemeClr>
              </a:solidFill>
              <a:round/>
            </a:ln>
            <a:effectLst/>
          </c:spPr>
          <c:marker>
            <c:symbol val="none"/>
          </c:marker>
          <c:val>
            <c:numRef>
              <c:f>'BIFUbC-coal'!$B$20:$AF$20</c:f>
              <c:numCache>
                <c:formatCode>0.00E+00</c:formatCode>
                <c:ptCount val="31"/>
                <c:pt idx="0">
                  <c:v>12608438308156.035</c:v>
                </c:pt>
                <c:pt idx="1">
                  <c:v>13181855263852.428</c:v>
                </c:pt>
                <c:pt idx="2">
                  <c:v>15475523086638.012</c:v>
                </c:pt>
                <c:pt idx="3">
                  <c:v>14328689175245.223</c:v>
                </c:pt>
                <c:pt idx="4">
                  <c:v>14902106130941.613</c:v>
                </c:pt>
                <c:pt idx="5">
                  <c:v>15475523086638.012</c:v>
                </c:pt>
                <c:pt idx="6">
                  <c:v>15756320239507.986</c:v>
                </c:pt>
                <c:pt idx="7">
                  <c:v>16037117392378.035</c:v>
                </c:pt>
                <c:pt idx="8">
                  <c:v>16317914545248.082</c:v>
                </c:pt>
                <c:pt idx="9">
                  <c:v>16598711698118.131</c:v>
                </c:pt>
                <c:pt idx="10">
                  <c:v>16879508850988.254</c:v>
                </c:pt>
                <c:pt idx="11">
                  <c:v>17113938473999.762</c:v>
                </c:pt>
                <c:pt idx="12">
                  <c:v>17348368097011.266</c:v>
                </c:pt>
                <c:pt idx="13">
                  <c:v>17582797720022.775</c:v>
                </c:pt>
                <c:pt idx="14">
                  <c:v>17817227343034.281</c:v>
                </c:pt>
                <c:pt idx="15">
                  <c:v>18051656966045.789</c:v>
                </c:pt>
                <c:pt idx="16">
                  <c:v>18292998518974.098</c:v>
                </c:pt>
                <c:pt idx="17">
                  <c:v>18534340071902.406</c:v>
                </c:pt>
                <c:pt idx="18">
                  <c:v>18775681624830.715</c:v>
                </c:pt>
                <c:pt idx="19">
                  <c:v>19017023177759.023</c:v>
                </c:pt>
                <c:pt idx="20">
                  <c:v>19258364730687.332</c:v>
                </c:pt>
                <c:pt idx="21">
                  <c:v>19490490377059.902</c:v>
                </c:pt>
                <c:pt idx="22">
                  <c:v>19728899596084.109</c:v>
                </c:pt>
                <c:pt idx="23">
                  <c:v>19967308815108.387</c:v>
                </c:pt>
                <c:pt idx="24">
                  <c:v>20205718034132.59</c:v>
                </c:pt>
                <c:pt idx="25">
                  <c:v>20444127253156.793</c:v>
                </c:pt>
                <c:pt idx="26">
                  <c:v>20682536472181</c:v>
                </c:pt>
                <c:pt idx="27">
                  <c:v>20920945691205.203</c:v>
                </c:pt>
                <c:pt idx="28">
                  <c:v>21159354910229.406</c:v>
                </c:pt>
                <c:pt idx="29">
                  <c:v>21397764129253.609</c:v>
                </c:pt>
                <c:pt idx="30">
                  <c:v>21636173348277.816</c:v>
                </c:pt>
              </c:numCache>
            </c:numRef>
          </c:val>
          <c:smooth val="0"/>
          <c:extLst>
            <c:ext xmlns:c16="http://schemas.microsoft.com/office/drawing/2014/chart" uri="{C3380CC4-5D6E-409C-BE32-E72D297353CC}">
              <c16:uniqueId val="{00000013-8B04-4933-814C-A1F1407CA4DD}"/>
            </c:ext>
          </c:extLst>
        </c:ser>
        <c:ser>
          <c:idx val="20"/>
          <c:order val="20"/>
          <c:tx>
            <c:strRef>
              <c:f>'BIFUbC-coal'!$A$21</c:f>
              <c:strCache>
                <c:ptCount val="1"/>
                <c:pt idx="0">
                  <c:v>road vehicles 29</c:v>
                </c:pt>
              </c:strCache>
            </c:strRef>
          </c:tx>
          <c:spPr>
            <a:ln w="28575" cap="rnd">
              <a:solidFill>
                <a:schemeClr val="accent3">
                  <a:lumMod val="80000"/>
                </a:schemeClr>
              </a:solidFill>
              <a:round/>
            </a:ln>
            <a:effectLst/>
          </c:spPr>
          <c:marker>
            <c:symbol val="none"/>
          </c:marker>
          <c:val>
            <c:numRef>
              <c:f>'BIFUbC-coal'!$B$21:$AF$21</c:f>
              <c:numCache>
                <c:formatCode>0.00E+00</c:formatCode>
                <c:ptCount val="31"/>
                <c:pt idx="0">
                  <c:v>13164220496191.787</c:v>
                </c:pt>
                <c:pt idx="1">
                  <c:v>13762913772595.367</c:v>
                </c:pt>
                <c:pt idx="2">
                  <c:v>16157686878209.699</c:v>
                </c:pt>
                <c:pt idx="3">
                  <c:v>14960300325402.535</c:v>
                </c:pt>
                <c:pt idx="4">
                  <c:v>15558993601806.119</c:v>
                </c:pt>
                <c:pt idx="5">
                  <c:v>16157686878209.699</c:v>
                </c:pt>
                <c:pt idx="6">
                  <c:v>16450861619183.932</c:v>
                </c:pt>
                <c:pt idx="7">
                  <c:v>16744036360158.24</c:v>
                </c:pt>
                <c:pt idx="8">
                  <c:v>17037211101132.553</c:v>
                </c:pt>
                <c:pt idx="9">
                  <c:v>17330385842106.859</c:v>
                </c:pt>
                <c:pt idx="10">
                  <c:v>17623560583081.242</c:v>
                </c:pt>
                <c:pt idx="11">
                  <c:v>17868323905289.535</c:v>
                </c:pt>
                <c:pt idx="12">
                  <c:v>18113087227497.832</c:v>
                </c:pt>
                <c:pt idx="13">
                  <c:v>18357850549706.125</c:v>
                </c:pt>
                <c:pt idx="14">
                  <c:v>18602613871914.418</c:v>
                </c:pt>
                <c:pt idx="15">
                  <c:v>18847377194122.715</c:v>
                </c:pt>
                <c:pt idx="16">
                  <c:v>19099357125339.605</c:v>
                </c:pt>
                <c:pt idx="17">
                  <c:v>19351337056556.5</c:v>
                </c:pt>
                <c:pt idx="18">
                  <c:v>19603316987773.391</c:v>
                </c:pt>
                <c:pt idx="19">
                  <c:v>19855296918990.285</c:v>
                </c:pt>
                <c:pt idx="20">
                  <c:v>20107276850207.176</c:v>
                </c:pt>
                <c:pt idx="21">
                  <c:v>20349634636079.273</c:v>
                </c:pt>
                <c:pt idx="22">
                  <c:v>20598552975595.543</c:v>
                </c:pt>
                <c:pt idx="23">
                  <c:v>20847471315111.883</c:v>
                </c:pt>
                <c:pt idx="24">
                  <c:v>21096389654628.156</c:v>
                </c:pt>
                <c:pt idx="25">
                  <c:v>21345307994144.422</c:v>
                </c:pt>
                <c:pt idx="26">
                  <c:v>21594226333660.688</c:v>
                </c:pt>
                <c:pt idx="27">
                  <c:v>21843144673176.961</c:v>
                </c:pt>
                <c:pt idx="28">
                  <c:v>22092063012693.227</c:v>
                </c:pt>
                <c:pt idx="29">
                  <c:v>22340981352209.492</c:v>
                </c:pt>
                <c:pt idx="30">
                  <c:v>22589899691725.762</c:v>
                </c:pt>
              </c:numCache>
            </c:numRef>
          </c:val>
          <c:smooth val="0"/>
          <c:extLst>
            <c:ext xmlns:c16="http://schemas.microsoft.com/office/drawing/2014/chart" uri="{C3380CC4-5D6E-409C-BE32-E72D297353CC}">
              <c16:uniqueId val="{00000014-8B04-4933-814C-A1F1407CA4DD}"/>
            </c:ext>
          </c:extLst>
        </c:ser>
        <c:ser>
          <c:idx val="21"/>
          <c:order val="21"/>
          <c:tx>
            <c:strRef>
              <c:f>'BIFUbC-coal'!$A$22</c:f>
              <c:strCache>
                <c:ptCount val="1"/>
                <c:pt idx="0">
                  <c:v>nonroad vehicles 30</c:v>
                </c:pt>
              </c:strCache>
            </c:strRef>
          </c:tx>
          <c:spPr>
            <a:ln w="28575" cap="rnd">
              <a:solidFill>
                <a:schemeClr val="accent4">
                  <a:lumMod val="80000"/>
                </a:schemeClr>
              </a:solidFill>
              <a:round/>
            </a:ln>
            <a:effectLst/>
          </c:spPr>
          <c:marker>
            <c:symbol val="none"/>
          </c:marker>
          <c:val>
            <c:numRef>
              <c:f>'BIFUbC-coal'!$B$22:$AF$22</c:f>
              <c:numCache>
                <c:formatCode>0.00E+00</c:formatCode>
                <c:ptCount val="31"/>
                <c:pt idx="0">
                  <c:v>3371102751322.8472</c:v>
                </c:pt>
                <c:pt idx="1">
                  <c:v>3524416542433.1113</c:v>
                </c:pt>
                <c:pt idx="2">
                  <c:v>4137671706874.1685</c:v>
                </c:pt>
                <c:pt idx="3">
                  <c:v>3831044124653.6401</c:v>
                </c:pt>
                <c:pt idx="4">
                  <c:v>3984357915763.9043</c:v>
                </c:pt>
                <c:pt idx="5">
                  <c:v>4137671706874.1685</c:v>
                </c:pt>
                <c:pt idx="6">
                  <c:v>4212748098689.583</c:v>
                </c:pt>
                <c:pt idx="7">
                  <c:v>4287824490505.0161</c:v>
                </c:pt>
                <c:pt idx="8">
                  <c:v>4362900882320.4487</c:v>
                </c:pt>
                <c:pt idx="9">
                  <c:v>4437977274135.8838</c:v>
                </c:pt>
                <c:pt idx="10">
                  <c:v>4513053665951.3359</c:v>
                </c:pt>
                <c:pt idx="11">
                  <c:v>4575732827938.7842</c:v>
                </c:pt>
                <c:pt idx="12">
                  <c:v>4638411989926.2334</c:v>
                </c:pt>
                <c:pt idx="13">
                  <c:v>4701091151913.6826</c:v>
                </c:pt>
                <c:pt idx="14">
                  <c:v>4763770313901.1318</c:v>
                </c:pt>
                <c:pt idx="15">
                  <c:v>4826449475888.5801</c:v>
                </c:pt>
                <c:pt idx="16">
                  <c:v>4890976672136.1016</c:v>
                </c:pt>
                <c:pt idx="17">
                  <c:v>4955503868383.623</c:v>
                </c:pt>
                <c:pt idx="18">
                  <c:v>5020031064631.1445</c:v>
                </c:pt>
                <c:pt idx="19">
                  <c:v>5084558260878.666</c:v>
                </c:pt>
                <c:pt idx="20">
                  <c:v>5149085457126.1875</c:v>
                </c:pt>
                <c:pt idx="21">
                  <c:v>5211148607693.6113</c:v>
                </c:pt>
                <c:pt idx="22">
                  <c:v>5274891789406.5547</c:v>
                </c:pt>
                <c:pt idx="23">
                  <c:v>5338634971119.5176</c:v>
                </c:pt>
                <c:pt idx="24">
                  <c:v>5402378152832.4609</c:v>
                </c:pt>
                <c:pt idx="25">
                  <c:v>5466121334545.4043</c:v>
                </c:pt>
                <c:pt idx="26">
                  <c:v>5529864516258.3496</c:v>
                </c:pt>
                <c:pt idx="27">
                  <c:v>5593607697971.292</c:v>
                </c:pt>
                <c:pt idx="28">
                  <c:v>5657350879684.2354</c:v>
                </c:pt>
                <c:pt idx="29">
                  <c:v>5721094061397.1787</c:v>
                </c:pt>
                <c:pt idx="30">
                  <c:v>5784837243110.1211</c:v>
                </c:pt>
              </c:numCache>
            </c:numRef>
          </c:val>
          <c:smooth val="0"/>
          <c:extLst>
            <c:ext xmlns:c16="http://schemas.microsoft.com/office/drawing/2014/chart" uri="{C3380CC4-5D6E-409C-BE32-E72D297353CC}">
              <c16:uniqueId val="{00000015-8B04-4933-814C-A1F1407CA4DD}"/>
            </c:ext>
          </c:extLst>
        </c:ser>
        <c:ser>
          <c:idx val="22"/>
          <c:order val="22"/>
          <c:tx>
            <c:strRef>
              <c:f>'BIFUbC-coal'!$A$23</c:f>
              <c:strCache>
                <c:ptCount val="1"/>
                <c:pt idx="0">
                  <c:v>other manufacturing 31T33</c:v>
                </c:pt>
              </c:strCache>
            </c:strRef>
          </c:tx>
          <c:spPr>
            <a:ln w="28575" cap="rnd">
              <a:solidFill>
                <a:schemeClr val="accent5">
                  <a:lumMod val="80000"/>
                </a:schemeClr>
              </a:solidFill>
              <a:round/>
            </a:ln>
            <a:effectLst/>
          </c:spPr>
          <c:marker>
            <c:symbol val="none"/>
          </c:marker>
          <c:val>
            <c:numRef>
              <c:f>'BIFUbC-coal'!$B$23:$AF$23</c:f>
              <c:numCache>
                <c:formatCode>0.00E+00</c:formatCode>
                <c:ptCount val="31"/>
                <c:pt idx="0">
                  <c:v>65411157424078.008</c:v>
                </c:pt>
                <c:pt idx="1">
                  <c:v>71516182959378.625</c:v>
                </c:pt>
                <c:pt idx="2">
                  <c:v>77621208494679.25</c:v>
                </c:pt>
                <c:pt idx="3">
                  <c:v>83726234029979.859</c:v>
                </c:pt>
                <c:pt idx="4">
                  <c:v>89831259565280.469</c:v>
                </c:pt>
                <c:pt idx="5">
                  <c:v>95936285100581.109</c:v>
                </c:pt>
                <c:pt idx="6">
                  <c:v>98124332782237.453</c:v>
                </c:pt>
                <c:pt idx="7">
                  <c:v>100312380463893.84</c:v>
                </c:pt>
                <c:pt idx="8">
                  <c:v>102500428145550.25</c:v>
                </c:pt>
                <c:pt idx="9">
                  <c:v>104688475827206.66</c:v>
                </c:pt>
                <c:pt idx="10">
                  <c:v>106876523508863.06</c:v>
                </c:pt>
                <c:pt idx="11">
                  <c:v>108393258176562.25</c:v>
                </c:pt>
                <c:pt idx="12">
                  <c:v>109909992844261.45</c:v>
                </c:pt>
                <c:pt idx="13">
                  <c:v>111426727511960.66</c:v>
                </c:pt>
                <c:pt idx="14">
                  <c:v>112943462179659.86</c:v>
                </c:pt>
                <c:pt idx="15">
                  <c:v>114460196847359.08</c:v>
                </c:pt>
                <c:pt idx="16">
                  <c:v>115440408856932.81</c:v>
                </c:pt>
                <c:pt idx="17">
                  <c:v>116420620866506.58</c:v>
                </c:pt>
                <c:pt idx="18">
                  <c:v>117400832876080.33</c:v>
                </c:pt>
                <c:pt idx="19">
                  <c:v>118381044885654.09</c:v>
                </c:pt>
                <c:pt idx="20">
                  <c:v>119361256895227.84</c:v>
                </c:pt>
                <c:pt idx="21">
                  <c:v>121056832448968.89</c:v>
                </c:pt>
                <c:pt idx="22">
                  <c:v>122264660131686.64</c:v>
                </c:pt>
                <c:pt idx="23">
                  <c:v>123472487814404.84</c:v>
                </c:pt>
                <c:pt idx="24">
                  <c:v>124680315497122.61</c:v>
                </c:pt>
                <c:pt idx="25">
                  <c:v>125888143179840.39</c:v>
                </c:pt>
                <c:pt idx="26">
                  <c:v>127095970862558.17</c:v>
                </c:pt>
                <c:pt idx="27">
                  <c:v>128303798545276.34</c:v>
                </c:pt>
                <c:pt idx="28">
                  <c:v>129511626227994.13</c:v>
                </c:pt>
                <c:pt idx="29">
                  <c:v>130719453910711.91</c:v>
                </c:pt>
                <c:pt idx="30">
                  <c:v>131927281593430.09</c:v>
                </c:pt>
              </c:numCache>
            </c:numRef>
          </c:val>
          <c:smooth val="0"/>
          <c:extLst>
            <c:ext xmlns:c16="http://schemas.microsoft.com/office/drawing/2014/chart" uri="{C3380CC4-5D6E-409C-BE32-E72D297353CC}">
              <c16:uniqueId val="{00000016-8B04-4933-814C-A1F1407CA4DD}"/>
            </c:ext>
          </c:extLst>
        </c:ser>
        <c:ser>
          <c:idx val="23"/>
          <c:order val="23"/>
          <c:tx>
            <c:strRef>
              <c:f>'BIFUbC-coal'!$A$24</c:f>
              <c:strCache>
                <c:ptCount val="1"/>
                <c:pt idx="0">
                  <c:v>energy pipelines and gas processing 352T353</c:v>
                </c:pt>
              </c:strCache>
            </c:strRef>
          </c:tx>
          <c:spPr>
            <a:ln w="28575" cap="rnd">
              <a:solidFill>
                <a:schemeClr val="accent6">
                  <a:lumMod val="80000"/>
                </a:schemeClr>
              </a:solidFill>
              <a:round/>
            </a:ln>
            <a:effectLst/>
          </c:spPr>
          <c:marker>
            <c:symbol val="none"/>
          </c:marker>
          <c:val>
            <c:numRef>
              <c:f>'BIFUbC-coal'!$B$24:$AF$24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7-8B04-4933-814C-A1F1407CA4DD}"/>
            </c:ext>
          </c:extLst>
        </c:ser>
        <c:ser>
          <c:idx val="24"/>
          <c:order val="24"/>
          <c:tx>
            <c:strRef>
              <c:f>'BIFUbC-coal'!$A$25</c:f>
              <c:strCache>
                <c:ptCount val="1"/>
                <c:pt idx="0">
                  <c:v>water and waste 36T39</c:v>
                </c:pt>
              </c:strCache>
            </c:strRef>
          </c:tx>
          <c:spPr>
            <a:ln w="28575" cap="rnd">
              <a:solidFill>
                <a:schemeClr val="accent1">
                  <a:lumMod val="60000"/>
                  <a:lumOff val="40000"/>
                </a:schemeClr>
              </a:solidFill>
              <a:round/>
            </a:ln>
            <a:effectLst/>
          </c:spPr>
          <c:marker>
            <c:symbol val="none"/>
          </c:marker>
          <c:val>
            <c:numRef>
              <c:f>'BIFUbC-coal'!$B$25:$AF$25</c:f>
              <c:numCache>
                <c:formatCode>0.00E+00</c:formatCode>
                <c:ptCount val="31"/>
                <c:pt idx="0">
                  <c:v>976036520879.11511</c:v>
                </c:pt>
                <c:pt idx="1">
                  <c:v>977012557399.99414</c:v>
                </c:pt>
                <c:pt idx="2">
                  <c:v>977989569957.39404</c:v>
                </c:pt>
                <c:pt idx="3">
                  <c:v>978967559527.35132</c:v>
                </c:pt>
                <c:pt idx="4">
                  <c:v>979946527086.87854</c:v>
                </c:pt>
                <c:pt idx="5">
                  <c:v>980926473613.96521</c:v>
                </c:pt>
                <c:pt idx="6">
                  <c:v>981907400087.57922</c:v>
                </c:pt>
                <c:pt idx="7">
                  <c:v>982889307487.66663</c:v>
                </c:pt>
                <c:pt idx="8">
                  <c:v>983872196795.1543</c:v>
                </c:pt>
                <c:pt idx="9">
                  <c:v>984856068991.94934</c:v>
                </c:pt>
                <c:pt idx="10">
                  <c:v>985840925060.94116</c:v>
                </c:pt>
                <c:pt idx="11">
                  <c:v>986826765986.00208</c:v>
                </c:pt>
                <c:pt idx="12">
                  <c:v>987813592751.98792</c:v>
                </c:pt>
                <c:pt idx="13">
                  <c:v>988801406344.73987</c:v>
                </c:pt>
                <c:pt idx="14">
                  <c:v>989790207751.08447</c:v>
                </c:pt>
                <c:pt idx="15">
                  <c:v>990779997958.83533</c:v>
                </c:pt>
                <c:pt idx="16">
                  <c:v>991770777956.79395</c:v>
                </c:pt>
                <c:pt idx="17">
                  <c:v>992762548734.75073</c:v>
                </c:pt>
                <c:pt idx="18">
                  <c:v>993755311283.48535</c:v>
                </c:pt>
                <c:pt idx="19">
                  <c:v>994749066594.7688</c:v>
                </c:pt>
                <c:pt idx="20">
                  <c:v>995743815661.3634</c:v>
                </c:pt>
                <c:pt idx="21">
                  <c:v>990765096583.05664</c:v>
                </c:pt>
                <c:pt idx="22">
                  <c:v>985811271100.14124</c:v>
                </c:pt>
                <c:pt idx="23">
                  <c:v>980882214744.6405</c:v>
                </c:pt>
                <c:pt idx="24">
                  <c:v>975977803670.91724</c:v>
                </c:pt>
                <c:pt idx="25">
                  <c:v>971097914652.56262</c:v>
                </c:pt>
                <c:pt idx="26">
                  <c:v>966242425079.2998</c:v>
                </c:pt>
                <c:pt idx="27">
                  <c:v>961411212953.90332</c:v>
                </c:pt>
                <c:pt idx="28">
                  <c:v>956604156889.13379</c:v>
                </c:pt>
                <c:pt idx="29">
                  <c:v>951821136104.68811</c:v>
                </c:pt>
                <c:pt idx="30">
                  <c:v>947062030424.16467</c:v>
                </c:pt>
              </c:numCache>
            </c:numRef>
          </c:val>
          <c:smooth val="0"/>
          <c:extLst>
            <c:ext xmlns:c16="http://schemas.microsoft.com/office/drawing/2014/chart" uri="{C3380CC4-5D6E-409C-BE32-E72D297353CC}">
              <c16:uniqueId val="{00000018-8B04-4933-814C-A1F1407CA4DD}"/>
            </c:ext>
          </c:extLst>
        </c:ser>
        <c:ser>
          <c:idx val="25"/>
          <c:order val="25"/>
          <c:tx>
            <c:strRef>
              <c:f>'BIFUbC-coal'!$A$26</c:f>
              <c:strCache>
                <c:ptCount val="1"/>
                <c:pt idx="0">
                  <c:v>construction 41T43</c:v>
                </c:pt>
              </c:strCache>
            </c:strRef>
          </c:tx>
          <c:spPr>
            <a:ln w="28575" cap="rnd">
              <a:solidFill>
                <a:schemeClr val="accent2">
                  <a:lumMod val="60000"/>
                  <a:lumOff val="40000"/>
                </a:schemeClr>
              </a:solidFill>
              <a:round/>
            </a:ln>
            <a:effectLst/>
          </c:spPr>
          <c:marker>
            <c:symbol val="none"/>
          </c:marker>
          <c:val>
            <c:numRef>
              <c:f>'BIFUbC-coal'!$B$26:$AF$26</c:f>
              <c:numCache>
                <c:formatCode>0.00E+00</c:formatCode>
                <c:ptCount val="31"/>
                <c:pt idx="0">
                  <c:v>24917172391.356712</c:v>
                </c:pt>
                <c:pt idx="1">
                  <c:v>26881772383.872692</c:v>
                </c:pt>
                <c:pt idx="2">
                  <c:v>28846372376.38866</c:v>
                </c:pt>
                <c:pt idx="3">
                  <c:v>30810972368.904633</c:v>
                </c:pt>
                <c:pt idx="4">
                  <c:v>32775572361.420609</c:v>
                </c:pt>
                <c:pt idx="5">
                  <c:v>34740172353.936584</c:v>
                </c:pt>
                <c:pt idx="6">
                  <c:v>35421081564.69577</c:v>
                </c:pt>
                <c:pt idx="7">
                  <c:v>36101990775.454971</c:v>
                </c:pt>
                <c:pt idx="8">
                  <c:v>36782899986.214172</c:v>
                </c:pt>
                <c:pt idx="9">
                  <c:v>37463809196.973381</c:v>
                </c:pt>
                <c:pt idx="10">
                  <c:v>38144718407.73259</c:v>
                </c:pt>
                <c:pt idx="11">
                  <c:v>38606689957.357826</c:v>
                </c:pt>
                <c:pt idx="12">
                  <c:v>39068661506.98307</c:v>
                </c:pt>
                <c:pt idx="13">
                  <c:v>39530633056.608315</c:v>
                </c:pt>
                <c:pt idx="14">
                  <c:v>39992604606.233551</c:v>
                </c:pt>
                <c:pt idx="15">
                  <c:v>40454576155.858803</c:v>
                </c:pt>
                <c:pt idx="16">
                  <c:v>40755317635.993233</c:v>
                </c:pt>
                <c:pt idx="17">
                  <c:v>41056059116.12767</c:v>
                </c:pt>
                <c:pt idx="18">
                  <c:v>41356800596.2621</c:v>
                </c:pt>
                <c:pt idx="19">
                  <c:v>41657542076.396538</c:v>
                </c:pt>
                <c:pt idx="20">
                  <c:v>41958283556.53096</c:v>
                </c:pt>
                <c:pt idx="21">
                  <c:v>42473998462.653152</c:v>
                </c:pt>
                <c:pt idx="22">
                  <c:v>42843140578.329109</c:v>
                </c:pt>
                <c:pt idx="23">
                  <c:v>43212282694.005188</c:v>
                </c:pt>
                <c:pt idx="24">
                  <c:v>43581424809.681137</c:v>
                </c:pt>
                <c:pt idx="25">
                  <c:v>43950566925.357101</c:v>
                </c:pt>
                <c:pt idx="26">
                  <c:v>44319709041.033051</c:v>
                </c:pt>
                <c:pt idx="27">
                  <c:v>44688851156.709137</c:v>
                </c:pt>
                <c:pt idx="28">
                  <c:v>45057993272.385086</c:v>
                </c:pt>
                <c:pt idx="29">
                  <c:v>45427135388.06105</c:v>
                </c:pt>
                <c:pt idx="30">
                  <c:v>45796277503.737129</c:v>
                </c:pt>
              </c:numCache>
            </c:numRef>
          </c:val>
          <c:smooth val="0"/>
          <c:extLst>
            <c:ext xmlns:c16="http://schemas.microsoft.com/office/drawing/2014/chart" uri="{C3380CC4-5D6E-409C-BE32-E72D297353CC}">
              <c16:uniqueId val="{00000019-8B04-4933-814C-A1F1407CA4DD}"/>
            </c:ext>
          </c:extLst>
        </c:ser>
        <c:dLbls>
          <c:showLegendKey val="0"/>
          <c:showVal val="0"/>
          <c:showCatName val="0"/>
          <c:showSerName val="0"/>
          <c:showPercent val="0"/>
          <c:showBubbleSize val="0"/>
        </c:dLbls>
        <c:smooth val="0"/>
        <c:axId val="1052153680"/>
        <c:axId val="1052152240"/>
      </c:lineChart>
      <c:catAx>
        <c:axId val="105215368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52152240"/>
        <c:crosses val="autoZero"/>
        <c:auto val="1"/>
        <c:lblAlgn val="ctr"/>
        <c:lblOffset val="100"/>
        <c:noMultiLvlLbl val="0"/>
      </c:catAx>
      <c:valAx>
        <c:axId val="105215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52153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'BIFUbC-natural-gas'!$A$1</c:f>
              <c:strCache>
                <c:ptCount val="1"/>
                <c:pt idx="0">
                  <c:v>Unit: BTU</c:v>
                </c:pt>
              </c:strCache>
            </c:strRef>
          </c:tx>
          <c:spPr>
            <a:ln w="28575" cap="rnd">
              <a:solidFill>
                <a:schemeClr val="accent1"/>
              </a:solidFill>
              <a:round/>
            </a:ln>
            <a:effectLst/>
          </c:spPr>
          <c:marker>
            <c:symbol val="none"/>
          </c:marker>
          <c:val>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val>
          <c:smooth val="0"/>
          <c:extLst>
            <c:ext xmlns:c16="http://schemas.microsoft.com/office/drawing/2014/chart" uri="{C3380CC4-5D6E-409C-BE32-E72D297353CC}">
              <c16:uniqueId val="{00000000-AEC1-4552-BD14-1FFCEBCA3006}"/>
            </c:ext>
          </c:extLst>
        </c:ser>
        <c:ser>
          <c:idx val="1"/>
          <c:order val="1"/>
          <c:tx>
            <c:strRef>
              <c:f>'BIFUbC-natural-gas'!$A$2</c:f>
              <c:strCache>
                <c:ptCount val="1"/>
                <c:pt idx="0">
                  <c:v>agriculture and forestry 01T03</c:v>
                </c:pt>
              </c:strCache>
            </c:strRef>
          </c:tx>
          <c:spPr>
            <a:ln w="28575" cap="rnd">
              <a:solidFill>
                <a:schemeClr val="accent2"/>
              </a:solidFill>
              <a:round/>
            </a:ln>
            <a:effectLst/>
          </c:spPr>
          <c:marker>
            <c:symbol val="none"/>
          </c:marker>
          <c:val>
            <c:numRef>
              <c:f>'BIFUbC-natural-gas'!$B$2:$AF$2</c:f>
              <c:numCache>
                <c:formatCode>0.00E+00</c:formatCode>
                <c:ptCount val="31"/>
                <c:pt idx="0">
                  <c:v>21647522572499.672</c:v>
                </c:pt>
                <c:pt idx="1">
                  <c:v>22443005219982.512</c:v>
                </c:pt>
                <c:pt idx="2">
                  <c:v>23238487867465.352</c:v>
                </c:pt>
                <c:pt idx="3">
                  <c:v>24033970514948.188</c:v>
                </c:pt>
                <c:pt idx="4">
                  <c:v>24829453162431.031</c:v>
                </c:pt>
                <c:pt idx="5">
                  <c:v>25624935809913.871</c:v>
                </c:pt>
                <c:pt idx="6">
                  <c:v>25831320088499.969</c:v>
                </c:pt>
                <c:pt idx="7">
                  <c:v>26037704367086.066</c:v>
                </c:pt>
                <c:pt idx="8">
                  <c:v>26244088645672.168</c:v>
                </c:pt>
                <c:pt idx="9">
                  <c:v>26450472924258.266</c:v>
                </c:pt>
                <c:pt idx="10">
                  <c:v>26656857202844.367</c:v>
                </c:pt>
                <c:pt idx="11">
                  <c:v>26765904368602.625</c:v>
                </c:pt>
                <c:pt idx="12">
                  <c:v>26874951534360.879</c:v>
                </c:pt>
                <c:pt idx="13">
                  <c:v>26983998700119.141</c:v>
                </c:pt>
                <c:pt idx="14">
                  <c:v>27093045865877.398</c:v>
                </c:pt>
                <c:pt idx="15">
                  <c:v>27202093031635.66</c:v>
                </c:pt>
                <c:pt idx="16">
                  <c:v>27279995762314.113</c:v>
                </c:pt>
                <c:pt idx="17">
                  <c:v>27357898492992.566</c:v>
                </c:pt>
                <c:pt idx="18">
                  <c:v>27435801223671.016</c:v>
                </c:pt>
                <c:pt idx="19">
                  <c:v>27513703954349.469</c:v>
                </c:pt>
                <c:pt idx="20">
                  <c:v>27591606685027.914</c:v>
                </c:pt>
                <c:pt idx="21">
                  <c:v>27711035329146.129</c:v>
                </c:pt>
                <c:pt idx="22">
                  <c:v>27802150850464.48</c:v>
                </c:pt>
                <c:pt idx="23">
                  <c:v>27893266371782.855</c:v>
                </c:pt>
                <c:pt idx="24">
                  <c:v>27984381893101.23</c:v>
                </c:pt>
                <c:pt idx="25">
                  <c:v>28075497414419.609</c:v>
                </c:pt>
                <c:pt idx="26">
                  <c:v>28166612935737.961</c:v>
                </c:pt>
                <c:pt idx="27">
                  <c:v>28257728457056.336</c:v>
                </c:pt>
                <c:pt idx="28">
                  <c:v>28348843978374.707</c:v>
                </c:pt>
                <c:pt idx="29">
                  <c:v>28439959499693.09</c:v>
                </c:pt>
                <c:pt idx="30">
                  <c:v>28531075021011.461</c:v>
                </c:pt>
              </c:numCache>
            </c:numRef>
          </c:val>
          <c:smooth val="0"/>
          <c:extLst>
            <c:ext xmlns:c16="http://schemas.microsoft.com/office/drawing/2014/chart" uri="{C3380CC4-5D6E-409C-BE32-E72D297353CC}">
              <c16:uniqueId val="{00000001-AEC1-4552-BD14-1FFCEBCA3006}"/>
            </c:ext>
          </c:extLst>
        </c:ser>
        <c:ser>
          <c:idx val="2"/>
          <c:order val="2"/>
          <c:tx>
            <c:strRef>
              <c:f>'BIFUbC-natural-gas'!$A$3</c:f>
              <c:strCache>
                <c:ptCount val="1"/>
                <c:pt idx="0">
                  <c:v>coal mining 05</c:v>
                </c:pt>
              </c:strCache>
            </c:strRef>
          </c:tx>
          <c:spPr>
            <a:ln w="28575" cap="rnd">
              <a:solidFill>
                <a:schemeClr val="accent3"/>
              </a:solidFill>
              <a:round/>
            </a:ln>
            <a:effectLst/>
          </c:spPr>
          <c:marker>
            <c:symbol val="none"/>
          </c:marker>
          <c:val>
            <c:numRef>
              <c:f>'BIFUbC-natural-gas'!$B$3:$AF$3</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AEC1-4552-BD14-1FFCEBCA3006}"/>
            </c:ext>
          </c:extLst>
        </c:ser>
        <c:ser>
          <c:idx val="3"/>
          <c:order val="3"/>
          <c:tx>
            <c:strRef>
              <c:f>'BIFUbC-natural-gas'!$A$4</c:f>
              <c:strCache>
                <c:ptCount val="1"/>
                <c:pt idx="0">
                  <c:v>oil and gas extraction 06</c:v>
                </c:pt>
              </c:strCache>
            </c:strRef>
          </c:tx>
          <c:spPr>
            <a:ln w="28575" cap="rnd">
              <a:solidFill>
                <a:schemeClr val="accent4"/>
              </a:solidFill>
              <a:round/>
            </a:ln>
            <a:effectLst/>
          </c:spPr>
          <c:marker>
            <c:symbol val="none"/>
          </c:marker>
          <c:val>
            <c:numRef>
              <c:f>'BIFUbC-natural-gas'!$B$4:$AF$4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3-AEC1-4552-BD14-1FFCEBCA3006}"/>
            </c:ext>
          </c:extLst>
        </c:ser>
        <c:ser>
          <c:idx val="4"/>
          <c:order val="4"/>
          <c:tx>
            <c:strRef>
              <c:f>'BIFUbC-natural-gas'!$A$5</c:f>
              <c:strCache>
                <c:ptCount val="1"/>
                <c:pt idx="0">
                  <c:v>other mining and quarrying 07T08</c:v>
                </c:pt>
              </c:strCache>
            </c:strRef>
          </c:tx>
          <c:spPr>
            <a:ln w="28575" cap="rnd">
              <a:solidFill>
                <a:schemeClr val="accent5"/>
              </a:solidFill>
              <a:round/>
            </a:ln>
            <a:effectLst/>
          </c:spPr>
          <c:marker>
            <c:symbol val="none"/>
          </c:marker>
          <c:val>
            <c:numRef>
              <c:f>'BIFUbC-natural-gas'!$B$5:$AF$5</c:f>
              <c:numCache>
                <c:formatCode>0.00E+00</c:formatCode>
                <c:ptCount val="31"/>
                <c:pt idx="0">
                  <c:v>1866953912510.2483</c:v>
                </c:pt>
                <c:pt idx="1">
                  <c:v>1935561249098.428</c:v>
                </c:pt>
                <c:pt idx="2">
                  <c:v>2004168585686.6079</c:v>
                </c:pt>
                <c:pt idx="3">
                  <c:v>2072775922274.7878</c:v>
                </c:pt>
                <c:pt idx="4">
                  <c:v>2141383258862.968</c:v>
                </c:pt>
                <c:pt idx="5">
                  <c:v>2209990595451.1475</c:v>
                </c:pt>
                <c:pt idx="6">
                  <c:v>2227788726671.1621</c:v>
                </c:pt>
                <c:pt idx="7">
                  <c:v>2245586857891.1758</c:v>
                </c:pt>
                <c:pt idx="8">
                  <c:v>2263384989111.1895</c:v>
                </c:pt>
                <c:pt idx="9">
                  <c:v>2281183120331.2031</c:v>
                </c:pt>
                <c:pt idx="10">
                  <c:v>2298981251551.2173</c:v>
                </c:pt>
                <c:pt idx="11">
                  <c:v>2308384037856.1299</c:v>
                </c:pt>
                <c:pt idx="12">
                  <c:v>2317786824161.043</c:v>
                </c:pt>
                <c:pt idx="13">
                  <c:v>2327189610465.9561</c:v>
                </c:pt>
                <c:pt idx="14">
                  <c:v>2336592396770.8691</c:v>
                </c:pt>
                <c:pt idx="15">
                  <c:v>2345995183075.7817</c:v>
                </c:pt>
                <c:pt idx="16">
                  <c:v>2352711459007.8628</c:v>
                </c:pt>
                <c:pt idx="17">
                  <c:v>2359427734939.9434</c:v>
                </c:pt>
                <c:pt idx="18">
                  <c:v>2366144010872.0234</c:v>
                </c:pt>
                <c:pt idx="19">
                  <c:v>2372860286804.1045</c:v>
                </c:pt>
                <c:pt idx="20">
                  <c:v>2379576562736.1846</c:v>
                </c:pt>
                <c:pt idx="21">
                  <c:v>2389874852498.7104</c:v>
                </c:pt>
                <c:pt idx="22">
                  <c:v>2397730860104.1123</c:v>
                </c:pt>
                <c:pt idx="23">
                  <c:v>2405586867709.5161</c:v>
                </c:pt>
                <c:pt idx="24">
                  <c:v>2413442875314.9199</c:v>
                </c:pt>
                <c:pt idx="25">
                  <c:v>2421298882920.3237</c:v>
                </c:pt>
                <c:pt idx="26">
                  <c:v>2429154890525.7251</c:v>
                </c:pt>
                <c:pt idx="27">
                  <c:v>2437010898131.1294</c:v>
                </c:pt>
                <c:pt idx="28">
                  <c:v>2444866905736.5337</c:v>
                </c:pt>
                <c:pt idx="29">
                  <c:v>2452722913341.9375</c:v>
                </c:pt>
                <c:pt idx="30">
                  <c:v>2460578920947.3413</c:v>
                </c:pt>
              </c:numCache>
            </c:numRef>
          </c:val>
          <c:smooth val="0"/>
          <c:extLst>
            <c:ext xmlns:c16="http://schemas.microsoft.com/office/drawing/2014/chart" uri="{C3380CC4-5D6E-409C-BE32-E72D297353CC}">
              <c16:uniqueId val="{00000004-AEC1-4552-BD14-1FFCEBCA3006}"/>
            </c:ext>
          </c:extLst>
        </c:ser>
        <c:ser>
          <c:idx val="5"/>
          <c:order val="5"/>
          <c:tx>
            <c:strRef>
              <c:f>'BIFUbC-natural-gas'!$A$6</c:f>
              <c:strCache>
                <c:ptCount val="1"/>
                <c:pt idx="0">
                  <c:v>food beverage and tobacco 10T12</c:v>
                </c:pt>
              </c:strCache>
            </c:strRef>
          </c:tx>
          <c:spPr>
            <a:ln w="28575" cap="rnd">
              <a:solidFill>
                <a:schemeClr val="accent6"/>
              </a:solidFill>
              <a:round/>
            </a:ln>
            <a:effectLst/>
          </c:spPr>
          <c:marker>
            <c:symbol val="none"/>
          </c:marker>
          <c:val>
            <c:numRef>
              <c:f>'BIFUbC-natural-gas'!$B$6:$AF$6</c:f>
              <c:numCache>
                <c:formatCode>0.00E+00</c:formatCode>
                <c:ptCount val="31"/>
                <c:pt idx="0">
                  <c:v>45976133006486.086</c:v>
                </c:pt>
                <c:pt idx="1">
                  <c:v>47141070695695.406</c:v>
                </c:pt>
                <c:pt idx="2">
                  <c:v>48306008384904.609</c:v>
                </c:pt>
                <c:pt idx="3">
                  <c:v>49470946074113.938</c:v>
                </c:pt>
                <c:pt idx="4">
                  <c:v>50635883763323.266</c:v>
                </c:pt>
                <c:pt idx="5">
                  <c:v>51800821452532.664</c:v>
                </c:pt>
                <c:pt idx="6">
                  <c:v>52499047242415.133</c:v>
                </c:pt>
                <c:pt idx="7">
                  <c:v>53197273032297.602</c:v>
                </c:pt>
                <c:pt idx="8">
                  <c:v>53895498822180.063</c:v>
                </c:pt>
                <c:pt idx="9">
                  <c:v>54593724612062.531</c:v>
                </c:pt>
                <c:pt idx="10">
                  <c:v>55291950401945.008</c:v>
                </c:pt>
                <c:pt idx="11">
                  <c:v>55937489830837.047</c:v>
                </c:pt>
                <c:pt idx="12">
                  <c:v>56583029259729.094</c:v>
                </c:pt>
                <c:pt idx="13">
                  <c:v>57228568688621.141</c:v>
                </c:pt>
                <c:pt idx="14">
                  <c:v>57874108117513.188</c:v>
                </c:pt>
                <c:pt idx="15">
                  <c:v>58519647546405.242</c:v>
                </c:pt>
                <c:pt idx="16">
                  <c:v>59216513434278.305</c:v>
                </c:pt>
                <c:pt idx="17">
                  <c:v>59913379322151.383</c:v>
                </c:pt>
                <c:pt idx="18">
                  <c:v>60610245210024.453</c:v>
                </c:pt>
                <c:pt idx="19">
                  <c:v>61307111097897.531</c:v>
                </c:pt>
                <c:pt idx="20">
                  <c:v>62003976985770.578</c:v>
                </c:pt>
                <c:pt idx="21">
                  <c:v>62632407595002.266</c:v>
                </c:pt>
                <c:pt idx="22">
                  <c:v>63307498621489.359</c:v>
                </c:pt>
                <c:pt idx="23">
                  <c:v>63982589647976.648</c:v>
                </c:pt>
                <c:pt idx="24">
                  <c:v>64657680674463.766</c:v>
                </c:pt>
                <c:pt idx="25">
                  <c:v>65332771700951.055</c:v>
                </c:pt>
                <c:pt idx="26">
                  <c:v>66007862727438.148</c:v>
                </c:pt>
                <c:pt idx="27">
                  <c:v>66682953753925.438</c:v>
                </c:pt>
                <c:pt idx="28">
                  <c:v>67358044780412.555</c:v>
                </c:pt>
                <c:pt idx="29">
                  <c:v>68033135806899.672</c:v>
                </c:pt>
                <c:pt idx="30">
                  <c:v>68708226833386.953</c:v>
                </c:pt>
              </c:numCache>
            </c:numRef>
          </c:val>
          <c:smooth val="0"/>
          <c:extLst>
            <c:ext xmlns:c16="http://schemas.microsoft.com/office/drawing/2014/chart" uri="{C3380CC4-5D6E-409C-BE32-E72D297353CC}">
              <c16:uniqueId val="{00000005-AEC1-4552-BD14-1FFCEBCA3006}"/>
            </c:ext>
          </c:extLst>
        </c:ser>
        <c:ser>
          <c:idx val="6"/>
          <c:order val="6"/>
          <c:tx>
            <c:strRef>
              <c:f>'BIFUbC-natural-gas'!$A$7</c:f>
              <c:strCache>
                <c:ptCount val="1"/>
                <c:pt idx="0">
                  <c:v>textiles apparel and leather 13T15</c:v>
                </c:pt>
              </c:strCache>
            </c:strRef>
          </c:tx>
          <c:spPr>
            <a:ln w="28575" cap="rnd">
              <a:solidFill>
                <a:schemeClr val="accent1">
                  <a:lumMod val="60000"/>
                </a:schemeClr>
              </a:solidFill>
              <a:round/>
            </a:ln>
            <a:effectLst/>
          </c:spPr>
          <c:marker>
            <c:symbol val="none"/>
          </c:marker>
          <c:val>
            <c:numRef>
              <c:f>'BIFUbC-natural-gas'!$B$7:$AF$7</c:f>
              <c:numCache>
                <c:formatCode>0.00E+00</c:formatCode>
                <c:ptCount val="31"/>
                <c:pt idx="0">
                  <c:v>22181498353249.801</c:v>
                </c:pt>
                <c:pt idx="1">
                  <c:v>22828119029148.719</c:v>
                </c:pt>
                <c:pt idx="2">
                  <c:v>23474739705047.641</c:v>
                </c:pt>
                <c:pt idx="3">
                  <c:v>24121360380946.555</c:v>
                </c:pt>
                <c:pt idx="4">
                  <c:v>24767981056845.473</c:v>
                </c:pt>
                <c:pt idx="5">
                  <c:v>25414601732744.336</c:v>
                </c:pt>
                <c:pt idx="6">
                  <c:v>25709554827828.555</c:v>
                </c:pt>
                <c:pt idx="7">
                  <c:v>26004507922912.773</c:v>
                </c:pt>
                <c:pt idx="8">
                  <c:v>26299461017996.992</c:v>
                </c:pt>
                <c:pt idx="9">
                  <c:v>26594414113081.211</c:v>
                </c:pt>
                <c:pt idx="10">
                  <c:v>26889367208165.43</c:v>
                </c:pt>
                <c:pt idx="11">
                  <c:v>27134060489544.414</c:v>
                </c:pt>
                <c:pt idx="12">
                  <c:v>27378753770923.406</c:v>
                </c:pt>
                <c:pt idx="13">
                  <c:v>27623447052302.395</c:v>
                </c:pt>
                <c:pt idx="14">
                  <c:v>27868140333681.383</c:v>
                </c:pt>
                <c:pt idx="15">
                  <c:v>28112833615060.375</c:v>
                </c:pt>
                <c:pt idx="16">
                  <c:v>28363346132606.5</c:v>
                </c:pt>
                <c:pt idx="17">
                  <c:v>28613858650152.629</c:v>
                </c:pt>
                <c:pt idx="18">
                  <c:v>28864371167698.758</c:v>
                </c:pt>
                <c:pt idx="19">
                  <c:v>29114883685244.887</c:v>
                </c:pt>
                <c:pt idx="20">
                  <c:v>29365396202791</c:v>
                </c:pt>
                <c:pt idx="21">
                  <c:v>29608149738780.949</c:v>
                </c:pt>
                <c:pt idx="22">
                  <c:v>29856193489468.258</c:v>
                </c:pt>
                <c:pt idx="23">
                  <c:v>30104237240155.633</c:v>
                </c:pt>
                <c:pt idx="24">
                  <c:v>30352280990842.953</c:v>
                </c:pt>
                <c:pt idx="25">
                  <c:v>30600324741530.336</c:v>
                </c:pt>
                <c:pt idx="26">
                  <c:v>30848368492217.641</c:v>
                </c:pt>
                <c:pt idx="27">
                  <c:v>31096412242905.016</c:v>
                </c:pt>
                <c:pt idx="28">
                  <c:v>31344455993592.34</c:v>
                </c:pt>
                <c:pt idx="29">
                  <c:v>31592499744279.664</c:v>
                </c:pt>
                <c:pt idx="30">
                  <c:v>31840543494967.039</c:v>
                </c:pt>
              </c:numCache>
            </c:numRef>
          </c:val>
          <c:smooth val="0"/>
          <c:extLst>
            <c:ext xmlns:c16="http://schemas.microsoft.com/office/drawing/2014/chart" uri="{C3380CC4-5D6E-409C-BE32-E72D297353CC}">
              <c16:uniqueId val="{00000006-AEC1-4552-BD14-1FFCEBCA3006}"/>
            </c:ext>
          </c:extLst>
        </c:ser>
        <c:ser>
          <c:idx val="7"/>
          <c:order val="7"/>
          <c:tx>
            <c:strRef>
              <c:f>'BIFUbC-natural-gas'!$A$8</c:f>
              <c:strCache>
                <c:ptCount val="1"/>
                <c:pt idx="0">
                  <c:v>wood products 16</c:v>
                </c:pt>
              </c:strCache>
            </c:strRef>
          </c:tx>
          <c:spPr>
            <a:ln w="28575" cap="rnd">
              <a:solidFill>
                <a:schemeClr val="accent2">
                  <a:lumMod val="60000"/>
                </a:schemeClr>
              </a:solidFill>
              <a:round/>
            </a:ln>
            <a:effectLst/>
          </c:spPr>
          <c:marker>
            <c:symbol val="none"/>
          </c:marker>
          <c:val>
            <c:numRef>
              <c:f>'BIFUbC-natural-gas'!$B$8:$AF$8</c:f>
              <c:numCache>
                <c:formatCode>0.00E+00</c:formatCode>
                <c:ptCount val="31"/>
                <c:pt idx="0">
                  <c:v>3127726372344.9697</c:v>
                </c:pt>
                <c:pt idx="1">
                  <c:v>3225230598619.1528</c:v>
                </c:pt>
                <c:pt idx="2">
                  <c:v>3322734824893.3276</c:v>
                </c:pt>
                <c:pt idx="3">
                  <c:v>3420239051167.5103</c:v>
                </c:pt>
                <c:pt idx="4">
                  <c:v>3517743277441.6855</c:v>
                </c:pt>
                <c:pt idx="5">
                  <c:v>3615247503715.8604</c:v>
                </c:pt>
                <c:pt idx="6">
                  <c:v>3653702990749.3755</c:v>
                </c:pt>
                <c:pt idx="7">
                  <c:v>3692158477782.8901</c:v>
                </c:pt>
                <c:pt idx="8">
                  <c:v>3730613964816.4043</c:v>
                </c:pt>
                <c:pt idx="9">
                  <c:v>3769069451849.9189</c:v>
                </c:pt>
                <c:pt idx="10">
                  <c:v>3807524938883.4336</c:v>
                </c:pt>
                <c:pt idx="11">
                  <c:v>3837035517849.394</c:v>
                </c:pt>
                <c:pt idx="12">
                  <c:v>3866546096815.3555</c:v>
                </c:pt>
                <c:pt idx="13">
                  <c:v>3896056675781.3154</c:v>
                </c:pt>
                <c:pt idx="14">
                  <c:v>3925567254747.2764</c:v>
                </c:pt>
                <c:pt idx="15">
                  <c:v>3955077833713.2373</c:v>
                </c:pt>
                <c:pt idx="16">
                  <c:v>3983992083018.022</c:v>
                </c:pt>
                <c:pt idx="17">
                  <c:v>4012906332322.8076</c:v>
                </c:pt>
                <c:pt idx="18">
                  <c:v>4041820581627.5938</c:v>
                </c:pt>
                <c:pt idx="19">
                  <c:v>4070734830932.3779</c:v>
                </c:pt>
                <c:pt idx="20">
                  <c:v>4099649080237.1631</c:v>
                </c:pt>
                <c:pt idx="21">
                  <c:v>4129358435756.8496</c:v>
                </c:pt>
                <c:pt idx="22">
                  <c:v>4158525673402.7349</c:v>
                </c:pt>
                <c:pt idx="23">
                  <c:v>4187692911048.6289</c:v>
                </c:pt>
                <c:pt idx="24">
                  <c:v>4216860148694.5171</c:v>
                </c:pt>
                <c:pt idx="25">
                  <c:v>4246027386340.4111</c:v>
                </c:pt>
                <c:pt idx="26">
                  <c:v>4275194623986.2964</c:v>
                </c:pt>
                <c:pt idx="27">
                  <c:v>4304361861632.1904</c:v>
                </c:pt>
                <c:pt idx="28">
                  <c:v>4333529099278.0791</c:v>
                </c:pt>
                <c:pt idx="29">
                  <c:v>4362696336923.9668</c:v>
                </c:pt>
                <c:pt idx="30">
                  <c:v>4391863574569.8604</c:v>
                </c:pt>
              </c:numCache>
            </c:numRef>
          </c:val>
          <c:smooth val="0"/>
          <c:extLst>
            <c:ext xmlns:c16="http://schemas.microsoft.com/office/drawing/2014/chart" uri="{C3380CC4-5D6E-409C-BE32-E72D297353CC}">
              <c16:uniqueId val="{00000007-AEC1-4552-BD14-1FFCEBCA3006}"/>
            </c:ext>
          </c:extLst>
        </c:ser>
        <c:ser>
          <c:idx val="8"/>
          <c:order val="8"/>
          <c:tx>
            <c:strRef>
              <c:f>'BIFUbC-natural-gas'!$A$9</c:f>
              <c:strCache>
                <c:ptCount val="1"/>
                <c:pt idx="0">
                  <c:v>pulp paper and printing 17T18</c:v>
                </c:pt>
              </c:strCache>
            </c:strRef>
          </c:tx>
          <c:spPr>
            <a:ln w="28575" cap="rnd">
              <a:solidFill>
                <a:schemeClr val="accent3">
                  <a:lumMod val="60000"/>
                </a:schemeClr>
              </a:solidFill>
              <a:round/>
            </a:ln>
            <a:effectLst/>
          </c:spPr>
          <c:marker>
            <c:symbol val="none"/>
          </c:marker>
          <c:val>
            <c:numRef>
              <c:f>'BIFUbC-natural-gas'!$B$9:$AF$9</c:f>
              <c:numCache>
                <c:formatCode>0.00E+00</c:formatCode>
                <c:ptCount val="31"/>
                <c:pt idx="0">
                  <c:v>22770937869572.703</c:v>
                </c:pt>
                <c:pt idx="1">
                  <c:v>23418759929187.641</c:v>
                </c:pt>
                <c:pt idx="2">
                  <c:v>24066581988802.574</c:v>
                </c:pt>
                <c:pt idx="3">
                  <c:v>24714404048417.508</c:v>
                </c:pt>
                <c:pt idx="4">
                  <c:v>25362226108032.445</c:v>
                </c:pt>
                <c:pt idx="5">
                  <c:v>26010048167647.398</c:v>
                </c:pt>
                <c:pt idx="6">
                  <c:v>26320757506930.848</c:v>
                </c:pt>
                <c:pt idx="7">
                  <c:v>26631466846214.289</c:v>
                </c:pt>
                <c:pt idx="8">
                  <c:v>26942176185497.734</c:v>
                </c:pt>
                <c:pt idx="9">
                  <c:v>27252885524781.176</c:v>
                </c:pt>
                <c:pt idx="10">
                  <c:v>27563594864064.625</c:v>
                </c:pt>
                <c:pt idx="11">
                  <c:v>27827402082857.063</c:v>
                </c:pt>
                <c:pt idx="12">
                  <c:v>28091209301649.508</c:v>
                </c:pt>
                <c:pt idx="13">
                  <c:v>28355016520441.953</c:v>
                </c:pt>
                <c:pt idx="14">
                  <c:v>28618823739234.398</c:v>
                </c:pt>
                <c:pt idx="15">
                  <c:v>28882630958026.844</c:v>
                </c:pt>
                <c:pt idx="16">
                  <c:v>29155991115798.836</c:v>
                </c:pt>
                <c:pt idx="17">
                  <c:v>29429351273570.836</c:v>
                </c:pt>
                <c:pt idx="18">
                  <c:v>29702711431342.828</c:v>
                </c:pt>
                <c:pt idx="19">
                  <c:v>29976071589114.828</c:v>
                </c:pt>
                <c:pt idx="20">
                  <c:v>30249431746886.809</c:v>
                </c:pt>
                <c:pt idx="21">
                  <c:v>30510054652686.07</c:v>
                </c:pt>
                <c:pt idx="22">
                  <c:v>30779362048466.703</c:v>
                </c:pt>
                <c:pt idx="23">
                  <c:v>31048669444247.414</c:v>
                </c:pt>
                <c:pt idx="24">
                  <c:v>31317976840028.063</c:v>
                </c:pt>
                <c:pt idx="25">
                  <c:v>31587284235808.773</c:v>
                </c:pt>
                <c:pt idx="26">
                  <c:v>31856591631589.406</c:v>
                </c:pt>
                <c:pt idx="27">
                  <c:v>32125899027370.113</c:v>
                </c:pt>
                <c:pt idx="28">
                  <c:v>32395206423150.766</c:v>
                </c:pt>
                <c:pt idx="29">
                  <c:v>32664513818931.41</c:v>
                </c:pt>
                <c:pt idx="30">
                  <c:v>32933821214712.117</c:v>
                </c:pt>
              </c:numCache>
            </c:numRef>
          </c:val>
          <c:smooth val="0"/>
          <c:extLst>
            <c:ext xmlns:c16="http://schemas.microsoft.com/office/drawing/2014/chart" uri="{C3380CC4-5D6E-409C-BE32-E72D297353CC}">
              <c16:uniqueId val="{00000008-AEC1-4552-BD14-1FFCEBCA3006}"/>
            </c:ext>
          </c:extLst>
        </c:ser>
        <c:ser>
          <c:idx val="9"/>
          <c:order val="9"/>
          <c:tx>
            <c:strRef>
              <c:f>'BIFUbC-natural-gas'!$A$10</c:f>
              <c:strCache>
                <c:ptCount val="1"/>
                <c:pt idx="0">
                  <c:v>refined petroleum and coke 19</c:v>
                </c:pt>
              </c:strCache>
            </c:strRef>
          </c:tx>
          <c:spPr>
            <a:ln w="28575" cap="rnd">
              <a:solidFill>
                <a:schemeClr val="accent4">
                  <a:lumMod val="60000"/>
                </a:schemeClr>
              </a:solidFill>
              <a:round/>
            </a:ln>
            <a:effectLst/>
          </c:spPr>
          <c:marker>
            <c:symbol val="none"/>
          </c:marker>
          <c:val>
            <c:numRef>
              <c:f>'BIFUbC-natural-gas'!$B$10:$AF$10</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9-AEC1-4552-BD14-1FFCEBCA3006}"/>
            </c:ext>
          </c:extLst>
        </c:ser>
        <c:ser>
          <c:idx val="10"/>
          <c:order val="10"/>
          <c:tx>
            <c:strRef>
              <c:f>'BIFUbC-natural-gas'!$A$11</c:f>
              <c:strCache>
                <c:ptCount val="1"/>
                <c:pt idx="0">
                  <c:v>chemicals 20</c:v>
                </c:pt>
              </c:strCache>
            </c:strRef>
          </c:tx>
          <c:spPr>
            <a:ln w="28575" cap="rnd">
              <a:solidFill>
                <a:schemeClr val="accent5">
                  <a:lumMod val="60000"/>
                </a:schemeClr>
              </a:solidFill>
              <a:round/>
            </a:ln>
            <a:effectLst/>
          </c:spPr>
          <c:marker>
            <c:symbol val="none"/>
          </c:marker>
          <c:val>
            <c:numRef>
              <c:f>'BIFUbC-natural-gas'!$B$11:$AF$11</c:f>
              <c:numCache>
                <c:formatCode>0.00E+00</c:formatCode>
                <c:ptCount val="31"/>
                <c:pt idx="0">
                  <c:v>167234079509447.75</c:v>
                </c:pt>
                <c:pt idx="1">
                  <c:v>165779699167265.84</c:v>
                </c:pt>
                <c:pt idx="2">
                  <c:v>166920515286799.5</c:v>
                </c:pt>
                <c:pt idx="3">
                  <c:v>167708581120593.94</c:v>
                </c:pt>
                <c:pt idx="4">
                  <c:v>169933567224229.84</c:v>
                </c:pt>
                <c:pt idx="5">
                  <c:v>172028895541819.09</c:v>
                </c:pt>
                <c:pt idx="6">
                  <c:v>175541901885200.72</c:v>
                </c:pt>
                <c:pt idx="7">
                  <c:v>178521483363206.31</c:v>
                </c:pt>
                <c:pt idx="8">
                  <c:v>180926085433695.75</c:v>
                </c:pt>
                <c:pt idx="9">
                  <c:v>182722792760622.75</c:v>
                </c:pt>
                <c:pt idx="10">
                  <c:v>185108528983136.13</c:v>
                </c:pt>
                <c:pt idx="11">
                  <c:v>183770159877084.31</c:v>
                </c:pt>
                <c:pt idx="12">
                  <c:v>182427784457396.59</c:v>
                </c:pt>
                <c:pt idx="13">
                  <c:v>181081334225221.63</c:v>
                </c:pt>
                <c:pt idx="14">
                  <c:v>179730738686207.47</c:v>
                </c:pt>
                <c:pt idx="15">
                  <c:v>178375925267824.59</c:v>
                </c:pt>
                <c:pt idx="16">
                  <c:v>178256400517400.5</c:v>
                </c:pt>
                <c:pt idx="17">
                  <c:v>178136875766976.44</c:v>
                </c:pt>
                <c:pt idx="18">
                  <c:v>178017351016552.38</c:v>
                </c:pt>
                <c:pt idx="19">
                  <c:v>177897826266128.34</c:v>
                </c:pt>
                <c:pt idx="20">
                  <c:v>177778301515704.31</c:v>
                </c:pt>
                <c:pt idx="21">
                  <c:v>177598746463343.94</c:v>
                </c:pt>
                <c:pt idx="22">
                  <c:v>177419191410983.56</c:v>
                </c:pt>
                <c:pt idx="23">
                  <c:v>177239636358623.16</c:v>
                </c:pt>
                <c:pt idx="24">
                  <c:v>177060081306262.84</c:v>
                </c:pt>
                <c:pt idx="25">
                  <c:v>176880526253902.44</c:v>
                </c:pt>
                <c:pt idx="26">
                  <c:v>176700971201542.09</c:v>
                </c:pt>
                <c:pt idx="27">
                  <c:v>176521416149181.72</c:v>
                </c:pt>
                <c:pt idx="28">
                  <c:v>176341861096821.31</c:v>
                </c:pt>
                <c:pt idx="29">
                  <c:v>176162306044460.97</c:v>
                </c:pt>
                <c:pt idx="30">
                  <c:v>175982750992100.63</c:v>
                </c:pt>
              </c:numCache>
            </c:numRef>
          </c:val>
          <c:smooth val="0"/>
          <c:extLst>
            <c:ext xmlns:c16="http://schemas.microsoft.com/office/drawing/2014/chart" uri="{C3380CC4-5D6E-409C-BE32-E72D297353CC}">
              <c16:uniqueId val="{0000000A-AEC1-4552-BD14-1FFCEBCA3006}"/>
            </c:ext>
          </c:extLst>
        </c:ser>
        <c:ser>
          <c:idx val="11"/>
          <c:order val="11"/>
          <c:tx>
            <c:strRef>
              <c:f>'BIFUbC-natural-gas'!$A$12</c:f>
              <c:strCache>
                <c:ptCount val="1"/>
                <c:pt idx="0">
                  <c:v>rubber and plastic products 22</c:v>
                </c:pt>
              </c:strCache>
            </c:strRef>
          </c:tx>
          <c:spPr>
            <a:ln w="28575" cap="rnd">
              <a:solidFill>
                <a:schemeClr val="accent6">
                  <a:lumMod val="60000"/>
                </a:schemeClr>
              </a:solidFill>
              <a:round/>
            </a:ln>
            <a:effectLst/>
          </c:spPr>
          <c:marker>
            <c:symbol val="none"/>
          </c:marker>
          <c:val>
            <c:numRef>
              <c:f>'BIFUbC-natural-gas'!$B$12:$AF$12</c:f>
              <c:numCache>
                <c:formatCode>0.00E+00</c:formatCode>
                <c:ptCount val="31"/>
                <c:pt idx="0">
                  <c:v>165290088281564.47</c:v>
                </c:pt>
                <c:pt idx="1">
                  <c:v>164862352143195.03</c:v>
                </c:pt>
                <c:pt idx="2">
                  <c:v>166540044272254.69</c:v>
                </c:pt>
                <c:pt idx="3">
                  <c:v>167931557518947.22</c:v>
                </c:pt>
                <c:pt idx="4">
                  <c:v>170488813937224.16</c:v>
                </c:pt>
                <c:pt idx="5">
                  <c:v>172788082764290.63</c:v>
                </c:pt>
                <c:pt idx="6">
                  <c:v>176594187669771.28</c:v>
                </c:pt>
                <c:pt idx="7">
                  <c:v>179852011443576.38</c:v>
                </c:pt>
                <c:pt idx="8">
                  <c:v>182518694396748.91</c:v>
                </c:pt>
                <c:pt idx="9">
                  <c:v>184560030164480.34</c:v>
                </c:pt>
                <c:pt idx="10">
                  <c:v>187237260140364.97</c:v>
                </c:pt>
                <c:pt idx="11">
                  <c:v>185883499911972.25</c:v>
                </c:pt>
                <c:pt idx="12">
                  <c:v>184525687297703.16</c:v>
                </c:pt>
                <c:pt idx="13">
                  <c:v>183163753010975.75</c:v>
                </c:pt>
                <c:pt idx="14">
                  <c:v>181797625746759.59</c:v>
                </c:pt>
                <c:pt idx="15">
                  <c:v>180427232097947.63</c:v>
                </c:pt>
                <c:pt idx="16">
                  <c:v>180306332823822.88</c:v>
                </c:pt>
                <c:pt idx="17">
                  <c:v>180185433549698.13</c:v>
                </c:pt>
                <c:pt idx="18">
                  <c:v>180064534275573.38</c:v>
                </c:pt>
                <c:pt idx="19">
                  <c:v>179943635001448.66</c:v>
                </c:pt>
                <c:pt idx="20">
                  <c:v>179822735727323.94</c:v>
                </c:pt>
                <c:pt idx="21">
                  <c:v>179641115808279.66</c:v>
                </c:pt>
                <c:pt idx="22">
                  <c:v>179459495889235.44</c:v>
                </c:pt>
                <c:pt idx="23">
                  <c:v>179277875970191.19</c:v>
                </c:pt>
                <c:pt idx="24">
                  <c:v>179096256051146.97</c:v>
                </c:pt>
                <c:pt idx="25">
                  <c:v>178914636132102.72</c:v>
                </c:pt>
                <c:pt idx="26">
                  <c:v>178733016213058.47</c:v>
                </c:pt>
                <c:pt idx="27">
                  <c:v>178551396294014.25</c:v>
                </c:pt>
                <c:pt idx="28">
                  <c:v>178369776374970</c:v>
                </c:pt>
                <c:pt idx="29">
                  <c:v>178188156455925.75</c:v>
                </c:pt>
                <c:pt idx="30">
                  <c:v>178006536536881.56</c:v>
                </c:pt>
              </c:numCache>
            </c:numRef>
          </c:val>
          <c:smooth val="0"/>
          <c:extLst>
            <c:ext xmlns:c16="http://schemas.microsoft.com/office/drawing/2014/chart" uri="{C3380CC4-5D6E-409C-BE32-E72D297353CC}">
              <c16:uniqueId val="{0000000B-AEC1-4552-BD14-1FFCEBCA3006}"/>
            </c:ext>
          </c:extLst>
        </c:ser>
        <c:ser>
          <c:idx val="12"/>
          <c:order val="12"/>
          <c:tx>
            <c:strRef>
              <c:f>'BIFUbC-natural-gas'!$A$13</c:f>
              <c:strCache>
                <c:ptCount val="1"/>
                <c:pt idx="0">
                  <c:v>glass and glass products 231</c:v>
                </c:pt>
              </c:strCache>
            </c:strRef>
          </c:tx>
          <c:spPr>
            <a:ln w="28575" cap="rnd">
              <a:solidFill>
                <a:schemeClr val="accent1">
                  <a:lumMod val="80000"/>
                  <a:lumOff val="20000"/>
                </a:schemeClr>
              </a:solidFill>
              <a:round/>
            </a:ln>
            <a:effectLst/>
          </c:spPr>
          <c:marker>
            <c:symbol val="none"/>
          </c:marker>
          <c:val>
            <c:numRef>
              <c:f>'BIFUbC-natural-gas'!$B$13:$AF$13</c:f>
              <c:numCache>
                <c:formatCode>0.00E+00</c:formatCode>
                <c:ptCount val="31"/>
                <c:pt idx="0">
                  <c:v>12479648393370.316</c:v>
                </c:pt>
                <c:pt idx="1">
                  <c:v>12786961243480.117</c:v>
                </c:pt>
                <c:pt idx="2">
                  <c:v>13094274093589.979</c:v>
                </c:pt>
                <c:pt idx="3">
                  <c:v>13401586943699.84</c:v>
                </c:pt>
                <c:pt idx="4">
                  <c:v>13708899793809.705</c:v>
                </c:pt>
                <c:pt idx="5">
                  <c:v>14016212643919.543</c:v>
                </c:pt>
                <c:pt idx="6">
                  <c:v>14210144482094.449</c:v>
                </c:pt>
                <c:pt idx="7">
                  <c:v>14404076320269.355</c:v>
                </c:pt>
                <c:pt idx="8">
                  <c:v>14598008158444.26</c:v>
                </c:pt>
                <c:pt idx="9">
                  <c:v>14791939996619.166</c:v>
                </c:pt>
                <c:pt idx="10">
                  <c:v>14985871834794.074</c:v>
                </c:pt>
                <c:pt idx="11">
                  <c:v>15168114781246.301</c:v>
                </c:pt>
                <c:pt idx="12">
                  <c:v>15350357727698.531</c:v>
                </c:pt>
                <c:pt idx="13">
                  <c:v>15532600674150.76</c:v>
                </c:pt>
                <c:pt idx="14">
                  <c:v>15714843620602.99</c:v>
                </c:pt>
                <c:pt idx="15">
                  <c:v>15897086567055.223</c:v>
                </c:pt>
                <c:pt idx="16">
                  <c:v>16095253464951.813</c:v>
                </c:pt>
                <c:pt idx="17">
                  <c:v>16293420362848.406</c:v>
                </c:pt>
                <c:pt idx="18">
                  <c:v>16491587260745</c:v>
                </c:pt>
                <c:pt idx="19">
                  <c:v>16689754158641.594</c:v>
                </c:pt>
                <c:pt idx="20">
                  <c:v>16887921056538.18</c:v>
                </c:pt>
                <c:pt idx="21">
                  <c:v>17064856019175.615</c:v>
                </c:pt>
                <c:pt idx="22">
                  <c:v>17256267301307.91</c:v>
                </c:pt>
                <c:pt idx="23">
                  <c:v>17447678583440.254</c:v>
                </c:pt>
                <c:pt idx="24">
                  <c:v>17639089865572.555</c:v>
                </c:pt>
                <c:pt idx="25">
                  <c:v>17830501147704.902</c:v>
                </c:pt>
                <c:pt idx="26">
                  <c:v>18021912429837.195</c:v>
                </c:pt>
                <c:pt idx="27">
                  <c:v>18213323711969.539</c:v>
                </c:pt>
                <c:pt idx="28">
                  <c:v>18404734994101.84</c:v>
                </c:pt>
                <c:pt idx="29">
                  <c:v>18596146276234.137</c:v>
                </c:pt>
                <c:pt idx="30">
                  <c:v>18787557558366.484</c:v>
                </c:pt>
              </c:numCache>
            </c:numRef>
          </c:val>
          <c:smooth val="0"/>
          <c:extLst>
            <c:ext xmlns:c16="http://schemas.microsoft.com/office/drawing/2014/chart" uri="{C3380CC4-5D6E-409C-BE32-E72D297353CC}">
              <c16:uniqueId val="{0000000C-AEC1-4552-BD14-1FFCEBCA3006}"/>
            </c:ext>
          </c:extLst>
        </c:ser>
        <c:ser>
          <c:idx val="13"/>
          <c:order val="13"/>
          <c:tx>
            <c:strRef>
              <c:f>'BIFUbC-natural-gas'!$A$14</c:f>
              <c:strCache>
                <c:ptCount val="1"/>
                <c:pt idx="0">
                  <c:v>cement and other nonmetallic minerals 239</c:v>
                </c:pt>
              </c:strCache>
            </c:strRef>
          </c:tx>
          <c:spPr>
            <a:ln w="28575" cap="rnd">
              <a:solidFill>
                <a:schemeClr val="accent2">
                  <a:lumMod val="80000"/>
                  <a:lumOff val="20000"/>
                </a:schemeClr>
              </a:solidFill>
              <a:round/>
            </a:ln>
            <a:effectLst/>
          </c:spPr>
          <c:marker>
            <c:symbol val="none"/>
          </c:marker>
          <c:val>
            <c:numRef>
              <c:f>'BIFUbC-natural-gas'!$B$14:$AF$14</c:f>
              <c:numCache>
                <c:formatCode>0.00E+00</c:formatCode>
                <c:ptCount val="31"/>
                <c:pt idx="0">
                  <c:v>23413640272308.203</c:v>
                </c:pt>
                <c:pt idx="1">
                  <c:v>24039032193533.457</c:v>
                </c:pt>
                <c:pt idx="2">
                  <c:v>24664424114758.648</c:v>
                </c:pt>
                <c:pt idx="3">
                  <c:v>25289816035983.844</c:v>
                </c:pt>
                <c:pt idx="4">
                  <c:v>25915207957209.102</c:v>
                </c:pt>
                <c:pt idx="5">
                  <c:v>26540599878434.352</c:v>
                </c:pt>
                <c:pt idx="6">
                  <c:v>26880251611702.168</c:v>
                </c:pt>
                <c:pt idx="7">
                  <c:v>27219903344969.98</c:v>
                </c:pt>
                <c:pt idx="8">
                  <c:v>27559555078237.797</c:v>
                </c:pt>
                <c:pt idx="9">
                  <c:v>27899206811505.609</c:v>
                </c:pt>
                <c:pt idx="10">
                  <c:v>28238858544773.43</c:v>
                </c:pt>
                <c:pt idx="11">
                  <c:v>28542240951545.98</c:v>
                </c:pt>
                <c:pt idx="12">
                  <c:v>28845623358318.531</c:v>
                </c:pt>
                <c:pt idx="13">
                  <c:v>29149005765091.09</c:v>
                </c:pt>
                <c:pt idx="14">
                  <c:v>29452388171863.641</c:v>
                </c:pt>
                <c:pt idx="15">
                  <c:v>29755770578636.203</c:v>
                </c:pt>
                <c:pt idx="16">
                  <c:v>30078093590632.133</c:v>
                </c:pt>
                <c:pt idx="17">
                  <c:v>30400416602628.063</c:v>
                </c:pt>
                <c:pt idx="18">
                  <c:v>30722739614623.996</c:v>
                </c:pt>
                <c:pt idx="19">
                  <c:v>31045062626619.93</c:v>
                </c:pt>
                <c:pt idx="20">
                  <c:v>31367385638615.848</c:v>
                </c:pt>
                <c:pt idx="21">
                  <c:v>31664454510313.938</c:v>
                </c:pt>
                <c:pt idx="22">
                  <c:v>31978742114033.242</c:v>
                </c:pt>
                <c:pt idx="23">
                  <c:v>32293029717752.641</c:v>
                </c:pt>
                <c:pt idx="24">
                  <c:v>32607317321471.961</c:v>
                </c:pt>
                <c:pt idx="25">
                  <c:v>32921604925191.352</c:v>
                </c:pt>
                <c:pt idx="26">
                  <c:v>33235892528910.656</c:v>
                </c:pt>
                <c:pt idx="27">
                  <c:v>33550180132630.055</c:v>
                </c:pt>
                <c:pt idx="28">
                  <c:v>33864467736349.371</c:v>
                </c:pt>
                <c:pt idx="29">
                  <c:v>34178755340068.688</c:v>
                </c:pt>
                <c:pt idx="30">
                  <c:v>34493042943788.086</c:v>
                </c:pt>
              </c:numCache>
            </c:numRef>
          </c:val>
          <c:smooth val="0"/>
          <c:extLst>
            <c:ext xmlns:c16="http://schemas.microsoft.com/office/drawing/2014/chart" uri="{C3380CC4-5D6E-409C-BE32-E72D297353CC}">
              <c16:uniqueId val="{0000000D-AEC1-4552-BD14-1FFCEBCA3006}"/>
            </c:ext>
          </c:extLst>
        </c:ser>
        <c:ser>
          <c:idx val="14"/>
          <c:order val="14"/>
          <c:tx>
            <c:strRef>
              <c:f>'BIFUbC-natural-gas'!$A$15</c:f>
              <c:strCache>
                <c:ptCount val="1"/>
                <c:pt idx="0">
                  <c:v>iron and steel 241</c:v>
                </c:pt>
              </c:strCache>
            </c:strRef>
          </c:tx>
          <c:spPr>
            <a:ln w="28575" cap="rnd">
              <a:solidFill>
                <a:schemeClr val="accent3">
                  <a:lumMod val="80000"/>
                  <a:lumOff val="20000"/>
                </a:schemeClr>
              </a:solidFill>
              <a:round/>
            </a:ln>
            <a:effectLst/>
          </c:spPr>
          <c:marker>
            <c:symbol val="none"/>
          </c:marker>
          <c:val>
            <c:numRef>
              <c:f>'BIFUbC-natural-gas'!$B$15:$AF$15</c:f>
              <c:numCache>
                <c:formatCode>0.00E+00</c:formatCode>
                <c:ptCount val="31"/>
                <c:pt idx="0">
                  <c:v>114937045075306.53</c:v>
                </c:pt>
                <c:pt idx="1">
                  <c:v>116895415320892.73</c:v>
                </c:pt>
                <c:pt idx="2">
                  <c:v>113991047602448.86</c:v>
                </c:pt>
                <c:pt idx="3">
                  <c:v>112918904493884.03</c:v>
                </c:pt>
                <c:pt idx="4">
                  <c:v>113833182946533.56</c:v>
                </c:pt>
                <c:pt idx="5">
                  <c:v>115752403586583.03</c:v>
                </c:pt>
                <c:pt idx="6">
                  <c:v>115752403586583.03</c:v>
                </c:pt>
                <c:pt idx="7">
                  <c:v>108205938998657.16</c:v>
                </c:pt>
                <c:pt idx="8">
                  <c:v>111652132149876.92</c:v>
                </c:pt>
                <c:pt idx="9">
                  <c:v>112171460227401.56</c:v>
                </c:pt>
                <c:pt idx="10">
                  <c:v>121620197803861.33</c:v>
                </c:pt>
                <c:pt idx="11">
                  <c:v>123817303622665.55</c:v>
                </c:pt>
                <c:pt idx="12">
                  <c:v>128234087905118.58</c:v>
                </c:pt>
                <c:pt idx="13">
                  <c:v>140629333604581.97</c:v>
                </c:pt>
                <c:pt idx="14">
                  <c:v>133641866393539.5</c:v>
                </c:pt>
                <c:pt idx="15">
                  <c:v>158107498765974.78</c:v>
                </c:pt>
                <c:pt idx="16">
                  <c:v>158107498765974.78</c:v>
                </c:pt>
                <c:pt idx="17">
                  <c:v>158107498765974.78</c:v>
                </c:pt>
                <c:pt idx="18">
                  <c:v>158542344292007.41</c:v>
                </c:pt>
                <c:pt idx="19">
                  <c:v>151863706483961.94</c:v>
                </c:pt>
                <c:pt idx="20">
                  <c:v>172522449316400.94</c:v>
                </c:pt>
                <c:pt idx="21">
                  <c:v>187727907063409.81</c:v>
                </c:pt>
                <c:pt idx="22">
                  <c:v>183637061842691.31</c:v>
                </c:pt>
                <c:pt idx="23">
                  <c:v>187274858680838.88</c:v>
                </c:pt>
                <c:pt idx="24">
                  <c:v>187274858680838.88</c:v>
                </c:pt>
                <c:pt idx="25">
                  <c:v>195538355813814.5</c:v>
                </c:pt>
                <c:pt idx="26">
                  <c:v>195538355813814.5</c:v>
                </c:pt>
                <c:pt idx="27">
                  <c:v>207933601513277.91</c:v>
                </c:pt>
                <c:pt idx="28">
                  <c:v>207933601513277.91</c:v>
                </c:pt>
                <c:pt idx="29">
                  <c:v>207933601513277.91</c:v>
                </c:pt>
                <c:pt idx="30">
                  <c:v>207933601513277.91</c:v>
                </c:pt>
              </c:numCache>
            </c:numRef>
          </c:val>
          <c:smooth val="0"/>
          <c:extLst>
            <c:ext xmlns:c16="http://schemas.microsoft.com/office/drawing/2014/chart" uri="{C3380CC4-5D6E-409C-BE32-E72D297353CC}">
              <c16:uniqueId val="{0000000E-AEC1-4552-BD14-1FFCEBCA3006}"/>
            </c:ext>
          </c:extLst>
        </c:ser>
        <c:ser>
          <c:idx val="15"/>
          <c:order val="15"/>
          <c:tx>
            <c:strRef>
              <c:f>'BIFUbC-natural-gas'!$A$16</c:f>
              <c:strCache>
                <c:ptCount val="1"/>
                <c:pt idx="0">
                  <c:v>other metals 242</c:v>
                </c:pt>
              </c:strCache>
            </c:strRef>
          </c:tx>
          <c:spPr>
            <a:ln w="28575" cap="rnd">
              <a:solidFill>
                <a:schemeClr val="accent4">
                  <a:lumMod val="80000"/>
                  <a:lumOff val="20000"/>
                </a:schemeClr>
              </a:solidFill>
              <a:round/>
            </a:ln>
            <a:effectLst/>
          </c:spPr>
          <c:marker>
            <c:symbol val="none"/>
          </c:marker>
          <c:val>
            <c:numRef>
              <c:f>'BIFUbC-natural-gas'!$B$16:$AF$16</c:f>
              <c:numCache>
                <c:formatCode>0.00E+00</c:formatCode>
                <c:ptCount val="31"/>
                <c:pt idx="0">
                  <c:v>15114772293111.242</c:v>
                </c:pt>
                <c:pt idx="1">
                  <c:v>15390109561131.723</c:v>
                </c:pt>
                <c:pt idx="2">
                  <c:v>16179819317944.43</c:v>
                </c:pt>
                <c:pt idx="3">
                  <c:v>15940784097172.686</c:v>
                </c:pt>
                <c:pt idx="4">
                  <c:v>16216121365193.168</c:v>
                </c:pt>
                <c:pt idx="5">
                  <c:v>16491458633213.627</c:v>
                </c:pt>
                <c:pt idx="6">
                  <c:v>16642624904217.914</c:v>
                </c:pt>
                <c:pt idx="7">
                  <c:v>16793791175222.199</c:v>
                </c:pt>
                <c:pt idx="8">
                  <c:v>16944957446226.488</c:v>
                </c:pt>
                <c:pt idx="9">
                  <c:v>17096123717230.773</c:v>
                </c:pt>
                <c:pt idx="10">
                  <c:v>17247289988235.059</c:v>
                </c:pt>
                <c:pt idx="11">
                  <c:v>17344411313778.121</c:v>
                </c:pt>
                <c:pt idx="12">
                  <c:v>17441532639321.184</c:v>
                </c:pt>
                <c:pt idx="13">
                  <c:v>17538653964864.246</c:v>
                </c:pt>
                <c:pt idx="14">
                  <c:v>17635775290407.313</c:v>
                </c:pt>
                <c:pt idx="15">
                  <c:v>17732896615950.375</c:v>
                </c:pt>
                <c:pt idx="16">
                  <c:v>17800779592313.73</c:v>
                </c:pt>
                <c:pt idx="17">
                  <c:v>17868662568677.094</c:v>
                </c:pt>
                <c:pt idx="18">
                  <c:v>17936545545040.453</c:v>
                </c:pt>
                <c:pt idx="19">
                  <c:v>18004428521403.813</c:v>
                </c:pt>
                <c:pt idx="20">
                  <c:v>18072311497767.172</c:v>
                </c:pt>
                <c:pt idx="21">
                  <c:v>18179178939703.473</c:v>
                </c:pt>
                <c:pt idx="22">
                  <c:v>18259466064203.68</c:v>
                </c:pt>
                <c:pt idx="23">
                  <c:v>18339753188703.871</c:v>
                </c:pt>
                <c:pt idx="24">
                  <c:v>18420040313204.078</c:v>
                </c:pt>
                <c:pt idx="25">
                  <c:v>18500327437704.27</c:v>
                </c:pt>
                <c:pt idx="26">
                  <c:v>18580614562204.492</c:v>
                </c:pt>
                <c:pt idx="27">
                  <c:v>18660901686704.688</c:v>
                </c:pt>
                <c:pt idx="28">
                  <c:v>18741188811204.891</c:v>
                </c:pt>
                <c:pt idx="29">
                  <c:v>18821475935705.098</c:v>
                </c:pt>
                <c:pt idx="30">
                  <c:v>18901763060205.289</c:v>
                </c:pt>
              </c:numCache>
            </c:numRef>
          </c:val>
          <c:smooth val="0"/>
          <c:extLst>
            <c:ext xmlns:c16="http://schemas.microsoft.com/office/drawing/2014/chart" uri="{C3380CC4-5D6E-409C-BE32-E72D297353CC}">
              <c16:uniqueId val="{0000000F-AEC1-4552-BD14-1FFCEBCA3006}"/>
            </c:ext>
          </c:extLst>
        </c:ser>
        <c:ser>
          <c:idx val="16"/>
          <c:order val="16"/>
          <c:tx>
            <c:strRef>
              <c:f>'BIFUbC-natural-gas'!$A$17</c:f>
              <c:strCache>
                <c:ptCount val="1"/>
                <c:pt idx="0">
                  <c:v>metal products except machinery and vehicles 25</c:v>
                </c:pt>
              </c:strCache>
            </c:strRef>
          </c:tx>
          <c:spPr>
            <a:ln w="28575" cap="rnd">
              <a:solidFill>
                <a:schemeClr val="accent5">
                  <a:lumMod val="80000"/>
                  <a:lumOff val="20000"/>
                </a:schemeClr>
              </a:solidFill>
              <a:round/>
            </a:ln>
            <a:effectLst/>
          </c:spPr>
          <c:marker>
            <c:symbol val="none"/>
          </c:marker>
          <c:val>
            <c:numRef>
              <c:f>'BIFUbC-natural-gas'!$B$17:$AF$17</c:f>
              <c:numCache>
                <c:formatCode>0.00E+00</c:formatCode>
                <c:ptCount val="31"/>
                <c:pt idx="0">
                  <c:v>24558369800949.129</c:v>
                </c:pt>
                <c:pt idx="1">
                  <c:v>25043531732799.688</c:v>
                </c:pt>
                <c:pt idx="2">
                  <c:v>26534410743918.961</c:v>
                </c:pt>
                <c:pt idx="3">
                  <c:v>26013855596500.727</c:v>
                </c:pt>
                <c:pt idx="4">
                  <c:v>26499017528351.219</c:v>
                </c:pt>
                <c:pt idx="5">
                  <c:v>26984179460201.793</c:v>
                </c:pt>
                <c:pt idx="6">
                  <c:v>27226558398851.715</c:v>
                </c:pt>
                <c:pt idx="7">
                  <c:v>27468937337501.641</c:v>
                </c:pt>
                <c:pt idx="8">
                  <c:v>27711316276151.559</c:v>
                </c:pt>
                <c:pt idx="9">
                  <c:v>27953695214801.484</c:v>
                </c:pt>
                <c:pt idx="10">
                  <c:v>28196074153451.406</c:v>
                </c:pt>
                <c:pt idx="11">
                  <c:v>28356051633118.148</c:v>
                </c:pt>
                <c:pt idx="12">
                  <c:v>28516029112784.895</c:v>
                </c:pt>
                <c:pt idx="13">
                  <c:v>28676006592451.641</c:v>
                </c:pt>
                <c:pt idx="14">
                  <c:v>28835984072118.383</c:v>
                </c:pt>
                <c:pt idx="15">
                  <c:v>28995961551785.133</c:v>
                </c:pt>
                <c:pt idx="16">
                  <c:v>29115391943952.727</c:v>
                </c:pt>
                <c:pt idx="17">
                  <c:v>29234822336120.32</c:v>
                </c:pt>
                <c:pt idx="18">
                  <c:v>29354252728287.922</c:v>
                </c:pt>
                <c:pt idx="19">
                  <c:v>29473683120455.516</c:v>
                </c:pt>
                <c:pt idx="20">
                  <c:v>29593113512623.117</c:v>
                </c:pt>
                <c:pt idx="21">
                  <c:v>29766606688122.918</c:v>
                </c:pt>
                <c:pt idx="22">
                  <c:v>29903238874987.125</c:v>
                </c:pt>
                <c:pt idx="23">
                  <c:v>30039871061851.316</c:v>
                </c:pt>
                <c:pt idx="24">
                  <c:v>30176503248715.523</c:v>
                </c:pt>
                <c:pt idx="25">
                  <c:v>30313135435579.711</c:v>
                </c:pt>
                <c:pt idx="26">
                  <c:v>30449767622443.953</c:v>
                </c:pt>
                <c:pt idx="27">
                  <c:v>30586399809308.141</c:v>
                </c:pt>
                <c:pt idx="28">
                  <c:v>30723031996172.352</c:v>
                </c:pt>
                <c:pt idx="29">
                  <c:v>30859664183036.555</c:v>
                </c:pt>
                <c:pt idx="30">
                  <c:v>30996296369900.746</c:v>
                </c:pt>
              </c:numCache>
            </c:numRef>
          </c:val>
          <c:smooth val="0"/>
          <c:extLst>
            <c:ext xmlns:c16="http://schemas.microsoft.com/office/drawing/2014/chart" uri="{C3380CC4-5D6E-409C-BE32-E72D297353CC}">
              <c16:uniqueId val="{00000010-AEC1-4552-BD14-1FFCEBCA3006}"/>
            </c:ext>
          </c:extLst>
        </c:ser>
        <c:ser>
          <c:idx val="17"/>
          <c:order val="17"/>
          <c:tx>
            <c:strRef>
              <c:f>'BIFUbC-natural-gas'!$A$18</c:f>
              <c:strCache>
                <c:ptCount val="1"/>
                <c:pt idx="0">
                  <c:v>computers and electronics 26</c:v>
                </c:pt>
              </c:strCache>
            </c:strRef>
          </c:tx>
          <c:spPr>
            <a:ln w="28575" cap="rnd">
              <a:solidFill>
                <a:schemeClr val="accent6">
                  <a:lumMod val="80000"/>
                  <a:lumOff val="20000"/>
                </a:schemeClr>
              </a:solidFill>
              <a:round/>
            </a:ln>
            <a:effectLst/>
          </c:spPr>
          <c:marker>
            <c:symbol val="none"/>
          </c:marker>
          <c:val>
            <c:numRef>
              <c:f>'BIFUbC-natural-gas'!$B$18:$AF$18</c:f>
              <c:numCache>
                <c:formatCode>0.00E+00</c:formatCode>
                <c:ptCount val="31"/>
                <c:pt idx="0">
                  <c:v>115659444125979.56</c:v>
                </c:pt>
                <c:pt idx="1">
                  <c:v>120051694287671.59</c:v>
                </c:pt>
                <c:pt idx="2">
                  <c:v>134968416702111.25</c:v>
                </c:pt>
                <c:pt idx="3">
                  <c:v>128836194611055.67</c:v>
                </c:pt>
                <c:pt idx="4">
                  <c:v>133228444772747.72</c:v>
                </c:pt>
                <c:pt idx="5">
                  <c:v>137620694934439.94</c:v>
                </c:pt>
                <c:pt idx="6">
                  <c:v>140222700978620.13</c:v>
                </c:pt>
                <c:pt idx="7">
                  <c:v>142824707022800.75</c:v>
                </c:pt>
                <c:pt idx="8">
                  <c:v>145426713066981.38</c:v>
                </c:pt>
                <c:pt idx="9">
                  <c:v>148028719111162.03</c:v>
                </c:pt>
                <c:pt idx="10">
                  <c:v>150630725155343.06</c:v>
                </c:pt>
                <c:pt idx="11">
                  <c:v>152875720377717.25</c:v>
                </c:pt>
                <c:pt idx="12">
                  <c:v>155120715600091.38</c:v>
                </c:pt>
                <c:pt idx="13">
                  <c:v>157365710822465.53</c:v>
                </c:pt>
                <c:pt idx="14">
                  <c:v>159610706044839.66</c:v>
                </c:pt>
                <c:pt idx="15">
                  <c:v>161855701267213.81</c:v>
                </c:pt>
                <c:pt idx="16">
                  <c:v>164183725187316.13</c:v>
                </c:pt>
                <c:pt idx="17">
                  <c:v>166511749107418.44</c:v>
                </c:pt>
                <c:pt idx="18">
                  <c:v>168839773027520.78</c:v>
                </c:pt>
                <c:pt idx="19">
                  <c:v>171167796947623.09</c:v>
                </c:pt>
                <c:pt idx="20">
                  <c:v>173495820867725.41</c:v>
                </c:pt>
                <c:pt idx="21">
                  <c:v>175713139857523.44</c:v>
                </c:pt>
                <c:pt idx="22">
                  <c:v>178005939481619.75</c:v>
                </c:pt>
                <c:pt idx="23">
                  <c:v>180298739105716.56</c:v>
                </c:pt>
                <c:pt idx="24">
                  <c:v>182591538729812.91</c:v>
                </c:pt>
                <c:pt idx="25">
                  <c:v>184884338353909.5</c:v>
                </c:pt>
                <c:pt idx="26">
                  <c:v>187177137978005.88</c:v>
                </c:pt>
                <c:pt idx="27">
                  <c:v>189469937602102.19</c:v>
                </c:pt>
                <c:pt idx="28">
                  <c:v>191762737226198.56</c:v>
                </c:pt>
                <c:pt idx="29">
                  <c:v>194055536850294.94</c:v>
                </c:pt>
                <c:pt idx="30">
                  <c:v>196348336474391.25</c:v>
                </c:pt>
              </c:numCache>
            </c:numRef>
          </c:val>
          <c:smooth val="0"/>
          <c:extLst>
            <c:ext xmlns:c16="http://schemas.microsoft.com/office/drawing/2014/chart" uri="{C3380CC4-5D6E-409C-BE32-E72D297353CC}">
              <c16:uniqueId val="{00000011-AEC1-4552-BD14-1FFCEBCA3006}"/>
            </c:ext>
          </c:extLst>
        </c:ser>
        <c:ser>
          <c:idx val="18"/>
          <c:order val="18"/>
          <c:tx>
            <c:strRef>
              <c:f>'BIFUbC-natural-gas'!$A$19</c:f>
              <c:strCache>
                <c:ptCount val="1"/>
                <c:pt idx="0">
                  <c:v>appliances and electrical equipment 27</c:v>
                </c:pt>
              </c:strCache>
            </c:strRef>
          </c:tx>
          <c:spPr>
            <a:ln w="28575" cap="rnd">
              <a:solidFill>
                <a:schemeClr val="accent1">
                  <a:lumMod val="80000"/>
                </a:schemeClr>
              </a:solidFill>
              <a:round/>
            </a:ln>
            <a:effectLst/>
          </c:spPr>
          <c:marker>
            <c:symbol val="none"/>
          </c:marker>
          <c:val>
            <c:numRef>
              <c:f>'BIFUbC-natural-gas'!$B$19:$AF$19</c:f>
              <c:numCache>
                <c:formatCode>0.00E+00</c:formatCode>
                <c:ptCount val="31"/>
                <c:pt idx="0">
                  <c:v>19100676527815.086</c:v>
                </c:pt>
                <c:pt idx="1">
                  <c:v>19841668036170.219</c:v>
                </c:pt>
                <c:pt idx="2">
                  <c:v>22415390316407.648</c:v>
                </c:pt>
                <c:pt idx="3">
                  <c:v>21323651052880.484</c:v>
                </c:pt>
                <c:pt idx="4">
                  <c:v>22064642561235.613</c:v>
                </c:pt>
                <c:pt idx="5">
                  <c:v>22805634069590.734</c:v>
                </c:pt>
                <c:pt idx="6">
                  <c:v>23234872607863.336</c:v>
                </c:pt>
                <c:pt idx="7">
                  <c:v>23664111146136.012</c:v>
                </c:pt>
                <c:pt idx="8">
                  <c:v>24093349684408.695</c:v>
                </c:pt>
                <c:pt idx="9">
                  <c:v>24522588222681.371</c:v>
                </c:pt>
                <c:pt idx="10">
                  <c:v>24951826760954.125</c:v>
                </c:pt>
                <c:pt idx="11">
                  <c:v>25320875843480.93</c:v>
                </c:pt>
                <c:pt idx="12">
                  <c:v>25689924926007.727</c:v>
                </c:pt>
                <c:pt idx="13">
                  <c:v>26058974008534.527</c:v>
                </c:pt>
                <c:pt idx="14">
                  <c:v>26428023091061.328</c:v>
                </c:pt>
                <c:pt idx="15">
                  <c:v>26797072173588.129</c:v>
                </c:pt>
                <c:pt idx="16">
                  <c:v>27179479655498.797</c:v>
                </c:pt>
                <c:pt idx="17">
                  <c:v>27561887137409.477</c:v>
                </c:pt>
                <c:pt idx="18">
                  <c:v>27944294619320.148</c:v>
                </c:pt>
                <c:pt idx="19">
                  <c:v>28326702101230.824</c:v>
                </c:pt>
                <c:pt idx="20">
                  <c:v>28709109583141.5</c:v>
                </c:pt>
                <c:pt idx="21">
                  <c:v>29073705865873.664</c:v>
                </c:pt>
                <c:pt idx="22">
                  <c:v>29450446148045.711</c:v>
                </c:pt>
                <c:pt idx="23">
                  <c:v>29827186430217.836</c:v>
                </c:pt>
                <c:pt idx="24">
                  <c:v>30203926712389.887</c:v>
                </c:pt>
                <c:pt idx="25">
                  <c:v>30580666994561.973</c:v>
                </c:pt>
                <c:pt idx="26">
                  <c:v>30957407276734.02</c:v>
                </c:pt>
                <c:pt idx="27">
                  <c:v>31334147558906.07</c:v>
                </c:pt>
                <c:pt idx="28">
                  <c:v>31710887841078.117</c:v>
                </c:pt>
                <c:pt idx="29">
                  <c:v>32087628123250.164</c:v>
                </c:pt>
                <c:pt idx="30">
                  <c:v>32464368405422.211</c:v>
                </c:pt>
              </c:numCache>
            </c:numRef>
          </c:val>
          <c:smooth val="0"/>
          <c:extLst>
            <c:ext xmlns:c16="http://schemas.microsoft.com/office/drawing/2014/chart" uri="{C3380CC4-5D6E-409C-BE32-E72D297353CC}">
              <c16:uniqueId val="{00000012-AEC1-4552-BD14-1FFCEBCA3006}"/>
            </c:ext>
          </c:extLst>
        </c:ser>
        <c:ser>
          <c:idx val="19"/>
          <c:order val="19"/>
          <c:tx>
            <c:strRef>
              <c:f>'BIFUbC-natural-gas'!$A$20</c:f>
              <c:strCache>
                <c:ptCount val="1"/>
                <c:pt idx="0">
                  <c:v>other machinery 28</c:v>
                </c:pt>
              </c:strCache>
            </c:strRef>
          </c:tx>
          <c:spPr>
            <a:ln w="28575" cap="rnd">
              <a:solidFill>
                <a:schemeClr val="accent2">
                  <a:lumMod val="80000"/>
                </a:schemeClr>
              </a:solidFill>
              <a:round/>
            </a:ln>
            <a:effectLst/>
          </c:spPr>
          <c:marker>
            <c:symbol val="none"/>
          </c:marker>
          <c:val>
            <c:numRef>
              <c:f>'BIFUbC-natural-gas'!$B$20:$AF$20</c:f>
              <c:numCache>
                <c:formatCode>0.00E+00</c:formatCode>
                <c:ptCount val="31"/>
                <c:pt idx="0">
                  <c:v>25474216974993.801</c:v>
                </c:pt>
                <c:pt idx="1">
                  <c:v>26531291294897.316</c:v>
                </c:pt>
                <c:pt idx="2">
                  <c:v>30449486286789.969</c:v>
                </c:pt>
                <c:pt idx="3">
                  <c:v>28645439934704.332</c:v>
                </c:pt>
                <c:pt idx="4">
                  <c:v>29702514254607.852</c:v>
                </c:pt>
                <c:pt idx="5">
                  <c:v>30759588574511.363</c:v>
                </c:pt>
                <c:pt idx="6">
                  <c:v>31329977735338.797</c:v>
                </c:pt>
                <c:pt idx="7">
                  <c:v>31900366896166.352</c:v>
                </c:pt>
                <c:pt idx="8">
                  <c:v>32470756056993.906</c:v>
                </c:pt>
                <c:pt idx="9">
                  <c:v>33041145217821.461</c:v>
                </c:pt>
                <c:pt idx="10">
                  <c:v>33611534378649.133</c:v>
                </c:pt>
                <c:pt idx="11">
                  <c:v>34096230822380.492</c:v>
                </c:pt>
                <c:pt idx="12">
                  <c:v>34580927266111.844</c:v>
                </c:pt>
                <c:pt idx="13">
                  <c:v>35065623709843.199</c:v>
                </c:pt>
                <c:pt idx="14">
                  <c:v>35550320153574.547</c:v>
                </c:pt>
                <c:pt idx="15">
                  <c:v>36035016597305.906</c:v>
                </c:pt>
                <c:pt idx="16">
                  <c:v>36535972436585.883</c:v>
                </c:pt>
                <c:pt idx="17">
                  <c:v>37036928275865.859</c:v>
                </c:pt>
                <c:pt idx="18">
                  <c:v>37537884115145.844</c:v>
                </c:pt>
                <c:pt idx="19">
                  <c:v>38038839954425.813</c:v>
                </c:pt>
                <c:pt idx="20">
                  <c:v>38539795793705.797</c:v>
                </c:pt>
                <c:pt idx="21">
                  <c:v>39019072438920.93</c:v>
                </c:pt>
                <c:pt idx="22">
                  <c:v>39513130352816.633</c:v>
                </c:pt>
                <c:pt idx="23">
                  <c:v>40007188266712.453</c:v>
                </c:pt>
                <c:pt idx="24">
                  <c:v>40501246180608.148</c:v>
                </c:pt>
                <c:pt idx="25">
                  <c:v>40995304094503.875</c:v>
                </c:pt>
                <c:pt idx="26">
                  <c:v>41489362008399.578</c:v>
                </c:pt>
                <c:pt idx="27">
                  <c:v>41983419922295.273</c:v>
                </c:pt>
                <c:pt idx="28">
                  <c:v>42477477836190.969</c:v>
                </c:pt>
                <c:pt idx="29">
                  <c:v>42971535750086.672</c:v>
                </c:pt>
                <c:pt idx="30">
                  <c:v>43465593663982.367</c:v>
                </c:pt>
              </c:numCache>
            </c:numRef>
          </c:val>
          <c:smooth val="0"/>
          <c:extLst>
            <c:ext xmlns:c16="http://schemas.microsoft.com/office/drawing/2014/chart" uri="{C3380CC4-5D6E-409C-BE32-E72D297353CC}">
              <c16:uniqueId val="{00000013-AEC1-4552-BD14-1FFCEBCA3006}"/>
            </c:ext>
          </c:extLst>
        </c:ser>
        <c:ser>
          <c:idx val="20"/>
          <c:order val="20"/>
          <c:tx>
            <c:strRef>
              <c:f>'BIFUbC-natural-gas'!$A$21</c:f>
              <c:strCache>
                <c:ptCount val="1"/>
                <c:pt idx="0">
                  <c:v>road vehicles 29</c:v>
                </c:pt>
              </c:strCache>
            </c:strRef>
          </c:tx>
          <c:spPr>
            <a:ln w="28575" cap="rnd">
              <a:solidFill>
                <a:schemeClr val="accent3">
                  <a:lumMod val="80000"/>
                </a:schemeClr>
              </a:solidFill>
              <a:round/>
            </a:ln>
            <a:effectLst/>
          </c:spPr>
          <c:marker>
            <c:symbol val="none"/>
          </c:marker>
          <c:val>
            <c:numRef>
              <c:f>'BIFUbC-natural-gas'!$B$21:$AF$21</c:f>
              <c:numCache>
                <c:formatCode>0.00E+00</c:formatCode>
                <c:ptCount val="31"/>
                <c:pt idx="0">
                  <c:v>45557296031913.32</c:v>
                </c:pt>
                <c:pt idx="1">
                  <c:v>47096117841816.328</c:v>
                </c:pt>
                <c:pt idx="2">
                  <c:v>51622179028376.477</c:v>
                </c:pt>
                <c:pt idx="3">
                  <c:v>50173761461622.094</c:v>
                </c:pt>
                <c:pt idx="4">
                  <c:v>51712583271525.094</c:v>
                </c:pt>
                <c:pt idx="5">
                  <c:v>53251405081427.906</c:v>
                </c:pt>
                <c:pt idx="6">
                  <c:v>54282088564464.656</c:v>
                </c:pt>
                <c:pt idx="7">
                  <c:v>55312772047501.539</c:v>
                </c:pt>
                <c:pt idx="8">
                  <c:v>56343455530538.422</c:v>
                </c:pt>
                <c:pt idx="9">
                  <c:v>57374139013575.297</c:v>
                </c:pt>
                <c:pt idx="10">
                  <c:v>58404822496612.297</c:v>
                </c:pt>
                <c:pt idx="11">
                  <c:v>59309940399033.672</c:v>
                </c:pt>
                <c:pt idx="12">
                  <c:v>60215058301455.063</c:v>
                </c:pt>
                <c:pt idx="13">
                  <c:v>61120176203876.438</c:v>
                </c:pt>
                <c:pt idx="14">
                  <c:v>62025294106297.813</c:v>
                </c:pt>
                <c:pt idx="15">
                  <c:v>62930412008719.188</c:v>
                </c:pt>
                <c:pt idx="16">
                  <c:v>63872559086723.594</c:v>
                </c:pt>
                <c:pt idx="17">
                  <c:v>64814706164727.984</c:v>
                </c:pt>
                <c:pt idx="18">
                  <c:v>65756853242732.375</c:v>
                </c:pt>
                <c:pt idx="19">
                  <c:v>66699000320736.766</c:v>
                </c:pt>
                <c:pt idx="20">
                  <c:v>67641147398741.156</c:v>
                </c:pt>
                <c:pt idx="21">
                  <c:v>68533922242634.813</c:v>
                </c:pt>
                <c:pt idx="22">
                  <c:v>69460359973422.141</c:v>
                </c:pt>
                <c:pt idx="23">
                  <c:v>70386797704209.594</c:v>
                </c:pt>
                <c:pt idx="24">
                  <c:v>71313235434996.906</c:v>
                </c:pt>
                <c:pt idx="25">
                  <c:v>72239673165784.375</c:v>
                </c:pt>
                <c:pt idx="26">
                  <c:v>73166110896571.719</c:v>
                </c:pt>
                <c:pt idx="27">
                  <c:v>74092548627359.031</c:v>
                </c:pt>
                <c:pt idx="28">
                  <c:v>75018986358146.359</c:v>
                </c:pt>
                <c:pt idx="29">
                  <c:v>75945424088933.656</c:v>
                </c:pt>
                <c:pt idx="30">
                  <c:v>76871861819721</c:v>
                </c:pt>
              </c:numCache>
            </c:numRef>
          </c:val>
          <c:smooth val="0"/>
          <c:extLst>
            <c:ext xmlns:c16="http://schemas.microsoft.com/office/drawing/2014/chart" uri="{C3380CC4-5D6E-409C-BE32-E72D297353CC}">
              <c16:uniqueId val="{00000014-AEC1-4552-BD14-1FFCEBCA3006}"/>
            </c:ext>
          </c:extLst>
        </c:ser>
        <c:ser>
          <c:idx val="21"/>
          <c:order val="21"/>
          <c:tx>
            <c:strRef>
              <c:f>'BIFUbC-natural-gas'!$A$22</c:f>
              <c:strCache>
                <c:ptCount val="1"/>
                <c:pt idx="0">
                  <c:v>nonroad vehicles 30</c:v>
                </c:pt>
              </c:strCache>
            </c:strRef>
          </c:tx>
          <c:spPr>
            <a:ln w="28575" cap="rnd">
              <a:solidFill>
                <a:schemeClr val="accent4">
                  <a:lumMod val="80000"/>
                </a:schemeClr>
              </a:solidFill>
              <a:round/>
            </a:ln>
            <a:effectLst/>
          </c:spPr>
          <c:marker>
            <c:symbol val="none"/>
          </c:marker>
          <c:val>
            <c:numRef>
              <c:f>'BIFUbC-natural-gas'!$B$22:$AF$22</c:f>
              <c:numCache>
                <c:formatCode>0.00E+00</c:formatCode>
                <c:ptCount val="31"/>
                <c:pt idx="0">
                  <c:v>8242131537819.3623</c:v>
                </c:pt>
                <c:pt idx="1">
                  <c:v>8557605613606.0107</c:v>
                </c:pt>
                <c:pt idx="2">
                  <c:v>9638054029075.1836</c:v>
                </c:pt>
                <c:pt idx="3">
                  <c:v>9188553765179.3242</c:v>
                </c:pt>
                <c:pt idx="4">
                  <c:v>9504027840965.9883</c:v>
                </c:pt>
                <c:pt idx="5">
                  <c:v>9819501916752.6387</c:v>
                </c:pt>
                <c:pt idx="6">
                  <c:v>10004851575962.814</c:v>
                </c:pt>
                <c:pt idx="7">
                  <c:v>10190201235173.021</c:v>
                </c:pt>
                <c:pt idx="8">
                  <c:v>10375550894383.229</c:v>
                </c:pt>
                <c:pt idx="9">
                  <c:v>10560900553593.438</c:v>
                </c:pt>
                <c:pt idx="10">
                  <c:v>10746250212803.676</c:v>
                </c:pt>
                <c:pt idx="11">
                  <c:v>10905963811186.859</c:v>
                </c:pt>
                <c:pt idx="12">
                  <c:v>11065677409570.043</c:v>
                </c:pt>
                <c:pt idx="13">
                  <c:v>11225391007953.227</c:v>
                </c:pt>
                <c:pt idx="14">
                  <c:v>11385104606336.41</c:v>
                </c:pt>
                <c:pt idx="15">
                  <c:v>11544818204719.592</c:v>
                </c:pt>
                <c:pt idx="16">
                  <c:v>11710392671008.295</c:v>
                </c:pt>
                <c:pt idx="17">
                  <c:v>11875967137296.998</c:v>
                </c:pt>
                <c:pt idx="18">
                  <c:v>12041541603585.703</c:v>
                </c:pt>
                <c:pt idx="19">
                  <c:v>12207116069874.404</c:v>
                </c:pt>
                <c:pt idx="20">
                  <c:v>12372690536163.109</c:v>
                </c:pt>
                <c:pt idx="21">
                  <c:v>12530450511911.113</c:v>
                </c:pt>
                <c:pt idx="22">
                  <c:v>12693538549391.406</c:v>
                </c:pt>
                <c:pt idx="23">
                  <c:v>12856626586871.734</c:v>
                </c:pt>
                <c:pt idx="24">
                  <c:v>13019714624352.031</c:v>
                </c:pt>
                <c:pt idx="25">
                  <c:v>13182802661832.344</c:v>
                </c:pt>
                <c:pt idx="26">
                  <c:v>13345890699312.641</c:v>
                </c:pt>
                <c:pt idx="27">
                  <c:v>13508978736792.932</c:v>
                </c:pt>
                <c:pt idx="28">
                  <c:v>13672066774273.227</c:v>
                </c:pt>
                <c:pt idx="29">
                  <c:v>13835154811753.523</c:v>
                </c:pt>
                <c:pt idx="30">
                  <c:v>13998242849233.816</c:v>
                </c:pt>
              </c:numCache>
            </c:numRef>
          </c:val>
          <c:smooth val="0"/>
          <c:extLst>
            <c:ext xmlns:c16="http://schemas.microsoft.com/office/drawing/2014/chart" uri="{C3380CC4-5D6E-409C-BE32-E72D297353CC}">
              <c16:uniqueId val="{00000015-AEC1-4552-BD14-1FFCEBCA3006}"/>
            </c:ext>
          </c:extLst>
        </c:ser>
        <c:ser>
          <c:idx val="22"/>
          <c:order val="22"/>
          <c:tx>
            <c:strRef>
              <c:f>'BIFUbC-natural-gas'!$A$23</c:f>
              <c:strCache>
                <c:ptCount val="1"/>
                <c:pt idx="0">
                  <c:v>other manufacturing 31T33</c:v>
                </c:pt>
              </c:strCache>
            </c:strRef>
          </c:tx>
          <c:spPr>
            <a:ln w="28575" cap="rnd">
              <a:solidFill>
                <a:schemeClr val="accent5">
                  <a:lumMod val="80000"/>
                </a:schemeClr>
              </a:solidFill>
              <a:round/>
            </a:ln>
            <a:effectLst/>
          </c:spPr>
          <c:marker>
            <c:symbol val="none"/>
          </c:marker>
          <c:val>
            <c:numRef>
              <c:f>'BIFUbC-natural-gas'!$B$23:$AF$23</c:f>
              <c:numCache>
                <c:formatCode>0.00E+00</c:formatCode>
                <c:ptCount val="31"/>
                <c:pt idx="0">
                  <c:v>19033726570258.367</c:v>
                </c:pt>
                <c:pt idx="1">
                  <c:v>19486264741298.004</c:v>
                </c:pt>
                <c:pt idx="2">
                  <c:v>19938802912337.641</c:v>
                </c:pt>
                <c:pt idx="3">
                  <c:v>20391341083377.277</c:v>
                </c:pt>
                <c:pt idx="4">
                  <c:v>20843879254416.914</c:v>
                </c:pt>
                <c:pt idx="5">
                  <c:v>21296417425456.563</c:v>
                </c:pt>
                <c:pt idx="6">
                  <c:v>21600210139607.746</c:v>
                </c:pt>
                <c:pt idx="7">
                  <c:v>21904002853758.922</c:v>
                </c:pt>
                <c:pt idx="8">
                  <c:v>22207795567910.102</c:v>
                </c:pt>
                <c:pt idx="9">
                  <c:v>22511588282061.273</c:v>
                </c:pt>
                <c:pt idx="10">
                  <c:v>22815380996212.461</c:v>
                </c:pt>
                <c:pt idx="11">
                  <c:v>23106094532632.246</c:v>
                </c:pt>
                <c:pt idx="12">
                  <c:v>23396808069052.035</c:v>
                </c:pt>
                <c:pt idx="13">
                  <c:v>23687521605471.824</c:v>
                </c:pt>
                <c:pt idx="14">
                  <c:v>23978235141891.613</c:v>
                </c:pt>
                <c:pt idx="15">
                  <c:v>24268948678311.406</c:v>
                </c:pt>
                <c:pt idx="16">
                  <c:v>24587570311848.723</c:v>
                </c:pt>
                <c:pt idx="17">
                  <c:v>24906191945386.039</c:v>
                </c:pt>
                <c:pt idx="18">
                  <c:v>25224813578923.359</c:v>
                </c:pt>
                <c:pt idx="19">
                  <c:v>25543435212460.676</c:v>
                </c:pt>
                <c:pt idx="20">
                  <c:v>25862056845997.984</c:v>
                </c:pt>
                <c:pt idx="21">
                  <c:v>26143467683378.59</c:v>
                </c:pt>
                <c:pt idx="22">
                  <c:v>26450249518138.734</c:v>
                </c:pt>
                <c:pt idx="23">
                  <c:v>26757031352898.969</c:v>
                </c:pt>
                <c:pt idx="24">
                  <c:v>27063813187659.121</c:v>
                </c:pt>
                <c:pt idx="25">
                  <c:v>27370595022419.352</c:v>
                </c:pt>
                <c:pt idx="26">
                  <c:v>27677376857179.5</c:v>
                </c:pt>
                <c:pt idx="27">
                  <c:v>27984158691939.734</c:v>
                </c:pt>
                <c:pt idx="28">
                  <c:v>28290940526699.883</c:v>
                </c:pt>
                <c:pt idx="29">
                  <c:v>28597722361460.039</c:v>
                </c:pt>
                <c:pt idx="30">
                  <c:v>28904504196220.27</c:v>
                </c:pt>
              </c:numCache>
            </c:numRef>
          </c:val>
          <c:smooth val="0"/>
          <c:extLst>
            <c:ext xmlns:c16="http://schemas.microsoft.com/office/drawing/2014/chart" uri="{C3380CC4-5D6E-409C-BE32-E72D297353CC}">
              <c16:uniqueId val="{00000016-AEC1-4552-BD14-1FFCEBCA3006}"/>
            </c:ext>
          </c:extLst>
        </c:ser>
        <c:ser>
          <c:idx val="23"/>
          <c:order val="23"/>
          <c:tx>
            <c:strRef>
              <c:f>'BIFUbC-natural-gas'!$A$24</c:f>
              <c:strCache>
                <c:ptCount val="1"/>
                <c:pt idx="0">
                  <c:v>energy pipelines and gas processing 352T353</c:v>
                </c:pt>
              </c:strCache>
            </c:strRef>
          </c:tx>
          <c:spPr>
            <a:ln w="28575" cap="rnd">
              <a:solidFill>
                <a:schemeClr val="accent6">
                  <a:lumMod val="80000"/>
                </a:schemeClr>
              </a:solidFill>
              <a:round/>
            </a:ln>
            <a:effectLst/>
          </c:spPr>
          <c:marker>
            <c:symbol val="none"/>
          </c:marker>
          <c:val>
            <c:numRef>
              <c:f>'BIFUbC-natural-gas'!$B$24:$AF$24</c:f>
              <c:numCache>
                <c:formatCode>0.00E+00</c:formatCode>
                <c:ptCount val="31"/>
                <c:pt idx="0">
                  <c:v>21066504401630.84</c:v>
                </c:pt>
                <c:pt idx="1">
                  <c:v>21066504401630.84</c:v>
                </c:pt>
                <c:pt idx="2">
                  <c:v>21066504401630.84</c:v>
                </c:pt>
                <c:pt idx="3">
                  <c:v>21066504401630.84</c:v>
                </c:pt>
                <c:pt idx="4">
                  <c:v>21066504401630.84</c:v>
                </c:pt>
                <c:pt idx="5">
                  <c:v>21066504401630.84</c:v>
                </c:pt>
                <c:pt idx="6">
                  <c:v>21066504401630.84</c:v>
                </c:pt>
                <c:pt idx="7">
                  <c:v>21066504401630.84</c:v>
                </c:pt>
                <c:pt idx="8">
                  <c:v>21066504401630.84</c:v>
                </c:pt>
                <c:pt idx="9">
                  <c:v>21066504401630.84</c:v>
                </c:pt>
                <c:pt idx="10">
                  <c:v>21066504401630.84</c:v>
                </c:pt>
                <c:pt idx="11">
                  <c:v>21066504401630.84</c:v>
                </c:pt>
                <c:pt idx="12">
                  <c:v>21066504401630.84</c:v>
                </c:pt>
                <c:pt idx="13">
                  <c:v>21066504401630.84</c:v>
                </c:pt>
                <c:pt idx="14">
                  <c:v>21066504401630.84</c:v>
                </c:pt>
                <c:pt idx="15">
                  <c:v>21066504401630.84</c:v>
                </c:pt>
                <c:pt idx="16">
                  <c:v>21066504401630.84</c:v>
                </c:pt>
                <c:pt idx="17">
                  <c:v>21066504401630.84</c:v>
                </c:pt>
                <c:pt idx="18">
                  <c:v>21066504401630.84</c:v>
                </c:pt>
                <c:pt idx="19">
                  <c:v>21066504401630.84</c:v>
                </c:pt>
                <c:pt idx="20">
                  <c:v>21066504401630.84</c:v>
                </c:pt>
                <c:pt idx="21">
                  <c:v>21066504401630.84</c:v>
                </c:pt>
                <c:pt idx="22">
                  <c:v>21066504401630.84</c:v>
                </c:pt>
                <c:pt idx="23">
                  <c:v>21066504401630.84</c:v>
                </c:pt>
                <c:pt idx="24">
                  <c:v>21066504401630.84</c:v>
                </c:pt>
                <c:pt idx="25">
                  <c:v>21066504401630.84</c:v>
                </c:pt>
                <c:pt idx="26">
                  <c:v>21066504401630.84</c:v>
                </c:pt>
                <c:pt idx="27">
                  <c:v>21066504401630.84</c:v>
                </c:pt>
                <c:pt idx="28">
                  <c:v>21066504401630.84</c:v>
                </c:pt>
                <c:pt idx="29">
                  <c:v>21066504401630.84</c:v>
                </c:pt>
                <c:pt idx="30">
                  <c:v>21066504401630.84</c:v>
                </c:pt>
              </c:numCache>
            </c:numRef>
          </c:val>
          <c:smooth val="0"/>
          <c:extLst>
            <c:ext xmlns:c16="http://schemas.microsoft.com/office/drawing/2014/chart" uri="{C3380CC4-5D6E-409C-BE32-E72D297353CC}">
              <c16:uniqueId val="{00000017-AEC1-4552-BD14-1FFCEBCA3006}"/>
            </c:ext>
          </c:extLst>
        </c:ser>
        <c:ser>
          <c:idx val="24"/>
          <c:order val="24"/>
          <c:tx>
            <c:strRef>
              <c:f>'BIFUbC-natural-gas'!$A$25</c:f>
              <c:strCache>
                <c:ptCount val="1"/>
                <c:pt idx="0">
                  <c:v>water and waste 36T39</c:v>
                </c:pt>
              </c:strCache>
            </c:strRef>
          </c:tx>
          <c:spPr>
            <a:ln w="28575" cap="rnd">
              <a:solidFill>
                <a:schemeClr val="accent1">
                  <a:lumMod val="60000"/>
                  <a:lumOff val="40000"/>
                </a:schemeClr>
              </a:solidFill>
              <a:round/>
            </a:ln>
            <a:effectLst/>
          </c:spPr>
          <c:marker>
            <c:symbol val="none"/>
          </c:marker>
          <c:val>
            <c:numRef>
              <c:f>'BIFUbC-natural-gas'!$B$25:$AF$25</c:f>
              <c:numCache>
                <c:formatCode>0.00E+00</c:formatCode>
                <c:ptCount val="31"/>
                <c:pt idx="0">
                  <c:v>21066504401630.84</c:v>
                </c:pt>
                <c:pt idx="1">
                  <c:v>21066504401630.84</c:v>
                </c:pt>
                <c:pt idx="2">
                  <c:v>21066504401630.84</c:v>
                </c:pt>
                <c:pt idx="3">
                  <c:v>21066504401630.84</c:v>
                </c:pt>
                <c:pt idx="4">
                  <c:v>21066504401630.84</c:v>
                </c:pt>
                <c:pt idx="5">
                  <c:v>21066504401630.84</c:v>
                </c:pt>
                <c:pt idx="6">
                  <c:v>21066504401630.84</c:v>
                </c:pt>
                <c:pt idx="7">
                  <c:v>21066504401630.84</c:v>
                </c:pt>
                <c:pt idx="8">
                  <c:v>21066504401630.84</c:v>
                </c:pt>
                <c:pt idx="9">
                  <c:v>21066504401630.84</c:v>
                </c:pt>
                <c:pt idx="10">
                  <c:v>21066504401630.84</c:v>
                </c:pt>
                <c:pt idx="11">
                  <c:v>21066504401630.84</c:v>
                </c:pt>
                <c:pt idx="12">
                  <c:v>21066504401630.84</c:v>
                </c:pt>
                <c:pt idx="13">
                  <c:v>21066504401630.84</c:v>
                </c:pt>
                <c:pt idx="14">
                  <c:v>21066504401630.84</c:v>
                </c:pt>
                <c:pt idx="15">
                  <c:v>21066504401630.84</c:v>
                </c:pt>
                <c:pt idx="16">
                  <c:v>21066504401630.84</c:v>
                </c:pt>
                <c:pt idx="17">
                  <c:v>21066504401630.84</c:v>
                </c:pt>
                <c:pt idx="18">
                  <c:v>21066504401630.84</c:v>
                </c:pt>
                <c:pt idx="19">
                  <c:v>21066504401630.84</c:v>
                </c:pt>
                <c:pt idx="20">
                  <c:v>21066504401630.84</c:v>
                </c:pt>
                <c:pt idx="21">
                  <c:v>21066504401630.84</c:v>
                </c:pt>
                <c:pt idx="22">
                  <c:v>21066504401630.84</c:v>
                </c:pt>
                <c:pt idx="23">
                  <c:v>21066504401630.84</c:v>
                </c:pt>
                <c:pt idx="24">
                  <c:v>21066504401630.84</c:v>
                </c:pt>
                <c:pt idx="25">
                  <c:v>21066504401630.84</c:v>
                </c:pt>
                <c:pt idx="26">
                  <c:v>21066504401630.84</c:v>
                </c:pt>
                <c:pt idx="27">
                  <c:v>21066504401630.84</c:v>
                </c:pt>
                <c:pt idx="28">
                  <c:v>21066504401630.84</c:v>
                </c:pt>
                <c:pt idx="29">
                  <c:v>21066504401630.84</c:v>
                </c:pt>
                <c:pt idx="30">
                  <c:v>21066504401630.84</c:v>
                </c:pt>
              </c:numCache>
            </c:numRef>
          </c:val>
          <c:smooth val="0"/>
          <c:extLst>
            <c:ext xmlns:c16="http://schemas.microsoft.com/office/drawing/2014/chart" uri="{C3380CC4-5D6E-409C-BE32-E72D297353CC}">
              <c16:uniqueId val="{00000018-AEC1-4552-BD14-1FFCEBCA3006}"/>
            </c:ext>
          </c:extLst>
        </c:ser>
        <c:ser>
          <c:idx val="25"/>
          <c:order val="25"/>
          <c:tx>
            <c:strRef>
              <c:f>'BIFUbC-natural-gas'!$A$26</c:f>
              <c:strCache>
                <c:ptCount val="1"/>
                <c:pt idx="0">
                  <c:v>construction 41T43</c:v>
                </c:pt>
              </c:strCache>
            </c:strRef>
          </c:tx>
          <c:spPr>
            <a:ln w="28575" cap="rnd">
              <a:solidFill>
                <a:schemeClr val="accent2">
                  <a:lumMod val="60000"/>
                  <a:lumOff val="40000"/>
                </a:schemeClr>
              </a:solidFill>
              <a:round/>
            </a:ln>
            <a:effectLst/>
          </c:spPr>
          <c:marker>
            <c:symbol val="none"/>
          </c:marker>
          <c:val>
            <c:numRef>
              <c:f>'BIFUbC-natural-gas'!$B$26:$AF$26</c:f>
              <c:numCache>
                <c:formatCode>0.00E+00</c:formatCode>
                <c:ptCount val="31"/>
                <c:pt idx="0">
                  <c:v>16772391731.883165</c:v>
                </c:pt>
                <c:pt idx="1">
                  <c:v>17304805161.73547</c:v>
                </c:pt>
                <c:pt idx="2">
                  <c:v>17837218591.587772</c:v>
                </c:pt>
                <c:pt idx="3">
                  <c:v>18369632021.440079</c:v>
                </c:pt>
                <c:pt idx="4">
                  <c:v>18902045451.292381</c:v>
                </c:pt>
                <c:pt idx="5">
                  <c:v>19434458881.144688</c:v>
                </c:pt>
                <c:pt idx="6">
                  <c:v>19635945079.797928</c:v>
                </c:pt>
                <c:pt idx="7">
                  <c:v>19837431278.451168</c:v>
                </c:pt>
                <c:pt idx="8">
                  <c:v>20038917477.104412</c:v>
                </c:pt>
                <c:pt idx="9">
                  <c:v>20240403675.757652</c:v>
                </c:pt>
                <c:pt idx="10">
                  <c:v>20441889874.410896</c:v>
                </c:pt>
                <c:pt idx="11">
                  <c:v>20592605096.252487</c:v>
                </c:pt>
                <c:pt idx="12">
                  <c:v>20743320318.094086</c:v>
                </c:pt>
                <c:pt idx="13">
                  <c:v>20894035539.935684</c:v>
                </c:pt>
                <c:pt idx="14">
                  <c:v>21044750761.777283</c:v>
                </c:pt>
                <c:pt idx="15">
                  <c:v>21195465983.618881</c:v>
                </c:pt>
                <c:pt idx="16">
                  <c:v>21340845060.275475</c:v>
                </c:pt>
                <c:pt idx="17">
                  <c:v>21486224136.93206</c:v>
                </c:pt>
                <c:pt idx="18">
                  <c:v>21631603213.588657</c:v>
                </c:pt>
                <c:pt idx="19">
                  <c:v>21776982290.245251</c:v>
                </c:pt>
                <c:pt idx="20">
                  <c:v>21922361366.901836</c:v>
                </c:pt>
                <c:pt idx="21">
                  <c:v>22074855303.805107</c:v>
                </c:pt>
                <c:pt idx="22">
                  <c:v>22222498199.631073</c:v>
                </c:pt>
                <c:pt idx="23">
                  <c:v>22370141095.457085</c:v>
                </c:pt>
                <c:pt idx="24">
                  <c:v>22517783991.283062</c:v>
                </c:pt>
                <c:pt idx="25">
                  <c:v>22665426887.109074</c:v>
                </c:pt>
                <c:pt idx="26">
                  <c:v>22813069782.935036</c:v>
                </c:pt>
                <c:pt idx="27">
                  <c:v>22960712678.761044</c:v>
                </c:pt>
                <c:pt idx="28">
                  <c:v>23108355574.587025</c:v>
                </c:pt>
                <c:pt idx="29">
                  <c:v>23255998470.413002</c:v>
                </c:pt>
                <c:pt idx="30">
                  <c:v>23403641366.23901</c:v>
                </c:pt>
              </c:numCache>
            </c:numRef>
          </c:val>
          <c:smooth val="0"/>
          <c:extLst>
            <c:ext xmlns:c16="http://schemas.microsoft.com/office/drawing/2014/chart" uri="{C3380CC4-5D6E-409C-BE32-E72D297353CC}">
              <c16:uniqueId val="{00000019-AEC1-4552-BD14-1FFCEBCA3006}"/>
            </c:ext>
          </c:extLst>
        </c:ser>
        <c:dLbls>
          <c:showLegendKey val="0"/>
          <c:showVal val="0"/>
          <c:showCatName val="0"/>
          <c:showSerName val="0"/>
          <c:showPercent val="0"/>
          <c:showBubbleSize val="0"/>
        </c:dLbls>
        <c:smooth val="0"/>
        <c:axId val="1280524591"/>
        <c:axId val="1280536591"/>
      </c:lineChart>
      <c:catAx>
        <c:axId val="128052459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80536591"/>
        <c:crosses val="autoZero"/>
        <c:auto val="1"/>
        <c:lblAlgn val="ctr"/>
        <c:lblOffset val="100"/>
        <c:noMultiLvlLbl val="0"/>
      </c:catAx>
      <c:valAx>
        <c:axId val="1280536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280524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'BIFUbC-biomass'!$A$2</c:f>
              <c:strCache>
                <c:ptCount val="1"/>
                <c:pt idx="0">
                  <c:v>agriculture and forestry 01T03</c:v>
                </c:pt>
              </c:strCache>
            </c:strRef>
          </c:tx>
          <c:spPr>
            <a:ln w="28575" cap="rnd">
              <a:solidFill>
                <a:schemeClr val="accent2"/>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'BIFUbC-biomass'!$B$2:$AF$2</c:f>
              <c:numCache>
                <c:formatCode>0.00E+00</c:formatCode>
                <c:ptCount val="31"/>
                <c:pt idx="0">
                  <c:v>25639849751524.125</c:v>
                </c:pt>
                <c:pt idx="1">
                  <c:v>26770524409638.652</c:v>
                </c:pt>
                <c:pt idx="2">
                  <c:v>27901199067753.176</c:v>
                </c:pt>
                <c:pt idx="3">
                  <c:v>29031873725867.703</c:v>
                </c:pt>
                <c:pt idx="4">
                  <c:v>30162548383982.234</c:v>
                </c:pt>
                <c:pt idx="5">
                  <c:v>31293223042096.758</c:v>
                </c:pt>
                <c:pt idx="6">
                  <c:v>32107822703600.234</c:v>
                </c:pt>
                <c:pt idx="7">
                  <c:v>32922422365103.703</c:v>
                </c:pt>
                <c:pt idx="8">
                  <c:v>33737022026606.918</c:v>
                </c:pt>
                <c:pt idx="9">
                  <c:v>34551621688110.387</c:v>
                </c:pt>
                <c:pt idx="10">
                  <c:v>35366221349613.469</c:v>
                </c:pt>
                <c:pt idx="11">
                  <c:v>36090080321705.336</c:v>
                </c:pt>
                <c:pt idx="12">
                  <c:v>36813939293796.813</c:v>
                </c:pt>
                <c:pt idx="13">
                  <c:v>37537798265888.555</c:v>
                </c:pt>
                <c:pt idx="14">
                  <c:v>38261657237980.031</c:v>
                </c:pt>
                <c:pt idx="15">
                  <c:v>38985516210071.516</c:v>
                </c:pt>
                <c:pt idx="16">
                  <c:v>39723114245618.617</c:v>
                </c:pt>
                <c:pt idx="17">
                  <c:v>40460712281165.734</c:v>
                </c:pt>
                <c:pt idx="18">
                  <c:v>41198310316712.578</c:v>
                </c:pt>
                <c:pt idx="19">
                  <c:v>41935908352259.688</c:v>
                </c:pt>
                <c:pt idx="20">
                  <c:v>42673506387806.414</c:v>
                </c:pt>
                <c:pt idx="21">
                  <c:v>43392785672079.555</c:v>
                </c:pt>
                <c:pt idx="22">
                  <c:v>44124555014039.492</c:v>
                </c:pt>
                <c:pt idx="23">
                  <c:v>44856324355999.43</c:v>
                </c:pt>
                <c:pt idx="24">
                  <c:v>45588093697959.102</c:v>
                </c:pt>
                <c:pt idx="25">
                  <c:v>46319863039919.039</c:v>
                </c:pt>
                <c:pt idx="26">
                  <c:v>47051632381878.977</c:v>
                </c:pt>
                <c:pt idx="27">
                  <c:v>47783401723838.648</c:v>
                </c:pt>
                <c:pt idx="28">
                  <c:v>48515171065798.586</c:v>
                </c:pt>
                <c:pt idx="29">
                  <c:v>49246940407758.516</c:v>
                </c:pt>
                <c:pt idx="30">
                  <c:v>49978709749718.195</c:v>
                </c:pt>
              </c:numCache>
            </c:numRef>
          </c:val>
          <c:smooth val="0"/>
          <c:extLst>
            <c:ext xmlns:c16="http://schemas.microsoft.com/office/drawing/2014/chart" uri="{C3380CC4-5D6E-409C-BE32-E72D297353CC}">
              <c16:uniqueId val="{00000001-FB5D-42A5-9ED3-BC770364BCDE}"/>
            </c:ext>
          </c:extLst>
        </c:ser>
        <c:ser>
          <c:idx val="2"/>
          <c:order val="1"/>
          <c:tx>
            <c:strRef>
              <c:f>'BIFUbC-biomass'!$A$3</c:f>
              <c:strCache>
                <c:ptCount val="1"/>
                <c:pt idx="0">
                  <c:v>coal mining 05</c:v>
                </c:pt>
              </c:strCache>
            </c:strRef>
          </c:tx>
          <c:spPr>
            <a:ln w="28575" cap="rnd">
              <a:solidFill>
                <a:schemeClr val="accent3"/>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'BIFUbC-biomass'!$B$3:$AF$3</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FB5D-42A5-9ED3-BC770364BCDE}"/>
            </c:ext>
          </c:extLst>
        </c:ser>
        <c:ser>
          <c:idx val="3"/>
          <c:order val="2"/>
          <c:tx>
            <c:strRef>
              <c:f>'BIFUbC-biomass'!$A$4</c:f>
              <c:strCache>
                <c:ptCount val="1"/>
                <c:pt idx="0">
                  <c:v>oil and gas extraction 06</c:v>
                </c:pt>
              </c:strCache>
            </c:strRef>
          </c:tx>
          <c:spPr>
            <a:ln w="28575" cap="rnd">
              <a:solidFill>
                <a:schemeClr val="accent4"/>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'BIFUbC-biomass'!$B$4:$AF$4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3-FB5D-42A5-9ED3-BC770364BCDE}"/>
            </c:ext>
          </c:extLst>
        </c:ser>
        <c:ser>
          <c:idx val="4"/>
          <c:order val="3"/>
          <c:tx>
            <c:strRef>
              <c:f>'BIFUbC-biomass'!$A$5</c:f>
              <c:strCache>
                <c:ptCount val="1"/>
                <c:pt idx="0">
                  <c:v>other mining and quarrying 07T08</c:v>
                </c:pt>
              </c:strCache>
            </c:strRef>
          </c:tx>
          <c:spPr>
            <a:ln w="28575" cap="rnd">
              <a:solidFill>
                <a:schemeClr val="accent5"/>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'BIFUbC-biomass'!$B$5:$AF$5</c:f>
              <c:numCache>
                <c:formatCode>0.00E+00</c:formatCode>
                <c:ptCount val="31"/>
                <c:pt idx="0">
                  <c:v>112798181940.70491</c:v>
                </c:pt>
                <c:pt idx="1">
                  <c:v>117027406979.6181</c:v>
                </c:pt>
                <c:pt idx="2">
                  <c:v>121256632018.53131</c:v>
                </c:pt>
                <c:pt idx="3">
                  <c:v>125485857057.44449</c:v>
                </c:pt>
                <c:pt idx="4">
                  <c:v>129715082096.35771</c:v>
                </c:pt>
                <c:pt idx="5">
                  <c:v>133944307135.27089</c:v>
                </c:pt>
                <c:pt idx="6">
                  <c:v>135274043264.17007</c:v>
                </c:pt>
                <c:pt idx="7">
                  <c:v>136603779393.06923</c:v>
                </c:pt>
                <c:pt idx="8">
                  <c:v>137933515521.96826</c:v>
                </c:pt>
                <c:pt idx="9">
                  <c:v>139263251650.86743</c:v>
                </c:pt>
                <c:pt idx="10">
                  <c:v>140592987779.76642</c:v>
                </c:pt>
                <c:pt idx="11">
                  <c:v>141426448494.35379</c:v>
                </c:pt>
                <c:pt idx="12">
                  <c:v>142259909208.94095</c:v>
                </c:pt>
                <c:pt idx="13">
                  <c:v>143093369923.52826</c:v>
                </c:pt>
                <c:pt idx="14">
                  <c:v>143926830638.11542</c:v>
                </c:pt>
                <c:pt idx="15">
                  <c:v>144760291352.70261</c:v>
                </c:pt>
                <c:pt idx="16">
                  <c:v>145454030176.03937</c:v>
                </c:pt>
                <c:pt idx="17">
                  <c:v>146147768999.3761</c:v>
                </c:pt>
                <c:pt idx="18">
                  <c:v>146841507822.71274</c:v>
                </c:pt>
                <c:pt idx="19">
                  <c:v>147535246646.0495</c:v>
                </c:pt>
                <c:pt idx="20">
                  <c:v>148228985469.38602</c:v>
                </c:pt>
                <c:pt idx="21">
                  <c:v>149109020147.72357</c:v>
                </c:pt>
                <c:pt idx="22">
                  <c:v>149862034924.92407</c:v>
                </c:pt>
                <c:pt idx="23">
                  <c:v>150615049702.12469</c:v>
                </c:pt>
                <c:pt idx="24">
                  <c:v>151368064479.3252</c:v>
                </c:pt>
                <c:pt idx="25">
                  <c:v>152121079256.52582</c:v>
                </c:pt>
                <c:pt idx="26">
                  <c:v>152874094033.72632</c:v>
                </c:pt>
                <c:pt idx="27">
                  <c:v>153627108810.92682</c:v>
                </c:pt>
                <c:pt idx="28">
                  <c:v>154380123588.12744</c:v>
                </c:pt>
                <c:pt idx="29">
                  <c:v>155133138365.32806</c:v>
                </c:pt>
                <c:pt idx="30">
                  <c:v>155886153142.52856</c:v>
                </c:pt>
              </c:numCache>
            </c:numRef>
          </c:val>
          <c:smooth val="0"/>
          <c:extLst>
            <c:ext xmlns:c16="http://schemas.microsoft.com/office/drawing/2014/chart" uri="{C3380CC4-5D6E-409C-BE32-E72D297353CC}">
              <c16:uniqueId val="{00000004-FB5D-42A5-9ED3-BC770364BCDE}"/>
            </c:ext>
          </c:extLst>
        </c:ser>
        <c:ser>
          <c:idx val="5"/>
          <c:order val="4"/>
          <c:tx>
            <c:strRef>
              <c:f>'BIFUbC-biomass'!$A$6</c:f>
              <c:strCache>
                <c:ptCount val="1"/>
                <c:pt idx="0">
                  <c:v>food beverage and tobacco 10T12</c:v>
                </c:pt>
              </c:strCache>
            </c:strRef>
          </c:tx>
          <c:spPr>
            <a:ln w="28575" cap="rnd">
              <a:solidFill>
                <a:schemeClr val="accent6"/>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'BIFUbC-biomass'!$B$6:$AF$6</c:f>
              <c:numCache>
                <c:formatCode>0.00E+00</c:formatCode>
                <c:ptCount val="31"/>
                <c:pt idx="0">
                  <c:v>10177313909023.283</c:v>
                </c:pt>
                <c:pt idx="1">
                  <c:v>10622518392696.836</c:v>
                </c:pt>
                <c:pt idx="2">
                  <c:v>11067722876370.387</c:v>
                </c:pt>
                <c:pt idx="3">
                  <c:v>11512927360043.938</c:v>
                </c:pt>
                <c:pt idx="4">
                  <c:v>11958131843717.49</c:v>
                </c:pt>
                <c:pt idx="5">
                  <c:v>12403336327391.043</c:v>
                </c:pt>
                <c:pt idx="6">
                  <c:v>12715792115474.09</c:v>
                </c:pt>
                <c:pt idx="7">
                  <c:v>13028247903557.139</c:v>
                </c:pt>
                <c:pt idx="8">
                  <c:v>13340703691640.088</c:v>
                </c:pt>
                <c:pt idx="9">
                  <c:v>13653159479723.137</c:v>
                </c:pt>
                <c:pt idx="10">
                  <c:v>13965615267806.035</c:v>
                </c:pt>
                <c:pt idx="11">
                  <c:v>14241584182725.76</c:v>
                </c:pt>
                <c:pt idx="12">
                  <c:v>14517553097645.334</c:v>
                </c:pt>
                <c:pt idx="13">
                  <c:v>14793522012565.006</c:v>
                </c:pt>
                <c:pt idx="14">
                  <c:v>15069490927484.58</c:v>
                </c:pt>
                <c:pt idx="15">
                  <c:v>15345459842404.156</c:v>
                </c:pt>
                <c:pt idx="16">
                  <c:v>15625915505173.184</c:v>
                </c:pt>
                <c:pt idx="17">
                  <c:v>15906371167942.211</c:v>
                </c:pt>
                <c:pt idx="18">
                  <c:v>16186826830711.143</c:v>
                </c:pt>
                <c:pt idx="19">
                  <c:v>16467282493480.17</c:v>
                </c:pt>
                <c:pt idx="20">
                  <c:v>16747738156249.051</c:v>
                </c:pt>
                <c:pt idx="21">
                  <c:v>17022211488552.223</c:v>
                </c:pt>
                <c:pt idx="22">
                  <c:v>17300763682536.658</c:v>
                </c:pt>
                <c:pt idx="23">
                  <c:v>17579315876521.094</c:v>
                </c:pt>
                <c:pt idx="24">
                  <c:v>17857868070505.43</c:v>
                </c:pt>
                <c:pt idx="25">
                  <c:v>18136420264489.867</c:v>
                </c:pt>
                <c:pt idx="26">
                  <c:v>18414972458474.301</c:v>
                </c:pt>
                <c:pt idx="27">
                  <c:v>18693524652458.637</c:v>
                </c:pt>
                <c:pt idx="28">
                  <c:v>18972076846443.07</c:v>
                </c:pt>
                <c:pt idx="29">
                  <c:v>19250629040427.508</c:v>
                </c:pt>
                <c:pt idx="30">
                  <c:v>19529181234411.848</c:v>
                </c:pt>
              </c:numCache>
            </c:numRef>
          </c:val>
          <c:smooth val="0"/>
          <c:extLst>
            <c:ext xmlns:c16="http://schemas.microsoft.com/office/drawing/2014/chart" uri="{C3380CC4-5D6E-409C-BE32-E72D297353CC}">
              <c16:uniqueId val="{00000005-FB5D-42A5-9ED3-BC770364BCDE}"/>
            </c:ext>
          </c:extLst>
        </c:ser>
        <c:ser>
          <c:idx val="6"/>
          <c:order val="5"/>
          <c:tx>
            <c:strRef>
              <c:f>'BIFUbC-biomass'!$A$7</c:f>
              <c:strCache>
                <c:ptCount val="1"/>
                <c:pt idx="0">
                  <c:v>textiles apparel and leather 13T15</c:v>
                </c:pt>
              </c:strCache>
            </c:strRef>
          </c:tx>
          <c:spPr>
            <a:ln w="28575" cap="rnd">
              <a:solidFill>
                <a:schemeClr val="accent1">
                  <a:lumMod val="6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'BIFUbC-biomass'!$B$7:$AF$7</c:f>
              <c:numCache>
                <c:formatCode>0.00E+00</c:formatCode>
                <c:ptCount val="31"/>
                <c:pt idx="0">
                  <c:v>20646969534045.715</c:v>
                </c:pt>
                <c:pt idx="1">
                  <c:v>21559362503016.352</c:v>
                </c:pt>
                <c:pt idx="2">
                  <c:v>22471755471986.988</c:v>
                </c:pt>
                <c:pt idx="3">
                  <c:v>23384148440957.621</c:v>
                </c:pt>
                <c:pt idx="4">
                  <c:v>24296541409928.258</c:v>
                </c:pt>
                <c:pt idx="5">
                  <c:v>25208934378898.898</c:v>
                </c:pt>
                <c:pt idx="6">
                  <c:v>25870642400945.883</c:v>
                </c:pt>
                <c:pt idx="7">
                  <c:v>26532350422992.867</c:v>
                </c:pt>
                <c:pt idx="8">
                  <c:v>27194058445039.645</c:v>
                </c:pt>
                <c:pt idx="9">
                  <c:v>27855766467086.629</c:v>
                </c:pt>
                <c:pt idx="10">
                  <c:v>28517474489133.297</c:v>
                </c:pt>
                <c:pt idx="11">
                  <c:v>29106358934105.777</c:v>
                </c:pt>
                <c:pt idx="12">
                  <c:v>29695243379077.945</c:v>
                </c:pt>
                <c:pt idx="13">
                  <c:v>30284127824050.32</c:v>
                </c:pt>
                <c:pt idx="14">
                  <c:v>30873012269022.48</c:v>
                </c:pt>
                <c:pt idx="15">
                  <c:v>31461896713994.648</c:v>
                </c:pt>
                <c:pt idx="16">
                  <c:v>32062354221188.121</c:v>
                </c:pt>
                <c:pt idx="17">
                  <c:v>32662811728381.594</c:v>
                </c:pt>
                <c:pt idx="18">
                  <c:v>33263269235574.852</c:v>
                </c:pt>
                <c:pt idx="19">
                  <c:v>33863726742768.324</c:v>
                </c:pt>
                <c:pt idx="20">
                  <c:v>34464184249961.477</c:v>
                </c:pt>
                <c:pt idx="21">
                  <c:v>35049211007526.715</c:v>
                </c:pt>
                <c:pt idx="22">
                  <c:v>35644758730747.563</c:v>
                </c:pt>
                <c:pt idx="23">
                  <c:v>36240306453968.414</c:v>
                </c:pt>
                <c:pt idx="24">
                  <c:v>36835854177189.047</c:v>
                </c:pt>
                <c:pt idx="25">
                  <c:v>37431401900409.891</c:v>
                </c:pt>
                <c:pt idx="26">
                  <c:v>38026949623630.742</c:v>
                </c:pt>
                <c:pt idx="27">
                  <c:v>38622497346851.375</c:v>
                </c:pt>
                <c:pt idx="28">
                  <c:v>39218045070072.219</c:v>
                </c:pt>
                <c:pt idx="29">
                  <c:v>39813592793293.07</c:v>
                </c:pt>
                <c:pt idx="30">
                  <c:v>40409140516513.703</c:v>
                </c:pt>
              </c:numCache>
            </c:numRef>
          </c:val>
          <c:smooth val="0"/>
          <c:extLst>
            <c:ext xmlns:c16="http://schemas.microsoft.com/office/drawing/2014/chart" uri="{C3380CC4-5D6E-409C-BE32-E72D297353CC}">
              <c16:uniqueId val="{00000006-FB5D-42A5-9ED3-BC770364BCDE}"/>
            </c:ext>
          </c:extLst>
        </c:ser>
        <c:ser>
          <c:idx val="7"/>
          <c:order val="6"/>
          <c:tx>
            <c:strRef>
              <c:f>'BIFUbC-biomass'!$A$8</c:f>
              <c:strCache>
                <c:ptCount val="1"/>
                <c:pt idx="0">
                  <c:v>wood products 16</c:v>
                </c:pt>
              </c:strCache>
            </c:strRef>
          </c:tx>
          <c:spPr>
            <a:ln w="28575" cap="rnd">
              <a:solidFill>
                <a:schemeClr val="accent2">
                  <a:lumMod val="6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'BIFUbC-biomass'!$B$8:$AF$8</c:f>
              <c:numCache>
                <c:formatCode>0.00E+00</c:formatCode>
                <c:ptCount val="31"/>
                <c:pt idx="0">
                  <c:v>12416986748706.738</c:v>
                </c:pt>
                <c:pt idx="1">
                  <c:v>12968050745011.094</c:v>
                </c:pt>
                <c:pt idx="2">
                  <c:v>13519114741315.443</c:v>
                </c:pt>
                <c:pt idx="3">
                  <c:v>14070178737619.797</c:v>
                </c:pt>
                <c:pt idx="4">
                  <c:v>14621242733924.148</c:v>
                </c:pt>
                <c:pt idx="5">
                  <c:v>15172306730228.504</c:v>
                </c:pt>
                <c:pt idx="6">
                  <c:v>15577380713543.436</c:v>
                </c:pt>
                <c:pt idx="7">
                  <c:v>15982454696858.365</c:v>
                </c:pt>
                <c:pt idx="8">
                  <c:v>16387528680173.166</c:v>
                </c:pt>
                <c:pt idx="9">
                  <c:v>16792602663488.098</c:v>
                </c:pt>
                <c:pt idx="10">
                  <c:v>17197676646802.832</c:v>
                </c:pt>
                <c:pt idx="11">
                  <c:v>17559261800613.775</c:v>
                </c:pt>
                <c:pt idx="12">
                  <c:v>17920846954424.523</c:v>
                </c:pt>
                <c:pt idx="13">
                  <c:v>18282432108235.402</c:v>
                </c:pt>
                <c:pt idx="14">
                  <c:v>18644017262046.148</c:v>
                </c:pt>
                <c:pt idx="15">
                  <c:v>19005602415856.898</c:v>
                </c:pt>
                <c:pt idx="16">
                  <c:v>19374780383892.484</c:v>
                </c:pt>
                <c:pt idx="17">
                  <c:v>19743958351928.07</c:v>
                </c:pt>
                <c:pt idx="18">
                  <c:v>20113136319963.527</c:v>
                </c:pt>
                <c:pt idx="19">
                  <c:v>20482314287999.117</c:v>
                </c:pt>
                <c:pt idx="20">
                  <c:v>20851492256034.508</c:v>
                </c:pt>
                <c:pt idx="21">
                  <c:v>21210546471770.418</c:v>
                </c:pt>
                <c:pt idx="22">
                  <c:v>21576503245892.465</c:v>
                </c:pt>
                <c:pt idx="23">
                  <c:v>21942460020014.516</c:v>
                </c:pt>
                <c:pt idx="24">
                  <c:v>22308416794136.438</c:v>
                </c:pt>
                <c:pt idx="25">
                  <c:v>22674373568258.488</c:v>
                </c:pt>
                <c:pt idx="26">
                  <c:v>23040330342380.535</c:v>
                </c:pt>
                <c:pt idx="27">
                  <c:v>23406287116502.457</c:v>
                </c:pt>
                <c:pt idx="28">
                  <c:v>23772243890624.508</c:v>
                </c:pt>
                <c:pt idx="29">
                  <c:v>24138200664746.559</c:v>
                </c:pt>
                <c:pt idx="30">
                  <c:v>24504157438868.48</c:v>
                </c:pt>
              </c:numCache>
            </c:numRef>
          </c:val>
          <c:smooth val="0"/>
          <c:extLst>
            <c:ext xmlns:c16="http://schemas.microsoft.com/office/drawing/2014/chart" uri="{C3380CC4-5D6E-409C-BE32-E72D297353CC}">
              <c16:uniqueId val="{00000007-FB5D-42A5-9ED3-BC770364BCDE}"/>
            </c:ext>
          </c:extLst>
        </c:ser>
        <c:ser>
          <c:idx val="8"/>
          <c:order val="7"/>
          <c:tx>
            <c:strRef>
              <c:f>'BIFUbC-biomass'!$A$9</c:f>
              <c:strCache>
                <c:ptCount val="1"/>
                <c:pt idx="0">
                  <c:v>pulp paper and printing 17T18</c:v>
                </c:pt>
              </c:strCache>
            </c:strRef>
          </c:tx>
          <c:spPr>
            <a:ln w="28575" cap="rnd">
              <a:solidFill>
                <a:schemeClr val="accent3">
                  <a:lumMod val="6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'BIFUbC-biomass'!$B$9:$AF$9</c:f>
              <c:numCache>
                <c:formatCode>0.00E+00</c:formatCode>
                <c:ptCount val="31"/>
                <c:pt idx="0">
                  <c:v>109838823372820.7</c:v>
                </c:pt>
                <c:pt idx="1">
                  <c:v>114716315566294.14</c:v>
                </c:pt>
                <c:pt idx="2">
                  <c:v>119593807759767.55</c:v>
                </c:pt>
                <c:pt idx="3">
                  <c:v>124471299953240.95</c:v>
                </c:pt>
                <c:pt idx="4">
                  <c:v>129348792146714.38</c:v>
                </c:pt>
                <c:pt idx="5">
                  <c:v>134226284340187.78</c:v>
                </c:pt>
                <c:pt idx="6">
                  <c:v>137818167109886.97</c:v>
                </c:pt>
                <c:pt idx="7">
                  <c:v>141410049879586.16</c:v>
                </c:pt>
                <c:pt idx="8">
                  <c:v>145001932649284.19</c:v>
                </c:pt>
                <c:pt idx="9">
                  <c:v>148593815418983.38</c:v>
                </c:pt>
                <c:pt idx="10">
                  <c:v>152185698188680.81</c:v>
                </c:pt>
                <c:pt idx="11">
                  <c:v>155393258135266.94</c:v>
                </c:pt>
                <c:pt idx="12">
                  <c:v>158600818081851.34</c:v>
                </c:pt>
                <c:pt idx="13">
                  <c:v>161808378028436.91</c:v>
                </c:pt>
                <c:pt idx="14">
                  <c:v>165015937975021.31</c:v>
                </c:pt>
                <c:pt idx="15">
                  <c:v>168223497921605.72</c:v>
                </c:pt>
                <c:pt idx="16">
                  <c:v>171498991691979.25</c:v>
                </c:pt>
                <c:pt idx="17">
                  <c:v>174774485462352.81</c:v>
                </c:pt>
                <c:pt idx="18">
                  <c:v>178049979232725.22</c:v>
                </c:pt>
                <c:pt idx="19">
                  <c:v>181325473003098.75</c:v>
                </c:pt>
                <c:pt idx="20">
                  <c:v>184600966773470.59</c:v>
                </c:pt>
                <c:pt idx="21">
                  <c:v>187785882112126.22</c:v>
                </c:pt>
                <c:pt idx="22">
                  <c:v>191032555472407.69</c:v>
                </c:pt>
                <c:pt idx="23">
                  <c:v>194279228832689.16</c:v>
                </c:pt>
                <c:pt idx="24">
                  <c:v>197525902192969.47</c:v>
                </c:pt>
                <c:pt idx="25">
                  <c:v>200772575553250.94</c:v>
                </c:pt>
                <c:pt idx="26">
                  <c:v>204019248913532.41</c:v>
                </c:pt>
                <c:pt idx="27">
                  <c:v>207265922273812.72</c:v>
                </c:pt>
                <c:pt idx="28">
                  <c:v>210512595634094.19</c:v>
                </c:pt>
                <c:pt idx="29">
                  <c:v>213759268994375.66</c:v>
                </c:pt>
                <c:pt idx="30">
                  <c:v>217005942354655.97</c:v>
                </c:pt>
              </c:numCache>
            </c:numRef>
          </c:val>
          <c:smooth val="0"/>
          <c:extLst>
            <c:ext xmlns:c16="http://schemas.microsoft.com/office/drawing/2014/chart" uri="{C3380CC4-5D6E-409C-BE32-E72D297353CC}">
              <c16:uniqueId val="{00000008-FB5D-42A5-9ED3-BC770364BCDE}"/>
            </c:ext>
          </c:extLst>
        </c:ser>
        <c:ser>
          <c:idx val="9"/>
          <c:order val="8"/>
          <c:tx>
            <c:strRef>
              <c:f>'BIFUbC-biomass'!$A$10</c:f>
              <c:strCache>
                <c:ptCount val="1"/>
                <c:pt idx="0">
                  <c:v>refined petroleum and coke 19</c:v>
                </c:pt>
              </c:strCache>
            </c:strRef>
          </c:tx>
          <c:spPr>
            <a:ln w="28575" cap="rnd">
              <a:solidFill>
                <a:schemeClr val="accent4">
                  <a:lumMod val="6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'BIFUbC-biomass'!$B$10:$AF$10</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9-FB5D-42A5-9ED3-BC770364BCDE}"/>
            </c:ext>
          </c:extLst>
        </c:ser>
        <c:ser>
          <c:idx val="10"/>
          <c:order val="9"/>
          <c:tx>
            <c:strRef>
              <c:f>'BIFUbC-biomass'!$A$11</c:f>
              <c:strCache>
                <c:ptCount val="1"/>
                <c:pt idx="0">
                  <c:v>chemicals 20</c:v>
                </c:pt>
              </c:strCache>
            </c:strRef>
          </c:tx>
          <c:spPr>
            <a:ln w="28575" cap="rnd">
              <a:solidFill>
                <a:schemeClr val="accent5">
                  <a:lumMod val="6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'BIFUbC-biomass'!$B$11:$AF$11</c:f>
              <c:numCache>
                <c:formatCode>0.00E+00</c:formatCode>
                <c:ptCount val="31"/>
                <c:pt idx="0">
                  <c:v>2446528482201.8267</c:v>
                </c:pt>
                <c:pt idx="1">
                  <c:v>2197509153685.2034</c:v>
                </c:pt>
                <c:pt idx="2">
                  <c:v>2090117136400.6489</c:v>
                </c:pt>
                <c:pt idx="3">
                  <c:v>1963474524703.4595</c:v>
                </c:pt>
                <c:pt idx="4">
                  <c:v>1915248771719.9182</c:v>
                </c:pt>
                <c:pt idx="5">
                  <c:v>2063269730711.575</c:v>
                </c:pt>
                <c:pt idx="6">
                  <c:v>2015446529026.3567</c:v>
                </c:pt>
                <c:pt idx="7">
                  <c:v>1985203088168.8306</c:v>
                </c:pt>
                <c:pt idx="8">
                  <c:v>3019623478021.0493</c:v>
                </c:pt>
                <c:pt idx="9">
                  <c:v>2954100160498.6646</c:v>
                </c:pt>
                <c:pt idx="10">
                  <c:v>72255955454090.813</c:v>
                </c:pt>
                <c:pt idx="11">
                  <c:v>71733531452132.375</c:v>
                </c:pt>
                <c:pt idx="12">
                  <c:v>71209543610726.859</c:v>
                </c:pt>
                <c:pt idx="13">
                  <c:v>70683965191776.5</c:v>
                </c:pt>
                <c:pt idx="14">
                  <c:v>70156768678252.297</c:v>
                </c:pt>
                <c:pt idx="15">
                  <c:v>69627925741921.719</c:v>
                </c:pt>
                <c:pt idx="16">
                  <c:v>69581270003854.195</c:v>
                </c:pt>
                <c:pt idx="17">
                  <c:v>69534614265786.672</c:v>
                </c:pt>
                <c:pt idx="18">
                  <c:v>69487958527719.141</c:v>
                </c:pt>
                <c:pt idx="19">
                  <c:v>69441302789651.617</c:v>
                </c:pt>
                <c:pt idx="20">
                  <c:v>69394647051584.102</c:v>
                </c:pt>
                <c:pt idx="21">
                  <c:v>69324558860963.297</c:v>
                </c:pt>
                <c:pt idx="22">
                  <c:v>69254470670342.477</c:v>
                </c:pt>
                <c:pt idx="23">
                  <c:v>69184382479721.656</c:v>
                </c:pt>
                <c:pt idx="24">
                  <c:v>69114294289100.859</c:v>
                </c:pt>
                <c:pt idx="25">
                  <c:v>69044206098480.047</c:v>
                </c:pt>
                <c:pt idx="26">
                  <c:v>68974117907859.227</c:v>
                </c:pt>
                <c:pt idx="27">
                  <c:v>68904029717238.422</c:v>
                </c:pt>
                <c:pt idx="28">
                  <c:v>68833941526617.609</c:v>
                </c:pt>
                <c:pt idx="29">
                  <c:v>68763853335996.813</c:v>
                </c:pt>
                <c:pt idx="30">
                  <c:v>68693765145376</c:v>
                </c:pt>
              </c:numCache>
            </c:numRef>
          </c:val>
          <c:smooth val="0"/>
          <c:extLst>
            <c:ext xmlns:c16="http://schemas.microsoft.com/office/drawing/2014/chart" uri="{C3380CC4-5D6E-409C-BE32-E72D297353CC}">
              <c16:uniqueId val="{0000000A-FB5D-42A5-9ED3-BC770364BCDE}"/>
            </c:ext>
          </c:extLst>
        </c:ser>
        <c:ser>
          <c:idx val="11"/>
          <c:order val="10"/>
          <c:tx>
            <c:strRef>
              <c:f>'BIFUbC-biomass'!$A$12</c:f>
              <c:strCache>
                <c:ptCount val="1"/>
                <c:pt idx="0">
                  <c:v>rubber and plastic products 22</c:v>
                </c:pt>
              </c:strCache>
            </c:strRef>
          </c:tx>
          <c:spPr>
            <a:ln w="28575" cap="rnd">
              <a:solidFill>
                <a:schemeClr val="accent6">
                  <a:lumMod val="6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'BIFUbC-biomass'!$B$12:$AF$12</c:f>
              <c:numCache>
                <c:formatCode>0.00E+00</c:formatCode>
                <c:ptCount val="31"/>
                <c:pt idx="0">
                  <c:v>1984817064714.7942</c:v>
                </c:pt>
                <c:pt idx="1">
                  <c:v>1782792924681.5698</c:v>
                </c:pt>
                <c:pt idx="2">
                  <c:v>1695668041373.9797</c:v>
                </c:pt>
                <c:pt idx="3">
                  <c:v>1592925555993.0576</c:v>
                </c:pt>
                <c:pt idx="4">
                  <c:v>1553801017620.9116</c:v>
                </c:pt>
                <c:pt idx="5">
                  <c:v>1542530809281.6785</c:v>
                </c:pt>
                <c:pt idx="6">
                  <c:v>1522323569285.1204</c:v>
                </c:pt>
                <c:pt idx="7">
                  <c:v>1500327045834.6296</c:v>
                </c:pt>
                <c:pt idx="8">
                  <c:v>1511327242420.6987</c:v>
                </c:pt>
                <c:pt idx="9">
                  <c:v>1483002072148.1353</c:v>
                </c:pt>
                <c:pt idx="10">
                  <c:v>3767008244001</c:v>
                </c:pt>
                <c:pt idx="11">
                  <c:v>3739772073503.0293</c:v>
                </c:pt>
                <c:pt idx="12">
                  <c:v>3712454373447.3564</c:v>
                </c:pt>
                <c:pt idx="13">
                  <c:v>3685053749863.9766</c:v>
                </c:pt>
                <c:pt idx="14">
                  <c:v>3657568768173.9063</c:v>
                </c:pt>
                <c:pt idx="15">
                  <c:v>3629997951506.6934</c:v>
                </c:pt>
                <c:pt idx="16">
                  <c:v>3627565590757.6621</c:v>
                </c:pt>
                <c:pt idx="17">
                  <c:v>3625133230008.6299</c:v>
                </c:pt>
                <c:pt idx="18">
                  <c:v>3622700869259.5986</c:v>
                </c:pt>
                <c:pt idx="19">
                  <c:v>3620268508510.5669</c:v>
                </c:pt>
                <c:pt idx="20">
                  <c:v>3617836147761.5361</c:v>
                </c:pt>
                <c:pt idx="21">
                  <c:v>3614182154257.2437</c:v>
                </c:pt>
                <c:pt idx="22">
                  <c:v>3610528160752.9502</c:v>
                </c:pt>
                <c:pt idx="23">
                  <c:v>3606874167248.6572</c:v>
                </c:pt>
                <c:pt idx="24">
                  <c:v>3603220173744.3652</c:v>
                </c:pt>
                <c:pt idx="25">
                  <c:v>3599566180240.0723</c:v>
                </c:pt>
                <c:pt idx="26">
                  <c:v>3595912186735.7798</c:v>
                </c:pt>
                <c:pt idx="27">
                  <c:v>3592258193231.4873</c:v>
                </c:pt>
                <c:pt idx="28">
                  <c:v>3588604199727.1943</c:v>
                </c:pt>
                <c:pt idx="29">
                  <c:v>3584950206222.9023</c:v>
                </c:pt>
                <c:pt idx="30">
                  <c:v>3581296212718.6089</c:v>
                </c:pt>
              </c:numCache>
            </c:numRef>
          </c:val>
          <c:smooth val="0"/>
          <c:extLst>
            <c:ext xmlns:c16="http://schemas.microsoft.com/office/drawing/2014/chart" uri="{C3380CC4-5D6E-409C-BE32-E72D297353CC}">
              <c16:uniqueId val="{0000000B-FB5D-42A5-9ED3-BC770364BCDE}"/>
            </c:ext>
          </c:extLst>
        </c:ser>
        <c:ser>
          <c:idx val="12"/>
          <c:order val="11"/>
          <c:tx>
            <c:strRef>
              <c:f>'BIFUbC-biomass'!$A$13</c:f>
              <c:strCache>
                <c:ptCount val="1"/>
                <c:pt idx="0">
                  <c:v>glass and glass products 231</c:v>
                </c:pt>
              </c:strCache>
            </c:strRef>
          </c:tx>
          <c:spPr>
            <a:ln w="28575" cap="rnd">
              <a:solidFill>
                <a:schemeClr val="accent1">
                  <a:lumMod val="80000"/>
                  <a:lumOff val="2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'BIFUbC-biomass'!$B$13:$AF$13</c:f>
              <c:numCache>
                <c:formatCode>0.00E+00</c:formatCode>
                <c:ptCount val="31"/>
                <c:pt idx="0">
                  <c:v>227356980555.41101</c:v>
                </c:pt>
                <c:pt idx="1">
                  <c:v>235711957497.32397</c:v>
                </c:pt>
                <c:pt idx="2">
                  <c:v>244066934439.23694</c:v>
                </c:pt>
                <c:pt idx="3">
                  <c:v>252421911381.1499</c:v>
                </c:pt>
                <c:pt idx="4">
                  <c:v>260776888323.0629</c:v>
                </c:pt>
                <c:pt idx="5">
                  <c:v>269131865264.97592</c:v>
                </c:pt>
                <c:pt idx="6">
                  <c:v>271299315327.1312</c:v>
                </c:pt>
                <c:pt idx="7">
                  <c:v>273466765389.28644</c:v>
                </c:pt>
                <c:pt idx="8">
                  <c:v>275634215451.44171</c:v>
                </c:pt>
                <c:pt idx="9">
                  <c:v>277801665513.59698</c:v>
                </c:pt>
                <c:pt idx="10">
                  <c:v>279969115575.7522</c:v>
                </c:pt>
                <c:pt idx="11">
                  <c:v>281114183533.11731</c:v>
                </c:pt>
                <c:pt idx="12">
                  <c:v>282259251490.4823</c:v>
                </c:pt>
                <c:pt idx="13">
                  <c:v>283404319447.84735</c:v>
                </c:pt>
                <c:pt idx="14">
                  <c:v>284549387405.2124</c:v>
                </c:pt>
                <c:pt idx="15">
                  <c:v>285694455362.57745</c:v>
                </c:pt>
                <c:pt idx="16">
                  <c:v>286512361046.40961</c:v>
                </c:pt>
                <c:pt idx="17">
                  <c:v>287330266730.24176</c:v>
                </c:pt>
                <c:pt idx="18">
                  <c:v>288148172414.07391</c:v>
                </c:pt>
                <c:pt idx="19">
                  <c:v>288966078097.90613</c:v>
                </c:pt>
                <c:pt idx="20">
                  <c:v>289783983781.73822</c:v>
                </c:pt>
                <c:pt idx="21">
                  <c:v>291038105830.28113</c:v>
                </c:pt>
                <c:pt idx="22">
                  <c:v>291994807630.15729</c:v>
                </c:pt>
                <c:pt idx="23">
                  <c:v>292951509430.03375</c:v>
                </c:pt>
                <c:pt idx="24">
                  <c:v>293908211229.91028</c:v>
                </c:pt>
                <c:pt idx="25">
                  <c:v>294864913029.78674</c:v>
                </c:pt>
                <c:pt idx="26">
                  <c:v>295821614829.66296</c:v>
                </c:pt>
                <c:pt idx="27">
                  <c:v>296778316629.53943</c:v>
                </c:pt>
                <c:pt idx="28">
                  <c:v>297735018429.41583</c:v>
                </c:pt>
                <c:pt idx="29">
                  <c:v>298691720229.29236</c:v>
                </c:pt>
                <c:pt idx="30">
                  <c:v>299648422029.16888</c:v>
                </c:pt>
              </c:numCache>
            </c:numRef>
          </c:val>
          <c:smooth val="0"/>
          <c:extLst>
            <c:ext xmlns:c16="http://schemas.microsoft.com/office/drawing/2014/chart" uri="{C3380CC4-5D6E-409C-BE32-E72D297353CC}">
              <c16:uniqueId val="{0000000C-FB5D-42A5-9ED3-BC770364BCDE}"/>
            </c:ext>
          </c:extLst>
        </c:ser>
        <c:ser>
          <c:idx val="13"/>
          <c:order val="12"/>
          <c:tx>
            <c:strRef>
              <c:f>'BIFUbC-biomass'!$A$14</c:f>
              <c:strCache>
                <c:ptCount val="1"/>
                <c:pt idx="0">
                  <c:v>cement and other nonmetallic minerals 239</c:v>
                </c:pt>
              </c:strCache>
            </c:strRef>
          </c:tx>
          <c:spPr>
            <a:ln w="28575" cap="rnd">
              <a:solidFill>
                <a:schemeClr val="accent2">
                  <a:lumMod val="80000"/>
                  <a:lumOff val="2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'BIFUbC-biomass'!$B$14:$AF$14</c:f>
              <c:numCache>
                <c:formatCode>0.00E+00</c:formatCode>
                <c:ptCount val="31"/>
                <c:pt idx="0">
                  <c:v>127802172169930.33</c:v>
                </c:pt>
                <c:pt idx="1">
                  <c:v>133478988653782.47</c:v>
                </c:pt>
                <c:pt idx="2">
                  <c:v>139155805137634.61</c:v>
                </c:pt>
                <c:pt idx="3">
                  <c:v>144832621621486.75</c:v>
                </c:pt>
                <c:pt idx="4">
                  <c:v>150509438105338.91</c:v>
                </c:pt>
                <c:pt idx="5">
                  <c:v>156186254589191.06</c:v>
                </c:pt>
                <c:pt idx="6">
                  <c:v>160370542557792.03</c:v>
                </c:pt>
                <c:pt idx="7">
                  <c:v>164554830526393</c:v>
                </c:pt>
                <c:pt idx="8">
                  <c:v>168739118494992.66</c:v>
                </c:pt>
                <c:pt idx="9">
                  <c:v>172923406463593.63</c:v>
                </c:pt>
                <c:pt idx="10">
                  <c:v>177107694432192.59</c:v>
                </c:pt>
                <c:pt idx="11">
                  <c:v>180845020774609.22</c:v>
                </c:pt>
                <c:pt idx="12">
                  <c:v>184582347117023.81</c:v>
                </c:pt>
                <c:pt idx="13">
                  <c:v>188319673459439.75</c:v>
                </c:pt>
                <c:pt idx="14">
                  <c:v>192056999801854.34</c:v>
                </c:pt>
                <c:pt idx="15">
                  <c:v>195794326144268.97</c:v>
                </c:pt>
                <c:pt idx="16">
                  <c:v>199611138529802.59</c:v>
                </c:pt>
                <c:pt idx="17">
                  <c:v>203427950915336.25</c:v>
                </c:pt>
                <c:pt idx="18">
                  <c:v>207244763300868.53</c:v>
                </c:pt>
                <c:pt idx="19">
                  <c:v>211061575686402.16</c:v>
                </c:pt>
                <c:pt idx="20">
                  <c:v>214878388071933.78</c:v>
                </c:pt>
                <c:pt idx="21">
                  <c:v>218589219066643.13</c:v>
                </c:pt>
                <c:pt idx="22">
                  <c:v>222372310100550.84</c:v>
                </c:pt>
                <c:pt idx="23">
                  <c:v>226155401134458.53</c:v>
                </c:pt>
                <c:pt idx="24">
                  <c:v>229938492168364.91</c:v>
                </c:pt>
                <c:pt idx="25">
                  <c:v>233721583202272.59</c:v>
                </c:pt>
                <c:pt idx="26">
                  <c:v>237504674236180.31</c:v>
                </c:pt>
                <c:pt idx="27">
                  <c:v>241287765270086.66</c:v>
                </c:pt>
                <c:pt idx="28">
                  <c:v>245070856303994.38</c:v>
                </c:pt>
                <c:pt idx="29">
                  <c:v>248853947337902.09</c:v>
                </c:pt>
                <c:pt idx="30">
                  <c:v>252637038371808.44</c:v>
                </c:pt>
              </c:numCache>
            </c:numRef>
          </c:val>
          <c:smooth val="0"/>
          <c:extLst>
            <c:ext xmlns:c16="http://schemas.microsoft.com/office/drawing/2014/chart" uri="{C3380CC4-5D6E-409C-BE32-E72D297353CC}">
              <c16:uniqueId val="{0000000D-FB5D-42A5-9ED3-BC770364BCDE}"/>
            </c:ext>
          </c:extLst>
        </c:ser>
        <c:ser>
          <c:idx val="14"/>
          <c:order val="13"/>
          <c:tx>
            <c:strRef>
              <c:f>'BIFUbC-biomass'!$A$15</c:f>
              <c:strCache>
                <c:ptCount val="1"/>
                <c:pt idx="0">
                  <c:v>iron and steel 241</c:v>
                </c:pt>
              </c:strCache>
            </c:strRef>
          </c:tx>
          <c:spPr>
            <a:ln w="28575" cap="rnd">
              <a:solidFill>
                <a:schemeClr val="accent3">
                  <a:lumMod val="80000"/>
                  <a:lumOff val="2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'BIFUbC-biomass'!$B$15:$AF$15</c:f>
              <c:numCache>
                <c:formatCode>0.00E+00</c:formatCode>
                <c:ptCount val="31"/>
                <c:pt idx="0">
                  <c:v>1936697779724.24</c:v>
                </c:pt>
                <c:pt idx="1">
                  <c:v>2043221966570.1125</c:v>
                </c:pt>
                <c:pt idx="2">
                  <c:v>1884372601458.9927</c:v>
                </c:pt>
                <c:pt idx="3">
                  <c:v>1825512986217.8525</c:v>
                </c:pt>
                <c:pt idx="4">
                  <c:v>1875058090557.0627</c:v>
                </c:pt>
                <c:pt idx="5">
                  <c:v>1875058090557.0627</c:v>
                </c:pt>
                <c:pt idx="6">
                  <c:v>1875058090557.0627</c:v>
                </c:pt>
                <c:pt idx="7">
                  <c:v>1765013920362.4246</c:v>
                </c:pt>
                <c:pt idx="8">
                  <c:v>1872547487937.4583</c:v>
                </c:pt>
                <c:pt idx="9">
                  <c:v>1890587070898.6279</c:v>
                </c:pt>
                <c:pt idx="10">
                  <c:v>2082368818613.0598</c:v>
                </c:pt>
                <c:pt idx="11">
                  <c:v>2180575511744.6199</c:v>
                </c:pt>
                <c:pt idx="12">
                  <c:v>2276324758315.0649</c:v>
                </c:pt>
                <c:pt idx="13">
                  <c:v>2484743523735.1211</c:v>
                </c:pt>
                <c:pt idx="14">
                  <c:v>2382850773554.9009</c:v>
                </c:pt>
                <c:pt idx="15">
                  <c:v>3249985144996.6772</c:v>
                </c:pt>
                <c:pt idx="16">
                  <c:v>3249985144996.6772</c:v>
                </c:pt>
                <c:pt idx="17">
                  <c:v>3249985144996.6772</c:v>
                </c:pt>
                <c:pt idx="18">
                  <c:v>3247080233980.6235</c:v>
                </c:pt>
                <c:pt idx="19">
                  <c:v>3065082904433.9058</c:v>
                </c:pt>
                <c:pt idx="20">
                  <c:v>3412447513467.333</c:v>
                </c:pt>
                <c:pt idx="21">
                  <c:v>3602401648435.3721</c:v>
                </c:pt>
                <c:pt idx="22">
                  <c:v>3460464606400.2876</c:v>
                </c:pt>
                <c:pt idx="23">
                  <c:v>3481118757082.1465</c:v>
                </c:pt>
                <c:pt idx="24">
                  <c:v>3481118757082.1465</c:v>
                </c:pt>
                <c:pt idx="25">
                  <c:v>3620064600695.519</c:v>
                </c:pt>
                <c:pt idx="26">
                  <c:v>3620064600695.519</c:v>
                </c:pt>
                <c:pt idx="27">
                  <c:v>3828483366115.5762</c:v>
                </c:pt>
                <c:pt idx="28">
                  <c:v>3828483366115.5762</c:v>
                </c:pt>
                <c:pt idx="29">
                  <c:v>3828483366115.5762</c:v>
                </c:pt>
                <c:pt idx="30">
                  <c:v>3828483366115.5762</c:v>
                </c:pt>
              </c:numCache>
            </c:numRef>
          </c:val>
          <c:smooth val="0"/>
          <c:extLst>
            <c:ext xmlns:c16="http://schemas.microsoft.com/office/drawing/2014/chart" uri="{C3380CC4-5D6E-409C-BE32-E72D297353CC}">
              <c16:uniqueId val="{0000000E-FB5D-42A5-9ED3-BC770364BCDE}"/>
            </c:ext>
          </c:extLst>
        </c:ser>
        <c:ser>
          <c:idx val="15"/>
          <c:order val="14"/>
          <c:tx>
            <c:strRef>
              <c:f>'BIFUbC-biomass'!$A$16</c:f>
              <c:strCache>
                <c:ptCount val="1"/>
                <c:pt idx="0">
                  <c:v>other metals 242</c:v>
                </c:pt>
              </c:strCache>
            </c:strRef>
          </c:tx>
          <c:spPr>
            <a:ln w="28575" cap="rnd">
              <a:solidFill>
                <a:schemeClr val="accent4">
                  <a:lumMod val="80000"/>
                  <a:lumOff val="2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'BIFUbC-biomass'!$B$16:$AF$16</c:f>
              <c:numCache>
                <c:formatCode>0.00E+00</c:formatCode>
                <c:ptCount val="31"/>
                <c:pt idx="0">
                  <c:v>292500333199.72656</c:v>
                </c:pt>
                <c:pt idx="1">
                  <c:v>301857260332.09906</c:v>
                </c:pt>
                <c:pt idx="2">
                  <c:v>339284968861.58868</c:v>
                </c:pt>
                <c:pt idx="3">
                  <c:v>320571114596.84387</c:v>
                </c:pt>
                <c:pt idx="4">
                  <c:v>329928041729.21631</c:v>
                </c:pt>
                <c:pt idx="5">
                  <c:v>339284968861.58868</c:v>
                </c:pt>
                <c:pt idx="6">
                  <c:v>341865528693.89807</c:v>
                </c:pt>
                <c:pt idx="7">
                  <c:v>344446088526.20752</c:v>
                </c:pt>
                <c:pt idx="8">
                  <c:v>347026648358.51691</c:v>
                </c:pt>
                <c:pt idx="9">
                  <c:v>349607208190.82635</c:v>
                </c:pt>
                <c:pt idx="10">
                  <c:v>352187768023.13574</c:v>
                </c:pt>
                <c:pt idx="11">
                  <c:v>354299135158.66156</c:v>
                </c:pt>
                <c:pt idx="12">
                  <c:v>356410502294.18744</c:v>
                </c:pt>
                <c:pt idx="13">
                  <c:v>358521869429.71338</c:v>
                </c:pt>
                <c:pt idx="14">
                  <c:v>360633236565.23926</c:v>
                </c:pt>
                <c:pt idx="15">
                  <c:v>362744603700.76514</c:v>
                </c:pt>
                <c:pt idx="16">
                  <c:v>365031918097.58478</c:v>
                </c:pt>
                <c:pt idx="17">
                  <c:v>367319232494.40448</c:v>
                </c:pt>
                <c:pt idx="18">
                  <c:v>369606546891.22424</c:v>
                </c:pt>
                <c:pt idx="19">
                  <c:v>371893861288.04388</c:v>
                </c:pt>
                <c:pt idx="20">
                  <c:v>374181175684.86359</c:v>
                </c:pt>
                <c:pt idx="21">
                  <c:v>376233893733.2915</c:v>
                </c:pt>
                <c:pt idx="22">
                  <c:v>378446563837.44098</c:v>
                </c:pt>
                <c:pt idx="23">
                  <c:v>380659233941.59033</c:v>
                </c:pt>
                <c:pt idx="24">
                  <c:v>382871904045.73987</c:v>
                </c:pt>
                <c:pt idx="25">
                  <c:v>385084574149.88922</c:v>
                </c:pt>
                <c:pt idx="26">
                  <c:v>387297244254.03955</c:v>
                </c:pt>
                <c:pt idx="27">
                  <c:v>389509914358.18896</c:v>
                </c:pt>
                <c:pt idx="28">
                  <c:v>391722584462.33838</c:v>
                </c:pt>
                <c:pt idx="29">
                  <c:v>393935254566.48779</c:v>
                </c:pt>
                <c:pt idx="30">
                  <c:v>396147924670.63721</c:v>
                </c:pt>
              </c:numCache>
            </c:numRef>
          </c:val>
          <c:smooth val="0"/>
          <c:extLst>
            <c:ext xmlns:c16="http://schemas.microsoft.com/office/drawing/2014/chart" uri="{C3380CC4-5D6E-409C-BE32-E72D297353CC}">
              <c16:uniqueId val="{0000000F-FB5D-42A5-9ED3-BC770364BCDE}"/>
            </c:ext>
          </c:extLst>
        </c:ser>
        <c:ser>
          <c:idx val="16"/>
          <c:order val="15"/>
          <c:tx>
            <c:strRef>
              <c:f>'BIFUbC-biomass'!$A$17</c:f>
              <c:strCache>
                <c:ptCount val="1"/>
                <c:pt idx="0">
                  <c:v>metal products except machinery and vehicles 25</c:v>
                </c:pt>
              </c:strCache>
            </c:strRef>
          </c:tx>
          <c:spPr>
            <a:ln w="28575" cap="rnd">
              <a:solidFill>
                <a:schemeClr val="accent5">
                  <a:lumMod val="80000"/>
                  <a:lumOff val="2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'BIFUbC-biomass'!$B$17:$AF$17</c:f>
              <c:numCache>
                <c:formatCode>0.00E+00</c:formatCode>
                <c:ptCount val="31"/>
                <c:pt idx="0">
                  <c:v>571905743795.72449</c:v>
                </c:pt>
                <c:pt idx="1">
                  <c:v>590200698583.44397</c:v>
                </c:pt>
                <c:pt idx="2">
                  <c:v>663380517734.32129</c:v>
                </c:pt>
                <c:pt idx="3">
                  <c:v>626790608158.88269</c:v>
                </c:pt>
                <c:pt idx="4">
                  <c:v>645085562946.60205</c:v>
                </c:pt>
                <c:pt idx="5">
                  <c:v>663380517734.32129</c:v>
                </c:pt>
                <c:pt idx="6">
                  <c:v>668426108534.7207</c:v>
                </c:pt>
                <c:pt idx="7">
                  <c:v>673471699335.12</c:v>
                </c:pt>
                <c:pt idx="8">
                  <c:v>678517290135.51929</c:v>
                </c:pt>
                <c:pt idx="9">
                  <c:v>683562880935.9187</c:v>
                </c:pt>
                <c:pt idx="10">
                  <c:v>688608471736.31799</c:v>
                </c:pt>
                <c:pt idx="11">
                  <c:v>692736682391.19019</c:v>
                </c:pt>
                <c:pt idx="12">
                  <c:v>696864893046.06226</c:v>
                </c:pt>
                <c:pt idx="13">
                  <c:v>700993103700.93457</c:v>
                </c:pt>
                <c:pt idx="14">
                  <c:v>705121314355.80676</c:v>
                </c:pt>
                <c:pt idx="15">
                  <c:v>709249525010.67896</c:v>
                </c:pt>
                <c:pt idx="16">
                  <c:v>713721753220.12378</c:v>
                </c:pt>
                <c:pt idx="17">
                  <c:v>718193981429.5686</c:v>
                </c:pt>
                <c:pt idx="18">
                  <c:v>722666209639.01343</c:v>
                </c:pt>
                <c:pt idx="19">
                  <c:v>727138437848.45825</c:v>
                </c:pt>
                <c:pt idx="20">
                  <c:v>731610666057.9032</c:v>
                </c:pt>
                <c:pt idx="21">
                  <c:v>735624204194.58447</c:v>
                </c:pt>
                <c:pt idx="22">
                  <c:v>739950485562.69519</c:v>
                </c:pt>
                <c:pt idx="23">
                  <c:v>744276766930.80579</c:v>
                </c:pt>
                <c:pt idx="24">
                  <c:v>748603048298.9165</c:v>
                </c:pt>
                <c:pt idx="25">
                  <c:v>752929329667.0271</c:v>
                </c:pt>
                <c:pt idx="26">
                  <c:v>757255611035.13965</c:v>
                </c:pt>
                <c:pt idx="27">
                  <c:v>761581892403.25037</c:v>
                </c:pt>
                <c:pt idx="28">
                  <c:v>765908173771.36096</c:v>
                </c:pt>
                <c:pt idx="29">
                  <c:v>770234455139.47156</c:v>
                </c:pt>
                <c:pt idx="30">
                  <c:v>774560736507.58228</c:v>
                </c:pt>
              </c:numCache>
            </c:numRef>
          </c:val>
          <c:smooth val="0"/>
          <c:extLst>
            <c:ext xmlns:c16="http://schemas.microsoft.com/office/drawing/2014/chart" uri="{C3380CC4-5D6E-409C-BE32-E72D297353CC}">
              <c16:uniqueId val="{00000010-FB5D-42A5-9ED3-BC770364BCDE}"/>
            </c:ext>
          </c:extLst>
        </c:ser>
        <c:ser>
          <c:idx val="17"/>
          <c:order val="16"/>
          <c:tx>
            <c:strRef>
              <c:f>'BIFUbC-biomass'!$A$18</c:f>
              <c:strCache>
                <c:ptCount val="1"/>
                <c:pt idx="0">
                  <c:v>computers and electronics 26</c:v>
                </c:pt>
              </c:strCache>
            </c:strRef>
          </c:tx>
          <c:spPr>
            <a:ln w="28575" cap="rnd">
              <a:solidFill>
                <a:schemeClr val="accent6">
                  <a:lumMod val="80000"/>
                  <a:lumOff val="2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'BIFUbC-biomass'!$B$18:$AF$18</c:f>
              <c:numCache>
                <c:formatCode>0.00E+00</c:formatCode>
                <c:ptCount val="31"/>
                <c:pt idx="0">
                  <c:v>4209656015296.6514</c:v>
                </c:pt>
                <c:pt idx="1">
                  <c:v>4401106223310.0371</c:v>
                </c:pt>
                <c:pt idx="2">
                  <c:v>5166907055363.583</c:v>
                </c:pt>
                <c:pt idx="3">
                  <c:v>4784006639336.8115</c:v>
                </c:pt>
                <c:pt idx="4">
                  <c:v>4975456847350.1973</c:v>
                </c:pt>
                <c:pt idx="5">
                  <c:v>5166907055363.583</c:v>
                </c:pt>
                <c:pt idx="6">
                  <c:v>5260658509331.7275</c:v>
                </c:pt>
                <c:pt idx="7">
                  <c:v>5354409963299.8955</c:v>
                </c:pt>
                <c:pt idx="8">
                  <c:v>5448161417268.0625</c:v>
                </c:pt>
                <c:pt idx="9">
                  <c:v>5541912871236.2305</c:v>
                </c:pt>
                <c:pt idx="10">
                  <c:v>5635664325204.4229</c:v>
                </c:pt>
                <c:pt idx="11">
                  <c:v>5713934769850.668</c:v>
                </c:pt>
                <c:pt idx="12">
                  <c:v>5792205214496.9121</c:v>
                </c:pt>
                <c:pt idx="13">
                  <c:v>5870475659143.1563</c:v>
                </c:pt>
                <c:pt idx="14">
                  <c:v>5948746103789.4014</c:v>
                </c:pt>
                <c:pt idx="15">
                  <c:v>6027016548435.6455</c:v>
                </c:pt>
                <c:pt idx="16">
                  <c:v>6107594721179.5684</c:v>
                </c:pt>
                <c:pt idx="17">
                  <c:v>6188172893923.4902</c:v>
                </c:pt>
                <c:pt idx="18">
                  <c:v>6268751066667.4141</c:v>
                </c:pt>
                <c:pt idx="19">
                  <c:v>6349329239411.3369</c:v>
                </c:pt>
                <c:pt idx="20">
                  <c:v>6429907412155.2588</c:v>
                </c:pt>
                <c:pt idx="21">
                  <c:v>6507408614102.2783</c:v>
                </c:pt>
                <c:pt idx="22">
                  <c:v>6587007750683.5469</c:v>
                </c:pt>
                <c:pt idx="23">
                  <c:v>6666606887264.8418</c:v>
                </c:pt>
                <c:pt idx="24">
                  <c:v>6746206023846.1094</c:v>
                </c:pt>
                <c:pt idx="25">
                  <c:v>6825805160427.3789</c:v>
                </c:pt>
                <c:pt idx="26">
                  <c:v>6905404297008.6475</c:v>
                </c:pt>
                <c:pt idx="27">
                  <c:v>6985003433589.917</c:v>
                </c:pt>
                <c:pt idx="28">
                  <c:v>7064602570171.1865</c:v>
                </c:pt>
                <c:pt idx="29">
                  <c:v>7144201706752.4561</c:v>
                </c:pt>
                <c:pt idx="30">
                  <c:v>7223800843333.7236</c:v>
                </c:pt>
              </c:numCache>
            </c:numRef>
          </c:val>
          <c:smooth val="0"/>
          <c:extLst>
            <c:ext xmlns:c16="http://schemas.microsoft.com/office/drawing/2014/chart" uri="{C3380CC4-5D6E-409C-BE32-E72D297353CC}">
              <c16:uniqueId val="{00000011-FB5D-42A5-9ED3-BC770364BCDE}"/>
            </c:ext>
          </c:extLst>
        </c:ser>
        <c:ser>
          <c:idx val="18"/>
          <c:order val="17"/>
          <c:tx>
            <c:strRef>
              <c:f>'BIFUbC-biomass'!$A$19</c:f>
              <c:strCache>
                <c:ptCount val="1"/>
                <c:pt idx="0">
                  <c:v>appliances and electrical equipment 27</c:v>
                </c:pt>
              </c:strCache>
            </c:strRef>
          </c:tx>
          <c:spPr>
            <a:ln w="28575" cap="rnd">
              <a:solidFill>
                <a:schemeClr val="accent1">
                  <a:lumMod val="8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'BIFUbC-biomass'!$B$19:$AF$19</c:f>
              <c:numCache>
                <c:formatCode>0.00E+00</c:formatCode>
                <c:ptCount val="31"/>
                <c:pt idx="0">
                  <c:v>733069168029.72412</c:v>
                </c:pt>
                <c:pt idx="1">
                  <c:v>766408292223.60449</c:v>
                </c:pt>
                <c:pt idx="2">
                  <c:v>899764788999.12622</c:v>
                </c:pt>
                <c:pt idx="3">
                  <c:v>833086540611.36536</c:v>
                </c:pt>
                <c:pt idx="4">
                  <c:v>866425664805.24585</c:v>
                </c:pt>
                <c:pt idx="5">
                  <c:v>899764788999.12622</c:v>
                </c:pt>
                <c:pt idx="6">
                  <c:v>916090659833.29236</c:v>
                </c:pt>
                <c:pt idx="7">
                  <c:v>932416530667.46277</c:v>
                </c:pt>
                <c:pt idx="8">
                  <c:v>948742401501.63318</c:v>
                </c:pt>
                <c:pt idx="9">
                  <c:v>965068272335.80359</c:v>
                </c:pt>
                <c:pt idx="10">
                  <c:v>981394143169.97827</c:v>
                </c:pt>
                <c:pt idx="11">
                  <c:v>995024152256.14734</c:v>
                </c:pt>
                <c:pt idx="12">
                  <c:v>1008654161342.3162</c:v>
                </c:pt>
                <c:pt idx="13">
                  <c:v>1022284170428.4852</c:v>
                </c:pt>
                <c:pt idx="14">
                  <c:v>1035914179514.6542</c:v>
                </c:pt>
                <c:pt idx="15">
                  <c:v>1049544188600.8231</c:v>
                </c:pt>
                <c:pt idx="16">
                  <c:v>1063576065276.7561</c:v>
                </c:pt>
                <c:pt idx="17">
                  <c:v>1077607941952.6895</c:v>
                </c:pt>
                <c:pt idx="18">
                  <c:v>1091639818628.6226</c:v>
                </c:pt>
                <c:pt idx="19">
                  <c:v>1105671695304.5557</c:v>
                </c:pt>
                <c:pt idx="20">
                  <c:v>1119703571980.489</c:v>
                </c:pt>
                <c:pt idx="21">
                  <c:v>1133199625203.4031</c:v>
                </c:pt>
                <c:pt idx="22">
                  <c:v>1147061012598.8298</c:v>
                </c:pt>
                <c:pt idx="23">
                  <c:v>1160922399994.2605</c:v>
                </c:pt>
                <c:pt idx="24">
                  <c:v>1174783787389.6877</c:v>
                </c:pt>
                <c:pt idx="25">
                  <c:v>1188645174785.1143</c:v>
                </c:pt>
                <c:pt idx="26">
                  <c:v>1202506562180.541</c:v>
                </c:pt>
                <c:pt idx="27">
                  <c:v>1216367949575.9678</c:v>
                </c:pt>
                <c:pt idx="28">
                  <c:v>1230229336971.3945</c:v>
                </c:pt>
                <c:pt idx="29">
                  <c:v>1244090724366.821</c:v>
                </c:pt>
                <c:pt idx="30">
                  <c:v>1257952111762.248</c:v>
                </c:pt>
              </c:numCache>
            </c:numRef>
          </c:val>
          <c:smooth val="0"/>
          <c:extLst>
            <c:ext xmlns:c16="http://schemas.microsoft.com/office/drawing/2014/chart" uri="{C3380CC4-5D6E-409C-BE32-E72D297353CC}">
              <c16:uniqueId val="{00000012-FB5D-42A5-9ED3-BC770364BCDE}"/>
            </c:ext>
          </c:extLst>
        </c:ser>
        <c:ser>
          <c:idx val="19"/>
          <c:order val="18"/>
          <c:tx>
            <c:strRef>
              <c:f>'BIFUbC-biomass'!$A$20</c:f>
              <c:strCache>
                <c:ptCount val="1"/>
                <c:pt idx="0">
                  <c:v>other machinery 28</c:v>
                </c:pt>
              </c:strCache>
            </c:strRef>
          </c:tx>
          <c:spPr>
            <a:ln w="28575" cap="rnd">
              <a:solidFill>
                <a:schemeClr val="accent2">
                  <a:lumMod val="8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'BIFUbC-biomass'!$B$20:$AF$20</c:f>
              <c:numCache>
                <c:formatCode>0.00E+00</c:formatCode>
                <c:ptCount val="31"/>
                <c:pt idx="0">
                  <c:v>1144412143248.7368</c:v>
                </c:pt>
                <c:pt idx="1">
                  <c:v>1196458662508.7139</c:v>
                </c:pt>
                <c:pt idx="2">
                  <c:v>1404644739548.6228</c:v>
                </c:pt>
                <c:pt idx="3">
                  <c:v>1300551701028.6685</c:v>
                </c:pt>
                <c:pt idx="4">
                  <c:v>1352598220288.6455</c:v>
                </c:pt>
                <c:pt idx="5">
                  <c:v>1404644739548.6228</c:v>
                </c:pt>
                <c:pt idx="6">
                  <c:v>1430131454372.4722</c:v>
                </c:pt>
                <c:pt idx="7">
                  <c:v>1455618169196.3286</c:v>
                </c:pt>
                <c:pt idx="8">
                  <c:v>1481104884020.1843</c:v>
                </c:pt>
                <c:pt idx="9">
                  <c:v>1506591598844.0405</c:v>
                </c:pt>
                <c:pt idx="10">
                  <c:v>1532078313667.9031</c:v>
                </c:pt>
                <c:pt idx="11">
                  <c:v>1553356453018.2817</c:v>
                </c:pt>
                <c:pt idx="12">
                  <c:v>1574634592368.6599</c:v>
                </c:pt>
                <c:pt idx="13">
                  <c:v>1595912731719.0386</c:v>
                </c:pt>
                <c:pt idx="14">
                  <c:v>1617190871069.4165</c:v>
                </c:pt>
                <c:pt idx="15">
                  <c:v>1638469010419.7949</c:v>
                </c:pt>
                <c:pt idx="16">
                  <c:v>1660374515058.145</c:v>
                </c:pt>
                <c:pt idx="17">
                  <c:v>1682280019696.4954</c:v>
                </c:pt>
                <c:pt idx="18">
                  <c:v>1704185524334.8455</c:v>
                </c:pt>
                <c:pt idx="19">
                  <c:v>1726091028973.1956</c:v>
                </c:pt>
                <c:pt idx="20">
                  <c:v>1747996533611.5457</c:v>
                </c:pt>
                <c:pt idx="21">
                  <c:v>1769065551199.2666</c:v>
                </c:pt>
                <c:pt idx="22">
                  <c:v>1790704900866.9619</c:v>
                </c:pt>
                <c:pt idx="23">
                  <c:v>1812344250534.6628</c:v>
                </c:pt>
                <c:pt idx="24">
                  <c:v>1833983600202.3579</c:v>
                </c:pt>
                <c:pt idx="25">
                  <c:v>1855622949870.0527</c:v>
                </c:pt>
                <c:pt idx="26">
                  <c:v>1877262299537.7476</c:v>
                </c:pt>
                <c:pt idx="27">
                  <c:v>1898901649205.4424</c:v>
                </c:pt>
                <c:pt idx="28">
                  <c:v>1920540998873.1372</c:v>
                </c:pt>
                <c:pt idx="29">
                  <c:v>1942180348540.832</c:v>
                </c:pt>
                <c:pt idx="30">
                  <c:v>1963819698208.5269</c:v>
                </c:pt>
              </c:numCache>
            </c:numRef>
          </c:val>
          <c:smooth val="0"/>
          <c:extLst>
            <c:ext xmlns:c16="http://schemas.microsoft.com/office/drawing/2014/chart" uri="{C3380CC4-5D6E-409C-BE32-E72D297353CC}">
              <c16:uniqueId val="{00000013-FB5D-42A5-9ED3-BC770364BCDE}"/>
            </c:ext>
          </c:extLst>
        </c:ser>
        <c:ser>
          <c:idx val="20"/>
          <c:order val="19"/>
          <c:tx>
            <c:strRef>
              <c:f>'BIFUbC-biomass'!$A$21</c:f>
              <c:strCache>
                <c:ptCount val="1"/>
                <c:pt idx="0">
                  <c:v>road vehicles 29</c:v>
                </c:pt>
              </c:strCache>
            </c:strRef>
          </c:tx>
          <c:spPr>
            <a:ln w="28575" cap="rnd">
              <a:solidFill>
                <a:schemeClr val="accent3">
                  <a:lumMod val="8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'BIFUbC-biomass'!$B$21:$AF$21</c:f>
              <c:numCache>
                <c:formatCode>0.00E+00</c:formatCode>
                <c:ptCount val="31"/>
                <c:pt idx="0">
                  <c:v>1194858032695.4917</c:v>
                </c:pt>
                <c:pt idx="1">
                  <c:v>1249198771719.0095</c:v>
                </c:pt>
                <c:pt idx="2">
                  <c:v>1466561727813.0811</c:v>
                </c:pt>
                <c:pt idx="3">
                  <c:v>1357880249766.0454</c:v>
                </c:pt>
                <c:pt idx="4">
                  <c:v>1412220988789.5632</c:v>
                </c:pt>
                <c:pt idx="5">
                  <c:v>1466561727813.0811</c:v>
                </c:pt>
                <c:pt idx="6">
                  <c:v>1493171901528.8599</c:v>
                </c:pt>
                <c:pt idx="7">
                  <c:v>1519782075244.646</c:v>
                </c:pt>
                <c:pt idx="8">
                  <c:v>1546392248960.4321</c:v>
                </c:pt>
                <c:pt idx="9">
                  <c:v>1573002422676.2178</c:v>
                </c:pt>
                <c:pt idx="10">
                  <c:v>1599612596392.0105</c:v>
                </c:pt>
                <c:pt idx="11">
                  <c:v>1621828679883.959</c:v>
                </c:pt>
                <c:pt idx="12">
                  <c:v>1644044763375.9072</c:v>
                </c:pt>
                <c:pt idx="13">
                  <c:v>1666260846867.8557</c:v>
                </c:pt>
                <c:pt idx="14">
                  <c:v>1688476930359.804</c:v>
                </c:pt>
                <c:pt idx="15">
                  <c:v>1710693013851.7524</c:v>
                </c:pt>
                <c:pt idx="16">
                  <c:v>1733564117004.3975</c:v>
                </c:pt>
                <c:pt idx="17">
                  <c:v>1756435220157.042</c:v>
                </c:pt>
                <c:pt idx="18">
                  <c:v>1779306323309.6865</c:v>
                </c:pt>
                <c:pt idx="19">
                  <c:v>1802177426462.3315</c:v>
                </c:pt>
                <c:pt idx="20">
                  <c:v>1825048529614.9761</c:v>
                </c:pt>
                <c:pt idx="21">
                  <c:v>1847046273220.0254</c:v>
                </c:pt>
                <c:pt idx="22">
                  <c:v>1869639489243.8896</c:v>
                </c:pt>
                <c:pt idx="23">
                  <c:v>1892232705267.76</c:v>
                </c:pt>
                <c:pt idx="24">
                  <c:v>1914825921291.6243</c:v>
                </c:pt>
                <c:pt idx="25">
                  <c:v>1937419137315.488</c:v>
                </c:pt>
                <c:pt idx="26">
                  <c:v>1960012353339.3516</c:v>
                </c:pt>
                <c:pt idx="27">
                  <c:v>1982605569363.2156</c:v>
                </c:pt>
                <c:pt idx="28">
                  <c:v>2005198785387.0793</c:v>
                </c:pt>
                <c:pt idx="29">
                  <c:v>2027792001410.9429</c:v>
                </c:pt>
                <c:pt idx="30">
                  <c:v>2050385217434.8069</c:v>
                </c:pt>
              </c:numCache>
            </c:numRef>
          </c:val>
          <c:smooth val="0"/>
          <c:extLst>
            <c:ext xmlns:c16="http://schemas.microsoft.com/office/drawing/2014/chart" uri="{C3380CC4-5D6E-409C-BE32-E72D297353CC}">
              <c16:uniqueId val="{00000014-FB5D-42A5-9ED3-BC770364BCDE}"/>
            </c:ext>
          </c:extLst>
        </c:ser>
        <c:ser>
          <c:idx val="21"/>
          <c:order val="20"/>
          <c:tx>
            <c:strRef>
              <c:f>'BIFUbC-biomass'!$A$22</c:f>
              <c:strCache>
                <c:ptCount val="1"/>
                <c:pt idx="0">
                  <c:v>nonroad vehicles 30</c:v>
                </c:pt>
              </c:strCache>
            </c:strRef>
          </c:tx>
          <c:spPr>
            <a:ln w="28575" cap="rnd">
              <a:solidFill>
                <a:schemeClr val="accent4">
                  <a:lumMod val="8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'BIFUbC-biomass'!$B$22:$AF$22</c:f>
              <c:numCache>
                <c:formatCode>0.00E+00</c:formatCode>
                <c:ptCount val="31"/>
                <c:pt idx="0">
                  <c:v>305980077029.64355</c:v>
                </c:pt>
                <c:pt idx="1">
                  <c:v>319895691317.94049</c:v>
                </c:pt>
                <c:pt idx="2">
                  <c:v>375558148471.12823</c:v>
                </c:pt>
                <c:pt idx="3">
                  <c:v>347726919894.53442</c:v>
                </c:pt>
                <c:pt idx="4">
                  <c:v>361642534182.8313</c:v>
                </c:pt>
                <c:pt idx="5">
                  <c:v>375558148471.12823</c:v>
                </c:pt>
                <c:pt idx="6">
                  <c:v>382372500285.76038</c:v>
                </c:pt>
                <c:pt idx="7">
                  <c:v>389186852100.39423</c:v>
                </c:pt>
                <c:pt idx="8">
                  <c:v>396001203915.02802</c:v>
                </c:pt>
                <c:pt idx="9">
                  <c:v>402815555729.66193</c:v>
                </c:pt>
                <c:pt idx="10">
                  <c:v>409629907544.29761</c:v>
                </c:pt>
                <c:pt idx="11">
                  <c:v>415319017674.6687</c:v>
                </c:pt>
                <c:pt idx="12">
                  <c:v>421008127805.03998</c:v>
                </c:pt>
                <c:pt idx="13">
                  <c:v>426697237935.41125</c:v>
                </c:pt>
                <c:pt idx="14">
                  <c:v>432386348065.78247</c:v>
                </c:pt>
                <c:pt idx="15">
                  <c:v>438075458196.15369</c:v>
                </c:pt>
                <c:pt idx="16">
                  <c:v>443932306217.34668</c:v>
                </c:pt>
                <c:pt idx="17">
                  <c:v>449789154238.53967</c:v>
                </c:pt>
                <c:pt idx="18">
                  <c:v>455646002259.73273</c:v>
                </c:pt>
                <c:pt idx="19">
                  <c:v>461502850280.92572</c:v>
                </c:pt>
                <c:pt idx="20">
                  <c:v>467359698302.11871</c:v>
                </c:pt>
                <c:pt idx="21">
                  <c:v>472992895802.216</c:v>
                </c:pt>
                <c:pt idx="22">
                  <c:v>478778582293.96924</c:v>
                </c:pt>
                <c:pt idx="23">
                  <c:v>484564268785.7243</c:v>
                </c:pt>
                <c:pt idx="24">
                  <c:v>490349955277.47766</c:v>
                </c:pt>
                <c:pt idx="25">
                  <c:v>496135641769.23096</c:v>
                </c:pt>
                <c:pt idx="26">
                  <c:v>501921328260.98425</c:v>
                </c:pt>
                <c:pt idx="27">
                  <c:v>507707014752.73755</c:v>
                </c:pt>
                <c:pt idx="28">
                  <c:v>513492701244.49084</c:v>
                </c:pt>
                <c:pt idx="29">
                  <c:v>519278387736.2442</c:v>
                </c:pt>
                <c:pt idx="30">
                  <c:v>525064074227.99744</c:v>
                </c:pt>
              </c:numCache>
            </c:numRef>
          </c:val>
          <c:smooth val="0"/>
          <c:extLst>
            <c:ext xmlns:c16="http://schemas.microsoft.com/office/drawing/2014/chart" uri="{C3380CC4-5D6E-409C-BE32-E72D297353CC}">
              <c16:uniqueId val="{00000015-FB5D-42A5-9ED3-BC770364BCDE}"/>
            </c:ext>
          </c:extLst>
        </c:ser>
        <c:ser>
          <c:idx val="22"/>
          <c:order val="21"/>
          <c:tx>
            <c:strRef>
              <c:f>'BIFUbC-biomass'!$A$23</c:f>
              <c:strCache>
                <c:ptCount val="1"/>
                <c:pt idx="0">
                  <c:v>other manufacturing 31T33</c:v>
                </c:pt>
              </c:strCache>
            </c:strRef>
          </c:tx>
          <c:spPr>
            <a:ln w="28575" cap="rnd">
              <a:solidFill>
                <a:schemeClr val="accent5">
                  <a:lumMod val="8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'BIFUbC-biomass'!$B$23:$AF$23</c:f>
              <c:numCache>
                <c:formatCode>0.00E+00</c:formatCode>
                <c:ptCount val="31"/>
                <c:pt idx="0">
                  <c:v>68815420395900.859</c:v>
                </c:pt>
                <c:pt idx="1">
                  <c:v>71872196353938.391</c:v>
                </c:pt>
                <c:pt idx="2">
                  <c:v>74928972311975.922</c:v>
                </c:pt>
                <c:pt idx="3">
                  <c:v>77985748270013.453</c:v>
                </c:pt>
                <c:pt idx="4">
                  <c:v>81042524228050.984</c:v>
                </c:pt>
                <c:pt idx="5">
                  <c:v>84099300186088.531</c:v>
                </c:pt>
                <c:pt idx="6">
                  <c:v>86352580168822.688</c:v>
                </c:pt>
                <c:pt idx="7">
                  <c:v>88605860151556.844</c:v>
                </c:pt>
                <c:pt idx="8">
                  <c:v>90859140134290.266</c:v>
                </c:pt>
                <c:pt idx="9">
                  <c:v>93112420117024.422</c:v>
                </c:pt>
                <c:pt idx="10">
                  <c:v>95365700099757.516</c:v>
                </c:pt>
                <c:pt idx="11">
                  <c:v>97378322695307.688</c:v>
                </c:pt>
                <c:pt idx="12">
                  <c:v>99390945290856.781</c:v>
                </c:pt>
                <c:pt idx="13">
                  <c:v>101403567886406.61</c:v>
                </c:pt>
                <c:pt idx="14">
                  <c:v>103416190481955.7</c:v>
                </c:pt>
                <c:pt idx="15">
                  <c:v>105428813077504.78</c:v>
                </c:pt>
                <c:pt idx="16">
                  <c:v>107484256366717.22</c:v>
                </c:pt>
                <c:pt idx="17">
                  <c:v>109539699655929.64</c:v>
                </c:pt>
                <c:pt idx="18">
                  <c:v>111595142945141.34</c:v>
                </c:pt>
                <c:pt idx="19">
                  <c:v>113650586234353.78</c:v>
                </c:pt>
                <c:pt idx="20">
                  <c:v>115706029523565.13</c:v>
                </c:pt>
                <c:pt idx="21">
                  <c:v>117704378554560.38</c:v>
                </c:pt>
                <c:pt idx="22">
                  <c:v>119741655488885.5</c:v>
                </c:pt>
                <c:pt idx="23">
                  <c:v>121778932423210.64</c:v>
                </c:pt>
                <c:pt idx="24">
                  <c:v>123816209357535.05</c:v>
                </c:pt>
                <c:pt idx="25">
                  <c:v>125853486291860.17</c:v>
                </c:pt>
                <c:pt idx="26">
                  <c:v>127890763226185.3</c:v>
                </c:pt>
                <c:pt idx="27">
                  <c:v>129928040160509.7</c:v>
                </c:pt>
                <c:pt idx="28">
                  <c:v>131965317094834.83</c:v>
                </c:pt>
                <c:pt idx="29">
                  <c:v>134002594029159.97</c:v>
                </c:pt>
                <c:pt idx="30">
                  <c:v>136039870963484.36</c:v>
                </c:pt>
              </c:numCache>
            </c:numRef>
          </c:val>
          <c:smooth val="0"/>
          <c:extLst>
            <c:ext xmlns:c16="http://schemas.microsoft.com/office/drawing/2014/chart" uri="{C3380CC4-5D6E-409C-BE32-E72D297353CC}">
              <c16:uniqueId val="{00000016-FB5D-42A5-9ED3-BC770364BCDE}"/>
            </c:ext>
          </c:extLst>
        </c:ser>
        <c:ser>
          <c:idx val="23"/>
          <c:order val="22"/>
          <c:tx>
            <c:strRef>
              <c:f>'BIFUbC-biomass'!$A$24</c:f>
              <c:strCache>
                <c:ptCount val="1"/>
                <c:pt idx="0">
                  <c:v>energy pipelines and gas processing 352T353</c:v>
                </c:pt>
              </c:strCache>
            </c:strRef>
          </c:tx>
          <c:spPr>
            <a:ln w="28575" cap="rnd">
              <a:solidFill>
                <a:schemeClr val="accent6">
                  <a:lumMod val="8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'BIFUbC-biomass'!$B$24:$AF$24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7-FB5D-42A5-9ED3-BC770364BCDE}"/>
            </c:ext>
          </c:extLst>
        </c:ser>
        <c:ser>
          <c:idx val="24"/>
          <c:order val="23"/>
          <c:tx>
            <c:strRef>
              <c:f>'BIFUbC-biomass'!$A$25</c:f>
              <c:strCache>
                <c:ptCount val="1"/>
                <c:pt idx="0">
                  <c:v>water and waste 36T39</c:v>
                </c:pt>
              </c:strCache>
            </c:strRef>
          </c:tx>
          <c:spPr>
            <a:ln w="28575" cap="rnd">
              <a:solidFill>
                <a:schemeClr val="accent1">
                  <a:lumMod val="60000"/>
                  <a:lumOff val="4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'BIFUbC-biomass'!$B$25:$AF$25</c:f>
              <c:numCache>
                <c:formatCode>0.00E+00</c:formatCode>
                <c:ptCount val="31"/>
                <c:pt idx="0">
                  <c:v>114202993332.23965</c:v>
                </c:pt>
                <c:pt idx="1">
                  <c:v>114317196325.57188</c:v>
                </c:pt>
                <c:pt idx="2">
                  <c:v>114431513521.89745</c:v>
                </c:pt>
                <c:pt idx="3">
                  <c:v>114545945035.41934</c:v>
                </c:pt>
                <c:pt idx="4">
                  <c:v>114660490980.45474</c:v>
                </c:pt>
                <c:pt idx="5">
                  <c:v>114775151471.43518</c:v>
                </c:pt>
                <c:pt idx="6">
                  <c:v>114889926622.9066</c:v>
                </c:pt>
                <c:pt idx="7">
                  <c:v>115004816549.52951</c:v>
                </c:pt>
                <c:pt idx="8">
                  <c:v>115119821366.07901</c:v>
                </c:pt>
                <c:pt idx="9">
                  <c:v>115234941187.4451</c:v>
                </c:pt>
                <c:pt idx="10">
                  <c:v>115350176128.63252</c:v>
                </c:pt>
                <c:pt idx="11">
                  <c:v>115465526304.76114</c:v>
                </c:pt>
                <c:pt idx="12">
                  <c:v>115580991831.06589</c:v>
                </c:pt>
                <c:pt idx="13">
                  <c:v>115696572822.89693</c:v>
                </c:pt>
                <c:pt idx="14">
                  <c:v>115812269395.71983</c:v>
                </c:pt>
                <c:pt idx="15">
                  <c:v>115928081665.11552</c:v>
                </c:pt>
                <c:pt idx="16">
                  <c:v>116044009746.78062</c:v>
                </c:pt>
                <c:pt idx="17">
                  <c:v>116160053756.52739</c:v>
                </c:pt>
                <c:pt idx="18">
                  <c:v>116276213810.28391</c:v>
                </c:pt>
                <c:pt idx="19">
                  <c:v>116392490024.09418</c:v>
                </c:pt>
                <c:pt idx="20">
                  <c:v>116508882514.11826</c:v>
                </c:pt>
                <c:pt idx="21">
                  <c:v>115926338101.54767</c:v>
                </c:pt>
                <c:pt idx="22">
                  <c:v>115346706411.03992</c:v>
                </c:pt>
                <c:pt idx="23">
                  <c:v>114769972878.98471</c:v>
                </c:pt>
                <c:pt idx="24">
                  <c:v>114196123014.5898</c:v>
                </c:pt>
                <c:pt idx="25">
                  <c:v>113625142399.51683</c:v>
                </c:pt>
                <c:pt idx="26">
                  <c:v>113057016687.51927</c:v>
                </c:pt>
                <c:pt idx="27">
                  <c:v>112491731604.08167</c:v>
                </c:pt>
                <c:pt idx="28">
                  <c:v>111929272946.06125</c:v>
                </c:pt>
                <c:pt idx="29">
                  <c:v>111369626581.33093</c:v>
                </c:pt>
                <c:pt idx="30">
                  <c:v>110812778448.42429</c:v>
                </c:pt>
              </c:numCache>
            </c:numRef>
          </c:val>
          <c:smooth val="0"/>
          <c:extLst>
            <c:ext xmlns:c16="http://schemas.microsoft.com/office/drawing/2014/chart" uri="{C3380CC4-5D6E-409C-BE32-E72D297353CC}">
              <c16:uniqueId val="{00000018-FB5D-42A5-9ED3-BC770364BCDE}"/>
            </c:ext>
          </c:extLst>
        </c:ser>
        <c:ser>
          <c:idx val="25"/>
          <c:order val="24"/>
          <c:tx>
            <c:strRef>
              <c:f>'BIFUbC-biomass'!$A$26</c:f>
              <c:strCache>
                <c:ptCount val="1"/>
                <c:pt idx="0">
                  <c:v>construction 41T43</c:v>
                </c:pt>
              </c:strCache>
            </c:strRef>
          </c:tx>
          <c:spPr>
            <a:ln w="28575" cap="rnd">
              <a:solidFill>
                <a:schemeClr val="accent2">
                  <a:lumMod val="60000"/>
                  <a:lumOff val="4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'BIFUbC-biomass'!$B$26:$AF$26</c:f>
              <c:numCache>
                <c:formatCode>0.00E+00</c:formatCode>
                <c:ptCount val="31"/>
                <c:pt idx="0">
                  <c:v>6088384919867.9326</c:v>
                </c:pt>
                <c:pt idx="1">
                  <c:v>6359028752119.5967</c:v>
                </c:pt>
                <c:pt idx="2">
                  <c:v>6629672584371.2598</c:v>
                </c:pt>
                <c:pt idx="3">
                  <c:v>6900316416622.9209</c:v>
                </c:pt>
                <c:pt idx="4">
                  <c:v>7170960248874.585</c:v>
                </c:pt>
                <c:pt idx="5">
                  <c:v>7441604081126.249</c:v>
                </c:pt>
                <c:pt idx="6">
                  <c:v>7641560790737.9717</c:v>
                </c:pt>
                <c:pt idx="7">
                  <c:v>7841517500349.6924</c:v>
                </c:pt>
                <c:pt idx="8">
                  <c:v>8041474209961.3506</c:v>
                </c:pt>
                <c:pt idx="9">
                  <c:v>8241430919573.0732</c:v>
                </c:pt>
                <c:pt idx="10">
                  <c:v>8441387629184.6982</c:v>
                </c:pt>
                <c:pt idx="11">
                  <c:v>8620078213399.2285</c:v>
                </c:pt>
                <c:pt idx="12">
                  <c:v>8798768797613.6602</c:v>
                </c:pt>
                <c:pt idx="13">
                  <c:v>8977459381828.1582</c:v>
                </c:pt>
                <c:pt idx="14">
                  <c:v>9156149966042.5918</c:v>
                </c:pt>
                <c:pt idx="15">
                  <c:v>9334840550257.0234</c:v>
                </c:pt>
                <c:pt idx="16">
                  <c:v>9517372915965.9121</c:v>
                </c:pt>
                <c:pt idx="17">
                  <c:v>9699905281674.8008</c:v>
                </c:pt>
                <c:pt idx="18">
                  <c:v>9882437647383.623</c:v>
                </c:pt>
                <c:pt idx="19">
                  <c:v>10064970013092.512</c:v>
                </c:pt>
                <c:pt idx="20">
                  <c:v>10247502378801.305</c:v>
                </c:pt>
                <c:pt idx="21">
                  <c:v>10424912369184.307</c:v>
                </c:pt>
                <c:pt idx="22">
                  <c:v>10605814888198.592</c:v>
                </c:pt>
                <c:pt idx="23">
                  <c:v>10786717407212.879</c:v>
                </c:pt>
                <c:pt idx="24">
                  <c:v>10967619926227.1</c:v>
                </c:pt>
                <c:pt idx="25">
                  <c:v>11148522445241.389</c:v>
                </c:pt>
                <c:pt idx="26">
                  <c:v>11329424964255.674</c:v>
                </c:pt>
                <c:pt idx="27">
                  <c:v>11510327483269.895</c:v>
                </c:pt>
                <c:pt idx="28">
                  <c:v>11691230002284.182</c:v>
                </c:pt>
                <c:pt idx="29">
                  <c:v>11872132521298.469</c:v>
                </c:pt>
                <c:pt idx="30">
                  <c:v>12053035040312.691</c:v>
                </c:pt>
              </c:numCache>
            </c:numRef>
          </c:val>
          <c:smooth val="0"/>
          <c:extLst>
            <c:ext xmlns:c16="http://schemas.microsoft.com/office/drawing/2014/chart" uri="{C3380CC4-5D6E-409C-BE32-E72D297353CC}">
              <c16:uniqueId val="{00000019-FB5D-42A5-9ED3-BC770364BCDE}"/>
            </c:ext>
          </c:extLst>
        </c:ser>
        <c:dLbls>
          <c:showLegendKey val="0"/>
          <c:showVal val="0"/>
          <c:showCatName val="0"/>
          <c:showSerName val="0"/>
          <c:showPercent val="0"/>
          <c:showBubbleSize val="0"/>
        </c:dLbls>
        <c:smooth val="0"/>
        <c:axId val="1554324768"/>
        <c:axId val="1331715072"/>
        <c:extLst/>
      </c:lineChart>
      <c:catAx>
        <c:axId val="155432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15072"/>
        <c:crosses val="autoZero"/>
        <c:auto val="1"/>
        <c:lblAlgn val="ctr"/>
        <c:lblOffset val="100"/>
        <c:noMultiLvlLbl val="0"/>
      </c:catAx>
      <c:valAx>
        <c:axId val="133171507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32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0"/>
          <c:tx>
            <c:strRef>
              <c:f>'BIFUbC-petroleum-diesel'!$A$2</c:f>
              <c:strCache>
                <c:ptCount val="1"/>
                <c:pt idx="0">
                  <c:v>agriculture and forestry 01T03</c:v>
                </c:pt>
              </c:strCache>
            </c:strRef>
          </c:tx>
          <c:spPr>
            <a:ln w="28575" cap="rnd">
              <a:solidFill>
                <a:schemeClr val="accent4"/>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'BIFUbC-petroleum-diesel'!$B$2:$AF$2</c:f>
              <c:numCache>
                <c:formatCode>0.00E+00</c:formatCode>
                <c:ptCount val="31"/>
                <c:pt idx="0">
                  <c:v>79484319135988.219</c:v>
                </c:pt>
                <c:pt idx="1">
                  <c:v>81295080174386.672</c:v>
                </c:pt>
                <c:pt idx="2">
                  <c:v>83105841212785.125</c:v>
                </c:pt>
                <c:pt idx="3">
                  <c:v>84916602251183.594</c:v>
                </c:pt>
                <c:pt idx="4">
                  <c:v>86727363289582.047</c:v>
                </c:pt>
                <c:pt idx="5">
                  <c:v>88538124327980.5</c:v>
                </c:pt>
                <c:pt idx="6">
                  <c:v>89350713132977.422</c:v>
                </c:pt>
                <c:pt idx="7">
                  <c:v>90163301937974.125</c:v>
                </c:pt>
                <c:pt idx="8">
                  <c:v>90975890742970.813</c:v>
                </c:pt>
                <c:pt idx="9">
                  <c:v>91788479547967.484</c:v>
                </c:pt>
                <c:pt idx="10">
                  <c:v>92601068352964.344</c:v>
                </c:pt>
                <c:pt idx="11">
                  <c:v>93173133387509.891</c:v>
                </c:pt>
                <c:pt idx="12">
                  <c:v>93745198422055.594</c:v>
                </c:pt>
                <c:pt idx="13">
                  <c:v>94317263456601.281</c:v>
                </c:pt>
                <c:pt idx="14">
                  <c:v>94889328491146.953</c:v>
                </c:pt>
                <c:pt idx="15">
                  <c:v>95461393525692.625</c:v>
                </c:pt>
                <c:pt idx="16">
                  <c:v>95909333781805.109</c:v>
                </c:pt>
                <c:pt idx="17">
                  <c:v>96357274037917.234</c:v>
                </c:pt>
                <c:pt idx="18">
                  <c:v>96805214294029.5</c:v>
                </c:pt>
                <c:pt idx="19">
                  <c:v>97253154550141.813</c:v>
                </c:pt>
                <c:pt idx="20">
                  <c:v>97701094806253.922</c:v>
                </c:pt>
                <c:pt idx="21">
                  <c:v>98314534766944.125</c:v>
                </c:pt>
                <c:pt idx="22">
                  <c:v>98815134019967.5</c:v>
                </c:pt>
                <c:pt idx="23">
                  <c:v>99315733272991.047</c:v>
                </c:pt>
                <c:pt idx="24">
                  <c:v>99816332526014.438</c:v>
                </c:pt>
                <c:pt idx="25">
                  <c:v>100316931779037.81</c:v>
                </c:pt>
                <c:pt idx="26">
                  <c:v>100817531032061.17</c:v>
                </c:pt>
                <c:pt idx="27">
                  <c:v>101318130285084.7</c:v>
                </c:pt>
                <c:pt idx="28">
                  <c:v>101818729538108.11</c:v>
                </c:pt>
                <c:pt idx="29">
                  <c:v>102319328791131.48</c:v>
                </c:pt>
                <c:pt idx="30">
                  <c:v>102819928044155.02</c:v>
                </c:pt>
              </c:numCache>
            </c:numRef>
          </c:val>
          <c:smooth val="0"/>
          <c:extLst>
            <c:ext xmlns:c16="http://schemas.microsoft.com/office/drawing/2014/chart" uri="{C3380CC4-5D6E-409C-BE32-E72D297353CC}">
              <c16:uniqueId val="{00000001-3472-4CD4-99C9-DCC7B9016330}"/>
            </c:ext>
          </c:extLst>
        </c:ser>
        <c:ser>
          <c:idx val="4"/>
          <c:order val="1"/>
          <c:tx>
            <c:strRef>
              <c:f>'BIFUbC-petroleum-diesel'!$A$3</c:f>
              <c:strCache>
                <c:ptCount val="1"/>
                <c:pt idx="0">
                  <c:v>coal mining 05</c:v>
                </c:pt>
              </c:strCache>
            </c:strRef>
          </c:tx>
          <c:spPr>
            <a:ln w="28575" cap="rnd">
              <a:solidFill>
                <a:schemeClr val="accent5"/>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'BIFUbC-petroleum-diesel'!$B$3:$AF$3</c:f>
              <c:numCache>
                <c:formatCode>0.00E+00</c:formatCode>
                <c:ptCount val="31"/>
                <c:pt idx="0">
                  <c:v>350079024747.12341</c:v>
                </c:pt>
                <c:pt idx="1">
                  <c:v>336704684433.10022</c:v>
                </c:pt>
                <c:pt idx="2">
                  <c:v>300436717704.85895</c:v>
                </c:pt>
                <c:pt idx="3">
                  <c:v>294693586195.57178</c:v>
                </c:pt>
                <c:pt idx="4">
                  <c:v>288950454686.2879</c:v>
                </c:pt>
                <c:pt idx="5">
                  <c:v>283207323177.00226</c:v>
                </c:pt>
                <c:pt idx="6">
                  <c:v>277464191667.71667</c:v>
                </c:pt>
                <c:pt idx="7">
                  <c:v>271721060158.43106</c:v>
                </c:pt>
                <c:pt idx="8">
                  <c:v>265977928649.14545</c:v>
                </c:pt>
                <c:pt idx="9">
                  <c:v>260234797139.85983</c:v>
                </c:pt>
                <c:pt idx="10">
                  <c:v>254491665630.57596</c:v>
                </c:pt>
                <c:pt idx="11">
                  <c:v>248769517072.19168</c:v>
                </c:pt>
                <c:pt idx="12">
                  <c:v>243047368513.80563</c:v>
                </c:pt>
                <c:pt idx="13">
                  <c:v>237325219955.41962</c:v>
                </c:pt>
                <c:pt idx="14">
                  <c:v>231603071397.03534</c:v>
                </c:pt>
                <c:pt idx="15">
                  <c:v>225880922838.64932</c:v>
                </c:pt>
                <c:pt idx="16">
                  <c:v>220158774280.26328</c:v>
                </c:pt>
                <c:pt idx="17">
                  <c:v>214436625721.87903</c:v>
                </c:pt>
                <c:pt idx="18">
                  <c:v>208714477163.49301</c:v>
                </c:pt>
                <c:pt idx="19">
                  <c:v>202992328605.10873</c:v>
                </c:pt>
                <c:pt idx="20">
                  <c:v>197270180046.72226</c:v>
                </c:pt>
                <c:pt idx="21">
                  <c:v>191783301466.30484</c:v>
                </c:pt>
                <c:pt idx="22">
                  <c:v>186296422885.88699</c:v>
                </c:pt>
                <c:pt idx="23">
                  <c:v>180809544305.46738</c:v>
                </c:pt>
                <c:pt idx="24">
                  <c:v>175322665725.04953</c:v>
                </c:pt>
                <c:pt idx="25">
                  <c:v>169835787144.62991</c:v>
                </c:pt>
                <c:pt idx="26">
                  <c:v>164348908564.21207</c:v>
                </c:pt>
                <c:pt idx="27">
                  <c:v>158862029983.79245</c:v>
                </c:pt>
                <c:pt idx="28">
                  <c:v>153375151403.3746</c:v>
                </c:pt>
                <c:pt idx="29">
                  <c:v>147888272822.95676</c:v>
                </c:pt>
                <c:pt idx="30">
                  <c:v>142401394242.53604</c:v>
                </c:pt>
              </c:numCache>
            </c:numRef>
          </c:val>
          <c:smooth val="0"/>
          <c:extLst>
            <c:ext xmlns:c16="http://schemas.microsoft.com/office/drawing/2014/chart" uri="{C3380CC4-5D6E-409C-BE32-E72D297353CC}">
              <c16:uniqueId val="{00000002-3472-4CD4-99C9-DCC7B9016330}"/>
            </c:ext>
          </c:extLst>
        </c:ser>
        <c:ser>
          <c:idx val="5"/>
          <c:order val="2"/>
          <c:tx>
            <c:strRef>
              <c:f>'BIFUbC-petroleum-diesel'!$A$4</c:f>
              <c:strCache>
                <c:ptCount val="1"/>
                <c:pt idx="0">
                  <c:v>oil and gas extraction 06</c:v>
                </c:pt>
              </c:strCache>
            </c:strRef>
          </c:tx>
          <c:spPr>
            <a:ln w="28575" cap="rnd">
              <a:solidFill>
                <a:schemeClr val="accent6"/>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'BIFUbC-petroleum-diesel'!$B$4:$AF$4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3-3472-4CD4-99C9-DCC7B9016330}"/>
            </c:ext>
          </c:extLst>
        </c:ser>
        <c:ser>
          <c:idx val="6"/>
          <c:order val="3"/>
          <c:tx>
            <c:strRef>
              <c:f>'BIFUbC-petroleum-diesel'!$A$5</c:f>
              <c:strCache>
                <c:ptCount val="1"/>
                <c:pt idx="0">
                  <c:v>other mining and quarrying 07T08</c:v>
                </c:pt>
              </c:strCache>
            </c:strRef>
          </c:tx>
          <c:spPr>
            <a:ln w="28575" cap="rnd">
              <a:solidFill>
                <a:schemeClr val="accent1">
                  <a:lumMod val="6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'BIFUbC-petroleum-diesel'!$B$5:$AF$5</c:f>
              <c:numCache>
                <c:formatCode>0.00E+00</c:formatCode>
                <c:ptCount val="31"/>
                <c:pt idx="0">
                  <c:v>2257780451159.8428</c:v>
                </c:pt>
                <c:pt idx="1">
                  <c:v>2311951605423.4106</c:v>
                </c:pt>
                <c:pt idx="2">
                  <c:v>2366122759686.978</c:v>
                </c:pt>
                <c:pt idx="3">
                  <c:v>2420293913950.5459</c:v>
                </c:pt>
                <c:pt idx="4">
                  <c:v>2474465068214.1138</c:v>
                </c:pt>
                <c:pt idx="5">
                  <c:v>2528636222477.6816</c:v>
                </c:pt>
                <c:pt idx="6">
                  <c:v>2551582937618.3965</c:v>
                </c:pt>
                <c:pt idx="7">
                  <c:v>2574529652759.1045</c:v>
                </c:pt>
                <c:pt idx="8">
                  <c:v>2597476367899.8135</c:v>
                </c:pt>
                <c:pt idx="9">
                  <c:v>2620423083040.522</c:v>
                </c:pt>
                <c:pt idx="10">
                  <c:v>2643369798181.2344</c:v>
                </c:pt>
                <c:pt idx="11">
                  <c:v>2659196256914.0845</c:v>
                </c:pt>
                <c:pt idx="12">
                  <c:v>2675022715646.9385</c:v>
                </c:pt>
                <c:pt idx="13">
                  <c:v>2690849174379.7925</c:v>
                </c:pt>
                <c:pt idx="14">
                  <c:v>2706675633112.6465</c:v>
                </c:pt>
                <c:pt idx="15">
                  <c:v>2722502091845.4995</c:v>
                </c:pt>
                <c:pt idx="16">
                  <c:v>2734826765752.811</c:v>
                </c:pt>
                <c:pt idx="17">
                  <c:v>2747151439660.1133</c:v>
                </c:pt>
                <c:pt idx="18">
                  <c:v>2759476113567.4189</c:v>
                </c:pt>
                <c:pt idx="19">
                  <c:v>2771800787474.7256</c:v>
                </c:pt>
                <c:pt idx="20">
                  <c:v>2784125461382.0278</c:v>
                </c:pt>
                <c:pt idx="21">
                  <c:v>2801119181723.3989</c:v>
                </c:pt>
                <c:pt idx="22">
                  <c:v>2814929461314.2695</c:v>
                </c:pt>
                <c:pt idx="23">
                  <c:v>2828739740905.144</c:v>
                </c:pt>
                <c:pt idx="24">
                  <c:v>2842550020496.0151</c:v>
                </c:pt>
                <c:pt idx="25">
                  <c:v>2856360300086.8857</c:v>
                </c:pt>
                <c:pt idx="26">
                  <c:v>2870170579677.7563</c:v>
                </c:pt>
                <c:pt idx="27">
                  <c:v>2883980859268.6309</c:v>
                </c:pt>
                <c:pt idx="28">
                  <c:v>2897791138859.5024</c:v>
                </c:pt>
                <c:pt idx="29">
                  <c:v>2911601418450.3726</c:v>
                </c:pt>
                <c:pt idx="30">
                  <c:v>2925411698041.248</c:v>
                </c:pt>
              </c:numCache>
            </c:numRef>
          </c:val>
          <c:smooth val="0"/>
          <c:extLst>
            <c:ext xmlns:c16="http://schemas.microsoft.com/office/drawing/2014/chart" uri="{C3380CC4-5D6E-409C-BE32-E72D297353CC}">
              <c16:uniqueId val="{00000004-3472-4CD4-99C9-DCC7B9016330}"/>
            </c:ext>
          </c:extLst>
        </c:ser>
        <c:ser>
          <c:idx val="7"/>
          <c:order val="4"/>
          <c:tx>
            <c:strRef>
              <c:f>'BIFUbC-petroleum-diesel'!$A$6</c:f>
              <c:strCache>
                <c:ptCount val="1"/>
                <c:pt idx="0">
                  <c:v>food beverage and tobacco 10T12</c:v>
                </c:pt>
              </c:strCache>
            </c:strRef>
          </c:tx>
          <c:spPr>
            <a:ln w="28575" cap="rnd">
              <a:solidFill>
                <a:schemeClr val="accent2">
                  <a:lumMod val="6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'BIFUbC-petroleum-diesel'!$B$6:$AF$6</c:f>
              <c:numCache>
                <c:formatCode>0.00E+00</c:formatCode>
                <c:ptCount val="31"/>
                <c:pt idx="0">
                  <c:v>4852579335811.4473</c:v>
                </c:pt>
                <c:pt idx="1">
                  <c:v>4997711193271.4121</c:v>
                </c:pt>
                <c:pt idx="2">
                  <c:v>5142843050731.3789</c:v>
                </c:pt>
                <c:pt idx="3">
                  <c:v>5287974908191.3447</c:v>
                </c:pt>
                <c:pt idx="4">
                  <c:v>5433106765651.3105</c:v>
                </c:pt>
                <c:pt idx="5">
                  <c:v>5578238623111.2773</c:v>
                </c:pt>
                <c:pt idx="6">
                  <c:v>5626139257572.7344</c:v>
                </c:pt>
                <c:pt idx="7">
                  <c:v>5674039892034.1836</c:v>
                </c:pt>
                <c:pt idx="8">
                  <c:v>5721940526495.6328</c:v>
                </c:pt>
                <c:pt idx="9">
                  <c:v>5769841160957.082</c:v>
                </c:pt>
                <c:pt idx="10">
                  <c:v>5817741795418.5361</c:v>
                </c:pt>
                <c:pt idx="11">
                  <c:v>5847316513726.3242</c:v>
                </c:pt>
                <c:pt idx="12">
                  <c:v>5876891232034.1172</c:v>
                </c:pt>
                <c:pt idx="13">
                  <c:v>5906465950341.9102</c:v>
                </c:pt>
                <c:pt idx="14">
                  <c:v>5936040668649.7031</c:v>
                </c:pt>
                <c:pt idx="15">
                  <c:v>5965615386957.4951</c:v>
                </c:pt>
                <c:pt idx="16">
                  <c:v>5987915873775.627</c:v>
                </c:pt>
                <c:pt idx="17">
                  <c:v>6010216360593.748</c:v>
                </c:pt>
                <c:pt idx="18">
                  <c:v>6032516847411.875</c:v>
                </c:pt>
                <c:pt idx="19">
                  <c:v>6054817334230</c:v>
                </c:pt>
                <c:pt idx="20">
                  <c:v>6077117821048.1211</c:v>
                </c:pt>
                <c:pt idx="21">
                  <c:v>6109117283185.8066</c:v>
                </c:pt>
                <c:pt idx="22">
                  <c:v>6134503807605.6064</c:v>
                </c:pt>
                <c:pt idx="23">
                  <c:v>6159890332025.4121</c:v>
                </c:pt>
                <c:pt idx="24">
                  <c:v>6185276856445.2148</c:v>
                </c:pt>
                <c:pt idx="25">
                  <c:v>6210663380865.0176</c:v>
                </c:pt>
                <c:pt idx="26">
                  <c:v>6236049905284.8164</c:v>
                </c:pt>
                <c:pt idx="27">
                  <c:v>6261436429704.623</c:v>
                </c:pt>
                <c:pt idx="28">
                  <c:v>6286822954124.4258</c:v>
                </c:pt>
                <c:pt idx="29">
                  <c:v>6312209478544.2275</c:v>
                </c:pt>
                <c:pt idx="30">
                  <c:v>6337596002964.0352</c:v>
                </c:pt>
              </c:numCache>
            </c:numRef>
          </c:val>
          <c:smooth val="0"/>
          <c:extLst>
            <c:ext xmlns:c16="http://schemas.microsoft.com/office/drawing/2014/chart" uri="{C3380CC4-5D6E-409C-BE32-E72D297353CC}">
              <c16:uniqueId val="{00000005-3472-4CD4-99C9-DCC7B9016330}"/>
            </c:ext>
          </c:extLst>
        </c:ser>
        <c:ser>
          <c:idx val="8"/>
          <c:order val="5"/>
          <c:tx>
            <c:strRef>
              <c:f>'BIFUbC-petroleum-diesel'!$A$7</c:f>
              <c:strCache>
                <c:ptCount val="1"/>
                <c:pt idx="0">
                  <c:v>textiles apparel and leather 13T15</c:v>
                </c:pt>
              </c:strCache>
            </c:strRef>
          </c:tx>
          <c:spPr>
            <a:ln w="28575" cap="rnd">
              <a:solidFill>
                <a:schemeClr val="accent3">
                  <a:lumMod val="6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'BIFUbC-petroleum-diesel'!$B$7:$AF$7</c:f>
              <c:numCache>
                <c:formatCode>0.00E+00</c:formatCode>
                <c:ptCount val="31"/>
                <c:pt idx="0">
                  <c:v>2351838014130.251</c:v>
                </c:pt>
                <c:pt idx="1">
                  <c:v>2432251050844.7793</c:v>
                </c:pt>
                <c:pt idx="2">
                  <c:v>2512664087559.3081</c:v>
                </c:pt>
                <c:pt idx="3">
                  <c:v>2593077124273.8359</c:v>
                </c:pt>
                <c:pt idx="4">
                  <c:v>2673490160988.3647</c:v>
                </c:pt>
                <c:pt idx="5">
                  <c:v>2753903197702.8931</c:v>
                </c:pt>
                <c:pt idx="6">
                  <c:v>2776620908867.897</c:v>
                </c:pt>
                <c:pt idx="7">
                  <c:v>2799338620032.9004</c:v>
                </c:pt>
                <c:pt idx="8">
                  <c:v>2822056331197.9023</c:v>
                </c:pt>
                <c:pt idx="9">
                  <c:v>2844774042362.9058</c:v>
                </c:pt>
                <c:pt idx="10">
                  <c:v>2867491753527.9092</c:v>
                </c:pt>
                <c:pt idx="11">
                  <c:v>2880266869577.3247</c:v>
                </c:pt>
                <c:pt idx="12">
                  <c:v>2893041985626.7407</c:v>
                </c:pt>
                <c:pt idx="13">
                  <c:v>2905817101676.1567</c:v>
                </c:pt>
                <c:pt idx="14">
                  <c:v>2918592217725.5728</c:v>
                </c:pt>
                <c:pt idx="15">
                  <c:v>2931367333774.9888</c:v>
                </c:pt>
                <c:pt idx="16">
                  <c:v>2940705400059.3262</c:v>
                </c:pt>
                <c:pt idx="17">
                  <c:v>2950043466343.6611</c:v>
                </c:pt>
                <c:pt idx="18">
                  <c:v>2959381532627.9971</c:v>
                </c:pt>
                <c:pt idx="19">
                  <c:v>2968719598912.3325</c:v>
                </c:pt>
                <c:pt idx="20">
                  <c:v>2978057665196.6675</c:v>
                </c:pt>
                <c:pt idx="21">
                  <c:v>2991978464501.1123</c:v>
                </c:pt>
                <c:pt idx="22">
                  <c:v>3002774673110.0264</c:v>
                </c:pt>
                <c:pt idx="23">
                  <c:v>3013570881718.9434</c:v>
                </c:pt>
                <c:pt idx="24">
                  <c:v>3024367090327.8579</c:v>
                </c:pt>
                <c:pt idx="25">
                  <c:v>3035163298936.7734</c:v>
                </c:pt>
                <c:pt idx="26">
                  <c:v>3045959507545.6875</c:v>
                </c:pt>
                <c:pt idx="27">
                  <c:v>3056755716154.6035</c:v>
                </c:pt>
                <c:pt idx="28">
                  <c:v>3067551924763.5195</c:v>
                </c:pt>
                <c:pt idx="29">
                  <c:v>3078348133372.4351</c:v>
                </c:pt>
                <c:pt idx="30">
                  <c:v>3089144341981.3511</c:v>
                </c:pt>
              </c:numCache>
            </c:numRef>
          </c:val>
          <c:smooth val="0"/>
          <c:extLst>
            <c:ext xmlns:c16="http://schemas.microsoft.com/office/drawing/2014/chart" uri="{C3380CC4-5D6E-409C-BE32-E72D297353CC}">
              <c16:uniqueId val="{00000006-3472-4CD4-99C9-DCC7B9016330}"/>
            </c:ext>
          </c:extLst>
        </c:ser>
        <c:ser>
          <c:idx val="9"/>
          <c:order val="6"/>
          <c:tx>
            <c:strRef>
              <c:f>'BIFUbC-petroleum-diesel'!$A$8</c:f>
              <c:strCache>
                <c:ptCount val="1"/>
                <c:pt idx="0">
                  <c:v>wood products 16</c:v>
                </c:pt>
              </c:strCache>
            </c:strRef>
          </c:tx>
          <c:spPr>
            <a:ln w="28575" cap="rnd">
              <a:solidFill>
                <a:schemeClr val="accent4">
                  <a:lumMod val="6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'BIFUbC-petroleum-diesel'!$B$8:$AF$8</c:f>
              <c:numCache>
                <c:formatCode>0.00E+00</c:formatCode>
                <c:ptCount val="31"/>
                <c:pt idx="0">
                  <c:v>390206857177.38568</c:v>
                </c:pt>
                <c:pt idx="1">
                  <c:v>403604969441.31854</c:v>
                </c:pt>
                <c:pt idx="2">
                  <c:v>417003081705.25146</c:v>
                </c:pt>
                <c:pt idx="3">
                  <c:v>430401193969.18433</c:v>
                </c:pt>
                <c:pt idx="4">
                  <c:v>443799306233.11719</c:v>
                </c:pt>
                <c:pt idx="5">
                  <c:v>457197418497.05011</c:v>
                </c:pt>
                <c:pt idx="6">
                  <c:v>460963860779.05658</c:v>
                </c:pt>
                <c:pt idx="7">
                  <c:v>464730303061.06274</c:v>
                </c:pt>
                <c:pt idx="8">
                  <c:v>468496745343.06903</c:v>
                </c:pt>
                <c:pt idx="9">
                  <c:v>472263187625.07526</c:v>
                </c:pt>
                <c:pt idx="10">
                  <c:v>476029629907.08154</c:v>
                </c:pt>
                <c:pt idx="11">
                  <c:v>478140508142.54767</c:v>
                </c:pt>
                <c:pt idx="12">
                  <c:v>480251386378.01392</c:v>
                </c:pt>
                <c:pt idx="13">
                  <c:v>482362264613.48004</c:v>
                </c:pt>
                <c:pt idx="14">
                  <c:v>484473142848.94617</c:v>
                </c:pt>
                <c:pt idx="15">
                  <c:v>486584021084.41254</c:v>
                </c:pt>
                <c:pt idx="16">
                  <c:v>488125133405.45374</c:v>
                </c:pt>
                <c:pt idx="17">
                  <c:v>489666245726.49469</c:v>
                </c:pt>
                <c:pt idx="18">
                  <c:v>491207358047.53589</c:v>
                </c:pt>
                <c:pt idx="19">
                  <c:v>492748470368.57703</c:v>
                </c:pt>
                <c:pt idx="20">
                  <c:v>494289582689.61792</c:v>
                </c:pt>
                <c:pt idx="21">
                  <c:v>496590382896.55951</c:v>
                </c:pt>
                <c:pt idx="22">
                  <c:v>498373214090.38666</c:v>
                </c:pt>
                <c:pt idx="23">
                  <c:v>500156045284.21442</c:v>
                </c:pt>
                <c:pt idx="24">
                  <c:v>501938876478.04199</c:v>
                </c:pt>
                <c:pt idx="25">
                  <c:v>503721707671.86951</c:v>
                </c:pt>
                <c:pt idx="26">
                  <c:v>505504538865.69672</c:v>
                </c:pt>
                <c:pt idx="27">
                  <c:v>507287370059.52441</c:v>
                </c:pt>
                <c:pt idx="28">
                  <c:v>509070201253.35199</c:v>
                </c:pt>
                <c:pt idx="29">
                  <c:v>510853032447.17957</c:v>
                </c:pt>
                <c:pt idx="30">
                  <c:v>512635863641.00732</c:v>
                </c:pt>
              </c:numCache>
            </c:numRef>
          </c:val>
          <c:smooth val="0"/>
          <c:extLst>
            <c:ext xmlns:c16="http://schemas.microsoft.com/office/drawing/2014/chart" uri="{C3380CC4-5D6E-409C-BE32-E72D297353CC}">
              <c16:uniqueId val="{00000007-3472-4CD4-99C9-DCC7B9016330}"/>
            </c:ext>
          </c:extLst>
        </c:ser>
        <c:ser>
          <c:idx val="10"/>
          <c:order val="7"/>
          <c:tx>
            <c:strRef>
              <c:f>'BIFUbC-petroleum-diesel'!$A$9</c:f>
              <c:strCache>
                <c:ptCount val="1"/>
                <c:pt idx="0">
                  <c:v>pulp paper and printing 17T18</c:v>
                </c:pt>
              </c:strCache>
            </c:strRef>
          </c:tx>
          <c:spPr>
            <a:ln w="28575" cap="rnd">
              <a:solidFill>
                <a:schemeClr val="accent5">
                  <a:lumMod val="6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'BIFUbC-petroleum-diesel'!$B$9:$AF$9</c:f>
              <c:numCache>
                <c:formatCode>0.00E+00</c:formatCode>
                <c:ptCount val="31"/>
                <c:pt idx="0">
                  <c:v>2059160131010.7529</c:v>
                </c:pt>
                <c:pt idx="1">
                  <c:v>2131911154985.207</c:v>
                </c:pt>
                <c:pt idx="2">
                  <c:v>2204662178959.6611</c:v>
                </c:pt>
                <c:pt idx="3">
                  <c:v>2277413202934.1147</c:v>
                </c:pt>
                <c:pt idx="4">
                  <c:v>2350164226908.5688</c:v>
                </c:pt>
                <c:pt idx="5">
                  <c:v>2422915250883.022</c:v>
                </c:pt>
                <c:pt idx="6">
                  <c:v>2442689967497.9639</c:v>
                </c:pt>
                <c:pt idx="7">
                  <c:v>2462464684112.9053</c:v>
                </c:pt>
                <c:pt idx="8">
                  <c:v>2482239400727.8462</c:v>
                </c:pt>
                <c:pt idx="9">
                  <c:v>2502014117342.7871</c:v>
                </c:pt>
                <c:pt idx="10">
                  <c:v>2521788833957.7285</c:v>
                </c:pt>
                <c:pt idx="11">
                  <c:v>2532611329066.52</c:v>
                </c:pt>
                <c:pt idx="12">
                  <c:v>2543433824175.313</c:v>
                </c:pt>
                <c:pt idx="13">
                  <c:v>2554256319284.105</c:v>
                </c:pt>
                <c:pt idx="14">
                  <c:v>2565078814392.8965</c:v>
                </c:pt>
                <c:pt idx="15">
                  <c:v>2575901309501.689</c:v>
                </c:pt>
                <c:pt idx="16">
                  <c:v>2583735076162.3003</c:v>
                </c:pt>
                <c:pt idx="17">
                  <c:v>2591568842822.9116</c:v>
                </c:pt>
                <c:pt idx="18">
                  <c:v>2599402609483.5234</c:v>
                </c:pt>
                <c:pt idx="19">
                  <c:v>2607236376144.1343</c:v>
                </c:pt>
                <c:pt idx="20">
                  <c:v>2615070142804.7446</c:v>
                </c:pt>
                <c:pt idx="21">
                  <c:v>2626888880729.5991</c:v>
                </c:pt>
                <c:pt idx="22">
                  <c:v>2635990592792.4673</c:v>
                </c:pt>
                <c:pt idx="23">
                  <c:v>2645092304855.3384</c:v>
                </c:pt>
                <c:pt idx="24">
                  <c:v>2654194016918.208</c:v>
                </c:pt>
                <c:pt idx="25">
                  <c:v>2663295728981.0781</c:v>
                </c:pt>
                <c:pt idx="26">
                  <c:v>2672397441043.9468</c:v>
                </c:pt>
                <c:pt idx="27">
                  <c:v>2681499153106.8169</c:v>
                </c:pt>
                <c:pt idx="28">
                  <c:v>2690600865169.6875</c:v>
                </c:pt>
                <c:pt idx="29">
                  <c:v>2699702577232.5571</c:v>
                </c:pt>
                <c:pt idx="30">
                  <c:v>2708804289295.4282</c:v>
                </c:pt>
              </c:numCache>
            </c:numRef>
          </c:val>
          <c:smooth val="0"/>
          <c:extLst>
            <c:ext xmlns:c16="http://schemas.microsoft.com/office/drawing/2014/chart" uri="{C3380CC4-5D6E-409C-BE32-E72D297353CC}">
              <c16:uniqueId val="{00000008-3472-4CD4-99C9-DCC7B9016330}"/>
            </c:ext>
          </c:extLst>
        </c:ser>
        <c:ser>
          <c:idx val="11"/>
          <c:order val="8"/>
          <c:tx>
            <c:strRef>
              <c:f>'BIFUbC-petroleum-diesel'!$A$10</c:f>
              <c:strCache>
                <c:ptCount val="1"/>
                <c:pt idx="0">
                  <c:v>refined petroleum and coke 19</c:v>
                </c:pt>
              </c:strCache>
            </c:strRef>
          </c:tx>
          <c:spPr>
            <a:ln w="28575" cap="rnd">
              <a:solidFill>
                <a:schemeClr val="accent6">
                  <a:lumMod val="6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'BIFUbC-petroleum-diesel'!$B$10:$AF$10</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9-3472-4CD4-99C9-DCC7B9016330}"/>
            </c:ext>
          </c:extLst>
        </c:ser>
        <c:ser>
          <c:idx val="12"/>
          <c:order val="9"/>
          <c:tx>
            <c:strRef>
              <c:f>'BIFUbC-petroleum-diesel'!$A$11</c:f>
              <c:strCache>
                <c:ptCount val="1"/>
                <c:pt idx="0">
                  <c:v>chemicals 20</c:v>
                </c:pt>
              </c:strCache>
            </c:strRef>
          </c:tx>
          <c:spPr>
            <a:ln w="28575" cap="rnd">
              <a:solidFill>
                <a:schemeClr val="accent1">
                  <a:lumMod val="80000"/>
                  <a:lumOff val="2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'BIFUbC-petroleum-diesel'!$B$11:$AF$11</c:f>
              <c:numCache>
                <c:formatCode>0.00E+00</c:formatCode>
                <c:ptCount val="31"/>
                <c:pt idx="0">
                  <c:v>80528704147324.406</c:v>
                </c:pt>
                <c:pt idx="1">
                  <c:v>88694539044803.156</c:v>
                </c:pt>
                <c:pt idx="2">
                  <c:v>83713101402299.734</c:v>
                </c:pt>
                <c:pt idx="3">
                  <c:v>77902607416200.109</c:v>
                </c:pt>
                <c:pt idx="4">
                  <c:v>75479302474191.234</c:v>
                </c:pt>
                <c:pt idx="5">
                  <c:v>74162138193397.406</c:v>
                </c:pt>
                <c:pt idx="6">
                  <c:v>72743974696491.547</c:v>
                </c:pt>
                <c:pt idx="7">
                  <c:v>71227928544147.313</c:v>
                </c:pt>
                <c:pt idx="8">
                  <c:v>69607936203270.164</c:v>
                </c:pt>
                <c:pt idx="9">
                  <c:v>67469907080782.688</c:v>
                </c:pt>
                <c:pt idx="10">
                  <c:v>63431018160362.625</c:v>
                </c:pt>
                <c:pt idx="11">
                  <c:v>62972400097015.734</c:v>
                </c:pt>
                <c:pt idx="12">
                  <c:v>62512409192804.102</c:v>
                </c:pt>
                <c:pt idx="13">
                  <c:v>62051021975271.328</c:v>
                </c:pt>
                <c:pt idx="14">
                  <c:v>61588214288164.063</c:v>
                </c:pt>
                <c:pt idx="15">
                  <c:v>60735217458509.891</c:v>
                </c:pt>
                <c:pt idx="16">
                  <c:v>60617032202635.086</c:v>
                </c:pt>
                <c:pt idx="17">
                  <c:v>60498846946760.336</c:v>
                </c:pt>
                <c:pt idx="18">
                  <c:v>60380661690885.531</c:v>
                </c:pt>
                <c:pt idx="19">
                  <c:v>60262476435010.734</c:v>
                </c:pt>
                <c:pt idx="20">
                  <c:v>60144291179135.969</c:v>
                </c:pt>
                <c:pt idx="21">
                  <c:v>60045192970527</c:v>
                </c:pt>
                <c:pt idx="22">
                  <c:v>59946094761918.047</c:v>
                </c:pt>
                <c:pt idx="23">
                  <c:v>59846996553309.109</c:v>
                </c:pt>
                <c:pt idx="24">
                  <c:v>59747898344700.141</c:v>
                </c:pt>
                <c:pt idx="25">
                  <c:v>59648800136091.227</c:v>
                </c:pt>
                <c:pt idx="26">
                  <c:v>59549701927482.266</c:v>
                </c:pt>
                <c:pt idx="27">
                  <c:v>59450603718873.336</c:v>
                </c:pt>
                <c:pt idx="28">
                  <c:v>59351505510264.367</c:v>
                </c:pt>
                <c:pt idx="29">
                  <c:v>59252407301655.398</c:v>
                </c:pt>
                <c:pt idx="30">
                  <c:v>59153309093046.484</c:v>
                </c:pt>
              </c:numCache>
            </c:numRef>
          </c:val>
          <c:smooth val="0"/>
          <c:extLst>
            <c:ext xmlns:c16="http://schemas.microsoft.com/office/drawing/2014/chart" uri="{C3380CC4-5D6E-409C-BE32-E72D297353CC}">
              <c16:uniqueId val="{0000000A-3472-4CD4-99C9-DCC7B9016330}"/>
            </c:ext>
          </c:extLst>
        </c:ser>
        <c:ser>
          <c:idx val="13"/>
          <c:order val="10"/>
          <c:tx>
            <c:strRef>
              <c:f>'BIFUbC-petroleum-diesel'!$A$12</c:f>
              <c:strCache>
                <c:ptCount val="1"/>
                <c:pt idx="0">
                  <c:v>rubber and plastic products 22</c:v>
                </c:pt>
              </c:strCache>
            </c:strRef>
          </c:tx>
          <c:spPr>
            <a:ln w="28575" cap="rnd">
              <a:solidFill>
                <a:schemeClr val="accent2">
                  <a:lumMod val="80000"/>
                  <a:lumOff val="2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'BIFUbC-petroleum-diesel'!$B$12:$AF$12</c:f>
              <c:numCache>
                <c:formatCode>0.00E+00</c:formatCode>
                <c:ptCount val="31"/>
                <c:pt idx="0">
                  <c:v>43676156600028.75</c:v>
                </c:pt>
                <c:pt idx="1">
                  <c:v>47703990577531.039</c:v>
                </c:pt>
                <c:pt idx="2">
                  <c:v>45037676584098.367</c:v>
                </c:pt>
                <c:pt idx="3">
                  <c:v>41926498990710.281</c:v>
                </c:pt>
                <c:pt idx="4">
                  <c:v>40632666004838.156</c:v>
                </c:pt>
                <c:pt idx="5">
                  <c:v>39933751298638.203</c:v>
                </c:pt>
                <c:pt idx="6">
                  <c:v>39180043358645.547</c:v>
                </c:pt>
                <c:pt idx="7">
                  <c:v>38373182029026.328</c:v>
                </c:pt>
                <c:pt idx="8">
                  <c:v>37509862203090.477</c:v>
                </c:pt>
                <c:pt idx="9">
                  <c:v>36375560168651.992</c:v>
                </c:pt>
                <c:pt idx="10">
                  <c:v>34254062610955.934</c:v>
                </c:pt>
                <c:pt idx="11">
                  <c:v>34006399364928.82</c:v>
                </c:pt>
                <c:pt idx="12">
                  <c:v>33757994756421.664</c:v>
                </c:pt>
                <c:pt idx="13">
                  <c:v>33508836109822.191</c:v>
                </c:pt>
                <c:pt idx="14">
                  <c:v>33258910380253.648</c:v>
                </c:pt>
                <c:pt idx="15">
                  <c:v>32806890382326.484</c:v>
                </c:pt>
                <c:pt idx="16">
                  <c:v>32744779540353.957</c:v>
                </c:pt>
                <c:pt idx="17">
                  <c:v>32682668698381.449</c:v>
                </c:pt>
                <c:pt idx="18">
                  <c:v>32620557856408.918</c:v>
                </c:pt>
                <c:pt idx="19">
                  <c:v>32558447014436.395</c:v>
                </c:pt>
                <c:pt idx="20">
                  <c:v>32496336172463.883</c:v>
                </c:pt>
                <c:pt idx="21">
                  <c:v>32443653777893.379</c:v>
                </c:pt>
                <c:pt idx="22">
                  <c:v>32390971383322.883</c:v>
                </c:pt>
                <c:pt idx="23">
                  <c:v>32338288988752.395</c:v>
                </c:pt>
                <c:pt idx="24">
                  <c:v>32285606594181.887</c:v>
                </c:pt>
                <c:pt idx="25">
                  <c:v>32232924199611.41</c:v>
                </c:pt>
                <c:pt idx="26">
                  <c:v>32180241805040.906</c:v>
                </c:pt>
                <c:pt idx="27">
                  <c:v>32127559410470.426</c:v>
                </c:pt>
                <c:pt idx="28">
                  <c:v>32074877015899.918</c:v>
                </c:pt>
                <c:pt idx="29">
                  <c:v>32022194621329.414</c:v>
                </c:pt>
                <c:pt idx="30">
                  <c:v>31969512226758.938</c:v>
                </c:pt>
              </c:numCache>
            </c:numRef>
          </c:val>
          <c:smooth val="0"/>
          <c:extLst>
            <c:ext xmlns:c16="http://schemas.microsoft.com/office/drawing/2014/chart" uri="{C3380CC4-5D6E-409C-BE32-E72D297353CC}">
              <c16:uniqueId val="{0000000B-3472-4CD4-99C9-DCC7B9016330}"/>
            </c:ext>
          </c:extLst>
        </c:ser>
        <c:ser>
          <c:idx val="14"/>
          <c:order val="11"/>
          <c:tx>
            <c:strRef>
              <c:f>'BIFUbC-petroleum-diesel'!$A$13</c:f>
              <c:strCache>
                <c:ptCount val="1"/>
                <c:pt idx="0">
                  <c:v>glass and glass products 231</c:v>
                </c:pt>
              </c:strCache>
            </c:strRef>
          </c:tx>
          <c:spPr>
            <a:ln w="28575" cap="rnd">
              <a:solidFill>
                <a:schemeClr val="accent3">
                  <a:lumMod val="80000"/>
                  <a:lumOff val="2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'BIFUbC-petroleum-diesel'!$B$13:$AF$13</c:f>
              <c:numCache>
                <c:formatCode>0.00E+00</c:formatCode>
                <c:ptCount val="31"/>
                <c:pt idx="0">
                  <c:v>696068877853.00439</c:v>
                </c:pt>
                <c:pt idx="1">
                  <c:v>720615129339.31958</c:v>
                </c:pt>
                <c:pt idx="2">
                  <c:v>745161380825.63477</c:v>
                </c:pt>
                <c:pt idx="3">
                  <c:v>769707632311.94995</c:v>
                </c:pt>
                <c:pt idx="4">
                  <c:v>794253883798.26526</c:v>
                </c:pt>
                <c:pt idx="5">
                  <c:v>818800135284.58044</c:v>
                </c:pt>
                <c:pt idx="6">
                  <c:v>825486968884.21484</c:v>
                </c:pt>
                <c:pt idx="7">
                  <c:v>832173802483.84888</c:v>
                </c:pt>
                <c:pt idx="8">
                  <c:v>838860636083.48303</c:v>
                </c:pt>
                <c:pt idx="9">
                  <c:v>845547469683.11707</c:v>
                </c:pt>
                <c:pt idx="10">
                  <c:v>852234303282.75122</c:v>
                </c:pt>
                <c:pt idx="11">
                  <c:v>855899831043.42749</c:v>
                </c:pt>
                <c:pt idx="12">
                  <c:v>859565358804.10364</c:v>
                </c:pt>
                <c:pt idx="13">
                  <c:v>863230886564.77991</c:v>
                </c:pt>
                <c:pt idx="14">
                  <c:v>866896414325.45605</c:v>
                </c:pt>
                <c:pt idx="15">
                  <c:v>870561942086.13232</c:v>
                </c:pt>
                <c:pt idx="16">
                  <c:v>873216768652.89465</c:v>
                </c:pt>
                <c:pt idx="17">
                  <c:v>875871595219.65698</c:v>
                </c:pt>
                <c:pt idx="18">
                  <c:v>878526421786.41919</c:v>
                </c:pt>
                <c:pt idx="19">
                  <c:v>881181248353.18152</c:v>
                </c:pt>
                <c:pt idx="20">
                  <c:v>883836074919.9436</c:v>
                </c:pt>
                <c:pt idx="21">
                  <c:v>887838503078.5918</c:v>
                </c:pt>
                <c:pt idx="22">
                  <c:v>890922111970.04419</c:v>
                </c:pt>
                <c:pt idx="23">
                  <c:v>894005720861.49756</c:v>
                </c:pt>
                <c:pt idx="24">
                  <c:v>897089329752.95068</c:v>
                </c:pt>
                <c:pt idx="25">
                  <c:v>900172938644.40393</c:v>
                </c:pt>
                <c:pt idx="26">
                  <c:v>903256547535.85645</c:v>
                </c:pt>
                <c:pt idx="27">
                  <c:v>906340156427.30969</c:v>
                </c:pt>
                <c:pt idx="28">
                  <c:v>909423765318.76282</c:v>
                </c:pt>
                <c:pt idx="29">
                  <c:v>912507374210.21619</c:v>
                </c:pt>
                <c:pt idx="30">
                  <c:v>915590983101.66943</c:v>
                </c:pt>
              </c:numCache>
            </c:numRef>
          </c:val>
          <c:smooth val="0"/>
          <c:extLst>
            <c:ext xmlns:c16="http://schemas.microsoft.com/office/drawing/2014/chart" uri="{C3380CC4-5D6E-409C-BE32-E72D297353CC}">
              <c16:uniqueId val="{0000000C-3472-4CD4-99C9-DCC7B9016330}"/>
            </c:ext>
          </c:extLst>
        </c:ser>
        <c:ser>
          <c:idx val="15"/>
          <c:order val="12"/>
          <c:tx>
            <c:strRef>
              <c:f>'BIFUbC-petroleum-diesel'!$A$14</c:f>
              <c:strCache>
                <c:ptCount val="1"/>
                <c:pt idx="0">
                  <c:v>cement and other nonmetallic minerals 239</c:v>
                </c:pt>
              </c:strCache>
            </c:strRef>
          </c:tx>
          <c:spPr>
            <a:ln w="28575" cap="rnd">
              <a:solidFill>
                <a:schemeClr val="accent4">
                  <a:lumMod val="80000"/>
                  <a:lumOff val="2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'BIFUbC-petroleum-diesel'!$B$14:$AF$14</c:f>
              <c:numCache>
                <c:formatCode>0.00E+00</c:formatCode>
                <c:ptCount val="31"/>
                <c:pt idx="0">
                  <c:v>9781245907959.6797</c:v>
                </c:pt>
                <c:pt idx="1">
                  <c:v>10021196981353.131</c:v>
                </c:pt>
                <c:pt idx="2">
                  <c:v>10261148054746.582</c:v>
                </c:pt>
                <c:pt idx="3">
                  <c:v>10501099128140.035</c:v>
                </c:pt>
                <c:pt idx="4">
                  <c:v>10741050201533.488</c:v>
                </c:pt>
                <c:pt idx="5">
                  <c:v>10981001274926.939</c:v>
                </c:pt>
                <c:pt idx="6">
                  <c:v>11080151653828.564</c:v>
                </c:pt>
                <c:pt idx="7">
                  <c:v>11179302032730.162</c:v>
                </c:pt>
                <c:pt idx="8">
                  <c:v>11278452411631.762</c:v>
                </c:pt>
                <c:pt idx="9">
                  <c:v>11377602790533.359</c:v>
                </c:pt>
                <c:pt idx="10">
                  <c:v>11476753169434.977</c:v>
                </c:pt>
                <c:pt idx="11">
                  <c:v>11544502085285.813</c:v>
                </c:pt>
                <c:pt idx="12">
                  <c:v>11612251001136.67</c:v>
                </c:pt>
                <c:pt idx="13">
                  <c:v>11679999916987.527</c:v>
                </c:pt>
                <c:pt idx="14">
                  <c:v>11747748832838.381</c:v>
                </c:pt>
                <c:pt idx="15">
                  <c:v>11815497748689.234</c:v>
                </c:pt>
                <c:pt idx="16">
                  <c:v>11868122358387.123</c:v>
                </c:pt>
                <c:pt idx="17">
                  <c:v>11920746968084.977</c:v>
                </c:pt>
                <c:pt idx="18">
                  <c:v>11973371577782.844</c:v>
                </c:pt>
                <c:pt idx="19">
                  <c:v>12025996187480.713</c:v>
                </c:pt>
                <c:pt idx="20">
                  <c:v>12078620797178.566</c:v>
                </c:pt>
                <c:pt idx="21">
                  <c:v>12151411148413.756</c:v>
                </c:pt>
                <c:pt idx="22">
                  <c:v>12210452130418.945</c:v>
                </c:pt>
                <c:pt idx="23">
                  <c:v>12269493112424.156</c:v>
                </c:pt>
                <c:pt idx="24">
                  <c:v>12328534094429.35</c:v>
                </c:pt>
                <c:pt idx="25">
                  <c:v>12387575076434.539</c:v>
                </c:pt>
                <c:pt idx="26">
                  <c:v>12446616058439.729</c:v>
                </c:pt>
                <c:pt idx="27">
                  <c:v>12505657040444.938</c:v>
                </c:pt>
                <c:pt idx="28">
                  <c:v>12564698022450.131</c:v>
                </c:pt>
                <c:pt idx="29">
                  <c:v>12623739004455.322</c:v>
                </c:pt>
                <c:pt idx="30">
                  <c:v>12682779986460.531</c:v>
                </c:pt>
              </c:numCache>
            </c:numRef>
          </c:val>
          <c:smooth val="0"/>
          <c:extLst>
            <c:ext xmlns:c16="http://schemas.microsoft.com/office/drawing/2014/chart" uri="{C3380CC4-5D6E-409C-BE32-E72D297353CC}">
              <c16:uniqueId val="{0000000D-3472-4CD4-99C9-DCC7B9016330}"/>
            </c:ext>
          </c:extLst>
        </c:ser>
        <c:ser>
          <c:idx val="16"/>
          <c:order val="13"/>
          <c:tx>
            <c:strRef>
              <c:f>'BIFUbC-petroleum-diesel'!$A$15</c:f>
              <c:strCache>
                <c:ptCount val="1"/>
                <c:pt idx="0">
                  <c:v>iron and steel 241</c:v>
                </c:pt>
              </c:strCache>
            </c:strRef>
          </c:tx>
          <c:spPr>
            <a:ln w="28575" cap="rnd">
              <a:solidFill>
                <a:schemeClr val="accent5">
                  <a:lumMod val="80000"/>
                  <a:lumOff val="2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'BIFUbC-petroleum-diesel'!$B$15:$AF$15</c:f>
              <c:numCache>
                <c:formatCode>0.00E+00</c:formatCode>
                <c:ptCount val="31"/>
                <c:pt idx="0">
                  <c:v>5325011634194.9434</c:v>
                </c:pt>
                <c:pt idx="1">
                  <c:v>5617903245997.2744</c:v>
                </c:pt>
                <c:pt idx="2">
                  <c:v>5181141906072.7578</c:v>
                </c:pt>
                <c:pt idx="3">
                  <c:v>5019305537371.0098</c:v>
                </c:pt>
                <c:pt idx="4">
                  <c:v>5155531364542.2793</c:v>
                </c:pt>
                <c:pt idx="5">
                  <c:v>5155531364542.2793</c:v>
                </c:pt>
                <c:pt idx="6">
                  <c:v>5155531364542.2793</c:v>
                </c:pt>
                <c:pt idx="7">
                  <c:v>4852961447492.4375</c:v>
                </c:pt>
                <c:pt idx="8">
                  <c:v>5148628383448.2773</c:v>
                </c:pt>
                <c:pt idx="9">
                  <c:v>5198228785818.7129</c:v>
                </c:pt>
                <c:pt idx="10">
                  <c:v>5725538750490.125</c:v>
                </c:pt>
                <c:pt idx="11">
                  <c:v>5995561150968.0313</c:v>
                </c:pt>
                <c:pt idx="12">
                  <c:v>6258826724611.4395</c:v>
                </c:pt>
                <c:pt idx="13">
                  <c:v>6831880694242.3506</c:v>
                </c:pt>
                <c:pt idx="14">
                  <c:v>6551723363640.6455</c:v>
                </c:pt>
                <c:pt idx="15">
                  <c:v>8935936669753.5117</c:v>
                </c:pt>
                <c:pt idx="16">
                  <c:v>8935936669753.5117</c:v>
                </c:pt>
                <c:pt idx="17">
                  <c:v>8935936669753.5117</c:v>
                </c:pt>
                <c:pt idx="18">
                  <c:v>8927949525285.8867</c:v>
                </c:pt>
                <c:pt idx="19">
                  <c:v>8427542126994.4111</c:v>
                </c:pt>
                <c:pt idx="20">
                  <c:v>9382632076379.2637</c:v>
                </c:pt>
                <c:pt idx="21">
                  <c:v>9904916962156.4688</c:v>
                </c:pt>
                <c:pt idx="22">
                  <c:v>9514656587991.2969</c:v>
                </c:pt>
                <c:pt idx="23">
                  <c:v>9571445826780.5176</c:v>
                </c:pt>
                <c:pt idx="24">
                  <c:v>9571445826780.5176</c:v>
                </c:pt>
                <c:pt idx="25">
                  <c:v>9953481806534.4609</c:v>
                </c:pt>
                <c:pt idx="26">
                  <c:v>9953481806534.4609</c:v>
                </c:pt>
                <c:pt idx="27">
                  <c:v>10526535776165.375</c:v>
                </c:pt>
                <c:pt idx="28">
                  <c:v>10526535776165.375</c:v>
                </c:pt>
                <c:pt idx="29">
                  <c:v>10526535776165.375</c:v>
                </c:pt>
                <c:pt idx="30">
                  <c:v>10526535776165.375</c:v>
                </c:pt>
              </c:numCache>
            </c:numRef>
          </c:val>
          <c:smooth val="0"/>
          <c:extLst>
            <c:ext xmlns:c16="http://schemas.microsoft.com/office/drawing/2014/chart" uri="{C3380CC4-5D6E-409C-BE32-E72D297353CC}">
              <c16:uniqueId val="{0000000E-3472-4CD4-99C9-DCC7B9016330}"/>
            </c:ext>
          </c:extLst>
        </c:ser>
        <c:ser>
          <c:idx val="17"/>
          <c:order val="14"/>
          <c:tx>
            <c:strRef>
              <c:f>'BIFUbC-petroleum-diesel'!$A$16</c:f>
              <c:strCache>
                <c:ptCount val="1"/>
                <c:pt idx="0">
                  <c:v>other metals 242</c:v>
                </c:pt>
              </c:strCache>
            </c:strRef>
          </c:tx>
          <c:spPr>
            <a:ln w="28575" cap="rnd">
              <a:solidFill>
                <a:schemeClr val="accent6">
                  <a:lumMod val="80000"/>
                  <a:lumOff val="2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'BIFUbC-petroleum-diesel'!$B$16:$AF$16</c:f>
              <c:numCache>
                <c:formatCode>0.00E+00</c:formatCode>
                <c:ptCount val="31"/>
                <c:pt idx="0">
                  <c:v>1055929412409.3114</c:v>
                </c:pt>
                <c:pt idx="1">
                  <c:v>1085256324839.8776</c:v>
                </c:pt>
                <c:pt idx="2">
                  <c:v>1202563974562.1421</c:v>
                </c:pt>
                <c:pt idx="3">
                  <c:v>1143910149701.01</c:v>
                </c:pt>
                <c:pt idx="4">
                  <c:v>1173237062131.5759</c:v>
                </c:pt>
                <c:pt idx="5">
                  <c:v>1202563974562.1421</c:v>
                </c:pt>
                <c:pt idx="6">
                  <c:v>1209561057768.9646</c:v>
                </c:pt>
                <c:pt idx="7">
                  <c:v>1216558140975.7871</c:v>
                </c:pt>
                <c:pt idx="8">
                  <c:v>1223555224182.6096</c:v>
                </c:pt>
                <c:pt idx="9">
                  <c:v>1230552307389.4321</c:v>
                </c:pt>
                <c:pt idx="10">
                  <c:v>1237549390596.2546</c:v>
                </c:pt>
                <c:pt idx="11">
                  <c:v>1242765176432.8352</c:v>
                </c:pt>
                <c:pt idx="12">
                  <c:v>1247980962269.416</c:v>
                </c:pt>
                <c:pt idx="13">
                  <c:v>1253196748105.9968</c:v>
                </c:pt>
                <c:pt idx="14">
                  <c:v>1258412533942.5774</c:v>
                </c:pt>
                <c:pt idx="15">
                  <c:v>1263628319779.1582</c:v>
                </c:pt>
                <c:pt idx="16">
                  <c:v>1269917362861.4819</c:v>
                </c:pt>
                <c:pt idx="17">
                  <c:v>1276206405943.8057</c:v>
                </c:pt>
                <c:pt idx="18">
                  <c:v>1282495449026.1294</c:v>
                </c:pt>
                <c:pt idx="19">
                  <c:v>1288784492108.4531</c:v>
                </c:pt>
                <c:pt idx="20">
                  <c:v>1295073535190.7769</c:v>
                </c:pt>
                <c:pt idx="21">
                  <c:v>1299931568612.1099</c:v>
                </c:pt>
                <c:pt idx="22">
                  <c:v>1305765290438.6633</c:v>
                </c:pt>
                <c:pt idx="23">
                  <c:v>1311599012265.2168</c:v>
                </c:pt>
                <c:pt idx="24">
                  <c:v>1317432734091.7705</c:v>
                </c:pt>
                <c:pt idx="25">
                  <c:v>1323266455918.324</c:v>
                </c:pt>
                <c:pt idx="26">
                  <c:v>1329100177744.8799</c:v>
                </c:pt>
                <c:pt idx="27">
                  <c:v>1334933899571.4333</c:v>
                </c:pt>
                <c:pt idx="28">
                  <c:v>1340767621397.9868</c:v>
                </c:pt>
                <c:pt idx="29">
                  <c:v>1346601343224.5405</c:v>
                </c:pt>
                <c:pt idx="30">
                  <c:v>1352435065051.094</c:v>
                </c:pt>
              </c:numCache>
            </c:numRef>
          </c:val>
          <c:smooth val="0"/>
          <c:extLst>
            <c:ext xmlns:c16="http://schemas.microsoft.com/office/drawing/2014/chart" uri="{C3380CC4-5D6E-409C-BE32-E72D297353CC}">
              <c16:uniqueId val="{0000000F-3472-4CD4-99C9-DCC7B9016330}"/>
            </c:ext>
          </c:extLst>
        </c:ser>
        <c:ser>
          <c:idx val="18"/>
          <c:order val="15"/>
          <c:tx>
            <c:strRef>
              <c:f>'BIFUbC-petroleum-diesel'!$A$17</c:f>
              <c:strCache>
                <c:ptCount val="1"/>
                <c:pt idx="0">
                  <c:v>metal products except machinery and vehicles 25</c:v>
                </c:pt>
              </c:strCache>
            </c:strRef>
          </c:tx>
          <c:spPr>
            <a:ln w="28575" cap="rnd">
              <a:solidFill>
                <a:schemeClr val="accent1">
                  <a:lumMod val="8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'BIFUbC-petroleum-diesel'!$B$17:$AF$17</c:f>
              <c:numCache>
                <c:formatCode>0.00E+00</c:formatCode>
                <c:ptCount val="31"/>
                <c:pt idx="0">
                  <c:v>3711842302077.9048</c:v>
                </c:pt>
                <c:pt idx="1">
                  <c:v>3792742699501.3408</c:v>
                </c:pt>
                <c:pt idx="2">
                  <c:v>4116344289195.085</c:v>
                </c:pt>
                <c:pt idx="3">
                  <c:v>3954543494348.2129</c:v>
                </c:pt>
                <c:pt idx="4">
                  <c:v>4035443891771.6489</c:v>
                </c:pt>
                <c:pt idx="5">
                  <c:v>4116344289195.085</c:v>
                </c:pt>
                <c:pt idx="6">
                  <c:v>4129382196926.4277</c:v>
                </c:pt>
                <c:pt idx="7">
                  <c:v>4142420104657.772</c:v>
                </c:pt>
                <c:pt idx="8">
                  <c:v>4155458012389.1147</c:v>
                </c:pt>
                <c:pt idx="9">
                  <c:v>4168495920120.458</c:v>
                </c:pt>
                <c:pt idx="10">
                  <c:v>4181533827851.8018</c:v>
                </c:pt>
                <c:pt idx="11">
                  <c:v>4187873853304.5708</c:v>
                </c:pt>
                <c:pt idx="12">
                  <c:v>4194213878757.3413</c:v>
                </c:pt>
                <c:pt idx="13">
                  <c:v>4200553904210.1108</c:v>
                </c:pt>
                <c:pt idx="14">
                  <c:v>4206893929662.8799</c:v>
                </c:pt>
                <c:pt idx="15">
                  <c:v>4213233955115.6504</c:v>
                </c:pt>
                <c:pt idx="16">
                  <c:v>4225530487644.0552</c:v>
                </c:pt>
                <c:pt idx="17">
                  <c:v>4237827020172.46</c:v>
                </c:pt>
                <c:pt idx="18">
                  <c:v>4250123552700.8652</c:v>
                </c:pt>
                <c:pt idx="19">
                  <c:v>4262420085229.27</c:v>
                </c:pt>
                <c:pt idx="20">
                  <c:v>4274716617757.6748</c:v>
                </c:pt>
                <c:pt idx="21">
                  <c:v>4279071140851.8994</c:v>
                </c:pt>
                <c:pt idx="22">
                  <c:v>4288840670378.5195</c:v>
                </c:pt>
                <c:pt idx="23">
                  <c:v>4298610199905.1387</c:v>
                </c:pt>
                <c:pt idx="24">
                  <c:v>4308379729431.7578</c:v>
                </c:pt>
                <c:pt idx="25">
                  <c:v>4318149258958.377</c:v>
                </c:pt>
                <c:pt idx="26">
                  <c:v>4327918788485.001</c:v>
                </c:pt>
                <c:pt idx="27">
                  <c:v>4337688318011.6206</c:v>
                </c:pt>
                <c:pt idx="28">
                  <c:v>4347457847538.2402</c:v>
                </c:pt>
                <c:pt idx="29">
                  <c:v>4357227377064.8594</c:v>
                </c:pt>
                <c:pt idx="30">
                  <c:v>4366996906591.479</c:v>
                </c:pt>
              </c:numCache>
            </c:numRef>
          </c:val>
          <c:smooth val="0"/>
          <c:extLst>
            <c:ext xmlns:c16="http://schemas.microsoft.com/office/drawing/2014/chart" uri="{C3380CC4-5D6E-409C-BE32-E72D297353CC}">
              <c16:uniqueId val="{00000010-3472-4CD4-99C9-DCC7B9016330}"/>
            </c:ext>
          </c:extLst>
        </c:ser>
        <c:ser>
          <c:idx val="19"/>
          <c:order val="16"/>
          <c:tx>
            <c:strRef>
              <c:f>'BIFUbC-petroleum-diesel'!$A$18</c:f>
              <c:strCache>
                <c:ptCount val="1"/>
                <c:pt idx="0">
                  <c:v>computers and electronics 26</c:v>
                </c:pt>
              </c:strCache>
            </c:strRef>
          </c:tx>
          <c:spPr>
            <a:ln w="28575" cap="rnd">
              <a:solidFill>
                <a:schemeClr val="accent2">
                  <a:lumMod val="8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'BIFUbC-petroleum-diesel'!$B$18:$AF$18</c:f>
              <c:numCache>
                <c:formatCode>0.00E+00</c:formatCode>
                <c:ptCount val="31"/>
                <c:pt idx="0">
                  <c:v>11574581998335.951</c:v>
                </c:pt>
                <c:pt idx="1">
                  <c:v>12100980384141.652</c:v>
                </c:pt>
                <c:pt idx="2">
                  <c:v>14206573927364.455</c:v>
                </c:pt>
                <c:pt idx="3">
                  <c:v>13153777155753.055</c:v>
                </c:pt>
                <c:pt idx="4">
                  <c:v>13680175541558.754</c:v>
                </c:pt>
                <c:pt idx="5">
                  <c:v>14206573927364.455</c:v>
                </c:pt>
                <c:pt idx="6">
                  <c:v>14464346507231.893</c:v>
                </c:pt>
                <c:pt idx="7">
                  <c:v>14722119087099.398</c:v>
                </c:pt>
                <c:pt idx="8">
                  <c:v>14979891666966.902</c:v>
                </c:pt>
                <c:pt idx="9">
                  <c:v>15237664246834.408</c:v>
                </c:pt>
                <c:pt idx="10">
                  <c:v>15495436826701.979</c:v>
                </c:pt>
                <c:pt idx="11">
                  <c:v>15710643883124.693</c:v>
                </c:pt>
                <c:pt idx="12">
                  <c:v>15925850939547.41</c:v>
                </c:pt>
                <c:pt idx="13">
                  <c:v>16141057995970.127</c:v>
                </c:pt>
                <c:pt idx="14">
                  <c:v>16356265052392.846</c:v>
                </c:pt>
                <c:pt idx="15">
                  <c:v>16571472108815.561</c:v>
                </c:pt>
                <c:pt idx="16">
                  <c:v>16793024336435.014</c:v>
                </c:pt>
                <c:pt idx="17">
                  <c:v>17014576564054.469</c:v>
                </c:pt>
                <c:pt idx="18">
                  <c:v>17236128791673.926</c:v>
                </c:pt>
                <c:pt idx="19">
                  <c:v>17457681019293.381</c:v>
                </c:pt>
                <c:pt idx="20">
                  <c:v>17679233246912.832</c:v>
                </c:pt>
                <c:pt idx="21">
                  <c:v>17892325246269.973</c:v>
                </c:pt>
                <c:pt idx="22">
                  <c:v>18111185583078.684</c:v>
                </c:pt>
                <c:pt idx="23">
                  <c:v>18330045919887.461</c:v>
                </c:pt>
                <c:pt idx="24">
                  <c:v>18548906256696.172</c:v>
                </c:pt>
                <c:pt idx="25">
                  <c:v>18767766593504.883</c:v>
                </c:pt>
                <c:pt idx="26">
                  <c:v>18986626930313.594</c:v>
                </c:pt>
                <c:pt idx="27">
                  <c:v>19205487267122.305</c:v>
                </c:pt>
                <c:pt idx="28">
                  <c:v>19424347603931.016</c:v>
                </c:pt>
                <c:pt idx="29">
                  <c:v>19643207940739.73</c:v>
                </c:pt>
                <c:pt idx="30">
                  <c:v>19862068277548.438</c:v>
                </c:pt>
              </c:numCache>
            </c:numRef>
          </c:val>
          <c:smooth val="0"/>
          <c:extLst>
            <c:ext xmlns:c16="http://schemas.microsoft.com/office/drawing/2014/chart" uri="{C3380CC4-5D6E-409C-BE32-E72D297353CC}">
              <c16:uniqueId val="{00000011-3472-4CD4-99C9-DCC7B9016330}"/>
            </c:ext>
          </c:extLst>
        </c:ser>
        <c:ser>
          <c:idx val="20"/>
          <c:order val="17"/>
          <c:tx>
            <c:strRef>
              <c:f>'BIFUbC-petroleum-diesel'!$A$19</c:f>
              <c:strCache>
                <c:ptCount val="1"/>
                <c:pt idx="0">
                  <c:v>appliances and electrical equipment 27</c:v>
                </c:pt>
              </c:strCache>
            </c:strRef>
          </c:tx>
          <c:spPr>
            <a:ln w="28575" cap="rnd">
              <a:solidFill>
                <a:schemeClr val="accent3">
                  <a:lumMod val="8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'BIFUbC-petroleum-diesel'!$B$19:$AF$19</c:f>
              <c:numCache>
                <c:formatCode>0.00E+00</c:formatCode>
                <c:ptCount val="31"/>
                <c:pt idx="0">
                  <c:v>2015596800541.4402</c:v>
                </c:pt>
                <c:pt idx="1">
                  <c:v>2107263774121.3662</c:v>
                </c:pt>
                <c:pt idx="2">
                  <c:v>2473931668441.0703</c:v>
                </c:pt>
                <c:pt idx="3">
                  <c:v>2290597721281.2183</c:v>
                </c:pt>
                <c:pt idx="4">
                  <c:v>2382264694861.1445</c:v>
                </c:pt>
                <c:pt idx="5">
                  <c:v>2473931668441.0703</c:v>
                </c:pt>
                <c:pt idx="6">
                  <c:v>2518820165263.0562</c:v>
                </c:pt>
                <c:pt idx="7">
                  <c:v>2563708662085.0537</c:v>
                </c:pt>
                <c:pt idx="8">
                  <c:v>2608597158907.0518</c:v>
                </c:pt>
                <c:pt idx="9">
                  <c:v>2653485655729.0493</c:v>
                </c:pt>
                <c:pt idx="10">
                  <c:v>2698374152551.0586</c:v>
                </c:pt>
                <c:pt idx="11">
                  <c:v>2735850292461.937</c:v>
                </c:pt>
                <c:pt idx="12">
                  <c:v>2773326432372.8145</c:v>
                </c:pt>
                <c:pt idx="13">
                  <c:v>2810802572283.6929</c:v>
                </c:pt>
                <c:pt idx="14">
                  <c:v>2848278712194.5708</c:v>
                </c:pt>
                <c:pt idx="15">
                  <c:v>2885754852105.4492</c:v>
                </c:pt>
                <c:pt idx="16">
                  <c:v>2924335939630.4067</c:v>
                </c:pt>
                <c:pt idx="17">
                  <c:v>2962917027155.3647</c:v>
                </c:pt>
                <c:pt idx="18">
                  <c:v>3001498114680.3228</c:v>
                </c:pt>
                <c:pt idx="19">
                  <c:v>3040079202205.2808</c:v>
                </c:pt>
                <c:pt idx="20">
                  <c:v>3078660289730.2388</c:v>
                </c:pt>
                <c:pt idx="21">
                  <c:v>3115768113769.7568</c:v>
                </c:pt>
                <c:pt idx="22">
                  <c:v>3153880435640.2554</c:v>
                </c:pt>
                <c:pt idx="23">
                  <c:v>3191992757510.7656</c:v>
                </c:pt>
                <c:pt idx="24">
                  <c:v>3230105079381.2646</c:v>
                </c:pt>
                <c:pt idx="25">
                  <c:v>3268217401251.7632</c:v>
                </c:pt>
                <c:pt idx="26">
                  <c:v>3306329723122.2622</c:v>
                </c:pt>
                <c:pt idx="27">
                  <c:v>3344442044992.7607</c:v>
                </c:pt>
                <c:pt idx="28">
                  <c:v>3382554366863.2598</c:v>
                </c:pt>
                <c:pt idx="29">
                  <c:v>3420666688733.7583</c:v>
                </c:pt>
                <c:pt idx="30">
                  <c:v>3458779010604.2568</c:v>
                </c:pt>
              </c:numCache>
            </c:numRef>
          </c:val>
          <c:smooth val="0"/>
          <c:extLst>
            <c:ext xmlns:c16="http://schemas.microsoft.com/office/drawing/2014/chart" uri="{C3380CC4-5D6E-409C-BE32-E72D297353CC}">
              <c16:uniqueId val="{00000012-3472-4CD4-99C9-DCC7B9016330}"/>
            </c:ext>
          </c:extLst>
        </c:ser>
        <c:ser>
          <c:idx val="21"/>
          <c:order val="18"/>
          <c:tx>
            <c:strRef>
              <c:f>'BIFUbC-petroleum-diesel'!$A$20</c:f>
              <c:strCache>
                <c:ptCount val="1"/>
                <c:pt idx="0">
                  <c:v>other machinery 28</c:v>
                </c:pt>
              </c:strCache>
            </c:strRef>
          </c:tx>
          <c:spPr>
            <a:ln w="28575" cap="rnd">
              <a:solidFill>
                <a:schemeClr val="accent4">
                  <a:lumMod val="8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'BIFUbC-petroleum-diesel'!$B$20:$AF$20</c:f>
              <c:numCache>
                <c:formatCode>0.00E+00</c:formatCode>
                <c:ptCount val="31"/>
                <c:pt idx="0">
                  <c:v>3146597285809.4561</c:v>
                </c:pt>
                <c:pt idx="1">
                  <c:v>3289700832206.9692</c:v>
                </c:pt>
                <c:pt idx="2">
                  <c:v>3862115017797.0249</c:v>
                </c:pt>
                <c:pt idx="3">
                  <c:v>3575907925001.9976</c:v>
                </c:pt>
                <c:pt idx="4">
                  <c:v>3719011471399.5112</c:v>
                </c:pt>
                <c:pt idx="5">
                  <c:v>3862115017797.0249</c:v>
                </c:pt>
                <c:pt idx="6">
                  <c:v>3932191544127.1851</c:v>
                </c:pt>
                <c:pt idx="7">
                  <c:v>4002268070457.3628</c:v>
                </c:pt>
                <c:pt idx="8">
                  <c:v>4072344596787.54</c:v>
                </c:pt>
                <c:pt idx="9">
                  <c:v>4142421123117.7178</c:v>
                </c:pt>
                <c:pt idx="10">
                  <c:v>4212497649447.9141</c:v>
                </c:pt>
                <c:pt idx="11">
                  <c:v>4271002564763.5703</c:v>
                </c:pt>
                <c:pt idx="12">
                  <c:v>4329507480079.2256</c:v>
                </c:pt>
                <c:pt idx="13">
                  <c:v>4388012395394.8818</c:v>
                </c:pt>
                <c:pt idx="14">
                  <c:v>4446517310710.5371</c:v>
                </c:pt>
                <c:pt idx="15">
                  <c:v>4505022226026.1943</c:v>
                </c:pt>
                <c:pt idx="16">
                  <c:v>4565252101989.9766</c:v>
                </c:pt>
                <c:pt idx="17">
                  <c:v>4625481977953.7607</c:v>
                </c:pt>
                <c:pt idx="18">
                  <c:v>4685711853917.5439</c:v>
                </c:pt>
                <c:pt idx="19">
                  <c:v>4745941729881.3281</c:v>
                </c:pt>
                <c:pt idx="20">
                  <c:v>4806171605845.1123</c:v>
                </c:pt>
                <c:pt idx="21">
                  <c:v>4864101534278.0586</c:v>
                </c:pt>
                <c:pt idx="22">
                  <c:v>4923599608754.7568</c:v>
                </c:pt>
                <c:pt idx="23">
                  <c:v>4983097683231.4717</c:v>
                </c:pt>
                <c:pt idx="24">
                  <c:v>5042595757708.1689</c:v>
                </c:pt>
                <c:pt idx="25">
                  <c:v>5102093832184.8662</c:v>
                </c:pt>
                <c:pt idx="26">
                  <c:v>5161591906661.5645</c:v>
                </c:pt>
                <c:pt idx="27">
                  <c:v>5221089981138.2607</c:v>
                </c:pt>
                <c:pt idx="28">
                  <c:v>5280588055614.959</c:v>
                </c:pt>
                <c:pt idx="29">
                  <c:v>5340086130091.6563</c:v>
                </c:pt>
                <c:pt idx="30">
                  <c:v>5399584204568.3535</c:v>
                </c:pt>
              </c:numCache>
            </c:numRef>
          </c:val>
          <c:smooth val="0"/>
          <c:extLst>
            <c:ext xmlns:c16="http://schemas.microsoft.com/office/drawing/2014/chart" uri="{C3380CC4-5D6E-409C-BE32-E72D297353CC}">
              <c16:uniqueId val="{00000013-3472-4CD4-99C9-DCC7B9016330}"/>
            </c:ext>
          </c:extLst>
        </c:ser>
        <c:ser>
          <c:idx val="22"/>
          <c:order val="19"/>
          <c:tx>
            <c:strRef>
              <c:f>'BIFUbC-petroleum-diesel'!$A$21</c:f>
              <c:strCache>
                <c:ptCount val="1"/>
                <c:pt idx="0">
                  <c:v>road vehicles 29</c:v>
                </c:pt>
              </c:strCache>
            </c:strRef>
          </c:tx>
          <c:spPr>
            <a:ln w="28575" cap="rnd">
              <a:solidFill>
                <a:schemeClr val="accent5">
                  <a:lumMod val="8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'BIFUbC-petroleum-diesel'!$B$21:$AF$21</c:f>
              <c:numCache>
                <c:formatCode>0.00E+00</c:formatCode>
                <c:ptCount val="31"/>
                <c:pt idx="0">
                  <c:v>3285299850047.1919</c:v>
                </c:pt>
                <c:pt idx="1">
                  <c:v>3434711426050.6431</c:v>
                </c:pt>
                <c:pt idx="2">
                  <c:v>4032357730064.4492</c:v>
                </c:pt>
                <c:pt idx="3">
                  <c:v>3733534578057.5459</c:v>
                </c:pt>
                <c:pt idx="4">
                  <c:v>3882946154060.998</c:v>
                </c:pt>
                <c:pt idx="5">
                  <c:v>4032357730064.4492</c:v>
                </c:pt>
                <c:pt idx="6">
                  <c:v>4105523242054.9917</c:v>
                </c:pt>
                <c:pt idx="7">
                  <c:v>4178688754045.5537</c:v>
                </c:pt>
                <c:pt idx="8">
                  <c:v>4251854266036.1157</c:v>
                </c:pt>
                <c:pt idx="9">
                  <c:v>4325019778026.6772</c:v>
                </c:pt>
                <c:pt idx="10">
                  <c:v>4398185290017.2578</c:v>
                </c:pt>
                <c:pt idx="11">
                  <c:v>4459269112335.5322</c:v>
                </c:pt>
                <c:pt idx="12">
                  <c:v>4520352934653.8057</c:v>
                </c:pt>
                <c:pt idx="13">
                  <c:v>4581436756972.0801</c:v>
                </c:pt>
                <c:pt idx="14">
                  <c:v>4642520579290.3545</c:v>
                </c:pt>
                <c:pt idx="15">
                  <c:v>4703604401608.6279</c:v>
                </c:pt>
                <c:pt idx="16">
                  <c:v>4766489221145.1328</c:v>
                </c:pt>
                <c:pt idx="17">
                  <c:v>4829374040681.6348</c:v>
                </c:pt>
                <c:pt idx="18">
                  <c:v>4892258860218.1396</c:v>
                </c:pt>
                <c:pt idx="19">
                  <c:v>4955143679754.6426</c:v>
                </c:pt>
                <c:pt idx="20">
                  <c:v>5018028499291.1455</c:v>
                </c:pt>
                <c:pt idx="21">
                  <c:v>5078511989203.3428</c:v>
                </c:pt>
                <c:pt idx="22">
                  <c:v>5140632749313.9297</c:v>
                </c:pt>
                <c:pt idx="23">
                  <c:v>5202753509424.5342</c:v>
                </c:pt>
                <c:pt idx="24">
                  <c:v>5264874269535.1211</c:v>
                </c:pt>
                <c:pt idx="25">
                  <c:v>5326995029645.707</c:v>
                </c:pt>
                <c:pt idx="26">
                  <c:v>5389115789756.293</c:v>
                </c:pt>
                <c:pt idx="27">
                  <c:v>5451236549866.8799</c:v>
                </c:pt>
                <c:pt idx="28">
                  <c:v>5513357309977.4658</c:v>
                </c:pt>
                <c:pt idx="29">
                  <c:v>5575478070088.0518</c:v>
                </c:pt>
                <c:pt idx="30">
                  <c:v>5637598830198.6387</c:v>
                </c:pt>
              </c:numCache>
            </c:numRef>
          </c:val>
          <c:smooth val="0"/>
          <c:extLst>
            <c:ext xmlns:c16="http://schemas.microsoft.com/office/drawing/2014/chart" uri="{C3380CC4-5D6E-409C-BE32-E72D297353CC}">
              <c16:uniqueId val="{00000014-3472-4CD4-99C9-DCC7B9016330}"/>
            </c:ext>
          </c:extLst>
        </c:ser>
        <c:ser>
          <c:idx val="23"/>
          <c:order val="20"/>
          <c:tx>
            <c:strRef>
              <c:f>'BIFUbC-petroleum-diesel'!$A$22</c:f>
              <c:strCache>
                <c:ptCount val="1"/>
                <c:pt idx="0">
                  <c:v>nonroad vehicles 30</c:v>
                </c:pt>
              </c:strCache>
            </c:strRef>
          </c:tx>
          <c:spPr>
            <a:ln w="28575" cap="rnd">
              <a:solidFill>
                <a:schemeClr val="accent6">
                  <a:lumMod val="8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'BIFUbC-petroleum-diesel'!$B$22:$AF$22</c:f>
              <c:numCache>
                <c:formatCode>0.00E+00</c:formatCode>
                <c:ptCount val="31"/>
                <c:pt idx="0">
                  <c:v>841301873257.02112</c:v>
                </c:pt>
                <c:pt idx="1">
                  <c:v>879563293679.93372</c:v>
                </c:pt>
                <c:pt idx="2">
                  <c:v>1032608975371.5842</c:v>
                </c:pt>
                <c:pt idx="3">
                  <c:v>956086134525.75903</c:v>
                </c:pt>
                <c:pt idx="4">
                  <c:v>994347554948.67175</c:v>
                </c:pt>
                <c:pt idx="5">
                  <c:v>1032608975371.5842</c:v>
                </c:pt>
                <c:pt idx="6">
                  <c:v>1051345250629.5547</c:v>
                </c:pt>
                <c:pt idx="7">
                  <c:v>1070081525887.5298</c:v>
                </c:pt>
                <c:pt idx="8">
                  <c:v>1088817801145.5048</c:v>
                </c:pt>
                <c:pt idx="9">
                  <c:v>1107554076403.4802</c:v>
                </c:pt>
                <c:pt idx="10">
                  <c:v>1126290351661.4602</c:v>
                </c:pt>
                <c:pt idx="11">
                  <c:v>1141932739415.2976</c:v>
                </c:pt>
                <c:pt idx="12">
                  <c:v>1157575127169.1355</c:v>
                </c:pt>
                <c:pt idx="13">
                  <c:v>1173217514922.9734</c:v>
                </c:pt>
                <c:pt idx="14">
                  <c:v>1188859902676.811</c:v>
                </c:pt>
                <c:pt idx="15">
                  <c:v>1204502290430.6487</c:v>
                </c:pt>
                <c:pt idx="16">
                  <c:v>1220605878806.2209</c:v>
                </c:pt>
                <c:pt idx="17">
                  <c:v>1236709467181.7937</c:v>
                </c:pt>
                <c:pt idx="18">
                  <c:v>1252813055557.3662</c:v>
                </c:pt>
                <c:pt idx="19">
                  <c:v>1268916643932.9385</c:v>
                </c:pt>
                <c:pt idx="20">
                  <c:v>1285020232308.511</c:v>
                </c:pt>
                <c:pt idx="21">
                  <c:v>1300508886521.7705</c:v>
                </c:pt>
                <c:pt idx="22">
                  <c:v>1316416814027.5156</c:v>
                </c:pt>
                <c:pt idx="23">
                  <c:v>1332324741533.2656</c:v>
                </c:pt>
                <c:pt idx="24">
                  <c:v>1348232669039.011</c:v>
                </c:pt>
                <c:pt idx="25">
                  <c:v>1364140596544.7561</c:v>
                </c:pt>
                <c:pt idx="26">
                  <c:v>1380048524050.5015</c:v>
                </c:pt>
                <c:pt idx="27">
                  <c:v>1395956451556.2463</c:v>
                </c:pt>
                <c:pt idx="28">
                  <c:v>1411864379061.9915</c:v>
                </c:pt>
                <c:pt idx="29">
                  <c:v>1427772306567.7368</c:v>
                </c:pt>
                <c:pt idx="30">
                  <c:v>1443680234073.4819</c:v>
                </c:pt>
              </c:numCache>
            </c:numRef>
          </c:val>
          <c:smooth val="0"/>
          <c:extLst>
            <c:ext xmlns:c16="http://schemas.microsoft.com/office/drawing/2014/chart" uri="{C3380CC4-5D6E-409C-BE32-E72D297353CC}">
              <c16:uniqueId val="{00000015-3472-4CD4-99C9-DCC7B9016330}"/>
            </c:ext>
          </c:extLst>
        </c:ser>
        <c:ser>
          <c:idx val="24"/>
          <c:order val="21"/>
          <c:tx>
            <c:strRef>
              <c:f>'BIFUbC-petroleum-diesel'!$A$23</c:f>
              <c:strCache>
                <c:ptCount val="1"/>
                <c:pt idx="0">
                  <c:v>other manufacturing 31T33</c:v>
                </c:pt>
              </c:strCache>
            </c:strRef>
          </c:tx>
          <c:spPr>
            <a:ln w="28575" cap="rnd">
              <a:solidFill>
                <a:schemeClr val="accent1">
                  <a:lumMod val="60000"/>
                  <a:lumOff val="4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'BIFUbC-petroleum-diesel'!$B$23:$AF$23</c:f>
              <c:numCache>
                <c:formatCode>0.00E+00</c:formatCode>
                <c:ptCount val="31"/>
                <c:pt idx="0">
                  <c:v>12853397861491.633</c:v>
                </c:pt>
                <c:pt idx="1">
                  <c:v>13150509728041.039</c:v>
                </c:pt>
                <c:pt idx="2">
                  <c:v>13447621594590.443</c:v>
                </c:pt>
                <c:pt idx="3">
                  <c:v>13744733461139.85</c:v>
                </c:pt>
                <c:pt idx="4">
                  <c:v>14041845327689.254</c:v>
                </c:pt>
                <c:pt idx="5">
                  <c:v>14338957194238.658</c:v>
                </c:pt>
                <c:pt idx="6">
                  <c:v>14470148677309.236</c:v>
                </c:pt>
                <c:pt idx="7">
                  <c:v>14601340160379.775</c:v>
                </c:pt>
                <c:pt idx="8">
                  <c:v>14732531643450.316</c:v>
                </c:pt>
                <c:pt idx="9">
                  <c:v>14863723126520.855</c:v>
                </c:pt>
                <c:pt idx="10">
                  <c:v>14994914609591.42</c:v>
                </c:pt>
                <c:pt idx="11">
                  <c:v>15086758860500.98</c:v>
                </c:pt>
                <c:pt idx="12">
                  <c:v>15178603111410.566</c:v>
                </c:pt>
                <c:pt idx="13">
                  <c:v>15270447362320.152</c:v>
                </c:pt>
                <c:pt idx="14">
                  <c:v>15362291613229.736</c:v>
                </c:pt>
                <c:pt idx="15">
                  <c:v>15454135864139.316</c:v>
                </c:pt>
                <c:pt idx="16">
                  <c:v>15525945620763.004</c:v>
                </c:pt>
                <c:pt idx="17">
                  <c:v>15597755377386.637</c:v>
                </c:pt>
                <c:pt idx="18">
                  <c:v>15669565134010.291</c:v>
                </c:pt>
                <c:pt idx="19">
                  <c:v>15741374890633.951</c:v>
                </c:pt>
                <c:pt idx="20">
                  <c:v>15813184647257.582</c:v>
                </c:pt>
                <c:pt idx="21">
                  <c:v>15911707062929.152</c:v>
                </c:pt>
                <c:pt idx="22">
                  <c:v>15992016301977.131</c:v>
                </c:pt>
                <c:pt idx="23">
                  <c:v>16072325541025.139</c:v>
                </c:pt>
                <c:pt idx="24">
                  <c:v>16152634780073.125</c:v>
                </c:pt>
                <c:pt idx="25">
                  <c:v>16232944019121.107</c:v>
                </c:pt>
                <c:pt idx="26">
                  <c:v>16313253258169.086</c:v>
                </c:pt>
                <c:pt idx="27">
                  <c:v>16393562497217.094</c:v>
                </c:pt>
                <c:pt idx="28">
                  <c:v>16473871736265.078</c:v>
                </c:pt>
                <c:pt idx="29">
                  <c:v>16554180975313.063</c:v>
                </c:pt>
                <c:pt idx="30">
                  <c:v>16634490214361.068</c:v>
                </c:pt>
              </c:numCache>
            </c:numRef>
          </c:val>
          <c:smooth val="0"/>
          <c:extLst>
            <c:ext xmlns:c16="http://schemas.microsoft.com/office/drawing/2014/chart" uri="{C3380CC4-5D6E-409C-BE32-E72D297353CC}">
              <c16:uniqueId val="{00000016-3472-4CD4-99C9-DCC7B9016330}"/>
            </c:ext>
          </c:extLst>
        </c:ser>
        <c:ser>
          <c:idx val="25"/>
          <c:order val="22"/>
          <c:tx>
            <c:strRef>
              <c:f>'BIFUbC-petroleum-diesel'!$A$24</c:f>
              <c:strCache>
                <c:ptCount val="1"/>
                <c:pt idx="0">
                  <c:v>energy pipelines and gas processing 352T353</c:v>
                </c:pt>
              </c:strCache>
            </c:strRef>
          </c:tx>
          <c:spPr>
            <a:ln w="28575" cap="rnd">
              <a:solidFill>
                <a:schemeClr val="accent2">
                  <a:lumMod val="60000"/>
                  <a:lumOff val="4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'BIFUbC-petroleum-diesel'!$B$24:$AF$24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7-3472-4CD4-99C9-DCC7B9016330}"/>
            </c:ext>
          </c:extLst>
        </c:ser>
        <c:ser>
          <c:idx val="0"/>
          <c:order val="23"/>
          <c:tx>
            <c:strRef>
              <c:f>'BIFUbC-petroleum-diesel'!$A$25</c:f>
              <c:strCache>
                <c:ptCount val="1"/>
                <c:pt idx="0">
                  <c:v>water and waste 36T39</c:v>
                </c:pt>
              </c:strCache>
            </c:strRef>
          </c:tx>
          <c:spPr>
            <a:ln w="28575" cap="rnd">
              <a:solidFill>
                <a:schemeClr val="accent1"/>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'BIFUbC-petroleum-diesel'!$B$25:$AF$25</c:f>
              <c:numCache>
                <c:formatCode>0.00E+00</c:formatCode>
                <c:ptCount val="31"/>
                <c:pt idx="0">
                  <c:v>599397223333.35132</c:v>
                </c:pt>
                <c:pt idx="1">
                  <c:v>599996620556.68457</c:v>
                </c:pt>
                <c:pt idx="2">
                  <c:v>600596617177.24121</c:v>
                </c:pt>
                <c:pt idx="3">
                  <c:v>601197213794.41846</c:v>
                </c:pt>
                <c:pt idx="4">
                  <c:v>601798411008.21277</c:v>
                </c:pt>
                <c:pt idx="5">
                  <c:v>602400209419.22095</c:v>
                </c:pt>
                <c:pt idx="6">
                  <c:v>603002609628.64014</c:v>
                </c:pt>
                <c:pt idx="7">
                  <c:v>603605612238.26868</c:v>
                </c:pt>
                <c:pt idx="8">
                  <c:v>604209217850.50696</c:v>
                </c:pt>
                <c:pt idx="9">
                  <c:v>604813427068.35742</c:v>
                </c:pt>
                <c:pt idx="10">
                  <c:v>605418240495.42566</c:v>
                </c:pt>
                <c:pt idx="11">
                  <c:v>606023658735.92102</c:v>
                </c:pt>
                <c:pt idx="12">
                  <c:v>606629682394.65686</c:v>
                </c:pt>
                <c:pt idx="13">
                  <c:v>607236312077.05139</c:v>
                </c:pt>
                <c:pt idx="14">
                  <c:v>607843548389.12842</c:v>
                </c:pt>
                <c:pt idx="15">
                  <c:v>608451391937.51746</c:v>
                </c:pt>
                <c:pt idx="16">
                  <c:v>609059843329.45483</c:v>
                </c:pt>
                <c:pt idx="17">
                  <c:v>609668903172.78418</c:v>
                </c:pt>
                <c:pt idx="18">
                  <c:v>610278572075.95691</c:v>
                </c:pt>
                <c:pt idx="19">
                  <c:v>610888850648.03284</c:v>
                </c:pt>
                <c:pt idx="20">
                  <c:v>611499739498.68079</c:v>
                </c:pt>
                <c:pt idx="21">
                  <c:v>608442240801.18738</c:v>
                </c:pt>
                <c:pt idx="22">
                  <c:v>605400029597.1814</c:v>
                </c:pt>
                <c:pt idx="23">
                  <c:v>602373029449.19543</c:v>
                </c:pt>
                <c:pt idx="24">
                  <c:v>599361164301.94946</c:v>
                </c:pt>
                <c:pt idx="25">
                  <c:v>596364358480.4397</c:v>
                </c:pt>
                <c:pt idx="26">
                  <c:v>593382536688.0376</c:v>
                </c:pt>
                <c:pt idx="27">
                  <c:v>590415624004.59741</c:v>
                </c:pt>
                <c:pt idx="28">
                  <c:v>587463545884.57434</c:v>
                </c:pt>
                <c:pt idx="29">
                  <c:v>584526228155.15149</c:v>
                </c:pt>
                <c:pt idx="30">
                  <c:v>581603597014.37573</c:v>
                </c:pt>
              </c:numCache>
            </c:numRef>
          </c:val>
          <c:smooth val="0"/>
          <c:extLst>
            <c:ext xmlns:c16="http://schemas.microsoft.com/office/drawing/2014/chart" uri="{C3380CC4-5D6E-409C-BE32-E72D297353CC}">
              <c16:uniqueId val="{00000018-3472-4CD4-99C9-DCC7B9016330}"/>
            </c:ext>
          </c:extLst>
        </c:ser>
        <c:ser>
          <c:idx val="1"/>
          <c:order val="24"/>
          <c:tx>
            <c:strRef>
              <c:f>'BIFUbC-petroleum-diesel'!$A$26</c:f>
              <c:strCache>
                <c:ptCount val="1"/>
                <c:pt idx="0">
                  <c:v>construction 41T43</c:v>
                </c:pt>
              </c:strCache>
            </c:strRef>
          </c:tx>
          <c:spPr>
            <a:ln w="28575" cap="rnd">
              <a:solidFill>
                <a:schemeClr val="accent2"/>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'BIFUbC-petroleum-diesel'!$B$26:$AF$26</c:f>
              <c:numCache>
                <c:formatCode>0.00E+00</c:formatCode>
                <c:ptCount val="31"/>
                <c:pt idx="0">
                  <c:v>42983193579344.18</c:v>
                </c:pt>
                <c:pt idx="1">
                  <c:v>43936858717088.711</c:v>
                </c:pt>
                <c:pt idx="2">
                  <c:v>44890523854833.25</c:v>
                </c:pt>
                <c:pt idx="3">
                  <c:v>45844188992577.781</c:v>
                </c:pt>
                <c:pt idx="4">
                  <c:v>46797854130322.32</c:v>
                </c:pt>
                <c:pt idx="5">
                  <c:v>47751519268066.852</c:v>
                </c:pt>
                <c:pt idx="6">
                  <c:v>48192209885947.727</c:v>
                </c:pt>
                <c:pt idx="7">
                  <c:v>48632900503828.461</c:v>
                </c:pt>
                <c:pt idx="8">
                  <c:v>49073591121709.203</c:v>
                </c:pt>
                <c:pt idx="9">
                  <c:v>49514281739589.945</c:v>
                </c:pt>
                <c:pt idx="10">
                  <c:v>49954972357470.773</c:v>
                </c:pt>
                <c:pt idx="11">
                  <c:v>50268284104592.039</c:v>
                </c:pt>
                <c:pt idx="12">
                  <c:v>50581595851713.391</c:v>
                </c:pt>
                <c:pt idx="13">
                  <c:v>50894907598834.742</c:v>
                </c:pt>
                <c:pt idx="14">
                  <c:v>51208219345956.102</c:v>
                </c:pt>
                <c:pt idx="15">
                  <c:v>51521531093077.43</c:v>
                </c:pt>
                <c:pt idx="16">
                  <c:v>51767494805059.883</c:v>
                </c:pt>
                <c:pt idx="17">
                  <c:v>52013458517042.141</c:v>
                </c:pt>
                <c:pt idx="18">
                  <c:v>52259422229024.477</c:v>
                </c:pt>
                <c:pt idx="19">
                  <c:v>52505385941006.836</c:v>
                </c:pt>
                <c:pt idx="20">
                  <c:v>52751349652989.086</c:v>
                </c:pt>
                <c:pt idx="21">
                  <c:v>53087110745156.797</c:v>
                </c:pt>
                <c:pt idx="22">
                  <c:v>53361646350834.453</c:v>
                </c:pt>
                <c:pt idx="23">
                  <c:v>53636181956512.188</c:v>
                </c:pt>
                <c:pt idx="24">
                  <c:v>53910717562189.852</c:v>
                </c:pt>
                <c:pt idx="25">
                  <c:v>54185253167867.5</c:v>
                </c:pt>
                <c:pt idx="26">
                  <c:v>54459788773545.156</c:v>
                </c:pt>
                <c:pt idx="27">
                  <c:v>54734324379222.898</c:v>
                </c:pt>
                <c:pt idx="28">
                  <c:v>55008859984900.563</c:v>
                </c:pt>
                <c:pt idx="29">
                  <c:v>55283395590578.203</c:v>
                </c:pt>
                <c:pt idx="30">
                  <c:v>55557931196255.953</c:v>
                </c:pt>
              </c:numCache>
            </c:numRef>
          </c:val>
          <c:smooth val="0"/>
          <c:extLst>
            <c:ext xmlns:c16="http://schemas.microsoft.com/office/drawing/2014/chart" uri="{C3380CC4-5D6E-409C-BE32-E72D297353CC}">
              <c16:uniqueId val="{00000019-3472-4CD4-99C9-DCC7B9016330}"/>
            </c:ext>
          </c:extLst>
        </c:ser>
        <c:dLbls>
          <c:showLegendKey val="0"/>
          <c:showVal val="0"/>
          <c:showCatName val="0"/>
          <c:showSerName val="0"/>
          <c:showPercent val="0"/>
          <c:showBubbleSize val="0"/>
        </c:dLbls>
        <c:smooth val="0"/>
        <c:axId val="1554324768"/>
        <c:axId val="1331715072"/>
        <c:extLst/>
      </c:lineChart>
      <c:catAx>
        <c:axId val="155432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15072"/>
        <c:crosses val="autoZero"/>
        <c:auto val="1"/>
        <c:lblAlgn val="ctr"/>
        <c:lblOffset val="100"/>
        <c:noMultiLvlLbl val="0"/>
      </c:catAx>
      <c:valAx>
        <c:axId val="133171507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32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0"/>
          <c:tx>
            <c:strRef>
              <c:f>'BIFUbC-heat'!$A$2</c:f>
              <c:strCache>
                <c:ptCount val="1"/>
                <c:pt idx="0">
                  <c:v>agriculture and forestry 01T03</c:v>
                </c:pt>
              </c:strCache>
            </c:strRef>
          </c:tx>
          <c:spPr>
            <a:ln w="28575" cap="rnd">
              <a:solidFill>
                <a:schemeClr val="accent3"/>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'BIFUbC-heat'!$B$2:$AF$2</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1-A053-47B7-AD7F-3541BC3D0595}"/>
            </c:ext>
          </c:extLst>
        </c:ser>
        <c:ser>
          <c:idx val="3"/>
          <c:order val="1"/>
          <c:tx>
            <c:strRef>
              <c:f>'BIFUbC-heat'!$A$3</c:f>
              <c:strCache>
                <c:ptCount val="1"/>
                <c:pt idx="0">
                  <c:v>coal mining 05</c:v>
                </c:pt>
              </c:strCache>
            </c:strRef>
          </c:tx>
          <c:spPr>
            <a:ln w="28575" cap="rnd">
              <a:solidFill>
                <a:schemeClr val="accent4"/>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'BIFUbC-heat'!$B$3:$AF$3</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A053-47B7-AD7F-3541BC3D0595}"/>
            </c:ext>
          </c:extLst>
        </c:ser>
        <c:ser>
          <c:idx val="4"/>
          <c:order val="2"/>
          <c:tx>
            <c:strRef>
              <c:f>'BIFUbC-heat'!$A$4</c:f>
              <c:strCache>
                <c:ptCount val="1"/>
                <c:pt idx="0">
                  <c:v>oil and gas extraction 06</c:v>
                </c:pt>
              </c:strCache>
            </c:strRef>
          </c:tx>
          <c:spPr>
            <a:ln w="28575" cap="rnd">
              <a:solidFill>
                <a:schemeClr val="accent5"/>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'BIFUbC-heat'!$B$4:$AF$4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3-A053-47B7-AD7F-3541BC3D0595}"/>
            </c:ext>
          </c:extLst>
        </c:ser>
        <c:ser>
          <c:idx val="5"/>
          <c:order val="3"/>
          <c:tx>
            <c:strRef>
              <c:f>'BIFUbC-heat'!$A$5</c:f>
              <c:strCache>
                <c:ptCount val="1"/>
                <c:pt idx="0">
                  <c:v>other mining and quarrying 07T08</c:v>
                </c:pt>
              </c:strCache>
            </c:strRef>
          </c:tx>
          <c:spPr>
            <a:ln w="28575" cap="rnd">
              <a:solidFill>
                <a:schemeClr val="accent6"/>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'BIFUbC-heat'!$B$5:$AF$5</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4-A053-47B7-AD7F-3541BC3D0595}"/>
            </c:ext>
          </c:extLst>
        </c:ser>
        <c:ser>
          <c:idx val="6"/>
          <c:order val="4"/>
          <c:tx>
            <c:strRef>
              <c:f>'BIFUbC-heat'!$A$6</c:f>
              <c:strCache>
                <c:ptCount val="1"/>
                <c:pt idx="0">
                  <c:v>food beverage and tobacco 10T12</c:v>
                </c:pt>
              </c:strCache>
            </c:strRef>
          </c:tx>
          <c:spPr>
            <a:ln w="28575" cap="rnd">
              <a:solidFill>
                <a:schemeClr val="accent1">
                  <a:lumMod val="6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'BIFUbC-heat'!$B$6:$AF$6</c:f>
              <c:numCache>
                <c:formatCode>0.00E+00</c:formatCode>
                <c:ptCount val="31"/>
                <c:pt idx="0">
                  <c:v>136.05075463216477</c:v>
                </c:pt>
                <c:pt idx="1">
                  <c:v>138.14423449672361</c:v>
                </c:pt>
                <c:pt idx="2">
                  <c:v>140.26992776542832</c:v>
                </c:pt>
                <c:pt idx="3">
                  <c:v>142.42833012176942</c:v>
                </c:pt>
                <c:pt idx="4">
                  <c:v>144.6199448765631</c:v>
                </c:pt>
                <c:pt idx="5">
                  <c:v>146.84528308531654</c:v>
                </c:pt>
                <c:pt idx="6">
                  <c:v>149.10486366739937</c:v>
                </c:pt>
                <c:pt idx="7">
                  <c:v>151.39921352704872</c:v>
                </c:pt>
                <c:pt idx="8">
                  <c:v>153.72886767623629</c:v>
                </c:pt>
                <c:pt idx="9">
                  <c:v>156.09436935942614</c:v>
                </c:pt>
                <c:pt idx="10">
                  <c:v>158.49627018025197</c:v>
                </c:pt>
                <c:pt idx="11">
                  <c:v>160.9351302301439</c:v>
                </c:pt>
                <c:pt idx="12">
                  <c:v>163.4115182189343</c:v>
                </c:pt>
                <c:pt idx="13">
                  <c:v>165.92601160747338</c:v>
                </c:pt>
                <c:pt idx="14">
                  <c:v>168.47919674228544</c:v>
                </c:pt>
                <c:pt idx="15">
                  <c:v>171.07166899229705</c:v>
                </c:pt>
                <c:pt idx="16">
                  <c:v>173.70403288766923</c:v>
                </c:pt>
                <c:pt idx="17">
                  <c:v>176.37690226076592</c:v>
                </c:pt>
                <c:pt idx="18">
                  <c:v>179.09090038929142</c:v>
                </c:pt>
                <c:pt idx="19">
                  <c:v>181.84666014163062</c:v>
                </c:pt>
                <c:pt idx="20">
                  <c:v>184.64482412442544</c:v>
                </c:pt>
                <c:pt idx="21">
                  <c:v>187.48604483242221</c:v>
                </c:pt>
                <c:pt idx="22">
                  <c:v>190.3709848006248</c:v>
                </c:pt>
                <c:pt idx="23">
                  <c:v>193.30031675878894</c:v>
                </c:pt>
                <c:pt idx="24">
                  <c:v>196.27472378829395</c:v>
                </c:pt>
                <c:pt idx="25">
                  <c:v>199.29489948142827</c:v>
                </c:pt>
                <c:pt idx="26">
                  <c:v>202.3615481031259</c:v>
                </c:pt>
                <c:pt idx="27">
                  <c:v>205.47538475519175</c:v>
                </c:pt>
                <c:pt idx="28">
                  <c:v>208.63713554305383</c:v>
                </c:pt>
                <c:pt idx="29">
                  <c:v>211.84753774508144</c:v>
                </c:pt>
                <c:pt idx="30">
                  <c:v>215.10733998450871</c:v>
                </c:pt>
              </c:numCache>
            </c:numRef>
          </c:val>
          <c:smooth val="0"/>
          <c:extLst>
            <c:ext xmlns:c16="http://schemas.microsoft.com/office/drawing/2014/chart" uri="{C3380CC4-5D6E-409C-BE32-E72D297353CC}">
              <c16:uniqueId val="{00000005-A053-47B7-AD7F-3541BC3D0595}"/>
            </c:ext>
          </c:extLst>
        </c:ser>
        <c:ser>
          <c:idx val="7"/>
          <c:order val="5"/>
          <c:tx>
            <c:strRef>
              <c:f>'BIFUbC-heat'!$A$7</c:f>
              <c:strCache>
                <c:ptCount val="1"/>
                <c:pt idx="0">
                  <c:v>textiles apparel and leather 13T15</c:v>
                </c:pt>
              </c:strCache>
            </c:strRef>
          </c:tx>
          <c:spPr>
            <a:ln w="28575" cap="rnd">
              <a:solidFill>
                <a:schemeClr val="accent2">
                  <a:lumMod val="6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'BIFUbC-heat'!$B$7:$AF$7</c:f>
              <c:numCache>
                <c:formatCode>0.00E+00</c:formatCode>
                <c:ptCount val="31"/>
                <c:pt idx="0">
                  <c:v>256.94075862500199</c:v>
                </c:pt>
                <c:pt idx="1">
                  <c:v>260.89443242872488</c:v>
                </c:pt>
                <c:pt idx="2">
                  <c:v>264.90894335548694</c:v>
                </c:pt>
                <c:pt idx="3">
                  <c:v>268.98522753601702</c:v>
                </c:pt>
                <c:pt idx="4">
                  <c:v>273.12423550574795</c:v>
                </c:pt>
                <c:pt idx="5">
                  <c:v>277.32693242646855</c:v>
                </c:pt>
                <c:pt idx="6">
                  <c:v>281.59429831138681</c:v>
                </c:pt>
                <c:pt idx="7">
                  <c:v>285.92732825365584</c:v>
                </c:pt>
                <c:pt idx="8">
                  <c:v>290.32703265841644</c:v>
                </c:pt>
                <c:pt idx="9">
                  <c:v>294.79443747841015</c:v>
                </c:pt>
                <c:pt idx="10">
                  <c:v>299.33058445321791</c:v>
                </c:pt>
                <c:pt idx="11">
                  <c:v>303.93653135217983</c:v>
                </c:pt>
                <c:pt idx="12">
                  <c:v>308.61335222105299</c:v>
                </c:pt>
                <c:pt idx="13">
                  <c:v>313.36213763246474</c:v>
                </c:pt>
                <c:pt idx="14">
                  <c:v>318.18399494021975</c:v>
                </c:pt>
                <c:pt idx="15">
                  <c:v>323.08004853752016</c:v>
                </c:pt>
                <c:pt idx="16">
                  <c:v>328.05144011915928</c:v>
                </c:pt>
                <c:pt idx="17">
                  <c:v>333.09932894774965</c:v>
                </c:pt>
                <c:pt idx="18">
                  <c:v>338.22489212404764</c:v>
                </c:pt>
                <c:pt idx="19">
                  <c:v>343.42932486143786</c:v>
                </c:pt>
                <c:pt idx="20">
                  <c:v>348.71384076464096</c:v>
                </c:pt>
                <c:pt idx="21">
                  <c:v>354.07967211271028</c:v>
                </c:pt>
                <c:pt idx="22">
                  <c:v>359.5280701463829</c:v>
                </c:pt>
                <c:pt idx="23">
                  <c:v>365.06030535985235</c:v>
                </c:pt>
                <c:pt idx="24">
                  <c:v>370.67766779703118</c:v>
                </c:pt>
                <c:pt idx="25">
                  <c:v>376.38146735237194</c:v>
                </c:pt>
                <c:pt idx="26">
                  <c:v>382.17303407631732</c:v>
                </c:pt>
                <c:pt idx="27">
                  <c:v>388.05371848545019</c:v>
                </c:pt>
                <c:pt idx="28">
                  <c:v>394.02489187741622</c:v>
                </c:pt>
                <c:pt idx="29">
                  <c:v>400.08794665069223</c:v>
                </c:pt>
                <c:pt idx="30">
                  <c:v>406.2442966292752</c:v>
                </c:pt>
              </c:numCache>
            </c:numRef>
          </c:val>
          <c:smooth val="0"/>
          <c:extLst>
            <c:ext xmlns:c16="http://schemas.microsoft.com/office/drawing/2014/chart" uri="{C3380CC4-5D6E-409C-BE32-E72D297353CC}">
              <c16:uniqueId val="{00000006-A053-47B7-AD7F-3541BC3D0595}"/>
            </c:ext>
          </c:extLst>
        </c:ser>
        <c:ser>
          <c:idx val="8"/>
          <c:order val="6"/>
          <c:tx>
            <c:strRef>
              <c:f>'BIFUbC-heat'!$A$8</c:f>
              <c:strCache>
                <c:ptCount val="1"/>
                <c:pt idx="0">
                  <c:v>wood products 16</c:v>
                </c:pt>
              </c:strCache>
            </c:strRef>
          </c:tx>
          <c:spPr>
            <a:ln w="28575" cap="rnd">
              <a:solidFill>
                <a:schemeClr val="accent3">
                  <a:lumMod val="6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'BIFUbC-heat'!$B$8:$AF$8</c:f>
              <c:numCache>
                <c:formatCode>0.00E+00</c:formatCode>
                <c:ptCount val="31"/>
                <c:pt idx="0">
                  <c:v>8.8765174528833288</c:v>
                </c:pt>
                <c:pt idx="1">
                  <c:v>9.0131047919632046</c:v>
                </c:pt>
                <c:pt idx="2">
                  <c:v>9.1517938675964015</c:v>
                </c:pt>
                <c:pt idx="3">
                  <c:v>9.292617020236797</c:v>
                </c:pt>
                <c:pt idx="4">
                  <c:v>9.4356070879767326</c:v>
                </c:pt>
                <c:pt idx="5">
                  <c:v>9.5807974142044277</c:v>
                </c:pt>
                <c:pt idx="6">
                  <c:v>9.7282218553792106</c:v>
                </c:pt>
                <c:pt idx="7">
                  <c:v>9.8779147889264003</c:v>
                </c:pt>
                <c:pt idx="8">
                  <c:v>10.029911121253663</c:v>
                </c:pt>
                <c:pt idx="9">
                  <c:v>10.184246295890727</c:v>
                </c:pt>
                <c:pt idx="10">
                  <c:v>10.340956301754339</c:v>
                </c:pt>
                <c:pt idx="11">
                  <c:v>10.500077681540406</c:v>
                </c:pt>
                <c:pt idx="12">
                  <c:v>10.661647540245268</c:v>
                </c:pt>
                <c:pt idx="13">
                  <c:v>10.825703553818087</c:v>
                </c:pt>
                <c:pt idx="14">
                  <c:v>10.992283977946387</c:v>
                </c:pt>
                <c:pt idx="15">
                  <c:v>11.161427656976766</c:v>
                </c:pt>
                <c:pt idx="16">
                  <c:v>11.333174032972883</c:v>
                </c:pt>
                <c:pt idx="17">
                  <c:v>11.507563154912827</c:v>
                </c:pt>
                <c:pt idx="18">
                  <c:v>11.684635688028008</c:v>
                </c:pt>
                <c:pt idx="19">
                  <c:v>11.864432923285749</c:v>
                </c:pt>
                <c:pt idx="20">
                  <c:v>12.04699678701779</c:v>
                </c:pt>
                <c:pt idx="21">
                  <c:v>12.232369850696957</c:v>
                </c:pt>
                <c:pt idx="22">
                  <c:v>12.420595340864262</c:v>
                </c:pt>
                <c:pt idx="23">
                  <c:v>12.61171714920876</c:v>
                </c:pt>
                <c:pt idx="24">
                  <c:v>12.805779842802508</c:v>
                </c:pt>
                <c:pt idx="25">
                  <c:v>13.002828674493021</c:v>
                </c:pt>
                <c:pt idx="26">
                  <c:v>13.202909593455628</c:v>
                </c:pt>
                <c:pt idx="27">
                  <c:v>13.406069255908214</c:v>
                </c:pt>
                <c:pt idx="28">
                  <c:v>13.612355035990834</c:v>
                </c:pt>
                <c:pt idx="29">
                  <c:v>13.821815036812733</c:v>
                </c:pt>
                <c:pt idx="30">
                  <c:v>14.03449810166935</c:v>
                </c:pt>
              </c:numCache>
            </c:numRef>
          </c:val>
          <c:smooth val="0"/>
          <c:extLst>
            <c:ext xmlns:c16="http://schemas.microsoft.com/office/drawing/2014/chart" uri="{C3380CC4-5D6E-409C-BE32-E72D297353CC}">
              <c16:uniqueId val="{00000007-A053-47B7-AD7F-3541BC3D0595}"/>
            </c:ext>
          </c:extLst>
        </c:ser>
        <c:ser>
          <c:idx val="9"/>
          <c:order val="7"/>
          <c:tx>
            <c:strRef>
              <c:f>'BIFUbC-heat'!$A$9</c:f>
              <c:strCache>
                <c:ptCount val="1"/>
                <c:pt idx="0">
                  <c:v>pulp paper and printing 17T18</c:v>
                </c:pt>
              </c:strCache>
            </c:strRef>
          </c:tx>
          <c:spPr>
            <a:ln w="28575" cap="rnd">
              <a:solidFill>
                <a:schemeClr val="accent4">
                  <a:lumMod val="6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'BIFUbC-heat'!$B$9:$AF$9</c:f>
              <c:numCache>
                <c:formatCode>0.00E+00</c:formatCode>
                <c:ptCount val="31"/>
                <c:pt idx="0">
                  <c:v>259.40713484246407</c:v>
                </c:pt>
                <c:pt idx="1">
                  <c:v>263.39875998988691</c:v>
                </c:pt>
                <c:pt idx="2">
                  <c:v>267.45180623633701</c:v>
                </c:pt>
                <c:pt idx="3">
                  <c:v>271.56721869846893</c:v>
                </c:pt>
                <c:pt idx="4">
                  <c:v>275.74595703591206</c:v>
                </c:pt>
                <c:pt idx="5">
                  <c:v>279.98899567505032</c:v>
                </c:pt>
                <c:pt idx="6">
                  <c:v>284.29732403624558</c:v>
                </c:pt>
                <c:pt idx="7">
                  <c:v>288.67194676455739</c:v>
                </c:pt>
                <c:pt idx="8">
                  <c:v>293.11388396401287</c:v>
                </c:pt>
                <c:pt idx="9">
                  <c:v>297.62417143548146</c:v>
                </c:pt>
                <c:pt idx="10">
                  <c:v>302.2038609182099</c:v>
                </c:pt>
                <c:pt idx="11">
                  <c:v>306.85402033507393</c:v>
                </c:pt>
                <c:pt idx="12">
                  <c:v>311.57573404160371</c:v>
                </c:pt>
                <c:pt idx="13">
                  <c:v>316.37010307884117</c:v>
                </c:pt>
                <c:pt idx="14">
                  <c:v>321.23824543008823</c:v>
                </c:pt>
                <c:pt idx="15">
                  <c:v>326.18129628160563</c:v>
                </c:pt>
                <c:pt idx="16">
                  <c:v>331.20040828732328</c:v>
                </c:pt>
                <c:pt idx="17">
                  <c:v>336.29675183762402</c:v>
                </c:pt>
                <c:pt idx="18">
                  <c:v>341.47151533226298</c:v>
                </c:pt>
                <c:pt idx="19">
                  <c:v>346.72590545748676</c:v>
                </c:pt>
                <c:pt idx="20">
                  <c:v>352.06114746741662</c:v>
                </c:pt>
                <c:pt idx="21">
                  <c:v>357.47848546976149</c:v>
                </c:pt>
                <c:pt idx="22">
                  <c:v>362.97918271592738</c:v>
                </c:pt>
                <c:pt idx="23">
                  <c:v>368.56452189559093</c:v>
                </c:pt>
                <c:pt idx="24">
                  <c:v>374.23580543580562</c:v>
                </c:pt>
                <c:pt idx="25">
                  <c:v>379.99435580471038</c:v>
                </c:pt>
                <c:pt idx="26">
                  <c:v>385.84151581991182</c:v>
                </c:pt>
                <c:pt idx="27">
                  <c:v>391.77864896161134</c:v>
                </c:pt>
                <c:pt idx="28">
                  <c:v>397.80713969055068</c:v>
                </c:pt>
                <c:pt idx="29">
                  <c:v>403.92839377084982</c:v>
                </c:pt>
                <c:pt idx="30">
                  <c:v>410.14383859781265</c:v>
                </c:pt>
              </c:numCache>
            </c:numRef>
          </c:val>
          <c:smooth val="0"/>
          <c:extLst>
            <c:ext xmlns:c16="http://schemas.microsoft.com/office/drawing/2014/chart" uri="{C3380CC4-5D6E-409C-BE32-E72D297353CC}">
              <c16:uniqueId val="{00000008-A053-47B7-AD7F-3541BC3D0595}"/>
            </c:ext>
          </c:extLst>
        </c:ser>
        <c:ser>
          <c:idx val="10"/>
          <c:order val="8"/>
          <c:tx>
            <c:strRef>
              <c:f>'BIFUbC-heat'!$A$10</c:f>
              <c:strCache>
                <c:ptCount val="1"/>
                <c:pt idx="0">
                  <c:v>refined petroleum and coke 19</c:v>
                </c:pt>
              </c:strCache>
            </c:strRef>
          </c:tx>
          <c:spPr>
            <a:ln w="28575" cap="rnd">
              <a:solidFill>
                <a:schemeClr val="accent5">
                  <a:lumMod val="6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'BIFUbC-heat'!$B$10:$AF$10</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9-A053-47B7-AD7F-3541BC3D0595}"/>
            </c:ext>
          </c:extLst>
        </c:ser>
        <c:ser>
          <c:idx val="11"/>
          <c:order val="9"/>
          <c:tx>
            <c:strRef>
              <c:f>'BIFUbC-heat'!$A$11</c:f>
              <c:strCache>
                <c:ptCount val="1"/>
                <c:pt idx="0">
                  <c:v>chemicals 20</c:v>
                </c:pt>
              </c:strCache>
            </c:strRef>
          </c:tx>
          <c:spPr>
            <a:ln w="28575" cap="rnd">
              <a:solidFill>
                <a:schemeClr val="accent6">
                  <a:lumMod val="6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'BIFUbC-heat'!$B$11:$AF$11</c:f>
              <c:numCache>
                <c:formatCode>0.00E+00</c:formatCode>
                <c:ptCount val="31"/>
                <c:pt idx="0">
                  <c:v>1365.6492884908789</c:v>
                </c:pt>
                <c:pt idx="1">
                  <c:v>1355.7474447257659</c:v>
                </c:pt>
                <c:pt idx="2">
                  <c:v>1345.9173957550961</c:v>
                </c:pt>
                <c:pt idx="3">
                  <c:v>1336.1586210200089</c:v>
                </c:pt>
                <c:pt idx="4">
                  <c:v>1326.4706037360331</c:v>
                </c:pt>
                <c:pt idx="5">
                  <c:v>1316.8528308657205</c:v>
                </c:pt>
                <c:pt idx="6">
                  <c:v>1307.3047930914774</c:v>
                </c:pt>
                <c:pt idx="7">
                  <c:v>1297.8259847885934</c:v>
                </c:pt>
                <c:pt idx="8">
                  <c:v>1288.415903998465</c:v>
                </c:pt>
                <c:pt idx="9">
                  <c:v>1279.0740524020148</c:v>
                </c:pt>
                <c:pt idx="10">
                  <c:v>1269.799935293302</c:v>
                </c:pt>
                <c:pt idx="11">
                  <c:v>1260.5930615533252</c:v>
                </c:pt>
                <c:pt idx="12">
                  <c:v>1251.4529436240141</c:v>
                </c:pt>
                <c:pt idx="13">
                  <c:v>1242.3790974824112</c:v>
                </c:pt>
                <c:pt idx="14">
                  <c:v>1233.3710426150396</c:v>
                </c:pt>
                <c:pt idx="15">
                  <c:v>1224.4283019924569</c:v>
                </c:pt>
                <c:pt idx="16">
                  <c:v>1215.5504020439937</c:v>
                </c:pt>
                <c:pt idx="17">
                  <c:v>1206.7368726326756</c:v>
                </c:pt>
                <c:pt idx="18">
                  <c:v>1197.9872470303264</c:v>
                </c:pt>
                <c:pt idx="19">
                  <c:v>1189.301061892852</c:v>
                </c:pt>
                <c:pt idx="20">
                  <c:v>1180.6778572357036</c:v>
                </c:pt>
                <c:pt idx="21">
                  <c:v>1172.1171764095193</c:v>
                </c:pt>
                <c:pt idx="22">
                  <c:v>1163.6185660759411</c:v>
                </c:pt>
                <c:pt idx="23">
                  <c:v>1155.1815761836085</c:v>
                </c:pt>
                <c:pt idx="24">
                  <c:v>1146.8057599443257</c:v>
                </c:pt>
                <c:pt idx="25">
                  <c:v>1138.490673809401</c:v>
                </c:pt>
                <c:pt idx="26">
                  <c:v>1130.2358774461586</c:v>
                </c:pt>
                <c:pt idx="27">
                  <c:v>1122.0409337146209</c:v>
                </c:pt>
                <c:pt idx="28">
                  <c:v>1113.9054086443584</c:v>
                </c:pt>
                <c:pt idx="29">
                  <c:v>1105.8288714115092</c:v>
                </c:pt>
                <c:pt idx="30">
                  <c:v>1097.8108943159637</c:v>
                </c:pt>
              </c:numCache>
            </c:numRef>
          </c:val>
          <c:smooth val="0"/>
          <c:extLst>
            <c:ext xmlns:c16="http://schemas.microsoft.com/office/drawing/2014/chart" uri="{C3380CC4-5D6E-409C-BE32-E72D297353CC}">
              <c16:uniqueId val="{0000000A-A053-47B7-AD7F-3541BC3D0595}"/>
            </c:ext>
          </c:extLst>
        </c:ser>
        <c:ser>
          <c:idx val="12"/>
          <c:order val="10"/>
          <c:tx>
            <c:strRef>
              <c:f>'BIFUbC-heat'!$A$12</c:f>
              <c:strCache>
                <c:ptCount val="1"/>
                <c:pt idx="0">
                  <c:v>rubber and plastic products 22</c:v>
                </c:pt>
              </c:strCache>
            </c:strRef>
          </c:tx>
          <c:spPr>
            <a:ln w="28575" cap="rnd">
              <a:solidFill>
                <a:schemeClr val="accent1">
                  <a:lumMod val="80000"/>
                  <a:lumOff val="2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'BIFUbC-heat'!$B$12:$AF$12</c:f>
              <c:numCache>
                <c:formatCode>0.00E+00</c:formatCode>
                <c:ptCount val="31"/>
                <c:pt idx="0">
                  <c:v>975.02038486735148</c:v>
                </c:pt>
                <c:pt idx="1">
                  <c:v>967.9508542051816</c:v>
                </c:pt>
                <c:pt idx="2">
                  <c:v>960.93258222904433</c:v>
                </c:pt>
                <c:pt idx="3">
                  <c:v>953.96519728019473</c:v>
                </c:pt>
                <c:pt idx="4">
                  <c:v>947.04833039465484</c:v>
                </c:pt>
                <c:pt idx="5">
                  <c:v>940.18161528367523</c:v>
                </c:pt>
                <c:pt idx="6">
                  <c:v>933.3646883143374</c:v>
                </c:pt>
                <c:pt idx="7">
                  <c:v>926.59718849029775</c:v>
                </c:pt>
                <c:pt idx="8">
                  <c:v>919.87875743267034</c:v>
                </c:pt>
                <c:pt idx="9">
                  <c:v>913.20903936104889</c:v>
                </c:pt>
                <c:pt idx="10">
                  <c:v>906.58768107466597</c:v>
                </c:pt>
                <c:pt idx="11">
                  <c:v>900.01433193368894</c:v>
                </c:pt>
                <c:pt idx="12">
                  <c:v>893.48864384065155</c:v>
                </c:pt>
                <c:pt idx="13">
                  <c:v>887.01027122202015</c:v>
                </c:pt>
                <c:pt idx="14">
                  <c:v>880.57887100989342</c:v>
                </c:pt>
                <c:pt idx="15">
                  <c:v>874.19410262383519</c:v>
                </c:pt>
                <c:pt idx="16">
                  <c:v>867.85562795283829</c:v>
                </c:pt>
                <c:pt idx="17">
                  <c:v>861.56311133741997</c:v>
                </c:pt>
                <c:pt idx="18">
                  <c:v>855.31621955184664</c:v>
                </c:pt>
                <c:pt idx="19">
                  <c:v>849.11462178648742</c:v>
                </c:pt>
                <c:pt idx="20">
                  <c:v>842.95798963029608</c:v>
                </c:pt>
                <c:pt idx="21">
                  <c:v>836.84599705341964</c:v>
                </c:pt>
                <c:pt idx="22">
                  <c:v>830.77832038993313</c:v>
                </c:pt>
                <c:pt idx="23">
                  <c:v>824.75463832069954</c:v>
                </c:pt>
                <c:pt idx="24">
                  <c:v>818.7746318563544</c:v>
                </c:pt>
                <c:pt idx="25">
                  <c:v>812.83798432041306</c:v>
                </c:pt>
                <c:pt idx="26">
                  <c:v>806.94438133250083</c:v>
                </c:pt>
                <c:pt idx="27">
                  <c:v>801.09351079170494</c:v>
                </c:pt>
                <c:pt idx="28">
                  <c:v>795.28506286004676</c:v>
                </c:pt>
                <c:pt idx="29">
                  <c:v>789.51872994607413</c:v>
                </c:pt>
                <c:pt idx="30">
                  <c:v>783.79420668857267</c:v>
                </c:pt>
              </c:numCache>
            </c:numRef>
          </c:val>
          <c:smooth val="0"/>
          <c:extLst>
            <c:ext xmlns:c16="http://schemas.microsoft.com/office/drawing/2014/chart" uri="{C3380CC4-5D6E-409C-BE32-E72D297353CC}">
              <c16:uniqueId val="{0000000B-A053-47B7-AD7F-3541BC3D0595}"/>
            </c:ext>
          </c:extLst>
        </c:ser>
        <c:ser>
          <c:idx val="13"/>
          <c:order val="11"/>
          <c:tx>
            <c:strRef>
              <c:f>'BIFUbC-heat'!$A$13</c:f>
              <c:strCache>
                <c:ptCount val="1"/>
                <c:pt idx="0">
                  <c:v>glass and glass products 231</c:v>
                </c:pt>
              </c:strCache>
            </c:strRef>
          </c:tx>
          <c:spPr>
            <a:ln w="28575" cap="rnd">
              <a:solidFill>
                <a:schemeClr val="accent2">
                  <a:lumMod val="80000"/>
                  <a:lumOff val="2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'BIFUbC-heat'!$B$13:$AF$13</c:f>
              <c:numCache>
                <c:formatCode>0.00E+00</c:formatCode>
                <c:ptCount val="31"/>
                <c:pt idx="0">
                  <c:v>7.9252755017212131E-6</c:v>
                </c:pt>
                <c:pt idx="1">
                  <c:v>8.0472256131248021E-6</c:v>
                </c:pt>
                <c:pt idx="2">
                  <c:v>8.1710522308615936E-6</c:v>
                </c:pt>
                <c:pt idx="3">
                  <c:v>8.2967842296573079E-6</c:v>
                </c:pt>
                <c:pt idx="4">
                  <c:v>8.4244509285472716E-6</c:v>
                </c:pt>
                <c:pt idx="5">
                  <c:v>8.5540820977132252E-6</c:v>
                </c:pt>
                <c:pt idx="6">
                  <c:v>8.6857079654253339E-6</c:v>
                </c:pt>
                <c:pt idx="7">
                  <c:v>8.8193592250910234E-6</c:v>
                </c:pt>
                <c:pt idx="8">
                  <c:v>8.9550670424122693E-6</c:v>
                </c:pt>
                <c:pt idx="9">
                  <c:v>9.0928630626530309E-6</c:v>
                </c:pt>
                <c:pt idx="10">
                  <c:v>9.2327794180185064E-6</c:v>
                </c:pt>
                <c:pt idx="11">
                  <c:v>9.374848735147935E-6</c:v>
                </c:pt>
                <c:pt idx="12">
                  <c:v>9.5191041427226996E-6</c:v>
                </c:pt>
                <c:pt idx="13">
                  <c:v>9.665579279191494E-6</c:v>
                </c:pt>
                <c:pt idx="14">
                  <c:v>9.8143083006143617E-6</c:v>
                </c:pt>
                <c:pt idx="15">
                  <c:v>9.965325888627443E-6</c:v>
                </c:pt>
                <c:pt idx="16">
                  <c:v>1.0118667258530263E-5</c:v>
                </c:pt>
                <c:pt idx="17">
                  <c:v>1.0274368167497481E-5</c:v>
                </c:pt>
                <c:pt idx="18">
                  <c:v>1.0432464922916986E-5</c:v>
                </c:pt>
                <c:pt idx="19">
                  <c:v>1.0592994390856298E-5</c:v>
                </c:pt>
                <c:pt idx="20">
                  <c:v>1.0755994004659246E-5</c:v>
                </c:pt>
                <c:pt idx="21">
                  <c:v>1.092150177367493E-5</c:v>
                </c:pt>
                <c:pt idx="22">
                  <c:v>1.1089556292120995E-5</c:v>
                </c:pt>
                <c:pt idx="23">
                  <c:v>1.1260196748083292E-5</c:v>
                </c:pt>
                <c:pt idx="24">
                  <c:v>1.143346293265402E-5</c:v>
                </c:pt>
                <c:pt idx="25">
                  <c:v>1.160939524921048E-5</c:v>
                </c:pt>
                <c:pt idx="26">
                  <c:v>1.1788034722836609E-5</c:v>
                </c:pt>
                <c:pt idx="27">
                  <c:v>1.1969423009889481E-5</c:v>
                </c:pt>
                <c:pt idx="28">
                  <c:v>1.2153602407713026E-5</c:v>
                </c:pt>
                <c:pt idx="29">
                  <c:v>1.2340615864501204E-5</c:v>
                </c:pt>
                <c:pt idx="30">
                  <c:v>1.2530506989312952E-5</c:v>
                </c:pt>
              </c:numCache>
            </c:numRef>
          </c:val>
          <c:smooth val="0"/>
          <c:extLst>
            <c:ext xmlns:c16="http://schemas.microsoft.com/office/drawing/2014/chart" uri="{C3380CC4-5D6E-409C-BE32-E72D297353CC}">
              <c16:uniqueId val="{0000000C-A053-47B7-AD7F-3541BC3D0595}"/>
            </c:ext>
          </c:extLst>
        </c:ser>
        <c:ser>
          <c:idx val="14"/>
          <c:order val="12"/>
          <c:tx>
            <c:strRef>
              <c:f>'BIFUbC-heat'!$A$14</c:f>
              <c:strCache>
                <c:ptCount val="1"/>
                <c:pt idx="0">
                  <c:v>cement and other nonmetallic minerals 239</c:v>
                </c:pt>
              </c:strCache>
            </c:strRef>
          </c:tx>
          <c:spPr>
            <a:ln w="28575" cap="rnd">
              <a:solidFill>
                <a:schemeClr val="accent3">
                  <a:lumMod val="80000"/>
                  <a:lumOff val="2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'BIFUbC-heat'!$B$14:$AF$14</c:f>
              <c:numCache>
                <c:formatCode>0.00E+00</c:formatCode>
                <c:ptCount val="31"/>
                <c:pt idx="0">
                  <c:v>1.6590243383603068E-4</c:v>
                </c:pt>
                <c:pt idx="1">
                  <c:v>1.6845525616807915E-4</c:v>
                </c:pt>
                <c:pt idx="2">
                  <c:v>1.7104736003270264E-4</c:v>
                </c:pt>
                <c:pt idx="3">
                  <c:v>1.7367934987415961E-4</c:v>
                </c:pt>
                <c:pt idx="4">
                  <c:v>1.7635183943758953E-4</c:v>
                </c:pt>
                <c:pt idx="5">
                  <c:v>1.7906545191213017E-4</c:v>
                </c:pt>
                <c:pt idx="6">
                  <c:v>1.81820820076237E-4</c:v>
                </c:pt>
                <c:pt idx="7">
                  <c:v>1.8461858644523875E-4</c:v>
                </c:pt>
                <c:pt idx="8">
                  <c:v>1.8745940342116348E-4</c:v>
                </c:pt>
                <c:pt idx="9">
                  <c:v>1.9034393344487008E-4</c:v>
                </c:pt>
                <c:pt idx="10">
                  <c:v>1.9327284915052071E-4</c:v>
                </c:pt>
                <c:pt idx="11">
                  <c:v>1.9624683352243008E-4</c:v>
                </c:pt>
                <c:pt idx="12">
                  <c:v>1.9926658005432849E-4</c:v>
                </c:pt>
                <c:pt idx="13">
                  <c:v>2.0233279291107523E-4</c:v>
                </c:pt>
                <c:pt idx="14">
                  <c:v>2.0544618709286062E-4</c:v>
                </c:pt>
                <c:pt idx="15">
                  <c:v>2.0860748860193444E-4</c:v>
                </c:pt>
                <c:pt idx="16">
                  <c:v>2.1181743461190015E-4</c:v>
                </c:pt>
                <c:pt idx="17">
                  <c:v>2.150767736396139E-4</c:v>
                </c:pt>
                <c:pt idx="18">
                  <c:v>2.1838626571972887E-4</c:v>
                </c:pt>
                <c:pt idx="19">
                  <c:v>2.2174668258192513E-4</c:v>
                </c:pt>
                <c:pt idx="20">
                  <c:v>2.2515880783086686E-4</c:v>
                </c:pt>
                <c:pt idx="21">
                  <c:v>2.2862343712892852E-4</c:v>
                </c:pt>
                <c:pt idx="22">
                  <c:v>2.3214137838173282E-4</c:v>
                </c:pt>
                <c:pt idx="23">
                  <c:v>2.3571345192654358E-4</c:v>
                </c:pt>
                <c:pt idx="24">
                  <c:v>2.3934049072355749E-4</c:v>
                </c:pt>
                <c:pt idx="25">
                  <c:v>2.4302334055013937E-4</c:v>
                </c:pt>
                <c:pt idx="26">
                  <c:v>2.4676286019804629E-4</c:v>
                </c:pt>
                <c:pt idx="27">
                  <c:v>2.505599216736864E-4</c:v>
                </c:pt>
                <c:pt idx="28">
                  <c:v>2.5441541040145926E-4</c:v>
                </c:pt>
                <c:pt idx="29">
                  <c:v>2.5833022543022508E-4</c:v>
                </c:pt>
                <c:pt idx="30">
                  <c:v>2.62305279642951E-4</c:v>
                </c:pt>
              </c:numCache>
            </c:numRef>
          </c:val>
          <c:smooth val="0"/>
          <c:extLst>
            <c:ext xmlns:c16="http://schemas.microsoft.com/office/drawing/2014/chart" uri="{C3380CC4-5D6E-409C-BE32-E72D297353CC}">
              <c16:uniqueId val="{0000000D-A053-47B7-AD7F-3541BC3D0595}"/>
            </c:ext>
          </c:extLst>
        </c:ser>
        <c:ser>
          <c:idx val="15"/>
          <c:order val="13"/>
          <c:tx>
            <c:strRef>
              <c:f>'BIFUbC-heat'!$A$15</c:f>
              <c:strCache>
                <c:ptCount val="1"/>
                <c:pt idx="0">
                  <c:v>iron and steel 241</c:v>
                </c:pt>
              </c:strCache>
            </c:strRef>
          </c:tx>
          <c:spPr>
            <a:ln w="28575" cap="rnd">
              <a:solidFill>
                <a:schemeClr val="accent4">
                  <a:lumMod val="80000"/>
                  <a:lumOff val="2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'BIFUbC-heat'!$B$15:$AF$15</c:f>
              <c:numCache>
                <c:formatCode>0.00E+00</c:formatCode>
                <c:ptCount val="31"/>
                <c:pt idx="0">
                  <c:v>5.997194132467051</c:v>
                </c:pt>
                <c:pt idx="1">
                  <c:v>5.7972819894418484</c:v>
                </c:pt>
                <c:pt idx="2">
                  <c:v>6.2311272369249862</c:v>
                </c:pt>
                <c:pt idx="3">
                  <c:v>6.0234171025051833</c:v>
                </c:pt>
                <c:pt idx="4">
                  <c:v>5.8226308356779137</c:v>
                </c:pt>
                <c:pt idx="5">
                  <c:v>5.6285376343083993</c:v>
                </c:pt>
                <c:pt idx="6">
                  <c:v>5.4409143898846413</c:v>
                </c:pt>
                <c:pt idx="7">
                  <c:v>5.2595454310560479</c:v>
                </c:pt>
                <c:pt idx="8">
                  <c:v>5.0842222757210216</c:v>
                </c:pt>
                <c:pt idx="9">
                  <c:v>4.9147433913785283</c:v>
                </c:pt>
                <c:pt idx="10">
                  <c:v>4.7509139634681699</c:v>
                </c:pt>
                <c:pt idx="11">
                  <c:v>4.5925456714324779</c:v>
                </c:pt>
                <c:pt idx="12">
                  <c:v>4.4394564722440055</c:v>
                </c:pt>
                <c:pt idx="13">
                  <c:v>4.2914703911483922</c:v>
                </c:pt>
                <c:pt idx="14">
                  <c:v>4.1484173193828529</c:v>
                </c:pt>
                <c:pt idx="15">
                  <c:v>4.0101328186375786</c:v>
                </c:pt>
                <c:pt idx="16">
                  <c:v>3.876457932035275</c:v>
                </c:pt>
                <c:pt idx="17">
                  <c:v>3.7472390014115589</c:v>
                </c:pt>
                <c:pt idx="18">
                  <c:v>3.6223274906861853</c:v>
                </c:pt>
                <c:pt idx="19">
                  <c:v>3.5015798151220645</c:v>
                </c:pt>
                <c:pt idx="20">
                  <c:v>3.3848571762758075</c:v>
                </c:pt>
                <c:pt idx="21">
                  <c:v>3.2720254024500752</c:v>
                </c:pt>
                <c:pt idx="22">
                  <c:v>3.1629547944643348</c:v>
                </c:pt>
                <c:pt idx="23">
                  <c:v>3.0575199765667374</c:v>
                </c:pt>
                <c:pt idx="24">
                  <c:v>2.9555997523157371</c:v>
                </c:pt>
                <c:pt idx="25">
                  <c:v>2.8570769652657977</c:v>
                </c:pt>
                <c:pt idx="26">
                  <c:v>2.7618383642970361</c:v>
                </c:pt>
                <c:pt idx="27">
                  <c:v>2.6697744734340079</c:v>
                </c:pt>
                <c:pt idx="28">
                  <c:v>2.5807794660039884</c:v>
                </c:pt>
                <c:pt idx="29">
                  <c:v>2.4947510429900985</c:v>
                </c:pt>
                <c:pt idx="30">
                  <c:v>2.4115903154394385</c:v>
                </c:pt>
              </c:numCache>
            </c:numRef>
          </c:val>
          <c:smooth val="0"/>
          <c:extLst>
            <c:ext xmlns:c16="http://schemas.microsoft.com/office/drawing/2014/chart" uri="{C3380CC4-5D6E-409C-BE32-E72D297353CC}">
              <c16:uniqueId val="{0000000E-A053-47B7-AD7F-3541BC3D0595}"/>
            </c:ext>
          </c:extLst>
        </c:ser>
        <c:ser>
          <c:idx val="16"/>
          <c:order val="14"/>
          <c:tx>
            <c:strRef>
              <c:f>'BIFUbC-heat'!$A$16</c:f>
              <c:strCache>
                <c:ptCount val="1"/>
                <c:pt idx="0">
                  <c:v>other metals 242</c:v>
                </c:pt>
              </c:strCache>
            </c:strRef>
          </c:tx>
          <c:spPr>
            <a:ln w="28575" cap="rnd">
              <a:solidFill>
                <a:schemeClr val="accent5">
                  <a:lumMod val="80000"/>
                  <a:lumOff val="2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'BIFUbC-heat'!$B$16:$AF$16</c:f>
              <c:numCache>
                <c:formatCode>0.00E+00</c:formatCode>
                <c:ptCount val="31"/>
                <c:pt idx="0">
                  <c:v>2.3136604185399214</c:v>
                </c:pt>
                <c:pt idx="1">
                  <c:v>2.3104849236533194</c:v>
                </c:pt>
                <c:pt idx="2">
                  <c:v>2.3073137871279075</c:v>
                </c:pt>
                <c:pt idx="3">
                  <c:v>2.3041470029818423</c:v>
                </c:pt>
                <c:pt idx="4">
                  <c:v>2.3009845652414906</c:v>
                </c:pt>
                <c:pt idx="5">
                  <c:v>2.2978264679414186</c:v>
                </c:pt>
                <c:pt idx="6">
                  <c:v>2.2946727051243796</c:v>
                </c:pt>
                <c:pt idx="7">
                  <c:v>2.2915232708413029</c:v>
                </c:pt>
                <c:pt idx="8">
                  <c:v>2.2883781591512831</c:v>
                </c:pt>
                <c:pt idx="9">
                  <c:v>2.2852373641215689</c:v>
                </c:pt>
                <c:pt idx="10">
                  <c:v>2.2821008798275515</c:v>
                </c:pt>
                <c:pt idx="11">
                  <c:v>2.2789687003527539</c:v>
                </c:pt>
                <c:pt idx="12">
                  <c:v>2.2758408197888191</c:v>
                </c:pt>
                <c:pt idx="13">
                  <c:v>2.2727172322354994</c:v>
                </c:pt>
                <c:pt idx="14">
                  <c:v>2.2695979318006452</c:v>
                </c:pt>
                <c:pt idx="15">
                  <c:v>2.266482912600194</c:v>
                </c:pt>
                <c:pt idx="16">
                  <c:v>2.2633721687581594</c:v>
                </c:pt>
                <c:pt idx="17">
                  <c:v>2.2602656944066188</c:v>
                </c:pt>
                <c:pt idx="18">
                  <c:v>2.2571634836857042</c:v>
                </c:pt>
                <c:pt idx="19">
                  <c:v>2.2540655307435902</c:v>
                </c:pt>
                <c:pt idx="20">
                  <c:v>2.2509718297364825</c:v>
                </c:pt>
                <c:pt idx="21">
                  <c:v>2.2478823748286079</c:v>
                </c:pt>
                <c:pt idx="22">
                  <c:v>2.2447971601922028</c:v>
                </c:pt>
                <c:pt idx="23">
                  <c:v>2.2417161800075016</c:v>
                </c:pt>
                <c:pt idx="24">
                  <c:v>2.2386394284627271</c:v>
                </c:pt>
                <c:pt idx="25">
                  <c:v>2.2355668997540779</c:v>
                </c:pt>
                <c:pt idx="26">
                  <c:v>2.2324985880857193</c:v>
                </c:pt>
                <c:pt idx="27">
                  <c:v>2.2294344876697707</c:v>
                </c:pt>
                <c:pt idx="28">
                  <c:v>2.2263745927262955</c:v>
                </c:pt>
                <c:pt idx="29">
                  <c:v>2.2233188974832898</c:v>
                </c:pt>
                <c:pt idx="30">
                  <c:v>2.2202673961766721</c:v>
                </c:pt>
              </c:numCache>
            </c:numRef>
          </c:val>
          <c:smooth val="0"/>
          <c:extLst>
            <c:ext xmlns:c16="http://schemas.microsoft.com/office/drawing/2014/chart" uri="{C3380CC4-5D6E-409C-BE32-E72D297353CC}">
              <c16:uniqueId val="{0000000F-A053-47B7-AD7F-3541BC3D0595}"/>
            </c:ext>
          </c:extLst>
        </c:ser>
        <c:ser>
          <c:idx val="17"/>
          <c:order val="15"/>
          <c:tx>
            <c:strRef>
              <c:f>'BIFUbC-heat'!$A$17</c:f>
              <c:strCache>
                <c:ptCount val="1"/>
                <c:pt idx="0">
                  <c:v>metal products except machinery and vehicles 25</c:v>
                </c:pt>
              </c:strCache>
            </c:strRef>
          </c:tx>
          <c:spPr>
            <a:ln w="28575" cap="rnd">
              <a:solidFill>
                <a:schemeClr val="accent6">
                  <a:lumMod val="80000"/>
                  <a:lumOff val="2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'BIFUbC-heat'!$B$17:$AF$17</c:f>
              <c:numCache>
                <c:formatCode>0.00E+00</c:formatCode>
                <c:ptCount val="31"/>
                <c:pt idx="0">
                  <c:v>1.6059525258100631</c:v>
                </c:pt>
                <c:pt idx="1">
                  <c:v>1.6037483587711276</c:v>
                </c:pt>
                <c:pt idx="2">
                  <c:v>1.6015472169476064</c:v>
                </c:pt>
                <c:pt idx="3">
                  <c:v>1.5993490961873964</c:v>
                </c:pt>
                <c:pt idx="4">
                  <c:v>1.5971539923440936</c:v>
                </c:pt>
                <c:pt idx="5">
                  <c:v>1.5949619012769849</c:v>
                </c:pt>
                <c:pt idx="6">
                  <c:v>1.5927728188510399</c:v>
                </c:pt>
                <c:pt idx="7">
                  <c:v>1.5905867409369043</c:v>
                </c:pt>
                <c:pt idx="8">
                  <c:v>1.5884036634108907</c:v>
                </c:pt>
                <c:pt idx="9">
                  <c:v>1.5862235821549715</c:v>
                </c:pt>
                <c:pt idx="10">
                  <c:v>1.5840464930567713</c:v>
                </c:pt>
                <c:pt idx="11">
                  <c:v>1.5818723920095588</c:v>
                </c:pt>
                <c:pt idx="12">
                  <c:v>1.5797012749122394</c:v>
                </c:pt>
                <c:pt idx="13">
                  <c:v>1.5775331376693471</c:v>
                </c:pt>
                <c:pt idx="14">
                  <c:v>1.5753679761910366</c:v>
                </c:pt>
                <c:pt idx="15">
                  <c:v>1.5732057863930766</c:v>
                </c:pt>
                <c:pt idx="16">
                  <c:v>1.5710465641968407</c:v>
                </c:pt>
                <c:pt idx="17">
                  <c:v>1.5688903055293009</c:v>
                </c:pt>
                <c:pt idx="18">
                  <c:v>1.566737006323019</c:v>
                </c:pt>
                <c:pt idx="19">
                  <c:v>1.5645866625161398</c:v>
                </c:pt>
                <c:pt idx="20">
                  <c:v>1.5624392700523826</c:v>
                </c:pt>
                <c:pt idx="21">
                  <c:v>1.5602948248810344</c:v>
                </c:pt>
                <c:pt idx="22">
                  <c:v>1.5581533229569413</c:v>
                </c:pt>
                <c:pt idx="23">
                  <c:v>1.5560147602405017</c:v>
                </c:pt>
                <c:pt idx="24">
                  <c:v>1.553879132697658</c:v>
                </c:pt>
                <c:pt idx="25">
                  <c:v>1.5517464362998898</c:v>
                </c:pt>
                <c:pt idx="26">
                  <c:v>1.5496166670242055</c:v>
                </c:pt>
                <c:pt idx="27">
                  <c:v>1.5474898208531351</c:v>
                </c:pt>
                <c:pt idx="28">
                  <c:v>1.5453658937747228</c:v>
                </c:pt>
                <c:pt idx="29">
                  <c:v>1.5432448817825188</c:v>
                </c:pt>
                <c:pt idx="30">
                  <c:v>1.5411267808755726</c:v>
                </c:pt>
              </c:numCache>
            </c:numRef>
          </c:val>
          <c:smooth val="0"/>
          <c:extLst>
            <c:ext xmlns:c16="http://schemas.microsoft.com/office/drawing/2014/chart" uri="{C3380CC4-5D6E-409C-BE32-E72D297353CC}">
              <c16:uniqueId val="{00000010-A053-47B7-AD7F-3541BC3D0595}"/>
            </c:ext>
          </c:extLst>
        </c:ser>
        <c:ser>
          <c:idx val="18"/>
          <c:order val="16"/>
          <c:tx>
            <c:strRef>
              <c:f>'BIFUbC-heat'!$A$18</c:f>
              <c:strCache>
                <c:ptCount val="1"/>
                <c:pt idx="0">
                  <c:v>computers and electronics 26</c:v>
                </c:pt>
              </c:strCache>
            </c:strRef>
          </c:tx>
          <c:spPr>
            <a:ln w="28575" cap="rnd">
              <a:solidFill>
                <a:schemeClr val="accent1">
                  <a:lumMod val="8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'BIFUbC-heat'!$B$18:$AF$18</c:f>
              <c:numCache>
                <c:formatCode>0.00E+00</c:formatCode>
                <c:ptCount val="31"/>
                <c:pt idx="0">
                  <c:v>285.88150584649742</c:v>
                </c:pt>
                <c:pt idx="1">
                  <c:v>289.53683741723381</c:v>
                </c:pt>
                <c:pt idx="2">
                  <c:v>293.23890670488709</c:v>
                </c:pt>
                <c:pt idx="3">
                  <c:v>296.98831130618413</c:v>
                </c:pt>
                <c:pt idx="4">
                  <c:v>300.78565645882958</c:v>
                </c:pt>
                <c:pt idx="5">
                  <c:v>304.63155513920447</c:v>
                </c:pt>
                <c:pt idx="6">
                  <c:v>308.52662816131442</c:v>
                </c:pt>
                <c:pt idx="7">
                  <c:v>312.47150427700285</c:v>
                </c:pt>
                <c:pt idx="8">
                  <c:v>316.46682027744572</c:v>
                </c:pt>
                <c:pt idx="9">
                  <c:v>320.51322109594372</c:v>
                </c:pt>
                <c:pt idx="10">
                  <c:v>324.61135991202889</c:v>
                </c:pt>
                <c:pt idx="11">
                  <c:v>328.76189825690255</c:v>
                </c:pt>
                <c:pt idx="12">
                  <c:v>332.96550612022105</c:v>
                </c:pt>
                <c:pt idx="13">
                  <c:v>337.22286205824724</c:v>
                </c:pt>
                <c:pt idx="14">
                  <c:v>341.53465330338452</c:v>
                </c:pt>
                <c:pt idx="15">
                  <c:v>345.90157587511146</c:v>
                </c:pt>
                <c:pt idx="16">
                  <c:v>350.32433469233507</c:v>
                </c:pt>
                <c:pt idx="17">
                  <c:v>354.80364368718028</c:v>
                </c:pt>
                <c:pt idx="18">
                  <c:v>359.34022592023467</c:v>
                </c:pt>
                <c:pt idx="19">
                  <c:v>363.93481369726652</c:v>
                </c:pt>
                <c:pt idx="20">
                  <c:v>368.58814868743542</c:v>
                </c:pt>
                <c:pt idx="21">
                  <c:v>373.30098204301419</c:v>
                </c:pt>
                <c:pt idx="22">
                  <c:v>378.07407452064166</c:v>
                </c:pt>
                <c:pt idx="23">
                  <c:v>382.90819660412575</c:v>
                </c:pt>
                <c:pt idx="24">
                  <c:v>387.8041286288169</c:v>
                </c:pt>
                <c:pt idx="25">
                  <c:v>392.7626609075715</c:v>
                </c:pt>
                <c:pt idx="26">
                  <c:v>397.7845938583261</c:v>
                </c:pt>
                <c:pt idx="27">
                  <c:v>402.87073813330284</c:v>
                </c:pt>
                <c:pt idx="28">
                  <c:v>408.02191474986665</c:v>
                </c:pt>
                <c:pt idx="29">
                  <c:v>413.238955223056</c:v>
                </c:pt>
                <c:pt idx="30">
                  <c:v>418.5227016998079</c:v>
                </c:pt>
              </c:numCache>
            </c:numRef>
          </c:val>
          <c:smooth val="0"/>
          <c:extLst>
            <c:ext xmlns:c16="http://schemas.microsoft.com/office/drawing/2014/chart" uri="{C3380CC4-5D6E-409C-BE32-E72D297353CC}">
              <c16:uniqueId val="{00000011-A053-47B7-AD7F-3541BC3D0595}"/>
            </c:ext>
          </c:extLst>
        </c:ser>
        <c:ser>
          <c:idx val="19"/>
          <c:order val="17"/>
          <c:tx>
            <c:strRef>
              <c:f>'BIFUbC-heat'!$A$19</c:f>
              <c:strCache>
                <c:ptCount val="1"/>
                <c:pt idx="0">
                  <c:v>appliances and electrical equipment 27</c:v>
                </c:pt>
              </c:strCache>
            </c:strRef>
          </c:tx>
          <c:spPr>
            <a:ln w="28575" cap="rnd">
              <a:solidFill>
                <a:schemeClr val="accent2">
                  <a:lumMod val="8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'BIFUbC-heat'!$B$19:$AF$19</c:f>
              <c:numCache>
                <c:formatCode>0.00E+00</c:formatCode>
                <c:ptCount val="31"/>
                <c:pt idx="0">
                  <c:v>58.278874470084887</c:v>
                </c:pt>
                <c:pt idx="1">
                  <c:v>59.024038481750154</c:v>
                </c:pt>
                <c:pt idx="2">
                  <c:v>59.778730292456324</c:v>
                </c:pt>
                <c:pt idx="3">
                  <c:v>60.543071726329558</c:v>
                </c:pt>
                <c:pt idx="4">
                  <c:v>61.317186165160862</c:v>
                </c:pt>
                <c:pt idx="5">
                  <c:v>62.10119856832268</c:v>
                </c:pt>
                <c:pt idx="6">
                  <c:v>62.895235492940131</c:v>
                </c:pt>
                <c:pt idx="7">
                  <c:v>63.699425114320142</c:v>
                </c:pt>
                <c:pt idx="8">
                  <c:v>64.513897246641832</c:v>
                </c:pt>
                <c:pt idx="9">
                  <c:v>65.338783363911389</c:v>
                </c:pt>
                <c:pt idx="10">
                  <c:v>66.174216621184954</c:v>
                </c:pt>
                <c:pt idx="11">
                  <c:v>67.020331876062784</c:v>
                </c:pt>
                <c:pt idx="12">
                  <c:v>67.877265710458289</c:v>
                </c:pt>
                <c:pt idx="13">
                  <c:v>68.745156452645446</c:v>
                </c:pt>
                <c:pt idx="14">
                  <c:v>69.624144199588031</c:v>
                </c:pt>
                <c:pt idx="15">
                  <c:v>70.514370839554417</c:v>
                </c:pt>
                <c:pt idx="16">
                  <c:v>71.415980075021494</c:v>
                </c:pt>
                <c:pt idx="17">
                  <c:v>72.329117445871489</c:v>
                </c:pt>
                <c:pt idx="18">
                  <c:v>73.253930352885334</c:v>
                </c:pt>
                <c:pt idx="19">
                  <c:v>74.190568081536455</c:v>
                </c:pt>
                <c:pt idx="20">
                  <c:v>75.139181826088787</c:v>
                </c:pt>
                <c:pt idx="21">
                  <c:v>76.09992471400291</c:v>
                </c:pt>
                <c:pt idx="22">
                  <c:v>77.072951830654233</c:v>
                </c:pt>
                <c:pt idx="23">
                  <c:v>78.058420244367241</c:v>
                </c:pt>
                <c:pt idx="24">
                  <c:v>79.056489031769843</c:v>
                </c:pt>
                <c:pt idx="25">
                  <c:v>80.067319303471876</c:v>
                </c:pt>
                <c:pt idx="26">
                  <c:v>81.091074230071996</c:v>
                </c:pt>
                <c:pt idx="27">
                  <c:v>82.127919068497008</c:v>
                </c:pt>
                <c:pt idx="28">
                  <c:v>83.178021188678059</c:v>
                </c:pt>
                <c:pt idx="29">
                  <c:v>84.241550100567906</c:v>
                </c:pt>
                <c:pt idx="30">
                  <c:v>85.318677481503556</c:v>
                </c:pt>
              </c:numCache>
            </c:numRef>
          </c:val>
          <c:smooth val="0"/>
          <c:extLst>
            <c:ext xmlns:c16="http://schemas.microsoft.com/office/drawing/2014/chart" uri="{C3380CC4-5D6E-409C-BE32-E72D297353CC}">
              <c16:uniqueId val="{00000012-A053-47B7-AD7F-3541BC3D0595}"/>
            </c:ext>
          </c:extLst>
        </c:ser>
        <c:ser>
          <c:idx val="20"/>
          <c:order val="18"/>
          <c:tx>
            <c:strRef>
              <c:f>'BIFUbC-heat'!$A$20</c:f>
              <c:strCache>
                <c:ptCount val="1"/>
                <c:pt idx="0">
                  <c:v>other machinery 28</c:v>
                </c:pt>
              </c:strCache>
            </c:strRef>
          </c:tx>
          <c:spPr>
            <a:ln w="28575" cap="rnd">
              <a:solidFill>
                <a:schemeClr val="accent3">
                  <a:lumMod val="8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'BIFUbC-heat'!$B$20:$AF$20</c:f>
              <c:numCache>
                <c:formatCode>0.00E+00</c:formatCode>
                <c:ptCount val="31"/>
                <c:pt idx="0">
                  <c:v>2.5595451625375119</c:v>
                </c:pt>
                <c:pt idx="1">
                  <c:v>2.5922719603471349</c:v>
                </c:pt>
                <c:pt idx="2">
                  <c:v>2.6254172087903114</c:v>
                </c:pt>
                <c:pt idx="3">
                  <c:v>2.6589862582509602</c:v>
                </c:pt>
                <c:pt idx="4">
                  <c:v>2.6929845275239566</c:v>
                </c:pt>
                <c:pt idx="5">
                  <c:v>2.7274175046898472</c:v>
                </c:pt>
                <c:pt idx="6">
                  <c:v>2.7622907480007486</c:v>
                </c:pt>
                <c:pt idx="7">
                  <c:v>2.7976098867775736</c:v>
                </c:pt>
                <c:pt idx="8">
                  <c:v>2.833380622318729</c:v>
                </c:pt>
                <c:pt idx="9">
                  <c:v>2.8696087288204328</c:v>
                </c:pt>
                <c:pt idx="10">
                  <c:v>2.9063000543087987</c:v>
                </c:pt>
                <c:pt idx="11">
                  <c:v>2.9434605215838383</c:v>
                </c:pt>
                <c:pt idx="12">
                  <c:v>2.9810961291755329</c:v>
                </c:pt>
                <c:pt idx="13">
                  <c:v>3.0192129523121314</c:v>
                </c:pt>
                <c:pt idx="14">
                  <c:v>3.0578171439008259</c:v>
                </c:pt>
                <c:pt idx="15">
                  <c:v>3.0969149355209709</c:v>
                </c:pt>
                <c:pt idx="16">
                  <c:v>3.1365126384299975</c:v>
                </c:pt>
                <c:pt idx="17">
                  <c:v>3.1766166445821931</c:v>
                </c:pt>
                <c:pt idx="18">
                  <c:v>3.2172334276605037</c:v>
                </c:pt>
                <c:pt idx="19">
                  <c:v>3.2583695441215328</c:v>
                </c:pt>
                <c:pt idx="20">
                  <c:v>3.3000316342538989</c:v>
                </c:pt>
                <c:pt idx="21">
                  <c:v>3.3422264232501275</c:v>
                </c:pt>
                <c:pt idx="22">
                  <c:v>3.3849607222922464</c:v>
                </c:pt>
                <c:pt idx="23">
                  <c:v>3.4282414296512638</c:v>
                </c:pt>
                <c:pt idx="24">
                  <c:v>3.4720755318007024</c:v>
                </c:pt>
                <c:pt idx="25">
                  <c:v>3.5164701045443731</c:v>
                </c:pt>
                <c:pt idx="26">
                  <c:v>3.5614323141585675</c:v>
                </c:pt>
                <c:pt idx="27">
                  <c:v>3.606969418548855</c:v>
                </c:pt>
                <c:pt idx="28">
                  <c:v>3.6530887684216715</c:v>
                </c:pt>
                <c:pt idx="29">
                  <c:v>3.6997978084708874</c:v>
                </c:pt>
                <c:pt idx="30">
                  <c:v>3.7471040785795475</c:v>
                </c:pt>
              </c:numCache>
            </c:numRef>
          </c:val>
          <c:smooth val="0"/>
          <c:extLst>
            <c:ext xmlns:c16="http://schemas.microsoft.com/office/drawing/2014/chart" uri="{C3380CC4-5D6E-409C-BE32-E72D297353CC}">
              <c16:uniqueId val="{00000013-A053-47B7-AD7F-3541BC3D0595}"/>
            </c:ext>
          </c:extLst>
        </c:ser>
        <c:ser>
          <c:idx val="21"/>
          <c:order val="19"/>
          <c:tx>
            <c:strRef>
              <c:f>'BIFUbC-heat'!$A$21</c:f>
              <c:strCache>
                <c:ptCount val="1"/>
                <c:pt idx="0">
                  <c:v>road vehicles 29</c:v>
                </c:pt>
              </c:strCache>
            </c:strRef>
          </c:tx>
          <c:spPr>
            <a:ln w="28575" cap="rnd">
              <a:solidFill>
                <a:schemeClr val="accent4">
                  <a:lumMod val="8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'BIFUbC-heat'!$B$21:$AF$21</c:f>
              <c:numCache>
                <c:formatCode>0.00E+00</c:formatCode>
                <c:ptCount val="31"/>
                <c:pt idx="0">
                  <c:v>10.43506873957601</c:v>
                </c:pt>
                <c:pt idx="1">
                  <c:v>10.568493376799859</c:v>
                </c:pt>
                <c:pt idx="2">
                  <c:v>10.703624005068194</c:v>
                </c:pt>
                <c:pt idx="3">
                  <c:v>10.840482437484685</c:v>
                </c:pt>
                <c:pt idx="4">
                  <c:v>10.979090766059208</c:v>
                </c:pt>
                <c:pt idx="5">
                  <c:v>11.119471365273993</c:v>
                </c:pt>
                <c:pt idx="6">
                  <c:v>11.26164689569536</c:v>
                </c:pt>
                <c:pt idx="7">
                  <c:v>11.405640307631646</c:v>
                </c:pt>
                <c:pt idx="8">
                  <c:v>11.551474844837895</c:v>
                </c:pt>
                <c:pt idx="9">
                  <c:v>11.699174048267917</c:v>
                </c:pt>
                <c:pt idx="10">
                  <c:v>11.848761759874332</c:v>
                </c:pt>
                <c:pt idx="11">
                  <c:v>12.000262126457185</c:v>
                </c:pt>
                <c:pt idx="12">
                  <c:v>12.153699603561787</c:v>
                </c:pt>
                <c:pt idx="13">
                  <c:v>12.309098959426381</c:v>
                </c:pt>
                <c:pt idx="14">
                  <c:v>12.46648527898029</c:v>
                </c:pt>
                <c:pt idx="15">
                  <c:v>12.62588396789319</c:v>
                </c:pt>
                <c:pt idx="16">
                  <c:v>12.787320756676145</c:v>
                </c:pt>
                <c:pt idx="17">
                  <c:v>12.950821704835096</c:v>
                </c:pt>
                <c:pt idx="18">
                  <c:v>13.116413205077439</c:v>
                </c:pt>
                <c:pt idx="19">
                  <c:v>13.284121987572403</c:v>
                </c:pt>
                <c:pt idx="20">
                  <c:v>13.453975124265897</c:v>
                </c:pt>
                <c:pt idx="21">
                  <c:v>13.626000033250522</c:v>
                </c:pt>
                <c:pt idx="22">
                  <c:v>13.800224483191469</c:v>
                </c:pt>
                <c:pt idx="23">
                  <c:v>13.976676597809002</c:v>
                </c:pt>
                <c:pt idx="24">
                  <c:v>14.155384860418252</c:v>
                </c:pt>
                <c:pt idx="25">
                  <c:v>14.336378118527064</c:v>
                </c:pt>
                <c:pt idx="26">
                  <c:v>14.519685588492624</c:v>
                </c:pt>
                <c:pt idx="27">
                  <c:v>14.705336860237642</c:v>
                </c:pt>
                <c:pt idx="28">
                  <c:v>14.893361902026816</c:v>
                </c:pt>
                <c:pt idx="29">
                  <c:v>15.083791065304389</c:v>
                </c:pt>
                <c:pt idx="30">
                  <c:v>15.276655089593541</c:v>
                </c:pt>
              </c:numCache>
            </c:numRef>
          </c:val>
          <c:smooth val="0"/>
          <c:extLst>
            <c:ext xmlns:c16="http://schemas.microsoft.com/office/drawing/2014/chart" uri="{C3380CC4-5D6E-409C-BE32-E72D297353CC}">
              <c16:uniqueId val="{00000014-A053-47B7-AD7F-3541BC3D0595}"/>
            </c:ext>
          </c:extLst>
        </c:ser>
        <c:ser>
          <c:idx val="22"/>
          <c:order val="20"/>
          <c:tx>
            <c:strRef>
              <c:f>'BIFUbC-heat'!$A$22</c:f>
              <c:strCache>
                <c:ptCount val="1"/>
                <c:pt idx="0">
                  <c:v>nonroad vehicles 30</c:v>
                </c:pt>
              </c:strCache>
            </c:strRef>
          </c:tx>
          <c:spPr>
            <a:ln w="28575" cap="rnd">
              <a:solidFill>
                <a:schemeClr val="accent5">
                  <a:lumMod val="8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'BIFUbC-heat'!$B$22:$AF$22</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5-A053-47B7-AD7F-3541BC3D0595}"/>
            </c:ext>
          </c:extLst>
        </c:ser>
        <c:ser>
          <c:idx val="23"/>
          <c:order val="21"/>
          <c:tx>
            <c:strRef>
              <c:f>'BIFUbC-heat'!$A$23</c:f>
              <c:strCache>
                <c:ptCount val="1"/>
                <c:pt idx="0">
                  <c:v>other manufacturing 31T33</c:v>
                </c:pt>
              </c:strCache>
            </c:strRef>
          </c:tx>
          <c:spPr>
            <a:ln w="28575" cap="rnd">
              <a:solidFill>
                <a:schemeClr val="accent6">
                  <a:lumMod val="8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'BIFUbC-heat'!$B$23:$AF$23</c:f>
              <c:numCache>
                <c:formatCode>0.00E+00</c:formatCode>
                <c:ptCount val="31"/>
                <c:pt idx="0">
                  <c:v>4.9753987095777066E-2</c:v>
                </c:pt>
                <c:pt idx="1">
                  <c:v>5.051957616177042E-2</c:v>
                </c:pt>
                <c:pt idx="2">
                  <c:v>5.1296945723201065E-2</c:v>
                </c:pt>
                <c:pt idx="3">
                  <c:v>5.2086277052345351E-2</c:v>
                </c:pt>
                <c:pt idx="4">
                  <c:v>5.2887754210805299E-2</c:v>
                </c:pt>
                <c:pt idx="5">
                  <c:v>5.3701564092429308E-2</c:v>
                </c:pt>
                <c:pt idx="6">
                  <c:v>5.4527896466893322E-2</c:v>
                </c:pt>
                <c:pt idx="7">
                  <c:v>5.5366944023952612E-2</c:v>
                </c:pt>
                <c:pt idx="8">
                  <c:v>5.6218902418374475E-2</c:v>
                </c:pt>
                <c:pt idx="9">
                  <c:v>5.7083970315562317E-2</c:v>
                </c:pt>
                <c:pt idx="10">
                  <c:v>5.7962349437881804E-2</c:v>
                </c:pt>
                <c:pt idx="11">
                  <c:v>5.8854244611699844E-2</c:v>
                </c:pt>
                <c:pt idx="12">
                  <c:v>5.9759863815147363E-2</c:v>
                </c:pt>
                <c:pt idx="13">
                  <c:v>6.0679418226617071E-2</c:v>
                </c:pt>
                <c:pt idx="14">
                  <c:v>6.1613122274007455E-2</c:v>
                </c:pt>
                <c:pt idx="15">
                  <c:v>6.2561193684724514E-2</c:v>
                </c:pt>
                <c:pt idx="16">
                  <c:v>6.3523853536452915E-2</c:v>
                </c:pt>
                <c:pt idx="17">
                  <c:v>6.4501326308708376E-2</c:v>
                </c:pt>
                <c:pt idx="18">
                  <c:v>6.5493839935183304E-2</c:v>
                </c:pt>
                <c:pt idx="19">
                  <c:v>6.6501625856897936E-2</c:v>
                </c:pt>
                <c:pt idx="20">
                  <c:v>6.7524919076169268E-2</c:v>
                </c:pt>
                <c:pt idx="21">
                  <c:v>6.8563958211410536E-2</c:v>
                </c:pt>
                <c:pt idx="22">
                  <c:v>6.9618985552773835E-2</c:v>
                </c:pt>
                <c:pt idx="23">
                  <c:v>7.0690247118648963E-2</c:v>
                </c:pt>
                <c:pt idx="24">
                  <c:v>7.1777992713031674E-2</c:v>
                </c:pt>
                <c:pt idx="25">
                  <c:v>7.2882475983774647E-2</c:v>
                </c:pt>
                <c:pt idx="26">
                  <c:v>7.4003954481734802E-2</c:v>
                </c:pt>
                <c:pt idx="27">
                  <c:v>7.5142689720830741E-2</c:v>
                </c:pt>
                <c:pt idx="28">
                  <c:v>7.6298947239024334E-2</c:v>
                </c:pt>
                <c:pt idx="29">
                  <c:v>7.7472996660240642E-2</c:v>
                </c:pt>
                <c:pt idx="30">
                  <c:v>7.8665111757240669E-2</c:v>
                </c:pt>
              </c:numCache>
            </c:numRef>
          </c:val>
          <c:smooth val="0"/>
          <c:extLst>
            <c:ext xmlns:c16="http://schemas.microsoft.com/office/drawing/2014/chart" uri="{C3380CC4-5D6E-409C-BE32-E72D297353CC}">
              <c16:uniqueId val="{00000016-A053-47B7-AD7F-3541BC3D0595}"/>
            </c:ext>
          </c:extLst>
        </c:ser>
        <c:ser>
          <c:idx val="24"/>
          <c:order val="22"/>
          <c:tx>
            <c:strRef>
              <c:f>'BIFUbC-heat'!$A$24</c:f>
              <c:strCache>
                <c:ptCount val="1"/>
                <c:pt idx="0">
                  <c:v>energy pipelines and gas processing 352T353</c:v>
                </c:pt>
              </c:strCache>
            </c:strRef>
          </c:tx>
          <c:spPr>
            <a:ln w="28575" cap="rnd">
              <a:solidFill>
                <a:schemeClr val="accent1">
                  <a:lumMod val="60000"/>
                  <a:lumOff val="4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'BIFUbC-heat'!$B$24:$AF$24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7-A053-47B7-AD7F-3541BC3D0595}"/>
            </c:ext>
          </c:extLst>
        </c:ser>
        <c:ser>
          <c:idx val="25"/>
          <c:order val="23"/>
          <c:tx>
            <c:strRef>
              <c:f>'BIFUbC-heat'!$A$25</c:f>
              <c:strCache>
                <c:ptCount val="1"/>
                <c:pt idx="0">
                  <c:v>water and waste 36T39</c:v>
                </c:pt>
              </c:strCache>
            </c:strRef>
          </c:tx>
          <c:spPr>
            <a:ln w="28575" cap="rnd">
              <a:solidFill>
                <a:schemeClr val="accent2">
                  <a:lumMod val="60000"/>
                  <a:lumOff val="4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'BIFUbC-heat'!$B$25:$AF$25</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8-A053-47B7-AD7F-3541BC3D0595}"/>
            </c:ext>
          </c:extLst>
        </c:ser>
        <c:ser>
          <c:idx val="0"/>
          <c:order val="24"/>
          <c:tx>
            <c:strRef>
              <c:f>'BIFUbC-heat'!$A$26</c:f>
              <c:strCache>
                <c:ptCount val="1"/>
                <c:pt idx="0">
                  <c:v>construction 41T43</c:v>
                </c:pt>
              </c:strCache>
            </c:strRef>
          </c:tx>
          <c:spPr>
            <a:ln w="28575" cap="rnd">
              <a:solidFill>
                <a:schemeClr val="accent1"/>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'BIFUbC-heat'!$B$26:$AF$26</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9-A053-47B7-AD7F-3541BC3D0595}"/>
            </c:ext>
          </c:extLst>
        </c:ser>
        <c:dLbls>
          <c:showLegendKey val="0"/>
          <c:showVal val="0"/>
          <c:showCatName val="0"/>
          <c:showSerName val="0"/>
          <c:showPercent val="0"/>
          <c:showBubbleSize val="0"/>
        </c:dLbls>
        <c:smooth val="0"/>
        <c:axId val="1554324768"/>
        <c:axId val="1331715072"/>
        <c:extLst/>
      </c:lineChart>
      <c:catAx>
        <c:axId val="155432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15072"/>
        <c:crosses val="autoZero"/>
        <c:auto val="1"/>
        <c:lblAlgn val="ctr"/>
        <c:lblOffset val="100"/>
        <c:noMultiLvlLbl val="0"/>
      </c:catAx>
      <c:valAx>
        <c:axId val="133171507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32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'BIFUbC-crude-oil'!$A$1</c:f>
              <c:strCache>
                <c:ptCount val="1"/>
                <c:pt idx="0">
                  <c:v>Unit: BTU</c:v>
                </c:pt>
              </c:strCache>
            </c:strRef>
          </c:tx>
          <c:spPr>
            <a:ln w="28575" cap="rnd">
              <a:solidFill>
                <a:schemeClr val="accent1"/>
              </a:solidFill>
              <a:round/>
            </a:ln>
            <a:effectLst/>
          </c:spPr>
          <c:marker>
            <c:symbol val="none"/>
          </c:marker>
          <c:val>
            <c:numRef>
              <c:f>'BIFUbC-crude-oil'!$B$1:$AF$1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val>
          <c:smooth val="0"/>
          <c:extLst>
            <c:ext xmlns:c16="http://schemas.microsoft.com/office/drawing/2014/chart" uri="{C3380CC4-5D6E-409C-BE32-E72D297353CC}">
              <c16:uniqueId val="{00000000-DDD2-4B01-AD31-F80C77DF3256}"/>
            </c:ext>
          </c:extLst>
        </c:ser>
        <c:ser>
          <c:idx val="1"/>
          <c:order val="1"/>
          <c:tx>
            <c:strRef>
              <c:f>'BIFUbC-crude-oil'!$A$2</c:f>
              <c:strCache>
                <c:ptCount val="1"/>
                <c:pt idx="0">
                  <c:v>agriculture and forestry 01T03</c:v>
                </c:pt>
              </c:strCache>
            </c:strRef>
          </c:tx>
          <c:spPr>
            <a:ln w="28575" cap="rnd">
              <a:solidFill>
                <a:schemeClr val="accent2"/>
              </a:solidFill>
              <a:round/>
            </a:ln>
            <a:effectLst/>
          </c:spPr>
          <c:marker>
            <c:symbol val="none"/>
          </c:marker>
          <c:val>
            <c:numRef>
              <c:f>'BIFUbC-crude-oil'!$B$2:$AF$2</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1-DDD2-4B01-AD31-F80C77DF3256}"/>
            </c:ext>
          </c:extLst>
        </c:ser>
        <c:ser>
          <c:idx val="2"/>
          <c:order val="2"/>
          <c:tx>
            <c:strRef>
              <c:f>'BIFUbC-crude-oil'!$A$3</c:f>
              <c:strCache>
                <c:ptCount val="1"/>
                <c:pt idx="0">
                  <c:v>coal mining 05</c:v>
                </c:pt>
              </c:strCache>
            </c:strRef>
          </c:tx>
          <c:spPr>
            <a:ln w="28575" cap="rnd">
              <a:solidFill>
                <a:schemeClr val="accent3"/>
              </a:solidFill>
              <a:round/>
            </a:ln>
            <a:effectLst/>
          </c:spPr>
          <c:marker>
            <c:symbol val="none"/>
          </c:marker>
          <c:val>
            <c:numRef>
              <c:f>'BIFUbC-crude-oil'!$B$3:$AF$3</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DDD2-4B01-AD31-F80C77DF3256}"/>
            </c:ext>
          </c:extLst>
        </c:ser>
        <c:ser>
          <c:idx val="3"/>
          <c:order val="3"/>
          <c:tx>
            <c:strRef>
              <c:f>'BIFUbC-crude-oil'!$A$4</c:f>
              <c:strCache>
                <c:ptCount val="1"/>
                <c:pt idx="0">
                  <c:v>oil and gas extraction 06</c:v>
                </c:pt>
              </c:strCache>
            </c:strRef>
          </c:tx>
          <c:spPr>
            <a:ln w="28575" cap="rnd">
              <a:solidFill>
                <a:schemeClr val="accent4"/>
              </a:solidFill>
              <a:round/>
            </a:ln>
            <a:effectLst/>
          </c:spPr>
          <c:marker>
            <c:symbol val="none"/>
          </c:marker>
          <c:val>
            <c:numRef>
              <c:f>'BIFUbC-crude-oil'!$B$4:$AF$4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3-DDD2-4B01-AD31-F80C77DF3256}"/>
            </c:ext>
          </c:extLst>
        </c:ser>
        <c:ser>
          <c:idx val="4"/>
          <c:order val="4"/>
          <c:tx>
            <c:strRef>
              <c:f>'BIFUbC-crude-oil'!$A$5</c:f>
              <c:strCache>
                <c:ptCount val="1"/>
                <c:pt idx="0">
                  <c:v>other mining and quarrying 07T08</c:v>
                </c:pt>
              </c:strCache>
            </c:strRef>
          </c:tx>
          <c:spPr>
            <a:ln w="28575" cap="rnd">
              <a:solidFill>
                <a:schemeClr val="accent5"/>
              </a:solidFill>
              <a:round/>
            </a:ln>
            <a:effectLst/>
          </c:spPr>
          <c:marker>
            <c:symbol val="none"/>
          </c:marker>
          <c:val>
            <c:numRef>
              <c:f>'BIFUbC-crude-oil'!$B$5:$AF$5</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4-DDD2-4B01-AD31-F80C77DF3256}"/>
            </c:ext>
          </c:extLst>
        </c:ser>
        <c:ser>
          <c:idx val="5"/>
          <c:order val="5"/>
          <c:tx>
            <c:strRef>
              <c:f>'BIFUbC-crude-oil'!$A$6</c:f>
              <c:strCache>
                <c:ptCount val="1"/>
                <c:pt idx="0">
                  <c:v>food beverage and tobacco 10T12</c:v>
                </c:pt>
              </c:strCache>
            </c:strRef>
          </c:tx>
          <c:spPr>
            <a:ln w="28575" cap="rnd">
              <a:solidFill>
                <a:schemeClr val="accent6"/>
              </a:solidFill>
              <a:round/>
            </a:ln>
            <a:effectLst/>
          </c:spPr>
          <c:marker>
            <c:symbol val="none"/>
          </c:marker>
          <c:val>
            <c:numRef>
              <c:f>'BIFUbC-crude-oil'!$B$6:$AF$6</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5-DDD2-4B01-AD31-F80C77DF3256}"/>
            </c:ext>
          </c:extLst>
        </c:ser>
        <c:ser>
          <c:idx val="6"/>
          <c:order val="6"/>
          <c:tx>
            <c:strRef>
              <c:f>'BIFUbC-crude-oil'!$A$7</c:f>
              <c:strCache>
                <c:ptCount val="1"/>
                <c:pt idx="0">
                  <c:v>textiles apparel and leather 13T15</c:v>
                </c:pt>
              </c:strCache>
            </c:strRef>
          </c:tx>
          <c:spPr>
            <a:ln w="28575" cap="rnd">
              <a:solidFill>
                <a:schemeClr val="accent1">
                  <a:lumMod val="60000"/>
                </a:schemeClr>
              </a:solidFill>
              <a:round/>
            </a:ln>
            <a:effectLst/>
          </c:spPr>
          <c:marker>
            <c:symbol val="none"/>
          </c:marker>
          <c:val>
            <c:numRef>
              <c:f>'BIFUbC-crude-oil'!$B$7:$AF$7</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6-DDD2-4B01-AD31-F80C77DF3256}"/>
            </c:ext>
          </c:extLst>
        </c:ser>
        <c:ser>
          <c:idx val="7"/>
          <c:order val="7"/>
          <c:tx>
            <c:strRef>
              <c:f>'BIFUbC-crude-oil'!$A$8</c:f>
              <c:strCache>
                <c:ptCount val="1"/>
                <c:pt idx="0">
                  <c:v>wood products 16</c:v>
                </c:pt>
              </c:strCache>
            </c:strRef>
          </c:tx>
          <c:spPr>
            <a:ln w="28575" cap="rnd">
              <a:solidFill>
                <a:schemeClr val="accent2">
                  <a:lumMod val="60000"/>
                </a:schemeClr>
              </a:solidFill>
              <a:round/>
            </a:ln>
            <a:effectLst/>
          </c:spPr>
          <c:marker>
            <c:symbol val="none"/>
          </c:marker>
          <c:val>
            <c:numRef>
              <c:f>'BIFUbC-crude-oil'!$B$8:$AF$8</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7-DDD2-4B01-AD31-F80C77DF3256}"/>
            </c:ext>
          </c:extLst>
        </c:ser>
        <c:ser>
          <c:idx val="8"/>
          <c:order val="8"/>
          <c:tx>
            <c:strRef>
              <c:f>'BIFUbC-crude-oil'!$A$9</c:f>
              <c:strCache>
                <c:ptCount val="1"/>
                <c:pt idx="0">
                  <c:v>pulp paper and printing 17T18</c:v>
                </c:pt>
              </c:strCache>
            </c:strRef>
          </c:tx>
          <c:spPr>
            <a:ln w="28575" cap="rnd">
              <a:solidFill>
                <a:schemeClr val="accent3">
                  <a:lumMod val="60000"/>
                </a:schemeClr>
              </a:solidFill>
              <a:round/>
            </a:ln>
            <a:effectLst/>
          </c:spPr>
          <c:marker>
            <c:symbol val="none"/>
          </c:marker>
          <c:val>
            <c:numRef>
              <c:f>'BIFUbC-crude-oil'!$B$9:$AF$9</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8-DDD2-4B01-AD31-F80C77DF3256}"/>
            </c:ext>
          </c:extLst>
        </c:ser>
        <c:ser>
          <c:idx val="9"/>
          <c:order val="9"/>
          <c:tx>
            <c:strRef>
              <c:f>'BIFUbC-crude-oil'!$A$10</c:f>
              <c:strCache>
                <c:ptCount val="1"/>
                <c:pt idx="0">
                  <c:v>refined petroleum and coke 19</c:v>
                </c:pt>
              </c:strCache>
            </c:strRef>
          </c:tx>
          <c:spPr>
            <a:ln w="28575" cap="rnd">
              <a:solidFill>
                <a:srgbClr val="FFFF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'BIFUbC-crude-oil'!$B$10:$AF$10</c:f>
              <c:numCache>
                <c:formatCode>0.00E+00</c:formatCode>
                <c:ptCount val="31"/>
                <c:pt idx="0">
                  <c:v>6223881563907680</c:v>
                </c:pt>
                <c:pt idx="1">
                  <c:v>6258328198147919</c:v>
                </c:pt>
                <c:pt idx="2">
                  <c:v>6292774832388178</c:v>
                </c:pt>
                <c:pt idx="3">
                  <c:v>6284658319923451</c:v>
                </c:pt>
                <c:pt idx="4">
                  <c:v>6276541807458727</c:v>
                </c:pt>
                <c:pt idx="5">
                  <c:v>6268425294994000</c:v>
                </c:pt>
                <c:pt idx="6">
                  <c:v>6260308782529276</c:v>
                </c:pt>
                <c:pt idx="7">
                  <c:v>6252192270064549</c:v>
                </c:pt>
                <c:pt idx="8">
                  <c:v>6244075757599825</c:v>
                </c:pt>
                <c:pt idx="9">
                  <c:v>6235959245135098</c:v>
                </c:pt>
                <c:pt idx="10">
                  <c:v>6227842732670374</c:v>
                </c:pt>
                <c:pt idx="11">
                  <c:v>6195667168520738</c:v>
                </c:pt>
                <c:pt idx="12">
                  <c:v>6163491604371099</c:v>
                </c:pt>
                <c:pt idx="13">
                  <c:v>6131316040221461</c:v>
                </c:pt>
                <c:pt idx="14">
                  <c:v>6099140476071822</c:v>
                </c:pt>
                <c:pt idx="15">
                  <c:v>6066964911922183</c:v>
                </c:pt>
                <c:pt idx="16">
                  <c:v>6034789347772556</c:v>
                </c:pt>
                <c:pt idx="17">
                  <c:v>6002613783622917</c:v>
                </c:pt>
                <c:pt idx="18">
                  <c:v>5970438219473278</c:v>
                </c:pt>
                <c:pt idx="19">
                  <c:v>5938262655323639</c:v>
                </c:pt>
                <c:pt idx="20">
                  <c:v>5906087091174000</c:v>
                </c:pt>
                <c:pt idx="21">
                  <c:v>5854409113916149</c:v>
                </c:pt>
                <c:pt idx="22">
                  <c:v>5802731136658286</c:v>
                </c:pt>
                <c:pt idx="23">
                  <c:v>5751053159400423</c:v>
                </c:pt>
                <c:pt idx="24">
                  <c:v>5699375182142560</c:v>
                </c:pt>
                <c:pt idx="25">
                  <c:v>5647697204884697</c:v>
                </c:pt>
                <c:pt idx="26">
                  <c:v>5596019227626834</c:v>
                </c:pt>
                <c:pt idx="27">
                  <c:v>5544341250368971</c:v>
                </c:pt>
                <c:pt idx="28">
                  <c:v>5492663273111108</c:v>
                </c:pt>
                <c:pt idx="29">
                  <c:v>5440985295853245</c:v>
                </c:pt>
                <c:pt idx="30">
                  <c:v>5389307318595385</c:v>
                </c:pt>
              </c:numCache>
            </c:numRef>
          </c:val>
          <c:smooth val="0"/>
          <c:extLst>
            <c:ext xmlns:c16="http://schemas.microsoft.com/office/drawing/2014/chart" uri="{C3380CC4-5D6E-409C-BE32-E72D297353CC}">
              <c16:uniqueId val="{00000009-DDD2-4B01-AD31-F80C77DF3256}"/>
            </c:ext>
          </c:extLst>
        </c:ser>
        <c:ser>
          <c:idx val="10"/>
          <c:order val="10"/>
          <c:tx>
            <c:strRef>
              <c:f>'BIFUbC-crude-oil'!$A$11</c:f>
              <c:strCache>
                <c:ptCount val="1"/>
                <c:pt idx="0">
                  <c:v>chemicals 20</c:v>
                </c:pt>
              </c:strCache>
            </c:strRef>
          </c:tx>
          <c:spPr>
            <a:ln w="28575" cap="rnd">
              <a:solidFill>
                <a:schemeClr val="accent5">
                  <a:lumMod val="60000"/>
                </a:schemeClr>
              </a:solidFill>
              <a:round/>
            </a:ln>
            <a:effectLst/>
          </c:spPr>
          <c:marker>
            <c:symbol val="none"/>
          </c:marker>
          <c:val>
            <c:numRef>
              <c:f>'BIFUbC-crude-oil'!$B$11:$AF$11</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A-DDD2-4B01-AD31-F80C77DF3256}"/>
            </c:ext>
          </c:extLst>
        </c:ser>
        <c:ser>
          <c:idx val="11"/>
          <c:order val="11"/>
          <c:tx>
            <c:strRef>
              <c:f>'BIFUbC-crude-oil'!$A$12</c:f>
              <c:strCache>
                <c:ptCount val="1"/>
                <c:pt idx="0">
                  <c:v>rubber and plastic products 22</c:v>
                </c:pt>
              </c:strCache>
            </c:strRef>
          </c:tx>
          <c:spPr>
            <a:ln w="28575" cap="rnd">
              <a:solidFill>
                <a:schemeClr val="accent6">
                  <a:lumMod val="60000"/>
                </a:schemeClr>
              </a:solidFill>
              <a:round/>
            </a:ln>
            <a:effectLst/>
          </c:spPr>
          <c:marker>
            <c:symbol val="none"/>
          </c:marker>
          <c:val>
            <c:numRef>
              <c:f>'BIFUbC-crude-oil'!$B$12:$AF$12</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B-DDD2-4B01-AD31-F80C77DF3256}"/>
            </c:ext>
          </c:extLst>
        </c:ser>
        <c:ser>
          <c:idx val="12"/>
          <c:order val="12"/>
          <c:tx>
            <c:strRef>
              <c:f>'BIFUbC-crude-oil'!$A$13</c:f>
              <c:strCache>
                <c:ptCount val="1"/>
                <c:pt idx="0">
                  <c:v>glass and glass products 231</c:v>
                </c:pt>
              </c:strCache>
            </c:strRef>
          </c:tx>
          <c:spPr>
            <a:ln w="28575" cap="rnd">
              <a:solidFill>
                <a:schemeClr val="accent1">
                  <a:lumMod val="80000"/>
                  <a:lumOff val="20000"/>
                </a:schemeClr>
              </a:solidFill>
              <a:round/>
            </a:ln>
            <a:effectLst/>
          </c:spPr>
          <c:marker>
            <c:symbol val="none"/>
          </c:marker>
          <c:val>
            <c:numRef>
              <c:f>'BIFUbC-crude-oil'!$B$13:$AF$13</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C-DDD2-4B01-AD31-F80C77DF3256}"/>
            </c:ext>
          </c:extLst>
        </c:ser>
        <c:ser>
          <c:idx val="13"/>
          <c:order val="13"/>
          <c:tx>
            <c:strRef>
              <c:f>'BIFUbC-crude-oil'!$A$14</c:f>
              <c:strCache>
                <c:ptCount val="1"/>
                <c:pt idx="0">
                  <c:v>cement and other nonmetallic minerals 239</c:v>
                </c:pt>
              </c:strCache>
            </c:strRef>
          </c:tx>
          <c:spPr>
            <a:ln w="28575" cap="rnd">
              <a:solidFill>
                <a:schemeClr val="accent2">
                  <a:lumMod val="80000"/>
                  <a:lumOff val="20000"/>
                </a:schemeClr>
              </a:solidFill>
              <a:round/>
            </a:ln>
            <a:effectLst/>
          </c:spPr>
          <c:marker>
            <c:symbol val="none"/>
          </c:marker>
          <c:val>
            <c:numRef>
              <c:f>'BIFUbC-crude-oil'!$B$14:$AF$14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D-DDD2-4B01-AD31-F80C77DF3256}"/>
            </c:ext>
          </c:extLst>
        </c:ser>
        <c:ser>
          <c:idx val="14"/>
          <c:order val="14"/>
          <c:tx>
            <c:strRef>
              <c:f>'BIFUbC-crude-oil'!$A$15</c:f>
              <c:strCache>
                <c:ptCount val="1"/>
                <c:pt idx="0">
                  <c:v>iron and steel 241</c:v>
                </c:pt>
              </c:strCache>
            </c:strRef>
          </c:tx>
          <c:spPr>
            <a:ln w="28575" cap="rnd">
              <a:solidFill>
                <a:schemeClr val="accent3">
                  <a:lumMod val="80000"/>
                  <a:lumOff val="20000"/>
                </a:schemeClr>
              </a:solidFill>
              <a:round/>
            </a:ln>
            <a:effectLst/>
          </c:spPr>
          <c:marker>
            <c:symbol val="none"/>
          </c:marker>
          <c:val>
            <c:numRef>
              <c:f>'BIFUbC-crude-oil'!$B$15:$AF$15</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E-DDD2-4B01-AD31-F80C77DF3256}"/>
            </c:ext>
          </c:extLst>
        </c:ser>
        <c:ser>
          <c:idx val="15"/>
          <c:order val="15"/>
          <c:tx>
            <c:strRef>
              <c:f>'BIFUbC-crude-oil'!$A$16</c:f>
              <c:strCache>
                <c:ptCount val="1"/>
                <c:pt idx="0">
                  <c:v>other metals 242</c:v>
                </c:pt>
              </c:strCache>
            </c:strRef>
          </c:tx>
          <c:spPr>
            <a:ln w="28575" cap="rnd">
              <a:solidFill>
                <a:schemeClr val="accent4">
                  <a:lumMod val="80000"/>
                  <a:lumOff val="20000"/>
                </a:schemeClr>
              </a:solidFill>
              <a:round/>
            </a:ln>
            <a:effectLst/>
          </c:spPr>
          <c:marker>
            <c:symbol val="none"/>
          </c:marker>
          <c:val>
            <c:numRef>
              <c:f>'BIFUbC-crude-oil'!$B$16:$AF$16</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F-DDD2-4B01-AD31-F80C77DF3256}"/>
            </c:ext>
          </c:extLst>
        </c:ser>
        <c:ser>
          <c:idx val="16"/>
          <c:order val="16"/>
          <c:tx>
            <c:strRef>
              <c:f>'BIFUbC-crude-oil'!$A$17</c:f>
              <c:strCache>
                <c:ptCount val="1"/>
                <c:pt idx="0">
                  <c:v>metal products except machinery and vehicles 25</c:v>
                </c:pt>
              </c:strCache>
            </c:strRef>
          </c:tx>
          <c:spPr>
            <a:ln w="28575" cap="rnd">
              <a:solidFill>
                <a:schemeClr val="accent5">
                  <a:lumMod val="80000"/>
                  <a:lumOff val="20000"/>
                </a:schemeClr>
              </a:solidFill>
              <a:round/>
            </a:ln>
            <a:effectLst/>
          </c:spPr>
          <c:marker>
            <c:symbol val="none"/>
          </c:marker>
          <c:val>
            <c:numRef>
              <c:f>'BIFUbC-crude-oil'!$B$17:$AF$17</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0-DDD2-4B01-AD31-F80C77DF3256}"/>
            </c:ext>
          </c:extLst>
        </c:ser>
        <c:ser>
          <c:idx val="17"/>
          <c:order val="17"/>
          <c:tx>
            <c:strRef>
              <c:f>'BIFUbC-crude-oil'!$A$18</c:f>
              <c:strCache>
                <c:ptCount val="1"/>
                <c:pt idx="0">
                  <c:v>computers and electronics 26</c:v>
                </c:pt>
              </c:strCache>
            </c:strRef>
          </c:tx>
          <c:spPr>
            <a:ln w="28575" cap="rnd">
              <a:solidFill>
                <a:schemeClr val="accent6">
                  <a:lumMod val="80000"/>
                  <a:lumOff val="20000"/>
                </a:schemeClr>
              </a:solidFill>
              <a:round/>
            </a:ln>
            <a:effectLst/>
          </c:spPr>
          <c:marker>
            <c:symbol val="none"/>
          </c:marker>
          <c:val>
            <c:numRef>
              <c:f>'BIFUbC-crude-oil'!$B$18:$AF$18</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1-DDD2-4B01-AD31-F80C77DF3256}"/>
            </c:ext>
          </c:extLst>
        </c:ser>
        <c:ser>
          <c:idx val="18"/>
          <c:order val="18"/>
          <c:tx>
            <c:strRef>
              <c:f>'BIFUbC-crude-oil'!$A$19</c:f>
              <c:strCache>
                <c:ptCount val="1"/>
                <c:pt idx="0">
                  <c:v>appliances and electrical equipment 27</c:v>
                </c:pt>
              </c:strCache>
            </c:strRef>
          </c:tx>
          <c:spPr>
            <a:ln w="28575" cap="rnd">
              <a:solidFill>
                <a:schemeClr val="accent1">
                  <a:lumMod val="80000"/>
                </a:schemeClr>
              </a:solidFill>
              <a:round/>
            </a:ln>
            <a:effectLst/>
          </c:spPr>
          <c:marker>
            <c:symbol val="none"/>
          </c:marker>
          <c:val>
            <c:numRef>
              <c:f>'BIFUbC-crude-oil'!$B$19:$AF$19</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2-DDD2-4B01-AD31-F80C77DF3256}"/>
            </c:ext>
          </c:extLst>
        </c:ser>
        <c:ser>
          <c:idx val="19"/>
          <c:order val="19"/>
          <c:tx>
            <c:strRef>
              <c:f>'BIFUbC-crude-oil'!$A$20</c:f>
              <c:strCache>
                <c:ptCount val="1"/>
                <c:pt idx="0">
                  <c:v>other machinery 28</c:v>
                </c:pt>
              </c:strCache>
            </c:strRef>
          </c:tx>
          <c:spPr>
            <a:ln w="28575" cap="rnd">
              <a:solidFill>
                <a:schemeClr val="accent2">
                  <a:lumMod val="80000"/>
                </a:schemeClr>
              </a:solidFill>
              <a:round/>
            </a:ln>
            <a:effectLst/>
          </c:spPr>
          <c:marker>
            <c:symbol val="none"/>
          </c:marker>
          <c:val>
            <c:numRef>
              <c:f>'BIFUbC-crude-oil'!$B$20:$AF$20</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3-DDD2-4B01-AD31-F80C77DF3256}"/>
            </c:ext>
          </c:extLst>
        </c:ser>
        <c:ser>
          <c:idx val="20"/>
          <c:order val="20"/>
          <c:tx>
            <c:strRef>
              <c:f>'BIFUbC-crude-oil'!$A$21</c:f>
              <c:strCache>
                <c:ptCount val="1"/>
                <c:pt idx="0">
                  <c:v>road vehicles 29</c:v>
                </c:pt>
              </c:strCache>
            </c:strRef>
          </c:tx>
          <c:spPr>
            <a:ln w="28575" cap="rnd">
              <a:solidFill>
                <a:schemeClr val="accent3">
                  <a:lumMod val="80000"/>
                </a:schemeClr>
              </a:solidFill>
              <a:round/>
            </a:ln>
            <a:effectLst/>
          </c:spPr>
          <c:marker>
            <c:symbol val="none"/>
          </c:marker>
          <c:val>
            <c:numRef>
              <c:f>'BIFUbC-crude-oil'!$B$21:$AF$21</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4-DDD2-4B01-AD31-F80C77DF3256}"/>
            </c:ext>
          </c:extLst>
        </c:ser>
        <c:ser>
          <c:idx val="21"/>
          <c:order val="21"/>
          <c:tx>
            <c:strRef>
              <c:f>'BIFUbC-crude-oil'!$A$22</c:f>
              <c:strCache>
                <c:ptCount val="1"/>
                <c:pt idx="0">
                  <c:v>nonroad vehicles 30</c:v>
                </c:pt>
              </c:strCache>
            </c:strRef>
          </c:tx>
          <c:spPr>
            <a:ln w="28575" cap="rnd">
              <a:solidFill>
                <a:schemeClr val="accent4">
                  <a:lumMod val="80000"/>
                </a:schemeClr>
              </a:solidFill>
              <a:round/>
            </a:ln>
            <a:effectLst/>
          </c:spPr>
          <c:marker>
            <c:symbol val="none"/>
          </c:marker>
          <c:val>
            <c:numRef>
              <c:f>'BIFUbC-crude-oil'!$B$22:$AF$22</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5-DDD2-4B01-AD31-F80C77DF3256}"/>
            </c:ext>
          </c:extLst>
        </c:ser>
        <c:ser>
          <c:idx val="22"/>
          <c:order val="22"/>
          <c:tx>
            <c:strRef>
              <c:f>'BIFUbC-crude-oil'!$A$23</c:f>
              <c:strCache>
                <c:ptCount val="1"/>
                <c:pt idx="0">
                  <c:v>other manufacturing 31T33</c:v>
                </c:pt>
              </c:strCache>
            </c:strRef>
          </c:tx>
          <c:spPr>
            <a:ln w="28575" cap="rnd">
              <a:solidFill>
                <a:schemeClr val="accent5">
                  <a:lumMod val="80000"/>
                </a:schemeClr>
              </a:solidFill>
              <a:round/>
            </a:ln>
            <a:effectLst/>
          </c:spPr>
          <c:marker>
            <c:symbol val="none"/>
          </c:marker>
          <c:val>
            <c:numRef>
              <c:f>'BIFUbC-crude-oil'!$B$23:$AF$23</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6-DDD2-4B01-AD31-F80C77DF3256}"/>
            </c:ext>
          </c:extLst>
        </c:ser>
        <c:ser>
          <c:idx val="23"/>
          <c:order val="23"/>
          <c:tx>
            <c:strRef>
              <c:f>'BIFUbC-crude-oil'!$A$24</c:f>
              <c:strCache>
                <c:ptCount val="1"/>
                <c:pt idx="0">
                  <c:v>energy pipelines and gas processing 352T353</c:v>
                </c:pt>
              </c:strCache>
            </c:strRef>
          </c:tx>
          <c:spPr>
            <a:ln w="28575" cap="rnd">
              <a:solidFill>
                <a:schemeClr val="accent6">
                  <a:lumMod val="80000"/>
                </a:schemeClr>
              </a:solidFill>
              <a:round/>
            </a:ln>
            <a:effectLst/>
          </c:spPr>
          <c:marker>
            <c:symbol val="none"/>
          </c:marker>
          <c:val>
            <c:numRef>
              <c:f>'BIFUbC-crude-oil'!$B$24:$AF$24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7-DDD2-4B01-AD31-F80C77DF3256}"/>
            </c:ext>
          </c:extLst>
        </c:ser>
        <c:ser>
          <c:idx val="24"/>
          <c:order val="24"/>
          <c:tx>
            <c:strRef>
              <c:f>'BIFUbC-crude-oil'!$A$25</c:f>
              <c:strCache>
                <c:ptCount val="1"/>
                <c:pt idx="0">
                  <c:v>water and waste 36T39</c:v>
                </c:pt>
              </c:strCache>
            </c:strRef>
          </c:tx>
          <c:spPr>
            <a:ln w="28575" cap="rnd">
              <a:solidFill>
                <a:schemeClr val="accent1">
                  <a:lumMod val="60000"/>
                  <a:lumOff val="40000"/>
                </a:schemeClr>
              </a:solidFill>
              <a:round/>
            </a:ln>
            <a:effectLst/>
          </c:spPr>
          <c:marker>
            <c:symbol val="none"/>
          </c:marker>
          <c:val>
            <c:numRef>
              <c:f>'BIFUbC-crude-oil'!$B$25:$AF$25</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8-DDD2-4B01-AD31-F80C77DF3256}"/>
            </c:ext>
          </c:extLst>
        </c:ser>
        <c:ser>
          <c:idx val="25"/>
          <c:order val="25"/>
          <c:tx>
            <c:strRef>
              <c:f>'BIFUbC-crude-oil'!$A$26</c:f>
              <c:strCache>
                <c:ptCount val="1"/>
                <c:pt idx="0">
                  <c:v>construction 41T43</c:v>
                </c:pt>
              </c:strCache>
            </c:strRef>
          </c:tx>
          <c:spPr>
            <a:ln w="28575" cap="rnd">
              <a:solidFill>
                <a:schemeClr val="accent2">
                  <a:lumMod val="60000"/>
                  <a:lumOff val="40000"/>
                </a:schemeClr>
              </a:solidFill>
              <a:round/>
            </a:ln>
            <a:effectLst/>
          </c:spPr>
          <c:marker>
            <c:symbol val="none"/>
          </c:marker>
          <c:val>
            <c:numRef>
              <c:f>'BIFUbC-crude-oil'!$B$26:$AF$26</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9-DDD2-4B01-AD31-F80C77DF3256}"/>
            </c:ext>
          </c:extLst>
        </c:ser>
        <c:dLbls>
          <c:showLegendKey val="0"/>
          <c:showVal val="0"/>
          <c:showCatName val="0"/>
          <c:showSerName val="0"/>
          <c:showPercent val="0"/>
          <c:showBubbleSize val="0"/>
        </c:dLbls>
        <c:smooth val="0"/>
        <c:axId val="568560864"/>
        <c:axId val="568561824"/>
      </c:lineChart>
      <c:catAx>
        <c:axId val="5685608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68561824"/>
        <c:crosses val="autoZero"/>
        <c:auto val="1"/>
        <c:lblAlgn val="ctr"/>
        <c:lblOffset val="100"/>
        <c:noMultiLvlLbl val="0"/>
      </c:catAx>
      <c:valAx>
        <c:axId val="56856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68560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4"/>
          <c:order val="0"/>
          <c:tx>
            <c:strRef>
              <c:f>'BIFUbC-heavy-or-residual-oil'!$A$2</c:f>
              <c:strCache>
                <c:ptCount val="1"/>
                <c:pt idx="0">
                  <c:v>agriculture and forestry 01T03</c:v>
                </c:pt>
              </c:strCache>
            </c:strRef>
          </c:tx>
          <c:spPr>
            <a:ln w="28575" cap="rnd">
              <a:solidFill>
                <a:schemeClr val="accent5"/>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'BIFUbC-heavy-or-residual-oil'!$B$2:$AF$2</c:f>
              <c:numCache>
                <c:formatCode>0.00E+00</c:formatCode>
                <c:ptCount val="31"/>
                <c:pt idx="0">
                  <c:v>2339174908622.5283</c:v>
                </c:pt>
                <c:pt idx="1">
                  <c:v>2391072574328.2661</c:v>
                </c:pt>
                <c:pt idx="2">
                  <c:v>2442970240034.0039</c:v>
                </c:pt>
                <c:pt idx="3">
                  <c:v>2494867905739.7412</c:v>
                </c:pt>
                <c:pt idx="4">
                  <c:v>2546765571445.479</c:v>
                </c:pt>
                <c:pt idx="5">
                  <c:v>2598663237151.2168</c:v>
                </c:pt>
                <c:pt idx="6">
                  <c:v>2622645994605.8467</c:v>
                </c:pt>
                <c:pt idx="7">
                  <c:v>2646628752060.4697</c:v>
                </c:pt>
                <c:pt idx="8">
                  <c:v>2670611509515.0923</c:v>
                </c:pt>
                <c:pt idx="9">
                  <c:v>2694594266969.7153</c:v>
                </c:pt>
                <c:pt idx="10">
                  <c:v>2718577024424.3423</c:v>
                </c:pt>
                <c:pt idx="11">
                  <c:v>2735627888528.2886</c:v>
                </c:pt>
                <c:pt idx="12">
                  <c:v>2752678752632.2393</c:v>
                </c:pt>
                <c:pt idx="13">
                  <c:v>2769729616736.1909</c:v>
                </c:pt>
                <c:pt idx="14">
                  <c:v>2786780480840.1416</c:v>
                </c:pt>
                <c:pt idx="15">
                  <c:v>2803831344944.0913</c:v>
                </c:pt>
                <c:pt idx="16">
                  <c:v>2817217070035.0498</c:v>
                </c:pt>
                <c:pt idx="17">
                  <c:v>2830602795125.9971</c:v>
                </c:pt>
                <c:pt idx="18">
                  <c:v>2843988520216.9492</c:v>
                </c:pt>
                <c:pt idx="19">
                  <c:v>2857374245307.9014</c:v>
                </c:pt>
                <c:pt idx="20">
                  <c:v>2870759970398.8491</c:v>
                </c:pt>
                <c:pt idx="21">
                  <c:v>2889032547507.1338</c:v>
                </c:pt>
                <c:pt idx="22">
                  <c:v>2903973180058.145</c:v>
                </c:pt>
                <c:pt idx="23">
                  <c:v>2918913812609.1606</c:v>
                </c:pt>
                <c:pt idx="24">
                  <c:v>2933854445160.1719</c:v>
                </c:pt>
                <c:pt idx="25">
                  <c:v>2948795077711.1821</c:v>
                </c:pt>
                <c:pt idx="26">
                  <c:v>2963735710262.1929</c:v>
                </c:pt>
                <c:pt idx="27">
                  <c:v>2978676342813.209</c:v>
                </c:pt>
                <c:pt idx="28">
                  <c:v>2993616975364.2197</c:v>
                </c:pt>
                <c:pt idx="29">
                  <c:v>3008557607915.2305</c:v>
                </c:pt>
                <c:pt idx="30">
                  <c:v>3023498240466.2461</c:v>
                </c:pt>
              </c:numCache>
            </c:numRef>
          </c:val>
          <c:smooth val="0"/>
          <c:extLst>
            <c:ext xmlns:c16="http://schemas.microsoft.com/office/drawing/2014/chart" uri="{C3380CC4-5D6E-409C-BE32-E72D297353CC}">
              <c16:uniqueId val="{00000001-A741-49DD-9B45-806E7DC337FE}"/>
            </c:ext>
          </c:extLst>
        </c:ser>
        <c:ser>
          <c:idx val="5"/>
          <c:order val="1"/>
          <c:tx>
            <c:strRef>
              <c:f>'BIFUbC-heavy-or-residual-oil'!$A$3</c:f>
              <c:strCache>
                <c:ptCount val="1"/>
                <c:pt idx="0">
                  <c:v>coal mining 05</c:v>
                </c:pt>
              </c:strCache>
            </c:strRef>
          </c:tx>
          <c:spPr>
            <a:ln w="28575" cap="rnd">
              <a:solidFill>
                <a:schemeClr val="accent6"/>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'BIFUbC-heavy-or-residual-oil'!$B$3:$AF$3</c:f>
              <c:numCache>
                <c:formatCode>0.00E+00</c:formatCode>
                <c:ptCount val="31"/>
                <c:pt idx="0">
                  <c:v>14438611167.966463</c:v>
                </c:pt>
                <c:pt idx="1">
                  <c:v>13887001714.753069</c:v>
                </c:pt>
                <c:pt idx="2">
                  <c:v>12391170681.116932</c:v>
                </c:pt>
                <c:pt idx="3">
                  <c:v>12154301754.710981</c:v>
                </c:pt>
                <c:pt idx="4">
                  <c:v>11917432828.305166</c:v>
                </c:pt>
                <c:pt idx="5">
                  <c:v>11680563901.899279</c:v>
                </c:pt>
                <c:pt idx="6">
                  <c:v>11443694975.493391</c:v>
                </c:pt>
                <c:pt idx="7">
                  <c:v>11206826049.087503</c:v>
                </c:pt>
                <c:pt idx="8">
                  <c:v>10969957122.681616</c:v>
                </c:pt>
                <c:pt idx="9">
                  <c:v>10733088196.275728</c:v>
                </c:pt>
                <c:pt idx="10">
                  <c:v>10496219269.869913</c:v>
                </c:pt>
                <c:pt idx="11">
                  <c:v>10260215761.406273</c:v>
                </c:pt>
                <c:pt idx="12">
                  <c:v>10024212252.94256</c:v>
                </c:pt>
                <c:pt idx="13">
                  <c:v>9788208744.4788475</c:v>
                </c:pt>
                <c:pt idx="14">
                  <c:v>9552205236.0152092</c:v>
                </c:pt>
                <c:pt idx="15">
                  <c:v>9316201727.5514965</c:v>
                </c:pt>
                <c:pt idx="16">
                  <c:v>9080198219.0877838</c:v>
                </c:pt>
                <c:pt idx="17">
                  <c:v>8844194710.6241455</c:v>
                </c:pt>
                <c:pt idx="18">
                  <c:v>8608191202.1604347</c:v>
                </c:pt>
                <c:pt idx="19">
                  <c:v>8372187693.6967955</c:v>
                </c:pt>
                <c:pt idx="20">
                  <c:v>8136184185.2330656</c:v>
                </c:pt>
                <c:pt idx="21">
                  <c:v>7909884119.3958826</c:v>
                </c:pt>
                <c:pt idx="22">
                  <c:v>7683584053.5586815</c:v>
                </c:pt>
                <c:pt idx="23">
                  <c:v>7457283987.7214079</c:v>
                </c:pt>
                <c:pt idx="24">
                  <c:v>7230983921.8842068</c:v>
                </c:pt>
                <c:pt idx="25">
                  <c:v>7004683856.0469332</c:v>
                </c:pt>
                <c:pt idx="26">
                  <c:v>6778383790.2097321</c:v>
                </c:pt>
                <c:pt idx="27">
                  <c:v>6552083724.3724585</c:v>
                </c:pt>
                <c:pt idx="28">
                  <c:v>6325783658.5352573</c:v>
                </c:pt>
                <c:pt idx="29">
                  <c:v>6099483592.6980562</c:v>
                </c:pt>
                <c:pt idx="30">
                  <c:v>5873183526.8607368</c:v>
                </c:pt>
              </c:numCache>
            </c:numRef>
          </c:val>
          <c:smooth val="0"/>
          <c:extLst>
            <c:ext xmlns:c16="http://schemas.microsoft.com/office/drawing/2014/chart" uri="{C3380CC4-5D6E-409C-BE32-E72D297353CC}">
              <c16:uniqueId val="{00000002-A741-49DD-9B45-806E7DC337FE}"/>
            </c:ext>
          </c:extLst>
        </c:ser>
        <c:ser>
          <c:idx val="6"/>
          <c:order val="2"/>
          <c:tx>
            <c:strRef>
              <c:f>'BIFUbC-heavy-or-residual-oil'!$A$4</c:f>
              <c:strCache>
                <c:ptCount val="1"/>
                <c:pt idx="0">
                  <c:v>oil and gas extraction 06</c:v>
                </c:pt>
              </c:strCache>
            </c:strRef>
          </c:tx>
          <c:spPr>
            <a:ln w="28575" cap="rnd">
              <a:solidFill>
                <a:schemeClr val="accent1">
                  <a:lumMod val="6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'BIFUbC-heavy-or-residual-oil'!$B$4:$AF$4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3-A741-49DD-9B45-806E7DC337FE}"/>
            </c:ext>
          </c:extLst>
        </c:ser>
        <c:ser>
          <c:idx val="7"/>
          <c:order val="3"/>
          <c:tx>
            <c:strRef>
              <c:f>'BIFUbC-heavy-or-residual-oil'!$A$5</c:f>
              <c:strCache>
                <c:ptCount val="1"/>
                <c:pt idx="0">
                  <c:v>other mining and quarrying 07T08</c:v>
                </c:pt>
              </c:strCache>
            </c:strRef>
          </c:tx>
          <c:spPr>
            <a:ln w="28575" cap="rnd">
              <a:solidFill>
                <a:schemeClr val="accent2">
                  <a:lumMod val="6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'BIFUbC-heavy-or-residual-oil'!$B$5:$AF$5</c:f>
              <c:numCache>
                <c:formatCode>0.00E+00</c:formatCode>
                <c:ptCount val="31"/>
                <c:pt idx="0">
                  <c:v>306856295106.61951</c:v>
                </c:pt>
                <c:pt idx="1">
                  <c:v>313664304787.487</c:v>
                </c:pt>
                <c:pt idx="2">
                  <c:v>320472314468.35455</c:v>
                </c:pt>
                <c:pt idx="3">
                  <c:v>327280324149.22198</c:v>
                </c:pt>
                <c:pt idx="4">
                  <c:v>334088333830.08948</c:v>
                </c:pt>
                <c:pt idx="5">
                  <c:v>340896343510.95697</c:v>
                </c:pt>
                <c:pt idx="6">
                  <c:v>344042435781.28754</c:v>
                </c:pt>
                <c:pt idx="7">
                  <c:v>347188528051.61707</c:v>
                </c:pt>
                <c:pt idx="8">
                  <c:v>350334620321.94666</c:v>
                </c:pt>
                <c:pt idx="9">
                  <c:v>353480712592.27618</c:v>
                </c:pt>
                <c:pt idx="10">
                  <c:v>356626804862.60638</c:v>
                </c:pt>
                <c:pt idx="11">
                  <c:v>358863561493.33838</c:v>
                </c:pt>
                <c:pt idx="12">
                  <c:v>361100318124.07098</c:v>
                </c:pt>
                <c:pt idx="13">
                  <c:v>363337074754.80365</c:v>
                </c:pt>
                <c:pt idx="14">
                  <c:v>365573831385.53625</c:v>
                </c:pt>
                <c:pt idx="15">
                  <c:v>367810588016.26874</c:v>
                </c:pt>
                <c:pt idx="16">
                  <c:v>369566546492.7326</c:v>
                </c:pt>
                <c:pt idx="17">
                  <c:v>371322504969.19495</c:v>
                </c:pt>
                <c:pt idx="18">
                  <c:v>373078463445.65796</c:v>
                </c:pt>
                <c:pt idx="19">
                  <c:v>374834421922.12097</c:v>
                </c:pt>
                <c:pt idx="20">
                  <c:v>376590380398.58337</c:v>
                </c:pt>
                <c:pt idx="21">
                  <c:v>378987403080.73938</c:v>
                </c:pt>
                <c:pt idx="22">
                  <c:v>380947336531.74078</c:v>
                </c:pt>
                <c:pt idx="23">
                  <c:v>382907269982.74292</c:v>
                </c:pt>
                <c:pt idx="24">
                  <c:v>384867203433.74438</c:v>
                </c:pt>
                <c:pt idx="25">
                  <c:v>386827136884.74573</c:v>
                </c:pt>
                <c:pt idx="26">
                  <c:v>388787070335.74719</c:v>
                </c:pt>
                <c:pt idx="27">
                  <c:v>390747003786.74933</c:v>
                </c:pt>
                <c:pt idx="28">
                  <c:v>392706937237.75079</c:v>
                </c:pt>
                <c:pt idx="29">
                  <c:v>394666870688.7522</c:v>
                </c:pt>
                <c:pt idx="30">
                  <c:v>396626804139.75427</c:v>
                </c:pt>
              </c:numCache>
            </c:numRef>
          </c:val>
          <c:smooth val="0"/>
          <c:extLst>
            <c:ext xmlns:c16="http://schemas.microsoft.com/office/drawing/2014/chart" uri="{C3380CC4-5D6E-409C-BE32-E72D297353CC}">
              <c16:uniqueId val="{00000004-A741-49DD-9B45-806E7DC337FE}"/>
            </c:ext>
          </c:extLst>
        </c:ser>
        <c:ser>
          <c:idx val="8"/>
          <c:order val="4"/>
          <c:tx>
            <c:strRef>
              <c:f>'BIFUbC-heavy-or-residual-oil'!$A$6</c:f>
              <c:strCache>
                <c:ptCount val="1"/>
                <c:pt idx="0">
                  <c:v>food beverage and tobacco 10T12</c:v>
                </c:pt>
              </c:strCache>
            </c:strRef>
          </c:tx>
          <c:spPr>
            <a:ln w="28575" cap="rnd">
              <a:solidFill>
                <a:schemeClr val="accent3">
                  <a:lumMod val="6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'BIFUbC-heavy-or-residual-oil'!$B$6:$AF$6</c:f>
              <c:numCache>
                <c:formatCode>0.00E+00</c:formatCode>
                <c:ptCount val="31"/>
                <c:pt idx="0">
                  <c:v>1365543341655.1724</c:v>
                </c:pt>
                <c:pt idx="1">
                  <c:v>1395839713076.8582</c:v>
                </c:pt>
                <c:pt idx="2">
                  <c:v>1426136084498.5442</c:v>
                </c:pt>
                <c:pt idx="3">
                  <c:v>1456432455920.2297</c:v>
                </c:pt>
                <c:pt idx="4">
                  <c:v>1486728827341.9155</c:v>
                </c:pt>
                <c:pt idx="5">
                  <c:v>1517025198763.6013</c:v>
                </c:pt>
                <c:pt idx="6">
                  <c:v>1531025645945.2046</c:v>
                </c:pt>
                <c:pt idx="7">
                  <c:v>1545026093126.8035</c:v>
                </c:pt>
                <c:pt idx="8">
                  <c:v>1559026540308.4023</c:v>
                </c:pt>
                <c:pt idx="9">
                  <c:v>1573026987490.0012</c:v>
                </c:pt>
                <c:pt idx="10">
                  <c:v>1587027434671.6028</c:v>
                </c:pt>
                <c:pt idx="11">
                  <c:v>1596981240973.4675</c:v>
                </c:pt>
                <c:pt idx="12">
                  <c:v>1606935047275.335</c:v>
                </c:pt>
                <c:pt idx="13">
                  <c:v>1616888853577.2029</c:v>
                </c:pt>
                <c:pt idx="14">
                  <c:v>1626842659879.0703</c:v>
                </c:pt>
                <c:pt idx="15">
                  <c:v>1636796466180.937</c:v>
                </c:pt>
                <c:pt idx="16">
                  <c:v>1644610669259.0425</c:v>
                </c:pt>
                <c:pt idx="17">
                  <c:v>1652424872337.1411</c:v>
                </c:pt>
                <c:pt idx="18">
                  <c:v>1660239075415.2429</c:v>
                </c:pt>
                <c:pt idx="19">
                  <c:v>1668053278493.3445</c:v>
                </c:pt>
                <c:pt idx="20">
                  <c:v>1675867481571.4436</c:v>
                </c:pt>
                <c:pt idx="21">
                  <c:v>1686534488947.9004</c:v>
                </c:pt>
                <c:pt idx="22">
                  <c:v>1695256402484.5686</c:v>
                </c:pt>
                <c:pt idx="23">
                  <c:v>1703978316021.2397</c:v>
                </c:pt>
                <c:pt idx="24">
                  <c:v>1712700229557.908</c:v>
                </c:pt>
                <c:pt idx="25">
                  <c:v>1721422143094.5759</c:v>
                </c:pt>
                <c:pt idx="26">
                  <c:v>1730144056631.2439</c:v>
                </c:pt>
                <c:pt idx="27">
                  <c:v>1738865970167.9153</c:v>
                </c:pt>
                <c:pt idx="28">
                  <c:v>1747587883704.5835</c:v>
                </c:pt>
                <c:pt idx="29">
                  <c:v>1756309797241.2515</c:v>
                </c:pt>
                <c:pt idx="30">
                  <c:v>1765031710777.9224</c:v>
                </c:pt>
              </c:numCache>
            </c:numRef>
          </c:val>
          <c:smooth val="0"/>
          <c:extLst>
            <c:ext xmlns:c16="http://schemas.microsoft.com/office/drawing/2014/chart" uri="{C3380CC4-5D6E-409C-BE32-E72D297353CC}">
              <c16:uniqueId val="{00000005-A741-49DD-9B45-806E7DC337FE}"/>
            </c:ext>
          </c:extLst>
        </c:ser>
        <c:ser>
          <c:idx val="9"/>
          <c:order val="5"/>
          <c:tx>
            <c:strRef>
              <c:f>'BIFUbC-heavy-or-residual-oil'!$A$7</c:f>
              <c:strCache>
                <c:ptCount val="1"/>
                <c:pt idx="0">
                  <c:v>textiles apparel and leather 13T15</c:v>
                </c:pt>
              </c:strCache>
            </c:strRef>
          </c:tx>
          <c:spPr>
            <a:ln w="28575" cap="rnd">
              <a:solidFill>
                <a:schemeClr val="accent4">
                  <a:lumMod val="6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'BIFUbC-heavy-or-residual-oil'!$B$7:$AF$7</c:f>
              <c:numCache>
                <c:formatCode>0.00E+00</c:formatCode>
                <c:ptCount val="31"/>
                <c:pt idx="0">
                  <c:v>1062029577675.9542</c:v>
                </c:pt>
                <c:pt idx="1">
                  <c:v>1085592097857.1788</c:v>
                </c:pt>
                <c:pt idx="2">
                  <c:v>1109154618038.4036</c:v>
                </c:pt>
                <c:pt idx="3">
                  <c:v>1132717138219.6279</c:v>
                </c:pt>
                <c:pt idx="4">
                  <c:v>1156279658400.8525</c:v>
                </c:pt>
                <c:pt idx="5">
                  <c:v>1179842178582.0769</c:v>
                </c:pt>
                <c:pt idx="6">
                  <c:v>1190730803317.7297</c:v>
                </c:pt>
                <c:pt idx="7">
                  <c:v>1201619428053.3794</c:v>
                </c:pt>
                <c:pt idx="8">
                  <c:v>1212508052789.0288</c:v>
                </c:pt>
                <c:pt idx="9">
                  <c:v>1223396677524.6782</c:v>
                </c:pt>
                <c:pt idx="10">
                  <c:v>1234285302260.3298</c:v>
                </c:pt>
                <c:pt idx="11">
                  <c:v>1242026716524.2112</c:v>
                </c:pt>
                <c:pt idx="12">
                  <c:v>1249768130788.0947</c:v>
                </c:pt>
                <c:pt idx="13">
                  <c:v>1257509545051.9785</c:v>
                </c:pt>
                <c:pt idx="14">
                  <c:v>1265250959315.8621</c:v>
                </c:pt>
                <c:pt idx="15">
                  <c:v>1272992373579.7451</c:v>
                </c:pt>
                <c:pt idx="16">
                  <c:v>1279069745525.2268</c:v>
                </c:pt>
                <c:pt idx="17">
                  <c:v>1285147117470.7034</c:v>
                </c:pt>
                <c:pt idx="18">
                  <c:v>1291224489416.1821</c:v>
                </c:pt>
                <c:pt idx="19">
                  <c:v>1297301861361.6609</c:v>
                </c:pt>
                <c:pt idx="20">
                  <c:v>1303379233307.1377</c:v>
                </c:pt>
                <c:pt idx="21">
                  <c:v>1311675328343.8232</c:v>
                </c:pt>
                <c:pt idx="22">
                  <c:v>1318458657636.5034</c:v>
                </c:pt>
                <c:pt idx="23">
                  <c:v>1325241986929.186</c:v>
                </c:pt>
                <c:pt idx="24">
                  <c:v>1332025316221.8662</c:v>
                </c:pt>
                <c:pt idx="25">
                  <c:v>1338808645514.5461</c:v>
                </c:pt>
                <c:pt idx="26">
                  <c:v>1345591974807.2263</c:v>
                </c:pt>
                <c:pt idx="27">
                  <c:v>1352375304099.9087</c:v>
                </c:pt>
                <c:pt idx="28">
                  <c:v>1359158633392.5889</c:v>
                </c:pt>
                <c:pt idx="29">
                  <c:v>1365941962685.269</c:v>
                </c:pt>
                <c:pt idx="30">
                  <c:v>1372725291977.9514</c:v>
                </c:pt>
              </c:numCache>
            </c:numRef>
          </c:val>
          <c:smooth val="0"/>
          <c:extLst>
            <c:ext xmlns:c16="http://schemas.microsoft.com/office/drawing/2014/chart" uri="{C3380CC4-5D6E-409C-BE32-E72D297353CC}">
              <c16:uniqueId val="{00000006-A741-49DD-9B45-806E7DC337FE}"/>
            </c:ext>
          </c:extLst>
        </c:ser>
        <c:ser>
          <c:idx val="10"/>
          <c:order val="6"/>
          <c:tx>
            <c:strRef>
              <c:f>'BIFUbC-heavy-or-residual-oil'!$A$8</c:f>
              <c:strCache>
                <c:ptCount val="1"/>
                <c:pt idx="0">
                  <c:v>wood products 16</c:v>
                </c:pt>
              </c:strCache>
            </c:strRef>
          </c:tx>
          <c:spPr>
            <a:ln w="28575" cap="rnd">
              <a:solidFill>
                <a:schemeClr val="accent5">
                  <a:lumMod val="6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'BIFUbC-heavy-or-residual-oil'!$B$8:$AF$8</c:f>
              <c:numCache>
                <c:formatCode>0.00E+00</c:formatCode>
                <c:ptCount val="31"/>
                <c:pt idx="0">
                  <c:v>74848822031.453201</c:v>
                </c:pt>
                <c:pt idx="1">
                  <c:v>76509441393.407654</c:v>
                </c:pt>
                <c:pt idx="2">
                  <c:v>78170060755.362106</c:v>
                </c:pt>
                <c:pt idx="3">
                  <c:v>79830680117.316559</c:v>
                </c:pt>
                <c:pt idx="4">
                  <c:v>81491299479.271011</c:v>
                </c:pt>
                <c:pt idx="5">
                  <c:v>83151918841.225464</c:v>
                </c:pt>
                <c:pt idx="6">
                  <c:v>83919318122.881653</c:v>
                </c:pt>
                <c:pt idx="7">
                  <c:v>84686717404.537613</c:v>
                </c:pt>
                <c:pt idx="8">
                  <c:v>85454116686.193573</c:v>
                </c:pt>
                <c:pt idx="9">
                  <c:v>86221515967.849533</c:v>
                </c:pt>
                <c:pt idx="10">
                  <c:v>86988915249.50563</c:v>
                </c:pt>
                <c:pt idx="11">
                  <c:v>87534508094.270844</c:v>
                </c:pt>
                <c:pt idx="12">
                  <c:v>88080100939.036194</c:v>
                </c:pt>
                <c:pt idx="13">
                  <c:v>88625693783.801575</c:v>
                </c:pt>
                <c:pt idx="14">
                  <c:v>89171286628.566925</c:v>
                </c:pt>
                <c:pt idx="15">
                  <c:v>89716879473.332245</c:v>
                </c:pt>
                <c:pt idx="16">
                  <c:v>90145195351.466003</c:v>
                </c:pt>
                <c:pt idx="17">
                  <c:v>90573511229.599396</c:v>
                </c:pt>
                <c:pt idx="18">
                  <c:v>91001827107.732956</c:v>
                </c:pt>
                <c:pt idx="19">
                  <c:v>91430142985.866516</c:v>
                </c:pt>
                <c:pt idx="20">
                  <c:v>91858458863.999924</c:v>
                </c:pt>
                <c:pt idx="21">
                  <c:v>92443144030.975922</c:v>
                </c:pt>
                <c:pt idx="22">
                  <c:v>92921213773.741104</c:v>
                </c:pt>
                <c:pt idx="23">
                  <c:v>93399283516.506454</c:v>
                </c:pt>
                <c:pt idx="24">
                  <c:v>93877353259.271637</c:v>
                </c:pt>
                <c:pt idx="25">
                  <c:v>94355423002.036804</c:v>
                </c:pt>
                <c:pt idx="26">
                  <c:v>94833492744.801987</c:v>
                </c:pt>
                <c:pt idx="27">
                  <c:v>95311562487.567337</c:v>
                </c:pt>
                <c:pt idx="28">
                  <c:v>95789632230.33252</c:v>
                </c:pt>
                <c:pt idx="29">
                  <c:v>96267701973.097717</c:v>
                </c:pt>
                <c:pt idx="30">
                  <c:v>96745771715.863037</c:v>
                </c:pt>
              </c:numCache>
            </c:numRef>
          </c:val>
          <c:smooth val="0"/>
          <c:extLst>
            <c:ext xmlns:c16="http://schemas.microsoft.com/office/drawing/2014/chart" uri="{C3380CC4-5D6E-409C-BE32-E72D297353CC}">
              <c16:uniqueId val="{00000007-A741-49DD-9B45-806E7DC337FE}"/>
            </c:ext>
          </c:extLst>
        </c:ser>
        <c:ser>
          <c:idx val="11"/>
          <c:order val="7"/>
          <c:tx>
            <c:strRef>
              <c:f>'BIFUbC-heavy-or-residual-oil'!$A$9</c:f>
              <c:strCache>
                <c:ptCount val="1"/>
                <c:pt idx="0">
                  <c:v>pulp paper and printing 17T18</c:v>
                </c:pt>
              </c:strCache>
            </c:strRef>
          </c:tx>
          <c:spPr>
            <a:ln w="28575" cap="rnd">
              <a:solidFill>
                <a:schemeClr val="accent6">
                  <a:lumMod val="6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'BIFUbC-heavy-or-residual-oil'!$B$9:$AF$9</c:f>
              <c:numCache>
                <c:formatCode>0.00E+00</c:formatCode>
                <c:ptCount val="31"/>
                <c:pt idx="0">
                  <c:v>1087098561131.465</c:v>
                </c:pt>
                <c:pt idx="1">
                  <c:v>1111217269615.7366</c:v>
                </c:pt>
                <c:pt idx="2">
                  <c:v>1135335978100.0081</c:v>
                </c:pt>
                <c:pt idx="3">
                  <c:v>1159454686584.2795</c:v>
                </c:pt>
                <c:pt idx="4">
                  <c:v>1183573395068.551</c:v>
                </c:pt>
                <c:pt idx="5">
                  <c:v>1207692103552.8225</c:v>
                </c:pt>
                <c:pt idx="6">
                  <c:v>1218837751971.3267</c:v>
                </c:pt>
                <c:pt idx="7">
                  <c:v>1229983400389.8274</c:v>
                </c:pt>
                <c:pt idx="8">
                  <c:v>1241129048808.3281</c:v>
                </c:pt>
                <c:pt idx="9">
                  <c:v>1252274697226.8289</c:v>
                </c:pt>
                <c:pt idx="10">
                  <c:v>1263420345645.3318</c:v>
                </c:pt>
                <c:pt idx="11">
                  <c:v>1271344494354.8284</c:v>
                </c:pt>
                <c:pt idx="12">
                  <c:v>1279268643064.3271</c:v>
                </c:pt>
                <c:pt idx="13">
                  <c:v>1287192791773.8262</c:v>
                </c:pt>
                <c:pt idx="14">
                  <c:v>1295116940483.325</c:v>
                </c:pt>
                <c:pt idx="15">
                  <c:v>1303041089192.823</c:v>
                </c:pt>
                <c:pt idx="16">
                  <c:v>1309261916217.1055</c:v>
                </c:pt>
                <c:pt idx="17">
                  <c:v>1315482743241.3826</c:v>
                </c:pt>
                <c:pt idx="18">
                  <c:v>1321703570265.6621</c:v>
                </c:pt>
                <c:pt idx="19">
                  <c:v>1327924397289.9417</c:v>
                </c:pt>
                <c:pt idx="20">
                  <c:v>1334145224314.219</c:v>
                </c:pt>
                <c:pt idx="21">
                  <c:v>1342637146918.7915</c:v>
                </c:pt>
                <c:pt idx="22">
                  <c:v>1349580595264.0723</c:v>
                </c:pt>
                <c:pt idx="23">
                  <c:v>1356524043609.3557</c:v>
                </c:pt>
                <c:pt idx="24">
                  <c:v>1363467491954.6367</c:v>
                </c:pt>
                <c:pt idx="25">
                  <c:v>1370410940299.9175</c:v>
                </c:pt>
                <c:pt idx="26">
                  <c:v>1377354388645.1982</c:v>
                </c:pt>
                <c:pt idx="27">
                  <c:v>1384297836990.4817</c:v>
                </c:pt>
                <c:pt idx="28">
                  <c:v>1391241285335.7627</c:v>
                </c:pt>
                <c:pt idx="29">
                  <c:v>1398184733681.0437</c:v>
                </c:pt>
                <c:pt idx="30">
                  <c:v>1405128182026.3267</c:v>
                </c:pt>
              </c:numCache>
            </c:numRef>
          </c:val>
          <c:smooth val="0"/>
          <c:extLst>
            <c:ext xmlns:c16="http://schemas.microsoft.com/office/drawing/2014/chart" uri="{C3380CC4-5D6E-409C-BE32-E72D297353CC}">
              <c16:uniqueId val="{00000008-A741-49DD-9B45-806E7DC337FE}"/>
            </c:ext>
          </c:extLst>
        </c:ser>
        <c:ser>
          <c:idx val="12"/>
          <c:order val="8"/>
          <c:tx>
            <c:strRef>
              <c:f>'BIFUbC-heavy-or-residual-oil'!$A$10</c:f>
              <c:strCache>
                <c:ptCount val="1"/>
                <c:pt idx="0">
                  <c:v>refined petroleum and coke 19</c:v>
                </c:pt>
              </c:strCache>
            </c:strRef>
          </c:tx>
          <c:spPr>
            <a:ln w="28575" cap="rnd">
              <a:solidFill>
                <a:schemeClr val="accent1">
                  <a:lumMod val="80000"/>
                  <a:lumOff val="2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'BIFUbC-heavy-or-residual-oil'!$B$10:$AF$10</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9-A741-49DD-9B45-806E7DC337FE}"/>
            </c:ext>
          </c:extLst>
        </c:ser>
        <c:ser>
          <c:idx val="13"/>
          <c:order val="9"/>
          <c:tx>
            <c:strRef>
              <c:f>'BIFUbC-heavy-or-residual-oil'!$A$11</c:f>
              <c:strCache>
                <c:ptCount val="1"/>
                <c:pt idx="0">
                  <c:v>chemicals 20</c:v>
                </c:pt>
              </c:strCache>
            </c:strRef>
          </c:tx>
          <c:spPr>
            <a:ln w="28575" cap="rnd">
              <a:solidFill>
                <a:schemeClr val="accent2">
                  <a:lumMod val="80000"/>
                  <a:lumOff val="2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'BIFUbC-heavy-or-residual-oil'!$B$11:$AF$11</c:f>
              <c:numCache>
                <c:formatCode>0.00E+00</c:formatCode>
                <c:ptCount val="31"/>
                <c:pt idx="0">
                  <c:v>253778031911957.09</c:v>
                </c:pt>
                <c:pt idx="1">
                  <c:v>284211774067017.94</c:v>
                </c:pt>
                <c:pt idx="2">
                  <c:v>268097764979815.06</c:v>
                </c:pt>
                <c:pt idx="3">
                  <c:v>249314938495680.72</c:v>
                </c:pt>
                <c:pt idx="4">
                  <c:v>241438026578602.94</c:v>
                </c:pt>
                <c:pt idx="5">
                  <c:v>237105793794181.41</c:v>
                </c:pt>
                <c:pt idx="6">
                  <c:v>232455442582786.22</c:v>
                </c:pt>
                <c:pt idx="7">
                  <c:v>227497386016394.78</c:v>
                </c:pt>
                <c:pt idx="8">
                  <c:v>222212708184053.38</c:v>
                </c:pt>
                <c:pt idx="9">
                  <c:v>215178485008281.03</c:v>
                </c:pt>
                <c:pt idx="10">
                  <c:v>201640960227387.84</c:v>
                </c:pt>
                <c:pt idx="11">
                  <c:v>200183058567397.09</c:v>
                </c:pt>
                <c:pt idx="12">
                  <c:v>198720792781490.88</c:v>
                </c:pt>
                <c:pt idx="13">
                  <c:v>197254088253041.53</c:v>
                </c:pt>
                <c:pt idx="14">
                  <c:v>195782868191698.72</c:v>
                </c:pt>
                <c:pt idx="15">
                  <c:v>192970304194452.34</c:v>
                </c:pt>
                <c:pt idx="16">
                  <c:v>192574546005104.94</c:v>
                </c:pt>
                <c:pt idx="17">
                  <c:v>192178787815757.66</c:v>
                </c:pt>
                <c:pt idx="18">
                  <c:v>191783029626410.16</c:v>
                </c:pt>
                <c:pt idx="19">
                  <c:v>191387271437062.78</c:v>
                </c:pt>
                <c:pt idx="20">
                  <c:v>190991513247715.44</c:v>
                </c:pt>
                <c:pt idx="21">
                  <c:v>190666731438356.72</c:v>
                </c:pt>
                <c:pt idx="22">
                  <c:v>190341949628998.06</c:v>
                </c:pt>
                <c:pt idx="23">
                  <c:v>190017167819639.47</c:v>
                </c:pt>
                <c:pt idx="24">
                  <c:v>189692386010280.78</c:v>
                </c:pt>
                <c:pt idx="25">
                  <c:v>189367604200922.25</c:v>
                </c:pt>
                <c:pt idx="26">
                  <c:v>189042822391563.56</c:v>
                </c:pt>
                <c:pt idx="27">
                  <c:v>188718040582205.03</c:v>
                </c:pt>
                <c:pt idx="28">
                  <c:v>188393258772846.31</c:v>
                </c:pt>
                <c:pt idx="29">
                  <c:v>188068476963487.66</c:v>
                </c:pt>
                <c:pt idx="30">
                  <c:v>187743695154129.13</c:v>
                </c:pt>
              </c:numCache>
            </c:numRef>
          </c:val>
          <c:smooth val="0"/>
          <c:extLst>
            <c:ext xmlns:c16="http://schemas.microsoft.com/office/drawing/2014/chart" uri="{C3380CC4-5D6E-409C-BE32-E72D297353CC}">
              <c16:uniqueId val="{0000000A-A741-49DD-9B45-806E7DC337FE}"/>
            </c:ext>
          </c:extLst>
        </c:ser>
        <c:ser>
          <c:idx val="14"/>
          <c:order val="10"/>
          <c:tx>
            <c:strRef>
              <c:f>'BIFUbC-heavy-or-residual-oil'!$A$12</c:f>
              <c:strCache>
                <c:ptCount val="1"/>
                <c:pt idx="0">
                  <c:v>rubber and plastic products 22</c:v>
                </c:pt>
              </c:strCache>
            </c:strRef>
          </c:tx>
          <c:spPr>
            <a:ln w="28575" cap="rnd">
              <a:solidFill>
                <a:schemeClr val="accent3">
                  <a:lumMod val="80000"/>
                  <a:lumOff val="2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'BIFUbC-heavy-or-residual-oil'!$B$12:$AF$12</c:f>
              <c:numCache>
                <c:formatCode>0.00E+00</c:formatCode>
                <c:ptCount val="31"/>
                <c:pt idx="0">
                  <c:v>131420766525834.92</c:v>
                </c:pt>
                <c:pt idx="1">
                  <c:v>147181097284705.72</c:v>
                </c:pt>
                <c:pt idx="2">
                  <c:v>138836342578832.81</c:v>
                </c:pt>
                <c:pt idx="3">
                  <c:v>129109521720977.53</c:v>
                </c:pt>
                <c:pt idx="4">
                  <c:v>125030406621062.25</c:v>
                </c:pt>
                <c:pt idx="5">
                  <c:v>122786928929129.66</c:v>
                </c:pt>
                <c:pt idx="6">
                  <c:v>120378711337514.3</c:v>
                </c:pt>
                <c:pt idx="7">
                  <c:v>117811146329918.73</c:v>
                </c:pt>
                <c:pt idx="8">
                  <c:v>115074438166741.94</c:v>
                </c:pt>
                <c:pt idx="9">
                  <c:v>111431715450716.97</c:v>
                </c:pt>
                <c:pt idx="10">
                  <c:v>104421211546325.84</c:v>
                </c:pt>
                <c:pt idx="11">
                  <c:v>103666226758116.36</c:v>
                </c:pt>
                <c:pt idx="12">
                  <c:v>102908981976129.2</c:v>
                </c:pt>
                <c:pt idx="13">
                  <c:v>102149438559610.8</c:v>
                </c:pt>
                <c:pt idx="14">
                  <c:v>101387556742129.7</c:v>
                </c:pt>
                <c:pt idx="15">
                  <c:v>99931050386412.828</c:v>
                </c:pt>
                <c:pt idx="16">
                  <c:v>99726104181215.063</c:v>
                </c:pt>
                <c:pt idx="17">
                  <c:v>99521157976017.359</c:v>
                </c:pt>
                <c:pt idx="18">
                  <c:v>99316211770819.547</c:v>
                </c:pt>
                <c:pt idx="19">
                  <c:v>99111265565621.797</c:v>
                </c:pt>
                <c:pt idx="20">
                  <c:v>98906319360424.063</c:v>
                </c:pt>
                <c:pt idx="21">
                  <c:v>98738128780577.594</c:v>
                </c:pt>
                <c:pt idx="22">
                  <c:v>98569938200731.141</c:v>
                </c:pt>
                <c:pt idx="23">
                  <c:v>98401747620884.719</c:v>
                </c:pt>
                <c:pt idx="24">
                  <c:v>98233557041038.266</c:v>
                </c:pt>
                <c:pt idx="25">
                  <c:v>98065366461191.875</c:v>
                </c:pt>
                <c:pt idx="26">
                  <c:v>97897175881345.422</c:v>
                </c:pt>
                <c:pt idx="27">
                  <c:v>97728985301499.031</c:v>
                </c:pt>
                <c:pt idx="28">
                  <c:v>97560794721652.563</c:v>
                </c:pt>
                <c:pt idx="29">
                  <c:v>97392604141806.109</c:v>
                </c:pt>
                <c:pt idx="30">
                  <c:v>97224413561959.734</c:v>
                </c:pt>
              </c:numCache>
            </c:numRef>
          </c:val>
          <c:smooth val="0"/>
          <c:extLst>
            <c:ext xmlns:c16="http://schemas.microsoft.com/office/drawing/2014/chart" uri="{C3380CC4-5D6E-409C-BE32-E72D297353CC}">
              <c16:uniqueId val="{0000000B-A741-49DD-9B45-806E7DC337FE}"/>
            </c:ext>
          </c:extLst>
        </c:ser>
        <c:ser>
          <c:idx val="15"/>
          <c:order val="11"/>
          <c:tx>
            <c:strRef>
              <c:f>'BIFUbC-heavy-or-residual-oil'!$A$13</c:f>
              <c:strCache>
                <c:ptCount val="1"/>
                <c:pt idx="0">
                  <c:v>glass and glass products 231</c:v>
                </c:pt>
              </c:strCache>
            </c:strRef>
          </c:tx>
          <c:spPr>
            <a:ln w="28575" cap="rnd">
              <a:solidFill>
                <a:schemeClr val="accent4">
                  <a:lumMod val="80000"/>
                  <a:lumOff val="2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'BIFUbC-heavy-or-residual-oil'!$B$13:$AF$13</c:f>
              <c:numCache>
                <c:formatCode>0.00E+00</c:formatCode>
                <c:ptCount val="31"/>
                <c:pt idx="0">
                  <c:v>13583122748657.443</c:v>
                </c:pt>
                <c:pt idx="1">
                  <c:v>13884482155793.414</c:v>
                </c:pt>
                <c:pt idx="2">
                  <c:v>14185841562929.387</c:v>
                </c:pt>
                <c:pt idx="3">
                  <c:v>14487200970065.357</c:v>
                </c:pt>
                <c:pt idx="4">
                  <c:v>14788560377201.328</c:v>
                </c:pt>
                <c:pt idx="5">
                  <c:v>15089919784337.299</c:v>
                </c:pt>
                <c:pt idx="6">
                  <c:v>15229182879694.863</c:v>
                </c:pt>
                <c:pt idx="7">
                  <c:v>15368445975052.385</c:v>
                </c:pt>
                <c:pt idx="8">
                  <c:v>15507709070409.906</c:v>
                </c:pt>
                <c:pt idx="9">
                  <c:v>15646972165767.428</c:v>
                </c:pt>
                <c:pt idx="10">
                  <c:v>15786235261124.975</c:v>
                </c:pt>
                <c:pt idx="11">
                  <c:v>15885246232575.145</c:v>
                </c:pt>
                <c:pt idx="12">
                  <c:v>15984257204025.34</c:v>
                </c:pt>
                <c:pt idx="13">
                  <c:v>16083268175475.539</c:v>
                </c:pt>
                <c:pt idx="14">
                  <c:v>16182279146925.736</c:v>
                </c:pt>
                <c:pt idx="15">
                  <c:v>16281290118375.926</c:v>
                </c:pt>
                <c:pt idx="16">
                  <c:v>16359018357645.275</c:v>
                </c:pt>
                <c:pt idx="17">
                  <c:v>16436746596914.561</c:v>
                </c:pt>
                <c:pt idx="18">
                  <c:v>16514474836183.875</c:v>
                </c:pt>
                <c:pt idx="19">
                  <c:v>16592203075453.191</c:v>
                </c:pt>
                <c:pt idx="20">
                  <c:v>16669931314722.479</c:v>
                </c:pt>
                <c:pt idx="21">
                  <c:v>16776036530232.975</c:v>
                </c:pt>
                <c:pt idx="22">
                  <c:v>16862793807397.201</c:v>
                </c:pt>
                <c:pt idx="23">
                  <c:v>16949551084561.457</c:v>
                </c:pt>
                <c:pt idx="24">
                  <c:v>17036308361725.684</c:v>
                </c:pt>
                <c:pt idx="25">
                  <c:v>17123065638889.906</c:v>
                </c:pt>
                <c:pt idx="26">
                  <c:v>17209822916054.131</c:v>
                </c:pt>
                <c:pt idx="27">
                  <c:v>17296580193218.387</c:v>
                </c:pt>
                <c:pt idx="28">
                  <c:v>17383337470382.613</c:v>
                </c:pt>
                <c:pt idx="29">
                  <c:v>17470094747546.838</c:v>
                </c:pt>
                <c:pt idx="30">
                  <c:v>17556852024711.092</c:v>
                </c:pt>
              </c:numCache>
            </c:numRef>
          </c:val>
          <c:smooth val="0"/>
          <c:extLst>
            <c:ext xmlns:c16="http://schemas.microsoft.com/office/drawing/2014/chart" uri="{C3380CC4-5D6E-409C-BE32-E72D297353CC}">
              <c16:uniqueId val="{0000000C-A741-49DD-9B45-806E7DC337FE}"/>
            </c:ext>
          </c:extLst>
        </c:ser>
        <c:ser>
          <c:idx val="16"/>
          <c:order val="12"/>
          <c:tx>
            <c:strRef>
              <c:f>'BIFUbC-heavy-or-residual-oil'!$A$14</c:f>
              <c:strCache>
                <c:ptCount val="1"/>
                <c:pt idx="0">
                  <c:v>cement and other nonmetallic minerals 239</c:v>
                </c:pt>
              </c:strCache>
            </c:strRef>
          </c:tx>
          <c:spPr>
            <a:ln w="28575" cap="rnd">
              <a:solidFill>
                <a:schemeClr val="accent5">
                  <a:lumMod val="80000"/>
                  <a:lumOff val="2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'BIFUbC-heavy-or-residual-oil'!$B$14:$AF$14</c:f>
              <c:numCache>
                <c:formatCode>0.00E+00</c:formatCode>
                <c:ptCount val="31"/>
                <c:pt idx="0">
                  <c:v>2172375224795.9153</c:v>
                </c:pt>
                <c:pt idx="1">
                  <c:v>2220572220577.7637</c:v>
                </c:pt>
                <c:pt idx="2">
                  <c:v>2268769216359.6118</c:v>
                </c:pt>
                <c:pt idx="3">
                  <c:v>2316966212141.46</c:v>
                </c:pt>
                <c:pt idx="4">
                  <c:v>2365163207923.3081</c:v>
                </c:pt>
                <c:pt idx="5">
                  <c:v>2413360203705.1563</c:v>
                </c:pt>
                <c:pt idx="6">
                  <c:v>2435632821252.772</c:v>
                </c:pt>
                <c:pt idx="7">
                  <c:v>2457905438800.3804</c:v>
                </c:pt>
                <c:pt idx="8">
                  <c:v>2480178056347.9893</c:v>
                </c:pt>
                <c:pt idx="9">
                  <c:v>2502450673895.5977</c:v>
                </c:pt>
                <c:pt idx="10">
                  <c:v>2524723291443.2104</c:v>
                </c:pt>
                <c:pt idx="11">
                  <c:v>2540558308570.0776</c:v>
                </c:pt>
                <c:pt idx="12">
                  <c:v>2556393325696.9487</c:v>
                </c:pt>
                <c:pt idx="13">
                  <c:v>2572228342823.8198</c:v>
                </c:pt>
                <c:pt idx="14">
                  <c:v>2588063359950.6909</c:v>
                </c:pt>
                <c:pt idx="15">
                  <c:v>2603898377077.561</c:v>
                </c:pt>
                <c:pt idx="16">
                  <c:v>2616329605476.2319</c:v>
                </c:pt>
                <c:pt idx="17">
                  <c:v>2628760833874.8926</c:v>
                </c:pt>
                <c:pt idx="18">
                  <c:v>2641192062273.5581</c:v>
                </c:pt>
                <c:pt idx="19">
                  <c:v>2653623290672.2236</c:v>
                </c:pt>
                <c:pt idx="20">
                  <c:v>2666054519070.8848</c:v>
                </c:pt>
                <c:pt idx="21">
                  <c:v>2683024132440.4917</c:v>
                </c:pt>
                <c:pt idx="22">
                  <c:v>2696899392420.8188</c:v>
                </c:pt>
                <c:pt idx="23">
                  <c:v>2710774652401.1509</c:v>
                </c:pt>
                <c:pt idx="24">
                  <c:v>2724649912381.478</c:v>
                </c:pt>
                <c:pt idx="25">
                  <c:v>2738525172361.8042</c:v>
                </c:pt>
                <c:pt idx="26">
                  <c:v>2752400432342.1313</c:v>
                </c:pt>
                <c:pt idx="27">
                  <c:v>2766275692322.4634</c:v>
                </c:pt>
                <c:pt idx="28">
                  <c:v>2780150952302.7905</c:v>
                </c:pt>
                <c:pt idx="29">
                  <c:v>2794026212283.1172</c:v>
                </c:pt>
                <c:pt idx="30">
                  <c:v>2807901472263.4487</c:v>
                </c:pt>
              </c:numCache>
            </c:numRef>
          </c:val>
          <c:smooth val="0"/>
          <c:extLst>
            <c:ext xmlns:c16="http://schemas.microsoft.com/office/drawing/2014/chart" uri="{C3380CC4-5D6E-409C-BE32-E72D297353CC}">
              <c16:uniqueId val="{0000000D-A741-49DD-9B45-806E7DC337FE}"/>
            </c:ext>
          </c:extLst>
        </c:ser>
        <c:ser>
          <c:idx val="17"/>
          <c:order val="13"/>
          <c:tx>
            <c:strRef>
              <c:f>'BIFUbC-heavy-or-residual-oil'!$A$15</c:f>
              <c:strCache>
                <c:ptCount val="1"/>
                <c:pt idx="0">
                  <c:v>iron and steel 241</c:v>
                </c:pt>
              </c:strCache>
            </c:strRef>
          </c:tx>
          <c:spPr>
            <a:ln w="28575" cap="rnd">
              <a:solidFill>
                <a:schemeClr val="accent6">
                  <a:lumMod val="80000"/>
                  <a:lumOff val="2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'BIFUbC-heavy-or-residual-oil'!$B$15:$AF$15</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E-A741-49DD-9B45-806E7DC337FE}"/>
            </c:ext>
          </c:extLst>
        </c:ser>
        <c:ser>
          <c:idx val="18"/>
          <c:order val="14"/>
          <c:tx>
            <c:strRef>
              <c:f>'BIFUbC-heavy-or-residual-oil'!$A$16</c:f>
              <c:strCache>
                <c:ptCount val="1"/>
                <c:pt idx="0">
                  <c:v>other metals 242</c:v>
                </c:pt>
              </c:strCache>
            </c:strRef>
          </c:tx>
          <c:spPr>
            <a:ln w="28575" cap="rnd">
              <a:solidFill>
                <a:schemeClr val="accent1">
                  <a:lumMod val="8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'BIFUbC-heavy-or-residual-oil'!$B$16:$AF$16</c:f>
              <c:numCache>
                <c:formatCode>0.00E+00</c:formatCode>
                <c:ptCount val="31"/>
                <c:pt idx="0">
                  <c:v>947372693726.9646</c:v>
                </c:pt>
                <c:pt idx="1">
                  <c:v>960922275149.85022</c:v>
                </c:pt>
                <c:pt idx="2">
                  <c:v>1015120600841.3937</c:v>
                </c:pt>
                <c:pt idx="3">
                  <c:v>988021437995.62195</c:v>
                </c:pt>
                <c:pt idx="4">
                  <c:v>1001571019418.5078</c:v>
                </c:pt>
                <c:pt idx="5">
                  <c:v>1015120600841.3937</c:v>
                </c:pt>
                <c:pt idx="6">
                  <c:v>1014750793700.832</c:v>
                </c:pt>
                <c:pt idx="7">
                  <c:v>1014380986560.2705</c:v>
                </c:pt>
                <c:pt idx="8">
                  <c:v>1014011179419.7089</c:v>
                </c:pt>
                <c:pt idx="9">
                  <c:v>1013641372279.1475</c:v>
                </c:pt>
                <c:pt idx="10">
                  <c:v>1013271565138.5859</c:v>
                </c:pt>
                <c:pt idx="11">
                  <c:v>1011052722295.2168</c:v>
                </c:pt>
                <c:pt idx="12">
                  <c:v>1008833879451.8477</c:v>
                </c:pt>
                <c:pt idx="13">
                  <c:v>1006615036608.4785</c:v>
                </c:pt>
                <c:pt idx="14">
                  <c:v>1004396193765.1094</c:v>
                </c:pt>
                <c:pt idx="15">
                  <c:v>1002177350921.7402</c:v>
                </c:pt>
                <c:pt idx="16">
                  <c:v>1002177350921.7402</c:v>
                </c:pt>
                <c:pt idx="17">
                  <c:v>1002177350921.7402</c:v>
                </c:pt>
                <c:pt idx="18">
                  <c:v>1002177350921.7402</c:v>
                </c:pt>
                <c:pt idx="19">
                  <c:v>1002177350921.7402</c:v>
                </c:pt>
                <c:pt idx="20">
                  <c:v>1002177350921.7402</c:v>
                </c:pt>
                <c:pt idx="21">
                  <c:v>999218893797.2478</c:v>
                </c:pt>
                <c:pt idx="22">
                  <c:v>998277566530.36414</c:v>
                </c:pt>
                <c:pt idx="23">
                  <c:v>997336239263.48022</c:v>
                </c:pt>
                <c:pt idx="24">
                  <c:v>996394911996.59656</c:v>
                </c:pt>
                <c:pt idx="25">
                  <c:v>995453584729.71265</c:v>
                </c:pt>
                <c:pt idx="26">
                  <c:v>994512257462.82849</c:v>
                </c:pt>
                <c:pt idx="27">
                  <c:v>993570930195.94458</c:v>
                </c:pt>
                <c:pt idx="28">
                  <c:v>992629602929.06079</c:v>
                </c:pt>
                <c:pt idx="29">
                  <c:v>991688275662.17688</c:v>
                </c:pt>
                <c:pt idx="30">
                  <c:v>990746948395.29321</c:v>
                </c:pt>
              </c:numCache>
            </c:numRef>
          </c:val>
          <c:smooth val="0"/>
          <c:extLst>
            <c:ext xmlns:c16="http://schemas.microsoft.com/office/drawing/2014/chart" uri="{C3380CC4-5D6E-409C-BE32-E72D297353CC}">
              <c16:uniqueId val="{0000000F-A741-49DD-9B45-806E7DC337FE}"/>
            </c:ext>
          </c:extLst>
        </c:ser>
        <c:ser>
          <c:idx val="19"/>
          <c:order val="15"/>
          <c:tx>
            <c:strRef>
              <c:f>'BIFUbC-heavy-or-residual-oil'!$A$17</c:f>
              <c:strCache>
                <c:ptCount val="1"/>
                <c:pt idx="0">
                  <c:v>metal products except machinery and vehicles 25</c:v>
                </c:pt>
              </c:strCache>
            </c:strRef>
          </c:tx>
          <c:spPr>
            <a:ln w="28575" cap="rnd">
              <a:solidFill>
                <a:schemeClr val="accent2">
                  <a:lumMod val="8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'BIFUbC-heavy-or-residual-oil'!$B$17:$AF$17</c:f>
              <c:numCache>
                <c:formatCode>0.00E+00</c:formatCode>
                <c:ptCount val="31"/>
                <c:pt idx="0">
                  <c:v>8052667896679.1982</c:v>
                </c:pt>
                <c:pt idx="1">
                  <c:v>8167839338773.7275</c:v>
                </c:pt>
                <c:pt idx="2">
                  <c:v>8628525107151.8447</c:v>
                </c:pt>
                <c:pt idx="3">
                  <c:v>8398182222962.7852</c:v>
                </c:pt>
                <c:pt idx="4">
                  <c:v>8513353665057.3154</c:v>
                </c:pt>
                <c:pt idx="5">
                  <c:v>8628525107151.8447</c:v>
                </c:pt>
                <c:pt idx="6">
                  <c:v>8625381746457.0713</c:v>
                </c:pt>
                <c:pt idx="7">
                  <c:v>8622238385762.2998</c:v>
                </c:pt>
                <c:pt idx="8">
                  <c:v>8619095025067.5264</c:v>
                </c:pt>
                <c:pt idx="9">
                  <c:v>8615951664372.7529</c:v>
                </c:pt>
                <c:pt idx="10">
                  <c:v>8612808303677.9795</c:v>
                </c:pt>
                <c:pt idx="11">
                  <c:v>8593948139509.3408</c:v>
                </c:pt>
                <c:pt idx="12">
                  <c:v>8575087975340.7041</c:v>
                </c:pt>
                <c:pt idx="13">
                  <c:v>8556227811172.0664</c:v>
                </c:pt>
                <c:pt idx="14">
                  <c:v>8537367647003.4277</c:v>
                </c:pt>
                <c:pt idx="15">
                  <c:v>8518507482834.791</c:v>
                </c:pt>
                <c:pt idx="16">
                  <c:v>8518507482834.791</c:v>
                </c:pt>
                <c:pt idx="17">
                  <c:v>8518507482834.791</c:v>
                </c:pt>
                <c:pt idx="18">
                  <c:v>8518507482834.791</c:v>
                </c:pt>
                <c:pt idx="19">
                  <c:v>8518507482834.791</c:v>
                </c:pt>
                <c:pt idx="20">
                  <c:v>8518507482834.791</c:v>
                </c:pt>
                <c:pt idx="21">
                  <c:v>8493360597276.6064</c:v>
                </c:pt>
                <c:pt idx="22">
                  <c:v>8485359315508.0947</c:v>
                </c:pt>
                <c:pt idx="23">
                  <c:v>8477358033739.582</c:v>
                </c:pt>
                <c:pt idx="24">
                  <c:v>8469356751971.0684</c:v>
                </c:pt>
                <c:pt idx="25">
                  <c:v>8461355470202.5557</c:v>
                </c:pt>
                <c:pt idx="26">
                  <c:v>8453354188434.041</c:v>
                </c:pt>
                <c:pt idx="27">
                  <c:v>8445352906665.5273</c:v>
                </c:pt>
                <c:pt idx="28">
                  <c:v>8437351624897.0166</c:v>
                </c:pt>
                <c:pt idx="29">
                  <c:v>8429350343128.5039</c:v>
                </c:pt>
                <c:pt idx="30">
                  <c:v>8421349061359.9902</c:v>
                </c:pt>
              </c:numCache>
            </c:numRef>
          </c:val>
          <c:smooth val="0"/>
          <c:extLst>
            <c:ext xmlns:c16="http://schemas.microsoft.com/office/drawing/2014/chart" uri="{C3380CC4-5D6E-409C-BE32-E72D297353CC}">
              <c16:uniqueId val="{00000010-A741-49DD-9B45-806E7DC337FE}"/>
            </c:ext>
          </c:extLst>
        </c:ser>
        <c:ser>
          <c:idx val="20"/>
          <c:order val="16"/>
          <c:tx>
            <c:strRef>
              <c:f>'BIFUbC-heavy-or-residual-oil'!$A$18</c:f>
              <c:strCache>
                <c:ptCount val="1"/>
                <c:pt idx="0">
                  <c:v>computers and electronics 26</c:v>
                </c:pt>
              </c:strCache>
            </c:strRef>
          </c:tx>
          <c:spPr>
            <a:ln w="28575" cap="rnd">
              <a:solidFill>
                <a:schemeClr val="accent3">
                  <a:lumMod val="8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'BIFUbC-heavy-or-residual-oil'!$B$18:$AF$18</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1-A741-49DD-9B45-806E7DC337FE}"/>
            </c:ext>
          </c:extLst>
        </c:ser>
        <c:ser>
          <c:idx val="21"/>
          <c:order val="17"/>
          <c:tx>
            <c:strRef>
              <c:f>'BIFUbC-heavy-or-residual-oil'!$A$19</c:f>
              <c:strCache>
                <c:ptCount val="1"/>
                <c:pt idx="0">
                  <c:v>appliances and electrical equipment 27</c:v>
                </c:pt>
              </c:strCache>
            </c:strRef>
          </c:tx>
          <c:spPr>
            <a:ln w="28575" cap="rnd">
              <a:solidFill>
                <a:schemeClr val="accent4">
                  <a:lumMod val="8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'BIFUbC-heavy-or-residual-oil'!$B$19:$AF$19</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2-A741-49DD-9B45-806E7DC337FE}"/>
            </c:ext>
          </c:extLst>
        </c:ser>
        <c:ser>
          <c:idx val="22"/>
          <c:order val="18"/>
          <c:tx>
            <c:strRef>
              <c:f>'BIFUbC-heavy-or-residual-oil'!$A$20</c:f>
              <c:strCache>
                <c:ptCount val="1"/>
                <c:pt idx="0">
                  <c:v>other machinery 28</c:v>
                </c:pt>
              </c:strCache>
            </c:strRef>
          </c:tx>
          <c:spPr>
            <a:ln w="28575" cap="rnd">
              <a:solidFill>
                <a:schemeClr val="accent5">
                  <a:lumMod val="8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'BIFUbC-heavy-or-residual-oil'!$B$20:$AF$20</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3-A741-49DD-9B45-806E7DC337FE}"/>
            </c:ext>
          </c:extLst>
        </c:ser>
        <c:ser>
          <c:idx val="23"/>
          <c:order val="19"/>
          <c:tx>
            <c:strRef>
              <c:f>'BIFUbC-heavy-or-residual-oil'!$A$21</c:f>
              <c:strCache>
                <c:ptCount val="1"/>
                <c:pt idx="0">
                  <c:v>road vehicles 29</c:v>
                </c:pt>
              </c:strCache>
            </c:strRef>
          </c:tx>
          <c:spPr>
            <a:ln w="28575" cap="rnd">
              <a:solidFill>
                <a:schemeClr val="accent6">
                  <a:lumMod val="8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'BIFUbC-heavy-or-residual-oil'!$B$21:$AF$21</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4-A741-49DD-9B45-806E7DC337FE}"/>
            </c:ext>
          </c:extLst>
        </c:ser>
        <c:ser>
          <c:idx val="24"/>
          <c:order val="20"/>
          <c:tx>
            <c:strRef>
              <c:f>'BIFUbC-heavy-or-residual-oil'!$A$22</c:f>
              <c:strCache>
                <c:ptCount val="1"/>
                <c:pt idx="0">
                  <c:v>nonroad vehicles 30</c:v>
                </c:pt>
              </c:strCache>
            </c:strRef>
          </c:tx>
          <c:spPr>
            <a:ln w="28575" cap="rnd">
              <a:solidFill>
                <a:schemeClr val="accent1">
                  <a:lumMod val="60000"/>
                  <a:lumOff val="4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'BIFUbC-heavy-or-residual-oil'!$B$22:$AF$22</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5-A741-49DD-9B45-806E7DC337FE}"/>
            </c:ext>
          </c:extLst>
        </c:ser>
        <c:ser>
          <c:idx val="25"/>
          <c:order val="21"/>
          <c:tx>
            <c:strRef>
              <c:f>'BIFUbC-heavy-or-residual-oil'!$A$23</c:f>
              <c:strCache>
                <c:ptCount val="1"/>
                <c:pt idx="0">
                  <c:v>other manufacturing 31T33</c:v>
                </c:pt>
              </c:strCache>
            </c:strRef>
          </c:tx>
          <c:spPr>
            <a:ln w="28575" cap="rnd">
              <a:solidFill>
                <a:schemeClr val="accent2">
                  <a:lumMod val="60000"/>
                  <a:lumOff val="4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'BIFUbC-heavy-or-residual-oil'!$B$23:$AF$23</c:f>
              <c:numCache>
                <c:formatCode>0.00E+00</c:formatCode>
                <c:ptCount val="31"/>
                <c:pt idx="0">
                  <c:v>9269137256563.3652</c:v>
                </c:pt>
                <c:pt idx="1">
                  <c:v>9474785233099.2461</c:v>
                </c:pt>
                <c:pt idx="2">
                  <c:v>9680433209635.125</c:v>
                </c:pt>
                <c:pt idx="3">
                  <c:v>9886081186171.0039</c:v>
                </c:pt>
                <c:pt idx="4">
                  <c:v>10091729162706.885</c:v>
                </c:pt>
                <c:pt idx="5">
                  <c:v>10297377139242.764</c:v>
                </c:pt>
                <c:pt idx="6">
                  <c:v>10392410422054.754</c:v>
                </c:pt>
                <c:pt idx="7">
                  <c:v>10487443704866.713</c:v>
                </c:pt>
                <c:pt idx="8">
                  <c:v>10582476987678.674</c:v>
                </c:pt>
                <c:pt idx="9">
                  <c:v>10677510270490.635</c:v>
                </c:pt>
                <c:pt idx="10">
                  <c:v>10772543553302.613</c:v>
                </c:pt>
                <c:pt idx="11">
                  <c:v>10840108744404.785</c:v>
                </c:pt>
                <c:pt idx="12">
                  <c:v>10907673935506.975</c:v>
                </c:pt>
                <c:pt idx="13">
                  <c:v>10975239126609.168</c:v>
                </c:pt>
                <c:pt idx="14">
                  <c:v>11042804317711.357</c:v>
                </c:pt>
                <c:pt idx="15">
                  <c:v>11110369508813.543</c:v>
                </c:pt>
                <c:pt idx="16">
                  <c:v>11163411341080.709</c:v>
                </c:pt>
                <c:pt idx="17">
                  <c:v>11216453173347.83</c:v>
                </c:pt>
                <c:pt idx="18">
                  <c:v>11269495005614.971</c:v>
                </c:pt>
                <c:pt idx="19">
                  <c:v>11322536837882.111</c:v>
                </c:pt>
                <c:pt idx="20">
                  <c:v>11375578670149.234</c:v>
                </c:pt>
                <c:pt idx="21">
                  <c:v>11447984980863.111</c:v>
                </c:pt>
                <c:pt idx="22">
                  <c:v>11507188238090.572</c:v>
                </c:pt>
                <c:pt idx="23">
                  <c:v>11566391495318.051</c:v>
                </c:pt>
                <c:pt idx="24">
                  <c:v>11625594752545.51</c:v>
                </c:pt>
                <c:pt idx="25">
                  <c:v>11684798009772.967</c:v>
                </c:pt>
                <c:pt idx="26">
                  <c:v>11744001267000.428</c:v>
                </c:pt>
                <c:pt idx="27">
                  <c:v>11803204524227.906</c:v>
                </c:pt>
                <c:pt idx="28">
                  <c:v>11862407781455.365</c:v>
                </c:pt>
                <c:pt idx="29">
                  <c:v>11921611038682.824</c:v>
                </c:pt>
                <c:pt idx="30">
                  <c:v>11980814295910.303</c:v>
                </c:pt>
              </c:numCache>
            </c:numRef>
          </c:val>
          <c:smooth val="0"/>
          <c:extLst>
            <c:ext xmlns:c16="http://schemas.microsoft.com/office/drawing/2014/chart" uri="{C3380CC4-5D6E-409C-BE32-E72D297353CC}">
              <c16:uniqueId val="{00000016-A741-49DD-9B45-806E7DC337FE}"/>
            </c:ext>
          </c:extLst>
        </c:ser>
        <c:ser>
          <c:idx val="0"/>
          <c:order val="22"/>
          <c:tx>
            <c:strRef>
              <c:f>'BIFUbC-heavy-or-residual-oil'!$A$24</c:f>
              <c:strCache>
                <c:ptCount val="1"/>
                <c:pt idx="0">
                  <c:v>energy pipelines and gas processing 352T353</c:v>
                </c:pt>
              </c:strCache>
            </c:strRef>
          </c:tx>
          <c:spPr>
            <a:ln w="28575" cap="rnd">
              <a:solidFill>
                <a:schemeClr val="accent1"/>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'BIFUbC-heavy-or-residual-oil'!$B$24:$AF$24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7-A741-49DD-9B45-806E7DC337FE}"/>
            </c:ext>
          </c:extLst>
        </c:ser>
        <c:ser>
          <c:idx val="1"/>
          <c:order val="23"/>
          <c:tx>
            <c:strRef>
              <c:f>'BIFUbC-heavy-or-residual-oil'!$A$25</c:f>
              <c:strCache>
                <c:ptCount val="1"/>
                <c:pt idx="0">
                  <c:v>water and waste 36T39</c:v>
                </c:pt>
              </c:strCache>
            </c:strRef>
          </c:tx>
          <c:spPr>
            <a:ln w="28575" cap="rnd">
              <a:solidFill>
                <a:schemeClr val="accent2"/>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'BIFUbC-heavy-or-residual-oil'!$B$25:$AF$25</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8-A741-49DD-9B45-806E7DC337FE}"/>
            </c:ext>
          </c:extLst>
        </c:ser>
        <c:ser>
          <c:idx val="2"/>
          <c:order val="24"/>
          <c:tx>
            <c:strRef>
              <c:f>'BIFUbC-heavy-or-residual-oil'!$A$26</c:f>
              <c:strCache>
                <c:ptCount val="1"/>
                <c:pt idx="0">
                  <c:v>construction 41T43</c:v>
                </c:pt>
              </c:strCache>
            </c:strRef>
          </c:tx>
          <c:spPr>
            <a:ln w="28575" cap="rnd">
              <a:solidFill>
                <a:schemeClr val="accent3"/>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'BIFUbC-heavy-or-residual-oil'!$B$26:$AF$26</c:f>
              <c:numCache>
                <c:formatCode>0.00E+00</c:formatCode>
                <c:ptCount val="31"/>
                <c:pt idx="0">
                  <c:v>1115868204049.4556</c:v>
                </c:pt>
                <c:pt idx="1">
                  <c:v>1140625204824.3667</c:v>
                </c:pt>
                <c:pt idx="2">
                  <c:v>1165382205599.2781</c:v>
                </c:pt>
                <c:pt idx="3">
                  <c:v>1190139206374.189</c:v>
                </c:pt>
                <c:pt idx="4">
                  <c:v>1214896207149.1001</c:v>
                </c:pt>
                <c:pt idx="5">
                  <c:v>1239653207924.011</c:v>
                </c:pt>
                <c:pt idx="6">
                  <c:v>1251093821616.6448</c:v>
                </c:pt>
                <c:pt idx="7">
                  <c:v>1262534435309.2747</c:v>
                </c:pt>
                <c:pt idx="8">
                  <c:v>1273975049001.9048</c:v>
                </c:pt>
                <c:pt idx="9">
                  <c:v>1285415662694.5349</c:v>
                </c:pt>
                <c:pt idx="10">
                  <c:v>1296856276387.1672</c:v>
                </c:pt>
                <c:pt idx="11">
                  <c:v>1304990134627.1079</c:v>
                </c:pt>
                <c:pt idx="12">
                  <c:v>1313123992867.0508</c:v>
                </c:pt>
                <c:pt idx="13">
                  <c:v>1321257851106.9937</c:v>
                </c:pt>
                <c:pt idx="14">
                  <c:v>1329391709346.9365</c:v>
                </c:pt>
                <c:pt idx="15">
                  <c:v>1337525567586.8789</c:v>
                </c:pt>
                <c:pt idx="16">
                  <c:v>1343911026392.0708</c:v>
                </c:pt>
                <c:pt idx="17">
                  <c:v>1350296485197.2573</c:v>
                </c:pt>
                <c:pt idx="18">
                  <c:v>1356681944002.446</c:v>
                </c:pt>
                <c:pt idx="19">
                  <c:v>1363067402807.635</c:v>
                </c:pt>
                <c:pt idx="20">
                  <c:v>1369452861612.8218</c:v>
                </c:pt>
                <c:pt idx="21">
                  <c:v>1378169519664.3499</c:v>
                </c:pt>
                <c:pt idx="22">
                  <c:v>1385296723684.2822</c:v>
                </c:pt>
                <c:pt idx="23">
                  <c:v>1392423927704.2168</c:v>
                </c:pt>
                <c:pt idx="24">
                  <c:v>1399551131724.1492</c:v>
                </c:pt>
                <c:pt idx="25">
                  <c:v>1406678335744.0813</c:v>
                </c:pt>
                <c:pt idx="26">
                  <c:v>1413805539764.0137</c:v>
                </c:pt>
                <c:pt idx="27">
                  <c:v>1420932743783.9485</c:v>
                </c:pt>
                <c:pt idx="28">
                  <c:v>1428059947803.8806</c:v>
                </c:pt>
                <c:pt idx="29">
                  <c:v>1435187151823.813</c:v>
                </c:pt>
                <c:pt idx="30">
                  <c:v>1442314355843.7476</c:v>
                </c:pt>
              </c:numCache>
            </c:numRef>
          </c:val>
          <c:smooth val="0"/>
          <c:extLst>
            <c:ext xmlns:c16="http://schemas.microsoft.com/office/drawing/2014/chart" uri="{C3380CC4-5D6E-409C-BE32-E72D297353CC}">
              <c16:uniqueId val="{00000019-A741-49DD-9B45-806E7DC337FE}"/>
            </c:ext>
          </c:extLst>
        </c:ser>
        <c:dLbls>
          <c:showLegendKey val="0"/>
          <c:showVal val="0"/>
          <c:showCatName val="0"/>
          <c:showSerName val="0"/>
          <c:showPercent val="0"/>
          <c:showBubbleSize val="0"/>
        </c:dLbls>
        <c:smooth val="0"/>
        <c:axId val="1554324768"/>
        <c:axId val="1331715072"/>
        <c:extLst/>
      </c:lineChart>
      <c:catAx>
        <c:axId val="155432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15072"/>
        <c:crosses val="autoZero"/>
        <c:auto val="1"/>
        <c:lblAlgn val="ctr"/>
        <c:lblOffset val="100"/>
        <c:noMultiLvlLbl val="0"/>
      </c:catAx>
      <c:valAx>
        <c:axId val="133171507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32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'BIFUbC-LPG-propane-or-butane'!$A$2</c:f>
              <c:strCache>
                <c:ptCount val="1"/>
                <c:pt idx="0">
                  <c:v>agriculture and forestry 01T03</c:v>
                </c:pt>
              </c:strCache>
            </c:strRef>
          </c:tx>
          <c:spPr>
            <a:ln w="28575" cap="rnd">
              <a:solidFill>
                <a:schemeClr val="accent6"/>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'BIFUbC-LPG-propane-or-butane'!$B$2:$AF$2</c:f>
              <c:numCache>
                <c:formatCode>0.00E+00</c:formatCode>
                <c:ptCount val="31"/>
                <c:pt idx="0">
                  <c:v>350727016153.76312</c:v>
                </c:pt>
                <c:pt idx="1">
                  <c:v>358508355364.96277</c:v>
                </c:pt>
                <c:pt idx="2">
                  <c:v>366289694576.16241</c:v>
                </c:pt>
                <c:pt idx="3">
                  <c:v>374071033787.36206</c:v>
                </c:pt>
                <c:pt idx="4">
                  <c:v>381852372998.56171</c:v>
                </c:pt>
                <c:pt idx="5">
                  <c:v>389633712209.76141</c:v>
                </c:pt>
                <c:pt idx="6">
                  <c:v>393229595925.08179</c:v>
                </c:pt>
                <c:pt idx="7">
                  <c:v>396825479640.40106</c:v>
                </c:pt>
                <c:pt idx="8">
                  <c:v>400421363355.7204</c:v>
                </c:pt>
                <c:pt idx="9">
                  <c:v>404017247071.03967</c:v>
                </c:pt>
                <c:pt idx="10">
                  <c:v>407613130786.35968</c:v>
                </c:pt>
                <c:pt idx="11">
                  <c:v>410169672696.91815</c:v>
                </c:pt>
                <c:pt idx="12">
                  <c:v>412726214607.47742</c:v>
                </c:pt>
                <c:pt idx="13">
                  <c:v>415282756518.03662</c:v>
                </c:pt>
                <c:pt idx="14">
                  <c:v>417839298428.59583</c:v>
                </c:pt>
                <c:pt idx="15">
                  <c:v>420395840339.15491</c:v>
                </c:pt>
                <c:pt idx="16">
                  <c:v>422402845203.52008</c:v>
                </c:pt>
                <c:pt idx="17">
                  <c:v>424409850067.88354</c:v>
                </c:pt>
                <c:pt idx="18">
                  <c:v>426416854932.24786</c:v>
                </c:pt>
                <c:pt idx="19">
                  <c:v>428423859796.61212</c:v>
                </c:pt>
                <c:pt idx="20">
                  <c:v>430430864660.97571</c:v>
                </c:pt>
                <c:pt idx="21">
                  <c:v>433170585586.93335</c:v>
                </c:pt>
                <c:pt idx="22">
                  <c:v>435410727379.98615</c:v>
                </c:pt>
                <c:pt idx="23">
                  <c:v>437650869173.03973</c:v>
                </c:pt>
                <c:pt idx="24">
                  <c:v>439891010966.09253</c:v>
                </c:pt>
                <c:pt idx="25">
                  <c:v>442131152759.14532</c:v>
                </c:pt>
                <c:pt idx="26">
                  <c:v>444371294552.19812</c:v>
                </c:pt>
                <c:pt idx="27">
                  <c:v>446611436345.25171</c:v>
                </c:pt>
                <c:pt idx="28">
                  <c:v>448851578138.3045</c:v>
                </c:pt>
                <c:pt idx="29">
                  <c:v>451091719931.3573</c:v>
                </c:pt>
                <c:pt idx="30">
                  <c:v>453331861724.41089</c:v>
                </c:pt>
              </c:numCache>
            </c:numRef>
          </c:val>
          <c:smooth val="0"/>
          <c:extLst>
            <c:ext xmlns:c16="http://schemas.microsoft.com/office/drawing/2014/chart" uri="{C3380CC4-5D6E-409C-BE32-E72D297353CC}">
              <c16:uniqueId val="{00000001-F52D-43AE-855E-3F0AD4D10BCA}"/>
            </c:ext>
          </c:extLst>
        </c:ser>
        <c:ser>
          <c:idx val="6"/>
          <c:order val="1"/>
          <c:tx>
            <c:strRef>
              <c:f>'BIFUbC-LPG-propane-or-butane'!$A$3</c:f>
              <c:strCache>
                <c:ptCount val="1"/>
                <c:pt idx="0">
                  <c:v>coal mining 05</c:v>
                </c:pt>
              </c:strCache>
            </c:strRef>
          </c:tx>
          <c:spPr>
            <a:ln w="28575" cap="rnd">
              <a:solidFill>
                <a:schemeClr val="accent1">
                  <a:lumMod val="6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'BIFUbC-LPG-propane-or-butane'!$B$3:$AF$3</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F52D-43AE-855E-3F0AD4D10BCA}"/>
            </c:ext>
          </c:extLst>
        </c:ser>
        <c:ser>
          <c:idx val="7"/>
          <c:order val="2"/>
          <c:tx>
            <c:strRef>
              <c:f>'BIFUbC-LPG-propane-or-butane'!$A$4</c:f>
              <c:strCache>
                <c:ptCount val="1"/>
                <c:pt idx="0">
                  <c:v>oil and gas extraction 06</c:v>
                </c:pt>
              </c:strCache>
            </c:strRef>
          </c:tx>
          <c:spPr>
            <a:ln w="28575" cap="rnd">
              <a:solidFill>
                <a:schemeClr val="accent2">
                  <a:lumMod val="6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'BIFUbC-LPG-propane-or-butane'!$B$4:$AF$4</c:f>
              <c:numCache>
                <c:formatCode>0.00E+00</c:formatCode>
                <c:ptCount val="31"/>
                <c:pt idx="0">
                  <c:v>144874496948.97116</c:v>
                </c:pt>
                <c:pt idx="1">
                  <c:v>145676317927.71207</c:v>
                </c:pt>
                <c:pt idx="2">
                  <c:v>146478138906.45343</c:v>
                </c:pt>
                <c:pt idx="3">
                  <c:v>146289209273.35657</c:v>
                </c:pt>
                <c:pt idx="4">
                  <c:v>146100279640.2598</c:v>
                </c:pt>
                <c:pt idx="5">
                  <c:v>145911350007.16293</c:v>
                </c:pt>
                <c:pt idx="6">
                  <c:v>145722420374.06616</c:v>
                </c:pt>
                <c:pt idx="7">
                  <c:v>145533490740.96933</c:v>
                </c:pt>
                <c:pt idx="8">
                  <c:v>145344561107.87253</c:v>
                </c:pt>
                <c:pt idx="9">
                  <c:v>145155631474.77567</c:v>
                </c:pt>
                <c:pt idx="10">
                  <c:v>144966701841.67886</c:v>
                </c:pt>
                <c:pt idx="11">
                  <c:v>144217745001.42352</c:v>
                </c:pt>
                <c:pt idx="12">
                  <c:v>143468788161.16809</c:v>
                </c:pt>
                <c:pt idx="13">
                  <c:v>142719831320.91269</c:v>
                </c:pt>
                <c:pt idx="14">
                  <c:v>141970874480.65726</c:v>
                </c:pt>
                <c:pt idx="15">
                  <c:v>141221917640.40182</c:v>
                </c:pt>
                <c:pt idx="16">
                  <c:v>140472960800.14667</c:v>
                </c:pt>
                <c:pt idx="17">
                  <c:v>139724003959.89124</c:v>
                </c:pt>
                <c:pt idx="18">
                  <c:v>138975047119.6358</c:v>
                </c:pt>
                <c:pt idx="19">
                  <c:v>138226090279.38037</c:v>
                </c:pt>
                <c:pt idx="20">
                  <c:v>137477133439.12494</c:v>
                </c:pt>
                <c:pt idx="21">
                  <c:v>136274215150.64278</c:v>
                </c:pt>
                <c:pt idx="22">
                  <c:v>135071296862.16032</c:v>
                </c:pt>
                <c:pt idx="23">
                  <c:v>133868378573.67789</c:v>
                </c:pt>
                <c:pt idx="24">
                  <c:v>132665460285.19543</c:v>
                </c:pt>
                <c:pt idx="25">
                  <c:v>131462541996.713</c:v>
                </c:pt>
                <c:pt idx="26">
                  <c:v>130259623708.23055</c:v>
                </c:pt>
                <c:pt idx="27">
                  <c:v>129056705419.74809</c:v>
                </c:pt>
                <c:pt idx="28">
                  <c:v>127853787131.26564</c:v>
                </c:pt>
                <c:pt idx="29">
                  <c:v>126650868842.78319</c:v>
                </c:pt>
                <c:pt idx="30">
                  <c:v>125447950554.30081</c:v>
                </c:pt>
              </c:numCache>
            </c:numRef>
          </c:val>
          <c:smooth val="0"/>
          <c:extLst>
            <c:ext xmlns:c16="http://schemas.microsoft.com/office/drawing/2014/chart" uri="{C3380CC4-5D6E-409C-BE32-E72D297353CC}">
              <c16:uniqueId val="{00000003-F52D-43AE-855E-3F0AD4D10BCA}"/>
            </c:ext>
          </c:extLst>
        </c:ser>
        <c:ser>
          <c:idx val="8"/>
          <c:order val="3"/>
          <c:tx>
            <c:strRef>
              <c:f>'BIFUbC-LPG-propane-or-butane'!$A$5</c:f>
              <c:strCache>
                <c:ptCount val="1"/>
                <c:pt idx="0">
                  <c:v>other mining and quarrying 07T08</c:v>
                </c:pt>
              </c:strCache>
            </c:strRef>
          </c:tx>
          <c:spPr>
            <a:ln w="28575" cap="rnd">
              <a:solidFill>
                <a:schemeClr val="accent3">
                  <a:lumMod val="6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'BIFUbC-LPG-propane-or-butane'!$B$5:$AF$5</c:f>
              <c:numCache>
                <c:formatCode>0.00E+00</c:formatCode>
                <c:ptCount val="31"/>
                <c:pt idx="0">
                  <c:v>128866512572.49394</c:v>
                </c:pt>
                <c:pt idx="1">
                  <c:v>131725585301.72812</c:v>
                </c:pt>
                <c:pt idx="2">
                  <c:v>134584658030.96231</c:v>
                </c:pt>
                <c:pt idx="3">
                  <c:v>137443730760.1965</c:v>
                </c:pt>
                <c:pt idx="4">
                  <c:v>140302803489.43066</c:v>
                </c:pt>
                <c:pt idx="5">
                  <c:v>143161876218.66486</c:v>
                </c:pt>
                <c:pt idx="6">
                  <c:v>144483100340.75076</c:v>
                </c:pt>
                <c:pt idx="7">
                  <c:v>145804324462.83624</c:v>
                </c:pt>
                <c:pt idx="8">
                  <c:v>147125548584.92175</c:v>
                </c:pt>
                <c:pt idx="9">
                  <c:v>148446772707.00723</c:v>
                </c:pt>
                <c:pt idx="10">
                  <c:v>149767996829.09299</c:v>
                </c:pt>
                <c:pt idx="11">
                  <c:v>150707338895.95749</c:v>
                </c:pt>
                <c:pt idx="12">
                  <c:v>151646680962.82227</c:v>
                </c:pt>
                <c:pt idx="13">
                  <c:v>152586023029.68701</c:v>
                </c:pt>
                <c:pt idx="14">
                  <c:v>153525365096.55179</c:v>
                </c:pt>
                <c:pt idx="15">
                  <c:v>154464707163.41647</c:v>
                </c:pt>
                <c:pt idx="16">
                  <c:v>155202134580.39478</c:v>
                </c:pt>
                <c:pt idx="17">
                  <c:v>155939561997.37244</c:v>
                </c:pt>
                <c:pt idx="18">
                  <c:v>156676989414.3504</c:v>
                </c:pt>
                <c:pt idx="19">
                  <c:v>157414416831.32834</c:v>
                </c:pt>
                <c:pt idx="20">
                  <c:v>158151844248.30603</c:v>
                </c:pt>
                <c:pt idx="21">
                  <c:v>159158491198.46646</c:v>
                </c:pt>
                <c:pt idx="22">
                  <c:v>159981579376.00238</c:v>
                </c:pt>
                <c:pt idx="23">
                  <c:v>160804667553.53857</c:v>
                </c:pt>
                <c:pt idx="24">
                  <c:v>161627755731.07449</c:v>
                </c:pt>
                <c:pt idx="25">
                  <c:v>162450843908.61038</c:v>
                </c:pt>
                <c:pt idx="26">
                  <c:v>163273932086.1463</c:v>
                </c:pt>
                <c:pt idx="27">
                  <c:v>164097020263.6825</c:v>
                </c:pt>
                <c:pt idx="28">
                  <c:v>164920108441.21838</c:v>
                </c:pt>
                <c:pt idx="29">
                  <c:v>165743196618.7543</c:v>
                </c:pt>
                <c:pt idx="30">
                  <c:v>166566284796.2905</c:v>
                </c:pt>
              </c:numCache>
            </c:numRef>
          </c:val>
          <c:smooth val="0"/>
          <c:extLst>
            <c:ext xmlns:c16="http://schemas.microsoft.com/office/drawing/2014/chart" uri="{C3380CC4-5D6E-409C-BE32-E72D297353CC}">
              <c16:uniqueId val="{00000004-F52D-43AE-855E-3F0AD4D10BCA}"/>
            </c:ext>
          </c:extLst>
        </c:ser>
        <c:ser>
          <c:idx val="9"/>
          <c:order val="4"/>
          <c:tx>
            <c:strRef>
              <c:f>'BIFUbC-LPG-propane-or-butane'!$A$6</c:f>
              <c:strCache>
                <c:ptCount val="1"/>
                <c:pt idx="0">
                  <c:v>food beverage and tobacco 10T12</c:v>
                </c:pt>
              </c:strCache>
            </c:strRef>
          </c:tx>
          <c:spPr>
            <a:ln w="28575" cap="rnd">
              <a:solidFill>
                <a:schemeClr val="accent4">
                  <a:lumMod val="6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'BIFUbC-LPG-propane-or-butane'!$B$6:$AF$6</c:f>
              <c:numCache>
                <c:formatCode>0.00E+00</c:formatCode>
                <c:ptCount val="31"/>
                <c:pt idx="0">
                  <c:v>1459611717669.1831</c:v>
                </c:pt>
                <c:pt idx="1">
                  <c:v>1491995119485.1594</c:v>
                </c:pt>
                <c:pt idx="2">
                  <c:v>1524378521301.1357</c:v>
                </c:pt>
                <c:pt idx="3">
                  <c:v>1556761923117.1121</c:v>
                </c:pt>
                <c:pt idx="4">
                  <c:v>1589145324933.0881</c:v>
                </c:pt>
                <c:pt idx="5">
                  <c:v>1621528726749.0647</c:v>
                </c:pt>
                <c:pt idx="6">
                  <c:v>1636493624702.51</c:v>
                </c:pt>
                <c:pt idx="7">
                  <c:v>1651458522655.9507</c:v>
                </c:pt>
                <c:pt idx="8">
                  <c:v>1666423420609.3914</c:v>
                </c:pt>
                <c:pt idx="9">
                  <c:v>1681388318562.832</c:v>
                </c:pt>
                <c:pt idx="10">
                  <c:v>1696353216516.2759</c:v>
                </c:pt>
                <c:pt idx="11">
                  <c:v>1706992712071.2107</c:v>
                </c:pt>
                <c:pt idx="12">
                  <c:v>1717632207626.1487</c:v>
                </c:pt>
                <c:pt idx="13">
                  <c:v>1728271703181.0867</c:v>
                </c:pt>
                <c:pt idx="14">
                  <c:v>1738911198736.0247</c:v>
                </c:pt>
                <c:pt idx="15">
                  <c:v>1749550694290.9617</c:v>
                </c:pt>
                <c:pt idx="16">
                  <c:v>1757903195474.2815</c:v>
                </c:pt>
                <c:pt idx="17">
                  <c:v>1766255696657.594</c:v>
                </c:pt>
                <c:pt idx="18">
                  <c:v>1774608197840.9099</c:v>
                </c:pt>
                <c:pt idx="19">
                  <c:v>1782960699024.2256</c:v>
                </c:pt>
                <c:pt idx="20">
                  <c:v>1791313200207.5386</c:v>
                </c:pt>
                <c:pt idx="21">
                  <c:v>1802715027219.6846</c:v>
                </c:pt>
                <c:pt idx="22">
                  <c:v>1812037768439.4451</c:v>
                </c:pt>
                <c:pt idx="23">
                  <c:v>1821360509659.209</c:v>
                </c:pt>
                <c:pt idx="24">
                  <c:v>1830683250878.9695</c:v>
                </c:pt>
                <c:pt idx="25">
                  <c:v>1840005992098.73</c:v>
                </c:pt>
                <c:pt idx="26">
                  <c:v>1849328733318.4905</c:v>
                </c:pt>
                <c:pt idx="27">
                  <c:v>1858651474538.2544</c:v>
                </c:pt>
                <c:pt idx="28">
                  <c:v>1867974215758.0149</c:v>
                </c:pt>
                <c:pt idx="29">
                  <c:v>1877296956977.7756</c:v>
                </c:pt>
                <c:pt idx="30">
                  <c:v>1886619698197.5393</c:v>
                </c:pt>
              </c:numCache>
            </c:numRef>
          </c:val>
          <c:smooth val="0"/>
          <c:extLst>
            <c:ext xmlns:c16="http://schemas.microsoft.com/office/drawing/2014/chart" uri="{C3380CC4-5D6E-409C-BE32-E72D297353CC}">
              <c16:uniqueId val="{00000005-F52D-43AE-855E-3F0AD4D10BCA}"/>
            </c:ext>
          </c:extLst>
        </c:ser>
        <c:ser>
          <c:idx val="10"/>
          <c:order val="5"/>
          <c:tx>
            <c:strRef>
              <c:f>'BIFUbC-LPG-propane-or-butane'!$A$7</c:f>
              <c:strCache>
                <c:ptCount val="1"/>
                <c:pt idx="0">
                  <c:v>textiles apparel and leather 13T15</c:v>
                </c:pt>
              </c:strCache>
            </c:strRef>
          </c:tx>
          <c:spPr>
            <a:ln w="28575" cap="rnd">
              <a:solidFill>
                <a:schemeClr val="accent5">
                  <a:lumMod val="6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'BIFUbC-LPG-propane-or-butane'!$B$7:$AF$7</c:f>
              <c:numCache>
                <c:formatCode>0.00E+00</c:formatCode>
                <c:ptCount val="31"/>
                <c:pt idx="0">
                  <c:v>233141546136.24893</c:v>
                </c:pt>
                <c:pt idx="1">
                  <c:v>238314097354.58551</c:v>
                </c:pt>
                <c:pt idx="2">
                  <c:v>243486648572.92215</c:v>
                </c:pt>
                <c:pt idx="3">
                  <c:v>248659199791.25873</c:v>
                </c:pt>
                <c:pt idx="4">
                  <c:v>253831751009.59534</c:v>
                </c:pt>
                <c:pt idx="5">
                  <c:v>259004302227.93195</c:v>
                </c:pt>
                <c:pt idx="6">
                  <c:v>261394622478.44955</c:v>
                </c:pt>
                <c:pt idx="7">
                  <c:v>263784942728.9664</c:v>
                </c:pt>
                <c:pt idx="8">
                  <c:v>266175262979.48331</c:v>
                </c:pt>
                <c:pt idx="9">
                  <c:v>268565583230.00015</c:v>
                </c:pt>
                <c:pt idx="10">
                  <c:v>270955903480.51752</c:v>
                </c:pt>
                <c:pt idx="11">
                  <c:v>272655333824.73831</c:v>
                </c:pt>
                <c:pt idx="12">
                  <c:v>274354764168.95963</c:v>
                </c:pt>
                <c:pt idx="13">
                  <c:v>276054194513.18091</c:v>
                </c:pt>
                <c:pt idx="14">
                  <c:v>277753624857.40222</c:v>
                </c:pt>
                <c:pt idx="15">
                  <c:v>279453055201.62341</c:v>
                </c:pt>
                <c:pt idx="16">
                  <c:v>280787187434.47064</c:v>
                </c:pt>
                <c:pt idx="17">
                  <c:v>282121319667.31677</c:v>
                </c:pt>
                <c:pt idx="18">
                  <c:v>283455451900.16339</c:v>
                </c:pt>
                <c:pt idx="19">
                  <c:v>284789584133.01001</c:v>
                </c:pt>
                <c:pt idx="20">
                  <c:v>286123716365.8562</c:v>
                </c:pt>
                <c:pt idx="21">
                  <c:v>287944912747.20245</c:v>
                </c:pt>
                <c:pt idx="22">
                  <c:v>289434019936.38971</c:v>
                </c:pt>
                <c:pt idx="23">
                  <c:v>290923127125.57745</c:v>
                </c:pt>
                <c:pt idx="24">
                  <c:v>292412234314.76471</c:v>
                </c:pt>
                <c:pt idx="25">
                  <c:v>293901341503.95197</c:v>
                </c:pt>
                <c:pt idx="26">
                  <c:v>295390448693.13922</c:v>
                </c:pt>
                <c:pt idx="27">
                  <c:v>296879555882.32697</c:v>
                </c:pt>
                <c:pt idx="28">
                  <c:v>298368663071.51422</c:v>
                </c:pt>
                <c:pt idx="29">
                  <c:v>299857770260.70142</c:v>
                </c:pt>
                <c:pt idx="30">
                  <c:v>301346877449.88922</c:v>
                </c:pt>
              </c:numCache>
            </c:numRef>
          </c:val>
          <c:smooth val="0"/>
          <c:extLst>
            <c:ext xmlns:c16="http://schemas.microsoft.com/office/drawing/2014/chart" uri="{C3380CC4-5D6E-409C-BE32-E72D297353CC}">
              <c16:uniqueId val="{00000006-F52D-43AE-855E-3F0AD4D10BCA}"/>
            </c:ext>
          </c:extLst>
        </c:ser>
        <c:ser>
          <c:idx val="11"/>
          <c:order val="6"/>
          <c:tx>
            <c:strRef>
              <c:f>'BIFUbC-LPG-propane-or-butane'!$A$8</c:f>
              <c:strCache>
                <c:ptCount val="1"/>
                <c:pt idx="0">
                  <c:v>wood products 16</c:v>
                </c:pt>
              </c:strCache>
            </c:strRef>
          </c:tx>
          <c:spPr>
            <a:ln w="28575" cap="rnd">
              <a:solidFill>
                <a:schemeClr val="accent6">
                  <a:lumMod val="6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'BIFUbC-LPG-propane-or-butane'!$B$8:$AF$8</c:f>
              <c:numCache>
                <c:formatCode>0.00E+00</c:formatCode>
                <c:ptCount val="31"/>
                <c:pt idx="0">
                  <c:v>14384821458.995386</c:v>
                </c:pt>
                <c:pt idx="1">
                  <c:v>14703967604.315182</c:v>
                </c:pt>
                <c:pt idx="2">
                  <c:v>15023113749.634977</c:v>
                </c:pt>
                <c:pt idx="3">
                  <c:v>15342259894.954773</c:v>
                </c:pt>
                <c:pt idx="4">
                  <c:v>15661406040.274567</c:v>
                </c:pt>
                <c:pt idx="5">
                  <c:v>15980552185.594364</c:v>
                </c:pt>
                <c:pt idx="6">
                  <c:v>16128034822.659071</c:v>
                </c:pt>
                <c:pt idx="7">
                  <c:v>16275517459.72373</c:v>
                </c:pt>
                <c:pt idx="8">
                  <c:v>16423000096.788393</c:v>
                </c:pt>
                <c:pt idx="9">
                  <c:v>16570482733.853052</c:v>
                </c:pt>
                <c:pt idx="10">
                  <c:v>16717965370.917746</c:v>
                </c:pt>
                <c:pt idx="11">
                  <c:v>16822820136.139765</c:v>
                </c:pt>
                <c:pt idx="12">
                  <c:v>16927674901.361816</c:v>
                </c:pt>
                <c:pt idx="13">
                  <c:v>17032529666.583866</c:v>
                </c:pt>
                <c:pt idx="14">
                  <c:v>17137384431.80592</c:v>
                </c:pt>
                <c:pt idx="15">
                  <c:v>17242239197.027962</c:v>
                </c:pt>
                <c:pt idx="16">
                  <c:v>17324555087.482697</c:v>
                </c:pt>
                <c:pt idx="17">
                  <c:v>17406870977.937359</c:v>
                </c:pt>
                <c:pt idx="18">
                  <c:v>17489186868.392056</c:v>
                </c:pt>
                <c:pt idx="19">
                  <c:v>17571502758.846748</c:v>
                </c:pt>
                <c:pt idx="20">
                  <c:v>17653818649.301414</c:v>
                </c:pt>
                <c:pt idx="21">
                  <c:v>17766186372.779259</c:v>
                </c:pt>
                <c:pt idx="22">
                  <c:v>17858064210.104942</c:v>
                </c:pt>
                <c:pt idx="23">
                  <c:v>17949942047.43066</c:v>
                </c:pt>
                <c:pt idx="24">
                  <c:v>18041819884.756344</c:v>
                </c:pt>
                <c:pt idx="25">
                  <c:v>18133697722.082031</c:v>
                </c:pt>
                <c:pt idx="26">
                  <c:v>18225575559.407715</c:v>
                </c:pt>
                <c:pt idx="27">
                  <c:v>18317453396.733433</c:v>
                </c:pt>
                <c:pt idx="28">
                  <c:v>18409331234.059116</c:v>
                </c:pt>
                <c:pt idx="29">
                  <c:v>18501209071.3848</c:v>
                </c:pt>
                <c:pt idx="30">
                  <c:v>18593086908.710518</c:v>
                </c:pt>
              </c:numCache>
            </c:numRef>
          </c:val>
          <c:smooth val="0"/>
          <c:extLst>
            <c:ext xmlns:c16="http://schemas.microsoft.com/office/drawing/2014/chart" uri="{C3380CC4-5D6E-409C-BE32-E72D297353CC}">
              <c16:uniqueId val="{00000007-F52D-43AE-855E-3F0AD4D10BCA}"/>
            </c:ext>
          </c:extLst>
        </c:ser>
        <c:ser>
          <c:idx val="12"/>
          <c:order val="7"/>
          <c:tx>
            <c:strRef>
              <c:f>'BIFUbC-LPG-propane-or-butane'!$A$9</c:f>
              <c:strCache>
                <c:ptCount val="1"/>
                <c:pt idx="0">
                  <c:v>pulp paper and printing 17T18</c:v>
                </c:pt>
              </c:strCache>
            </c:strRef>
          </c:tx>
          <c:spPr>
            <a:ln w="28575" cap="rnd">
              <a:solidFill>
                <a:schemeClr val="accent1">
                  <a:lumMod val="80000"/>
                  <a:lumOff val="2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'BIFUbC-LPG-propane-or-butane'!$B$9:$AF$9</c:f>
              <c:numCache>
                <c:formatCode>0.00E+00</c:formatCode>
                <c:ptCount val="31"/>
                <c:pt idx="0">
                  <c:v>317540457103.1347</c:v>
                </c:pt>
                <c:pt idx="1">
                  <c:v>324585508941.72937</c:v>
                </c:pt>
                <c:pt idx="2">
                  <c:v>331630560780.32404</c:v>
                </c:pt>
                <c:pt idx="3">
                  <c:v>338675612618.91864</c:v>
                </c:pt>
                <c:pt idx="4">
                  <c:v>345720664457.51331</c:v>
                </c:pt>
                <c:pt idx="5">
                  <c:v>352765716296.10797</c:v>
                </c:pt>
                <c:pt idx="6">
                  <c:v>356021349612.22516</c:v>
                </c:pt>
                <c:pt idx="7">
                  <c:v>359276982928.34131</c:v>
                </c:pt>
                <c:pt idx="8">
                  <c:v>362532616244.45752</c:v>
                </c:pt>
                <c:pt idx="9">
                  <c:v>365788249560.57367</c:v>
                </c:pt>
                <c:pt idx="10">
                  <c:v>369043882876.69049</c:v>
                </c:pt>
                <c:pt idx="11">
                  <c:v>371358519187.81561</c:v>
                </c:pt>
                <c:pt idx="12">
                  <c:v>373673155498.94141</c:v>
                </c:pt>
                <c:pt idx="13">
                  <c:v>375987791810.06714</c:v>
                </c:pt>
                <c:pt idx="14">
                  <c:v>378302428121.19293</c:v>
                </c:pt>
                <c:pt idx="15">
                  <c:v>380617064432.31854</c:v>
                </c:pt>
                <c:pt idx="16">
                  <c:v>382434162097.12842</c:v>
                </c:pt>
                <c:pt idx="17">
                  <c:v>384251259761.93677</c:v>
                </c:pt>
                <c:pt idx="18">
                  <c:v>386068357426.74579</c:v>
                </c:pt>
                <c:pt idx="19">
                  <c:v>387885455091.55481</c:v>
                </c:pt>
                <c:pt idx="20">
                  <c:v>389702552756.36322</c:v>
                </c:pt>
                <c:pt idx="21">
                  <c:v>392183035282.9281</c:v>
                </c:pt>
                <c:pt idx="22">
                  <c:v>394211209949.20459</c:v>
                </c:pt>
                <c:pt idx="23">
                  <c:v>396239384615.48181</c:v>
                </c:pt>
                <c:pt idx="24">
                  <c:v>398267559281.75836</c:v>
                </c:pt>
                <c:pt idx="25">
                  <c:v>400295733948.03491</c:v>
                </c:pt>
                <c:pt idx="26">
                  <c:v>402323908614.3114</c:v>
                </c:pt>
                <c:pt idx="27">
                  <c:v>404352083280.58868</c:v>
                </c:pt>
                <c:pt idx="28">
                  <c:v>406380257946.86517</c:v>
                </c:pt>
                <c:pt idx="29">
                  <c:v>408408432613.14172</c:v>
                </c:pt>
                <c:pt idx="30">
                  <c:v>410436607279.41895</c:v>
                </c:pt>
              </c:numCache>
            </c:numRef>
          </c:val>
          <c:smooth val="0"/>
          <c:extLst>
            <c:ext xmlns:c16="http://schemas.microsoft.com/office/drawing/2014/chart" uri="{C3380CC4-5D6E-409C-BE32-E72D297353CC}">
              <c16:uniqueId val="{00000008-F52D-43AE-855E-3F0AD4D10BCA}"/>
            </c:ext>
          </c:extLst>
        </c:ser>
        <c:ser>
          <c:idx val="13"/>
          <c:order val="8"/>
          <c:tx>
            <c:strRef>
              <c:f>'BIFUbC-LPG-propane-or-butane'!$A$10</c:f>
              <c:strCache>
                <c:ptCount val="1"/>
                <c:pt idx="0">
                  <c:v>refined petroleum and coke 19</c:v>
                </c:pt>
              </c:strCache>
            </c:strRef>
          </c:tx>
          <c:spPr>
            <a:ln w="28575" cap="rnd">
              <a:solidFill>
                <a:schemeClr val="accent2">
                  <a:lumMod val="80000"/>
                  <a:lumOff val="2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'BIFUbC-LPG-propane-or-butane'!$B$10:$AF$10</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9-F52D-43AE-855E-3F0AD4D10BCA}"/>
            </c:ext>
          </c:extLst>
        </c:ser>
        <c:ser>
          <c:idx val="14"/>
          <c:order val="9"/>
          <c:tx>
            <c:strRef>
              <c:f>'BIFUbC-LPG-propane-or-butane'!$A$11</c:f>
              <c:strCache>
                <c:ptCount val="1"/>
                <c:pt idx="0">
                  <c:v>chemicals 20</c:v>
                </c:pt>
              </c:strCache>
            </c:strRef>
          </c:tx>
          <c:spPr>
            <a:ln w="28575" cap="rnd">
              <a:solidFill>
                <a:schemeClr val="accent3">
                  <a:lumMod val="80000"/>
                  <a:lumOff val="2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'BIFUbC-LPG-propane-or-butane'!$B$11:$AF$11</c:f>
              <c:numCache>
                <c:formatCode>0.00E+00</c:formatCode>
                <c:ptCount val="31"/>
                <c:pt idx="0">
                  <c:v>1182388377757947.5</c:v>
                </c:pt>
                <c:pt idx="1">
                  <c:v>1324183562883782.8</c:v>
                </c:pt>
                <c:pt idx="2">
                  <c:v>1249106075205871.3</c:v>
                </c:pt>
                <c:pt idx="3">
                  <c:v>1161594183144270.5</c:v>
                </c:pt>
                <c:pt idx="4">
                  <c:v>1124894516773593.6</c:v>
                </c:pt>
                <c:pt idx="5">
                  <c:v>1104710020678915.5</c:v>
                </c:pt>
                <c:pt idx="6">
                  <c:v>1083043365045169.1</c:v>
                </c:pt>
                <c:pt idx="7">
                  <c:v>1059943065873484</c:v>
                </c:pt>
                <c:pt idx="8">
                  <c:v>1035320991212099</c:v>
                </c:pt>
                <c:pt idx="9">
                  <c:v>1002547532978037.5</c:v>
                </c:pt>
                <c:pt idx="10">
                  <c:v>939474256524812.25</c:v>
                </c:pt>
                <c:pt idx="11">
                  <c:v>932681682850487.63</c:v>
                </c:pt>
                <c:pt idx="12">
                  <c:v>925868776085380</c:v>
                </c:pt>
                <c:pt idx="13">
                  <c:v>919035188579882</c:v>
                </c:pt>
                <c:pt idx="14">
                  <c:v>912180562556698.38</c:v>
                </c:pt>
                <c:pt idx="15">
                  <c:v>899076422072236.5</c:v>
                </c:pt>
                <c:pt idx="16">
                  <c:v>897232527705330.5</c:v>
                </c:pt>
                <c:pt idx="17">
                  <c:v>895388633338425.25</c:v>
                </c:pt>
                <c:pt idx="18">
                  <c:v>893544738971519.13</c:v>
                </c:pt>
                <c:pt idx="19">
                  <c:v>891700844604613.13</c:v>
                </c:pt>
                <c:pt idx="20">
                  <c:v>889856950237707.63</c:v>
                </c:pt>
                <c:pt idx="21">
                  <c:v>888343745041025.75</c:v>
                </c:pt>
                <c:pt idx="22">
                  <c:v>886830539844343.75</c:v>
                </c:pt>
                <c:pt idx="23">
                  <c:v>885317334647662.38</c:v>
                </c:pt>
                <c:pt idx="24">
                  <c:v>883804129450980.25</c:v>
                </c:pt>
                <c:pt idx="25">
                  <c:v>882290924254298.88</c:v>
                </c:pt>
                <c:pt idx="26">
                  <c:v>880777719057617</c:v>
                </c:pt>
                <c:pt idx="27">
                  <c:v>879264513860935.63</c:v>
                </c:pt>
                <c:pt idx="28">
                  <c:v>877751308664253.5</c:v>
                </c:pt>
                <c:pt idx="29">
                  <c:v>876238103467571.38</c:v>
                </c:pt>
                <c:pt idx="30">
                  <c:v>874724898270890.25</c:v>
                </c:pt>
              </c:numCache>
            </c:numRef>
          </c:val>
          <c:smooth val="0"/>
          <c:extLst>
            <c:ext xmlns:c16="http://schemas.microsoft.com/office/drawing/2014/chart" uri="{C3380CC4-5D6E-409C-BE32-E72D297353CC}">
              <c16:uniqueId val="{0000000A-F52D-43AE-855E-3F0AD4D10BCA}"/>
            </c:ext>
          </c:extLst>
        </c:ser>
        <c:ser>
          <c:idx val="15"/>
          <c:order val="10"/>
          <c:tx>
            <c:strRef>
              <c:f>'BIFUbC-LPG-propane-or-butane'!$A$12</c:f>
              <c:strCache>
                <c:ptCount val="1"/>
                <c:pt idx="0">
                  <c:v>rubber and plastic products 22</c:v>
                </c:pt>
              </c:strCache>
            </c:strRef>
          </c:tx>
          <c:spPr>
            <a:ln w="28575" cap="rnd">
              <a:solidFill>
                <a:schemeClr val="accent4">
                  <a:lumMod val="80000"/>
                  <a:lumOff val="2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'BIFUbC-LPG-propane-or-butane'!$B$12:$AF$12</c:f>
              <c:numCache>
                <c:formatCode>0.00E+00</c:formatCode>
                <c:ptCount val="31"/>
                <c:pt idx="0">
                  <c:v>612308267053222.88</c:v>
                </c:pt>
                <c:pt idx="1">
                  <c:v>685737916493387.5</c:v>
                </c:pt>
                <c:pt idx="2">
                  <c:v>646858503231611.88</c:v>
                </c:pt>
                <c:pt idx="3">
                  <c:v>601539844842568.75</c:v>
                </c:pt>
                <c:pt idx="4">
                  <c:v>582534660472039.63</c:v>
                </c:pt>
                <c:pt idx="5">
                  <c:v>572081974994438.5</c:v>
                </c:pt>
                <c:pt idx="6">
                  <c:v>560861742612676.88</c:v>
                </c:pt>
                <c:pt idx="7">
                  <c:v>548899087684482.81</c:v>
                </c:pt>
                <c:pt idx="8">
                  <c:v>536148370449122.75</c:v>
                </c:pt>
                <c:pt idx="9">
                  <c:v>519176401006483.75</c:v>
                </c:pt>
                <c:pt idx="10">
                  <c:v>486513454271777.75</c:v>
                </c:pt>
                <c:pt idx="11">
                  <c:v>482995871476145.38</c:v>
                </c:pt>
                <c:pt idx="12">
                  <c:v>479467759044214.69</c:v>
                </c:pt>
                <c:pt idx="13">
                  <c:v>475928936943153.19</c:v>
                </c:pt>
                <c:pt idx="14">
                  <c:v>472379219895433.13</c:v>
                </c:pt>
                <c:pt idx="15">
                  <c:v>465593147144551.06</c:v>
                </c:pt>
                <c:pt idx="16">
                  <c:v>464638273275974.75</c:v>
                </c:pt>
                <c:pt idx="17">
                  <c:v>463683399407398.81</c:v>
                </c:pt>
                <c:pt idx="18">
                  <c:v>462728525538822.44</c:v>
                </c:pt>
                <c:pt idx="19">
                  <c:v>461773651670246.13</c:v>
                </c:pt>
                <c:pt idx="20">
                  <c:v>460818777801670.06</c:v>
                </c:pt>
                <c:pt idx="21">
                  <c:v>460035153681959.75</c:v>
                </c:pt>
                <c:pt idx="22">
                  <c:v>459251529562249.5</c:v>
                </c:pt>
                <c:pt idx="23">
                  <c:v>458467905442539.44</c:v>
                </c:pt>
                <c:pt idx="24">
                  <c:v>457684281322829.06</c:v>
                </c:pt>
                <c:pt idx="25">
                  <c:v>456900657203119.13</c:v>
                </c:pt>
                <c:pt idx="26">
                  <c:v>456117033083408.81</c:v>
                </c:pt>
                <c:pt idx="27">
                  <c:v>455333408963698.81</c:v>
                </c:pt>
                <c:pt idx="28">
                  <c:v>454549784843988.44</c:v>
                </c:pt>
                <c:pt idx="29">
                  <c:v>453766160724278.06</c:v>
                </c:pt>
                <c:pt idx="30">
                  <c:v>452982536604568.19</c:v>
                </c:pt>
              </c:numCache>
            </c:numRef>
          </c:val>
          <c:smooth val="0"/>
          <c:extLst>
            <c:ext xmlns:c16="http://schemas.microsoft.com/office/drawing/2014/chart" uri="{C3380CC4-5D6E-409C-BE32-E72D297353CC}">
              <c16:uniqueId val="{0000000B-F52D-43AE-855E-3F0AD4D10BCA}"/>
            </c:ext>
          </c:extLst>
        </c:ser>
        <c:ser>
          <c:idx val="16"/>
          <c:order val="11"/>
          <c:tx>
            <c:strRef>
              <c:f>'BIFUbC-LPG-propane-or-butane'!$A$13</c:f>
              <c:strCache>
                <c:ptCount val="1"/>
                <c:pt idx="0">
                  <c:v>glass and glass products 231</c:v>
                </c:pt>
              </c:strCache>
            </c:strRef>
          </c:tx>
          <c:spPr>
            <a:ln w="28575" cap="rnd">
              <a:solidFill>
                <a:schemeClr val="accent5">
                  <a:lumMod val="80000"/>
                  <a:lumOff val="2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'BIFUbC-LPG-propane-or-butane'!$B$13:$AF$13</c:f>
              <c:numCache>
                <c:formatCode>0.00E+00</c:formatCode>
                <c:ptCount val="31"/>
                <c:pt idx="0">
                  <c:v>33774416995.999836</c:v>
                </c:pt>
                <c:pt idx="1">
                  <c:v>34523746768.734428</c:v>
                </c:pt>
                <c:pt idx="2">
                  <c:v>35273076541.469032</c:v>
                </c:pt>
                <c:pt idx="3">
                  <c:v>36022406314.203621</c:v>
                </c:pt>
                <c:pt idx="4">
                  <c:v>36771736086.938217</c:v>
                </c:pt>
                <c:pt idx="5">
                  <c:v>37521065859.672813</c:v>
                </c:pt>
                <c:pt idx="6">
                  <c:v>37867343364.617317</c:v>
                </c:pt>
                <c:pt idx="7">
                  <c:v>38213620869.561714</c:v>
                </c:pt>
                <c:pt idx="8">
                  <c:v>38559898374.506111</c:v>
                </c:pt>
                <c:pt idx="9">
                  <c:v>38906175879.450508</c:v>
                </c:pt>
                <c:pt idx="10">
                  <c:v>39252453384.394981</c:v>
                </c:pt>
                <c:pt idx="11">
                  <c:v>39498644035.750725</c:v>
                </c:pt>
                <c:pt idx="12">
                  <c:v>39744834687.106544</c:v>
                </c:pt>
                <c:pt idx="13">
                  <c:v>39991025338.462364</c:v>
                </c:pt>
                <c:pt idx="14">
                  <c:v>40237215989.818184</c:v>
                </c:pt>
                <c:pt idx="15">
                  <c:v>40483406641.173981</c:v>
                </c:pt>
                <c:pt idx="16">
                  <c:v>40676677806.724434</c:v>
                </c:pt>
                <c:pt idx="17">
                  <c:v>40869948972.274719</c:v>
                </c:pt>
                <c:pt idx="18">
                  <c:v>41063220137.825089</c:v>
                </c:pt>
                <c:pt idx="19">
                  <c:v>41256491303.37545</c:v>
                </c:pt>
                <c:pt idx="20">
                  <c:v>41449762468.925743</c:v>
                </c:pt>
                <c:pt idx="21">
                  <c:v>41713592948.883392</c:v>
                </c:pt>
                <c:pt idx="22">
                  <c:v>41929314805.381508</c:v>
                </c:pt>
                <c:pt idx="23">
                  <c:v>42145036661.879692</c:v>
                </c:pt>
                <c:pt idx="24">
                  <c:v>42360758518.3778</c:v>
                </c:pt>
                <c:pt idx="25">
                  <c:v>42576480374.875908</c:v>
                </c:pt>
                <c:pt idx="26">
                  <c:v>42792202231.374016</c:v>
                </c:pt>
                <c:pt idx="27">
                  <c:v>43007924087.8722</c:v>
                </c:pt>
                <c:pt idx="28">
                  <c:v>43223645944.370308</c:v>
                </c:pt>
                <c:pt idx="29">
                  <c:v>43439367800.868416</c:v>
                </c:pt>
                <c:pt idx="30">
                  <c:v>43655089657.3666</c:v>
                </c:pt>
              </c:numCache>
            </c:numRef>
          </c:val>
          <c:smooth val="0"/>
          <c:extLst>
            <c:ext xmlns:c16="http://schemas.microsoft.com/office/drawing/2014/chart" uri="{C3380CC4-5D6E-409C-BE32-E72D297353CC}">
              <c16:uniqueId val="{0000000C-F52D-43AE-855E-3F0AD4D10BCA}"/>
            </c:ext>
          </c:extLst>
        </c:ser>
        <c:ser>
          <c:idx val="17"/>
          <c:order val="12"/>
          <c:tx>
            <c:strRef>
              <c:f>'BIFUbC-LPG-propane-or-butane'!$A$14</c:f>
              <c:strCache>
                <c:ptCount val="1"/>
                <c:pt idx="0">
                  <c:v>cement and other nonmetallic minerals 239</c:v>
                </c:pt>
              </c:strCache>
            </c:strRef>
          </c:tx>
          <c:spPr>
            <a:ln w="28575" cap="rnd">
              <a:solidFill>
                <a:schemeClr val="accent6">
                  <a:lumMod val="80000"/>
                  <a:lumOff val="2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'BIFUbC-LPG-propane-or-butane'!$B$14:$AF$14</c:f>
              <c:numCache>
                <c:formatCode>0.00E+00</c:formatCode>
                <c:ptCount val="31"/>
                <c:pt idx="0">
                  <c:v>934425536889.32886</c:v>
                </c:pt>
                <c:pt idx="1">
                  <c:v>955156993934.98596</c:v>
                </c:pt>
                <c:pt idx="2">
                  <c:v>975888450980.64319</c:v>
                </c:pt>
                <c:pt idx="3">
                  <c:v>996619908026.30029</c:v>
                </c:pt>
                <c:pt idx="4">
                  <c:v>1017351365071.9574</c:v>
                </c:pt>
                <c:pt idx="5">
                  <c:v>1038082822117.6146</c:v>
                </c:pt>
                <c:pt idx="6">
                  <c:v>1047663166421.0792</c:v>
                </c:pt>
                <c:pt idx="7">
                  <c:v>1057243510724.5409</c:v>
                </c:pt>
                <c:pt idx="8">
                  <c:v>1066823855028.0026</c:v>
                </c:pt>
                <c:pt idx="9">
                  <c:v>1076404199331.4642</c:v>
                </c:pt>
                <c:pt idx="10">
                  <c:v>1085984543634.928</c:v>
                </c:pt>
                <c:pt idx="11">
                  <c:v>1092795818322.4369</c:v>
                </c:pt>
                <c:pt idx="12">
                  <c:v>1099607093009.9478</c:v>
                </c:pt>
                <c:pt idx="13">
                  <c:v>1106418367697.4587</c:v>
                </c:pt>
                <c:pt idx="14">
                  <c:v>1113229642384.9697</c:v>
                </c:pt>
                <c:pt idx="15">
                  <c:v>1120040917072.4802</c:v>
                </c:pt>
                <c:pt idx="16">
                  <c:v>1125388085986.0427</c:v>
                </c:pt>
                <c:pt idx="17">
                  <c:v>1130735254899.6008</c:v>
                </c:pt>
                <c:pt idx="18">
                  <c:v>1136082423813.1609</c:v>
                </c:pt>
                <c:pt idx="19">
                  <c:v>1141429592726.7207</c:v>
                </c:pt>
                <c:pt idx="20">
                  <c:v>1146776761640.2791</c:v>
                </c:pt>
                <c:pt idx="21">
                  <c:v>1154076071585.7739</c:v>
                </c:pt>
                <c:pt idx="22">
                  <c:v>1160044376282.2217</c:v>
                </c:pt>
                <c:pt idx="23">
                  <c:v>1166012680978.6714</c:v>
                </c:pt>
                <c:pt idx="24">
                  <c:v>1171980985675.1191</c:v>
                </c:pt>
                <c:pt idx="25">
                  <c:v>1177949290371.5669</c:v>
                </c:pt>
                <c:pt idx="26">
                  <c:v>1183917595068.0144</c:v>
                </c:pt>
                <c:pt idx="27">
                  <c:v>1189885899764.4644</c:v>
                </c:pt>
                <c:pt idx="28">
                  <c:v>1195854204460.9119</c:v>
                </c:pt>
                <c:pt idx="29">
                  <c:v>1201822509157.3596</c:v>
                </c:pt>
                <c:pt idx="30">
                  <c:v>1207790813853.8093</c:v>
                </c:pt>
              </c:numCache>
            </c:numRef>
          </c:val>
          <c:smooth val="0"/>
          <c:extLst>
            <c:ext xmlns:c16="http://schemas.microsoft.com/office/drawing/2014/chart" uri="{C3380CC4-5D6E-409C-BE32-E72D297353CC}">
              <c16:uniqueId val="{0000000D-F52D-43AE-855E-3F0AD4D10BCA}"/>
            </c:ext>
          </c:extLst>
        </c:ser>
        <c:ser>
          <c:idx val="18"/>
          <c:order val="13"/>
          <c:tx>
            <c:strRef>
              <c:f>'BIFUbC-LPG-propane-or-butane'!$A$15</c:f>
              <c:strCache>
                <c:ptCount val="1"/>
                <c:pt idx="0">
                  <c:v>iron and steel 241</c:v>
                </c:pt>
              </c:strCache>
            </c:strRef>
          </c:tx>
          <c:spPr>
            <a:ln w="28575" cap="rnd">
              <a:solidFill>
                <a:schemeClr val="accent1">
                  <a:lumMod val="8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'BIFUbC-LPG-propane-or-butane'!$B$15:$AF$15</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E-F52D-43AE-855E-3F0AD4D10BCA}"/>
            </c:ext>
          </c:extLst>
        </c:ser>
        <c:ser>
          <c:idx val="19"/>
          <c:order val="14"/>
          <c:tx>
            <c:strRef>
              <c:f>'BIFUbC-LPG-propane-or-butane'!$A$16</c:f>
              <c:strCache>
                <c:ptCount val="1"/>
                <c:pt idx="0">
                  <c:v>other metals 242</c:v>
                </c:pt>
              </c:strCache>
            </c:strRef>
          </c:tx>
          <c:spPr>
            <a:ln w="28575" cap="rnd">
              <a:solidFill>
                <a:schemeClr val="accent2">
                  <a:lumMod val="8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'BIFUbC-LPG-propane-or-butane'!$B$16:$AF$16</c:f>
              <c:numCache>
                <c:formatCode>0.00E+00</c:formatCode>
                <c:ptCount val="31"/>
                <c:pt idx="0">
                  <c:v>939726986000.62805</c:v>
                </c:pt>
                <c:pt idx="1">
                  <c:v>953167216436.2417</c:v>
                </c:pt>
                <c:pt idx="2">
                  <c:v>1006928138178.6971</c:v>
                </c:pt>
                <c:pt idx="3">
                  <c:v>980047677307.46936</c:v>
                </c:pt>
                <c:pt idx="4">
                  <c:v>993487907743.08325</c:v>
                </c:pt>
                <c:pt idx="5">
                  <c:v>1006928138178.6971</c:v>
                </c:pt>
                <c:pt idx="6">
                  <c:v>1006561315541.8378</c:v>
                </c:pt>
                <c:pt idx="7">
                  <c:v>1006194492904.9785</c:v>
                </c:pt>
                <c:pt idx="8">
                  <c:v>1005827670268.1191</c:v>
                </c:pt>
                <c:pt idx="9">
                  <c:v>1005460847631.26</c:v>
                </c:pt>
                <c:pt idx="10">
                  <c:v>1005094024994.4006</c:v>
                </c:pt>
                <c:pt idx="11">
                  <c:v>1002893089173.2451</c:v>
                </c:pt>
                <c:pt idx="12">
                  <c:v>1000692153352.0895</c:v>
                </c:pt>
                <c:pt idx="13">
                  <c:v>998491217530.93384</c:v>
                </c:pt>
                <c:pt idx="14">
                  <c:v>996290281709.77832</c:v>
                </c:pt>
                <c:pt idx="15">
                  <c:v>994089345888.62268</c:v>
                </c:pt>
                <c:pt idx="16">
                  <c:v>994089345888.62268</c:v>
                </c:pt>
                <c:pt idx="17">
                  <c:v>994089345888.62268</c:v>
                </c:pt>
                <c:pt idx="18">
                  <c:v>994089345888.62268</c:v>
                </c:pt>
                <c:pt idx="19">
                  <c:v>994089345888.62268</c:v>
                </c:pt>
                <c:pt idx="20">
                  <c:v>994089345888.62268</c:v>
                </c:pt>
                <c:pt idx="21">
                  <c:v>991154764793.74841</c:v>
                </c:pt>
                <c:pt idx="22">
                  <c:v>990221034445.37952</c:v>
                </c:pt>
                <c:pt idx="23">
                  <c:v>989287304097.01038</c:v>
                </c:pt>
                <c:pt idx="24">
                  <c:v>988353573748.6416</c:v>
                </c:pt>
                <c:pt idx="25">
                  <c:v>987419843400.27246</c:v>
                </c:pt>
                <c:pt idx="26">
                  <c:v>986486113051.9032</c:v>
                </c:pt>
                <c:pt idx="27">
                  <c:v>985552382703.53406</c:v>
                </c:pt>
                <c:pt idx="28">
                  <c:v>984618652355.16516</c:v>
                </c:pt>
                <c:pt idx="29">
                  <c:v>983684922006.79614</c:v>
                </c:pt>
                <c:pt idx="30">
                  <c:v>982751191658.42725</c:v>
                </c:pt>
              </c:numCache>
            </c:numRef>
          </c:val>
          <c:smooth val="0"/>
          <c:extLst>
            <c:ext xmlns:c16="http://schemas.microsoft.com/office/drawing/2014/chart" uri="{C3380CC4-5D6E-409C-BE32-E72D297353CC}">
              <c16:uniqueId val="{0000000F-F52D-43AE-855E-3F0AD4D10BCA}"/>
            </c:ext>
          </c:extLst>
        </c:ser>
        <c:ser>
          <c:idx val="20"/>
          <c:order val="15"/>
          <c:tx>
            <c:strRef>
              <c:f>'BIFUbC-LPG-propane-or-butane'!$A$17</c:f>
              <c:strCache>
                <c:ptCount val="1"/>
                <c:pt idx="0">
                  <c:v>metal products except machinery and vehicles 25</c:v>
                </c:pt>
              </c:strCache>
            </c:strRef>
          </c:tx>
          <c:spPr>
            <a:ln w="28575" cap="rnd">
              <a:solidFill>
                <a:schemeClr val="accent3">
                  <a:lumMod val="8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'BIFUbC-LPG-propane-or-butane'!$B$17:$AF$17</c:f>
              <c:numCache>
                <c:formatCode>0.00E+00</c:formatCode>
                <c:ptCount val="31"/>
                <c:pt idx="0">
                  <c:v>7987679381005.3379</c:v>
                </c:pt>
                <c:pt idx="1">
                  <c:v>8101921339708.0547</c:v>
                </c:pt>
                <c:pt idx="2">
                  <c:v>8558889174518.9238</c:v>
                </c:pt>
                <c:pt idx="3">
                  <c:v>8330405257113.4883</c:v>
                </c:pt>
                <c:pt idx="4">
                  <c:v>8444647215816.207</c:v>
                </c:pt>
                <c:pt idx="5">
                  <c:v>8558889174518.9238</c:v>
                </c:pt>
                <c:pt idx="6">
                  <c:v>8555771182105.6201</c:v>
                </c:pt>
                <c:pt idx="7">
                  <c:v>8552653189692.3174</c:v>
                </c:pt>
                <c:pt idx="8">
                  <c:v>8549535197279.0137</c:v>
                </c:pt>
                <c:pt idx="9">
                  <c:v>8546417204865.709</c:v>
                </c:pt>
                <c:pt idx="10">
                  <c:v>8543299212452.4053</c:v>
                </c:pt>
                <c:pt idx="11">
                  <c:v>8524591257972.582</c:v>
                </c:pt>
                <c:pt idx="12">
                  <c:v>8505883303492.7598</c:v>
                </c:pt>
                <c:pt idx="13">
                  <c:v>8487175349012.9365</c:v>
                </c:pt>
                <c:pt idx="14">
                  <c:v>8468467394533.1133</c:v>
                </c:pt>
                <c:pt idx="15">
                  <c:v>8449759440053.292</c:v>
                </c:pt>
                <c:pt idx="16">
                  <c:v>8449759440053.292</c:v>
                </c:pt>
                <c:pt idx="17">
                  <c:v>8449759440053.292</c:v>
                </c:pt>
                <c:pt idx="18">
                  <c:v>8449759440053.292</c:v>
                </c:pt>
                <c:pt idx="19">
                  <c:v>8449759440053.292</c:v>
                </c:pt>
                <c:pt idx="20">
                  <c:v>8449759440053.292</c:v>
                </c:pt>
                <c:pt idx="21">
                  <c:v>8424815500746.8604</c:v>
                </c:pt>
                <c:pt idx="22">
                  <c:v>8416878792785.7256</c:v>
                </c:pt>
                <c:pt idx="23">
                  <c:v>8408942084824.5889</c:v>
                </c:pt>
                <c:pt idx="24">
                  <c:v>8401005376863.4512</c:v>
                </c:pt>
                <c:pt idx="25">
                  <c:v>8393068668902.3145</c:v>
                </c:pt>
                <c:pt idx="26">
                  <c:v>8385131960941.1758</c:v>
                </c:pt>
                <c:pt idx="27">
                  <c:v>8377195252980.0391</c:v>
                </c:pt>
                <c:pt idx="28">
                  <c:v>8369258545018.9043</c:v>
                </c:pt>
                <c:pt idx="29">
                  <c:v>8361321837057.7666</c:v>
                </c:pt>
                <c:pt idx="30">
                  <c:v>8353385129096.6299</c:v>
                </c:pt>
              </c:numCache>
            </c:numRef>
          </c:val>
          <c:smooth val="0"/>
          <c:extLst>
            <c:ext xmlns:c16="http://schemas.microsoft.com/office/drawing/2014/chart" uri="{C3380CC4-5D6E-409C-BE32-E72D297353CC}">
              <c16:uniqueId val="{00000010-F52D-43AE-855E-3F0AD4D10BCA}"/>
            </c:ext>
          </c:extLst>
        </c:ser>
        <c:ser>
          <c:idx val="21"/>
          <c:order val="16"/>
          <c:tx>
            <c:strRef>
              <c:f>'BIFUbC-LPG-propane-or-butane'!$A$18</c:f>
              <c:strCache>
                <c:ptCount val="1"/>
                <c:pt idx="0">
                  <c:v>computers and electronics 26</c:v>
                </c:pt>
              </c:strCache>
            </c:strRef>
          </c:tx>
          <c:spPr>
            <a:ln w="28575" cap="rnd">
              <a:solidFill>
                <a:schemeClr val="accent4">
                  <a:lumMod val="8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'BIFUbC-LPG-propane-or-butane'!$B$18:$AF$18</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1-F52D-43AE-855E-3F0AD4D10BCA}"/>
            </c:ext>
          </c:extLst>
        </c:ser>
        <c:ser>
          <c:idx val="22"/>
          <c:order val="17"/>
          <c:tx>
            <c:strRef>
              <c:f>'BIFUbC-LPG-propane-or-butane'!$A$19</c:f>
              <c:strCache>
                <c:ptCount val="1"/>
                <c:pt idx="0">
                  <c:v>appliances and electrical equipment 27</c:v>
                </c:pt>
              </c:strCache>
            </c:strRef>
          </c:tx>
          <c:spPr>
            <a:ln w="28575" cap="rnd">
              <a:solidFill>
                <a:schemeClr val="accent5">
                  <a:lumMod val="8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'BIFUbC-LPG-propane-or-butane'!$B$19:$AF$19</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2-F52D-43AE-855E-3F0AD4D10BCA}"/>
            </c:ext>
          </c:extLst>
        </c:ser>
        <c:ser>
          <c:idx val="23"/>
          <c:order val="18"/>
          <c:tx>
            <c:strRef>
              <c:f>'BIFUbC-LPG-propane-or-butane'!$A$20</c:f>
              <c:strCache>
                <c:ptCount val="1"/>
                <c:pt idx="0">
                  <c:v>other machinery 28</c:v>
                </c:pt>
              </c:strCache>
            </c:strRef>
          </c:tx>
          <c:spPr>
            <a:ln w="28575" cap="rnd">
              <a:solidFill>
                <a:schemeClr val="accent6">
                  <a:lumMod val="8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'BIFUbC-LPG-propane-or-butane'!$B$20:$AF$20</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3-F52D-43AE-855E-3F0AD4D10BCA}"/>
            </c:ext>
          </c:extLst>
        </c:ser>
        <c:ser>
          <c:idx val="24"/>
          <c:order val="19"/>
          <c:tx>
            <c:strRef>
              <c:f>'BIFUbC-LPG-propane-or-butane'!$A$21</c:f>
              <c:strCache>
                <c:ptCount val="1"/>
                <c:pt idx="0">
                  <c:v>road vehicles 29</c:v>
                </c:pt>
              </c:strCache>
            </c:strRef>
          </c:tx>
          <c:spPr>
            <a:ln w="28575" cap="rnd">
              <a:solidFill>
                <a:schemeClr val="accent1">
                  <a:lumMod val="60000"/>
                  <a:lumOff val="4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'BIFUbC-LPG-propane-or-butane'!$B$21:$AF$21</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4-F52D-43AE-855E-3F0AD4D10BCA}"/>
            </c:ext>
          </c:extLst>
        </c:ser>
        <c:ser>
          <c:idx val="25"/>
          <c:order val="20"/>
          <c:tx>
            <c:strRef>
              <c:f>'BIFUbC-LPG-propane-or-butane'!$A$22</c:f>
              <c:strCache>
                <c:ptCount val="1"/>
                <c:pt idx="0">
                  <c:v>nonroad vehicles 30</c:v>
                </c:pt>
              </c:strCache>
            </c:strRef>
          </c:tx>
          <c:spPr>
            <a:ln w="28575" cap="rnd">
              <a:solidFill>
                <a:schemeClr val="accent2">
                  <a:lumMod val="60000"/>
                  <a:lumOff val="4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'BIFUbC-LPG-propane-or-butane'!$B$22:$AF$22</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5-F52D-43AE-855E-3F0AD4D10BCA}"/>
            </c:ext>
          </c:extLst>
        </c:ser>
        <c:ser>
          <c:idx val="0"/>
          <c:order val="21"/>
          <c:tx>
            <c:strRef>
              <c:f>'BIFUbC-LPG-propane-or-butane'!$A$23</c:f>
              <c:strCache>
                <c:ptCount val="1"/>
                <c:pt idx="0">
                  <c:v>other manufacturing 31T33</c:v>
                </c:pt>
              </c:strCache>
            </c:strRef>
          </c:tx>
          <c:spPr>
            <a:ln w="28575" cap="rnd">
              <a:solidFill>
                <a:schemeClr val="accent1"/>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'BIFUbC-LPG-propane-or-butane'!$B$23:$AF$23</c:f>
              <c:numCache>
                <c:formatCode>0.00E+00</c:formatCode>
                <c:ptCount val="31"/>
                <c:pt idx="0">
                  <c:v>51359841102254.023</c:v>
                </c:pt>
                <c:pt idx="1">
                  <c:v>52499326591090</c:v>
                </c:pt>
                <c:pt idx="2">
                  <c:v>53638812079925.977</c:v>
                </c:pt>
                <c:pt idx="3">
                  <c:v>54778297568761.945</c:v>
                </c:pt>
                <c:pt idx="4">
                  <c:v>55917783057597.922</c:v>
                </c:pt>
                <c:pt idx="5">
                  <c:v>57057268546433.898</c:v>
                </c:pt>
                <c:pt idx="6">
                  <c:v>57583843368831.016</c:v>
                </c:pt>
                <c:pt idx="7">
                  <c:v>58110418191227.961</c:v>
                </c:pt>
                <c:pt idx="8">
                  <c:v>58636993013624.922</c:v>
                </c:pt>
                <c:pt idx="9">
                  <c:v>59163567836021.875</c:v>
                </c:pt>
                <c:pt idx="10">
                  <c:v>59690142658418.938</c:v>
                </c:pt>
                <c:pt idx="11">
                  <c:v>60064518113544.898</c:v>
                </c:pt>
                <c:pt idx="12">
                  <c:v>60438893568670.977</c:v>
                </c:pt>
                <c:pt idx="13">
                  <c:v>60813269023797.047</c:v>
                </c:pt>
                <c:pt idx="14">
                  <c:v>61187644478923.117</c:v>
                </c:pt>
                <c:pt idx="15">
                  <c:v>61562019934049.172</c:v>
                </c:pt>
                <c:pt idx="16">
                  <c:v>61855922160503.422</c:v>
                </c:pt>
                <c:pt idx="17">
                  <c:v>62149824386957.422</c:v>
                </c:pt>
                <c:pt idx="18">
                  <c:v>62443726613411.539</c:v>
                </c:pt>
                <c:pt idx="19">
                  <c:v>62737628839865.648</c:v>
                </c:pt>
                <c:pt idx="20">
                  <c:v>63031531066319.664</c:v>
                </c:pt>
                <c:pt idx="21">
                  <c:v>63432730931003.086</c:v>
                </c:pt>
                <c:pt idx="22">
                  <c:v>63760773315075.57</c:v>
                </c:pt>
                <c:pt idx="23">
                  <c:v>64088815699148.172</c:v>
                </c:pt>
                <c:pt idx="24">
                  <c:v>64416858083220.656</c:v>
                </c:pt>
                <c:pt idx="25">
                  <c:v>64744900467293.141</c:v>
                </c:pt>
                <c:pt idx="26">
                  <c:v>65072942851365.633</c:v>
                </c:pt>
                <c:pt idx="27">
                  <c:v>65400985235438.234</c:v>
                </c:pt>
                <c:pt idx="28">
                  <c:v>65729027619510.719</c:v>
                </c:pt>
                <c:pt idx="29">
                  <c:v>66057070003583.203</c:v>
                </c:pt>
                <c:pt idx="30">
                  <c:v>66385112387655.805</c:v>
                </c:pt>
              </c:numCache>
            </c:numRef>
          </c:val>
          <c:smooth val="0"/>
          <c:extLst>
            <c:ext xmlns:c16="http://schemas.microsoft.com/office/drawing/2014/chart" uri="{C3380CC4-5D6E-409C-BE32-E72D297353CC}">
              <c16:uniqueId val="{00000016-F52D-43AE-855E-3F0AD4D10BCA}"/>
            </c:ext>
          </c:extLst>
        </c:ser>
        <c:ser>
          <c:idx val="1"/>
          <c:order val="22"/>
          <c:tx>
            <c:strRef>
              <c:f>'BIFUbC-LPG-propane-or-butane'!$A$24</c:f>
              <c:strCache>
                <c:ptCount val="1"/>
                <c:pt idx="0">
                  <c:v>energy pipelines and gas processing 352T353</c:v>
                </c:pt>
              </c:strCache>
            </c:strRef>
          </c:tx>
          <c:spPr>
            <a:ln w="28575" cap="rnd">
              <a:solidFill>
                <a:schemeClr val="accent2"/>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'BIFUbC-LPG-propane-or-butane'!$B$24:$AF$24</c:f>
              <c:numCache>
                <c:formatCode>0.00E+00</c:formatCode>
                <c:ptCount val="31"/>
                <c:pt idx="0">
                  <c:v>3754639994066.9683</c:v>
                </c:pt>
                <c:pt idx="1">
                  <c:v>3863642470395.6367</c:v>
                </c:pt>
                <c:pt idx="2">
                  <c:v>3982766250853.1348</c:v>
                </c:pt>
                <c:pt idx="3">
                  <c:v>4088394959138.8555</c:v>
                </c:pt>
                <c:pt idx="4">
                  <c:v>4194023667424.5562</c:v>
                </c:pt>
                <c:pt idx="5">
                  <c:v>4299652375710.2837</c:v>
                </c:pt>
                <c:pt idx="6">
                  <c:v>4405281083995.9844</c:v>
                </c:pt>
                <c:pt idx="7">
                  <c:v>4510909792281.7119</c:v>
                </c:pt>
                <c:pt idx="8">
                  <c:v>4616538500567.4121</c:v>
                </c:pt>
                <c:pt idx="9">
                  <c:v>4722167208853.1396</c:v>
                </c:pt>
                <c:pt idx="10">
                  <c:v>4827795917138.8535</c:v>
                </c:pt>
                <c:pt idx="11">
                  <c:v>4915685882273.2803</c:v>
                </c:pt>
                <c:pt idx="12">
                  <c:v>5003575847407.7197</c:v>
                </c:pt>
                <c:pt idx="13">
                  <c:v>5091465812542.1592</c:v>
                </c:pt>
                <c:pt idx="14">
                  <c:v>5179355777676.5723</c:v>
                </c:pt>
                <c:pt idx="15">
                  <c:v>5267245742811.0117</c:v>
                </c:pt>
                <c:pt idx="16">
                  <c:v>5355135707945.4512</c:v>
                </c:pt>
                <c:pt idx="17">
                  <c:v>5443025673079.8643</c:v>
                </c:pt>
                <c:pt idx="18">
                  <c:v>5530915638214.3047</c:v>
                </c:pt>
                <c:pt idx="19">
                  <c:v>5618805603348.7178</c:v>
                </c:pt>
                <c:pt idx="20">
                  <c:v>5706695568483.1504</c:v>
                </c:pt>
                <c:pt idx="21">
                  <c:v>5746711103565.0615</c:v>
                </c:pt>
                <c:pt idx="22">
                  <c:v>5786726638646.9658</c:v>
                </c:pt>
                <c:pt idx="23">
                  <c:v>5826742173728.8701</c:v>
                </c:pt>
                <c:pt idx="24">
                  <c:v>5866757708810.7607</c:v>
                </c:pt>
                <c:pt idx="25">
                  <c:v>5906773243892.666</c:v>
                </c:pt>
                <c:pt idx="26">
                  <c:v>5946788778974.5713</c:v>
                </c:pt>
                <c:pt idx="27">
                  <c:v>5986804314056.4756</c:v>
                </c:pt>
                <c:pt idx="28">
                  <c:v>6026819849138.3809</c:v>
                </c:pt>
                <c:pt idx="29">
                  <c:v>6066835384220.2852</c:v>
                </c:pt>
                <c:pt idx="30">
                  <c:v>6106850919302.1797</c:v>
                </c:pt>
              </c:numCache>
            </c:numRef>
          </c:val>
          <c:smooth val="0"/>
          <c:extLst>
            <c:ext xmlns:c16="http://schemas.microsoft.com/office/drawing/2014/chart" uri="{C3380CC4-5D6E-409C-BE32-E72D297353CC}">
              <c16:uniqueId val="{00000017-F52D-43AE-855E-3F0AD4D10BCA}"/>
            </c:ext>
          </c:extLst>
        </c:ser>
        <c:ser>
          <c:idx val="2"/>
          <c:order val="23"/>
          <c:tx>
            <c:strRef>
              <c:f>'BIFUbC-LPG-propane-or-butane'!$A$25</c:f>
              <c:strCache>
                <c:ptCount val="1"/>
                <c:pt idx="0">
                  <c:v>water and waste 36T39</c:v>
                </c:pt>
              </c:strCache>
            </c:strRef>
          </c:tx>
          <c:spPr>
            <a:ln w="28575" cap="rnd">
              <a:solidFill>
                <a:schemeClr val="accent3"/>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'BIFUbC-LPG-propane-or-butane'!$B$25:$AF$25</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8-F52D-43AE-855E-3F0AD4D10BCA}"/>
            </c:ext>
          </c:extLst>
        </c:ser>
        <c:ser>
          <c:idx val="3"/>
          <c:order val="24"/>
          <c:tx>
            <c:strRef>
              <c:f>'BIFUbC-LPG-propane-or-butane'!$A$26</c:f>
              <c:strCache>
                <c:ptCount val="1"/>
                <c:pt idx="0">
                  <c:v>construction 41T43</c:v>
                </c:pt>
              </c:strCache>
            </c:strRef>
          </c:tx>
          <c:spPr>
            <a:ln w="28575" cap="rnd">
              <a:solidFill>
                <a:schemeClr val="accent4"/>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'BIFUbC-LPG-propane-or-butane'!$B$26:$AF$26</c:f>
              <c:numCache>
                <c:formatCode>0.00E+00</c:formatCode>
                <c:ptCount val="31"/>
                <c:pt idx="0">
                  <c:v>1202594949194.353</c:v>
                </c:pt>
                <c:pt idx="1">
                  <c:v>1229276096646.2336</c:v>
                </c:pt>
                <c:pt idx="2">
                  <c:v>1255957244098.1145</c:v>
                </c:pt>
                <c:pt idx="3">
                  <c:v>1282638391549.9951</c:v>
                </c:pt>
                <c:pt idx="4">
                  <c:v>1309319539001.8757</c:v>
                </c:pt>
                <c:pt idx="5">
                  <c:v>1336000686453.7563</c:v>
                </c:pt>
                <c:pt idx="6">
                  <c:v>1348330479696.8257</c:v>
                </c:pt>
                <c:pt idx="7">
                  <c:v>1360660272939.8911</c:v>
                </c:pt>
                <c:pt idx="8">
                  <c:v>1372990066182.9568</c:v>
                </c:pt>
                <c:pt idx="9">
                  <c:v>1385319859426.0222</c:v>
                </c:pt>
                <c:pt idx="10">
                  <c:v>1397649652669.0903</c:v>
                </c:pt>
                <c:pt idx="11">
                  <c:v>1406415685074.4565</c:v>
                </c:pt>
                <c:pt idx="12">
                  <c:v>1415181717479.8254</c:v>
                </c:pt>
                <c:pt idx="13">
                  <c:v>1423947749885.1941</c:v>
                </c:pt>
                <c:pt idx="14">
                  <c:v>1432713782290.563</c:v>
                </c:pt>
                <c:pt idx="15">
                  <c:v>1441479814695.9314</c:v>
                </c:pt>
                <c:pt idx="16">
                  <c:v>1448361559761.8315</c:v>
                </c:pt>
                <c:pt idx="17">
                  <c:v>1455243304827.7261</c:v>
                </c:pt>
                <c:pt idx="18">
                  <c:v>1462125049893.623</c:v>
                </c:pt>
                <c:pt idx="19">
                  <c:v>1469006794959.52</c:v>
                </c:pt>
                <c:pt idx="20">
                  <c:v>1475888540025.4148</c:v>
                </c:pt>
                <c:pt idx="21">
                  <c:v>1485282668210.6082</c:v>
                </c:pt>
                <c:pt idx="22">
                  <c:v>1492963807905.3711</c:v>
                </c:pt>
                <c:pt idx="23">
                  <c:v>1500644947600.137</c:v>
                </c:pt>
                <c:pt idx="24">
                  <c:v>1508326087294.8999</c:v>
                </c:pt>
                <c:pt idx="25">
                  <c:v>1516007226989.6631</c:v>
                </c:pt>
                <c:pt idx="26">
                  <c:v>1523688366684.426</c:v>
                </c:pt>
                <c:pt idx="27">
                  <c:v>1531369506379.1919</c:v>
                </c:pt>
                <c:pt idx="28">
                  <c:v>1539050646073.9548</c:v>
                </c:pt>
                <c:pt idx="29">
                  <c:v>1546731785768.718</c:v>
                </c:pt>
                <c:pt idx="30">
                  <c:v>1554412925463.4836</c:v>
                </c:pt>
              </c:numCache>
            </c:numRef>
          </c:val>
          <c:smooth val="0"/>
          <c:extLst>
            <c:ext xmlns:c16="http://schemas.microsoft.com/office/drawing/2014/chart" uri="{C3380CC4-5D6E-409C-BE32-E72D297353CC}">
              <c16:uniqueId val="{00000019-F52D-43AE-855E-3F0AD4D10BCA}"/>
            </c:ext>
          </c:extLst>
        </c:ser>
        <c:dLbls>
          <c:showLegendKey val="0"/>
          <c:showVal val="0"/>
          <c:showCatName val="0"/>
          <c:showSerName val="0"/>
          <c:showPercent val="0"/>
          <c:showBubbleSize val="0"/>
        </c:dLbls>
        <c:smooth val="0"/>
        <c:axId val="1554324768"/>
        <c:axId val="1331715072"/>
        <c:extLst/>
      </c:lineChart>
      <c:catAx>
        <c:axId val="155432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15072"/>
        <c:crosses val="autoZero"/>
        <c:auto val="1"/>
        <c:lblAlgn val="ctr"/>
        <c:lblOffset val="100"/>
        <c:noMultiLvlLbl val="0"/>
      </c:catAx>
      <c:valAx>
        <c:axId val="133171507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32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12</xdr:col>
      <xdr:colOff>137160</xdr:colOff>
      <xdr:row>1</xdr:row>
      <xdr:rowOff>195284</xdr:rowOff>
    </xdr:from>
    <xdr:to>
      <xdr:col>22</xdr:col>
      <xdr:colOff>631507</xdr:colOff>
      <xdr:row>26</xdr:row>
      <xdr:rowOff>114300</xdr:rowOff>
    </xdr:to>
    <xdr:pic>
      <xdr:nvPicPr>
        <xdr:cNvPr id="2" name="그림 1">
          <a:extLst>
            <a:ext uri="{FF2B5EF4-FFF2-40B4-BE49-F238E27FC236}">
              <a16:creationId xmlns:a16="http://schemas.microsoft.com/office/drawing/2014/main" id="{982955D9-FC4F-4483-B9DF-329F3A4786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09360" y="576284"/>
          <a:ext cx="7574280" cy="39499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29</xdr:row>
      <xdr:rowOff>0</xdr:rowOff>
    </xdr:from>
    <xdr:to>
      <xdr:col>15</xdr:col>
      <xdr:colOff>776152</xdr:colOff>
      <xdr:row>61</xdr:row>
      <xdr:rowOff>14152</xdr:rowOff>
    </xdr:to>
    <xdr:graphicFrame macro="">
      <xdr:nvGraphicFramePr>
        <xdr:cNvPr id="2" name="차트 1">
          <a:extLst>
            <a:ext uri="{FF2B5EF4-FFF2-40B4-BE49-F238E27FC236}">
              <a16:creationId xmlns:a16="http://schemas.microsoft.com/office/drawing/2014/main" id="{753AA96C-8272-4F0D-B188-303287846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29</xdr:row>
      <xdr:rowOff>0</xdr:rowOff>
    </xdr:from>
    <xdr:to>
      <xdr:col>31</xdr:col>
      <xdr:colOff>772977</xdr:colOff>
      <xdr:row>61</xdr:row>
      <xdr:rowOff>10977</xdr:rowOff>
    </xdr:to>
    <xdr:graphicFrame macro="">
      <xdr:nvGraphicFramePr>
        <xdr:cNvPr id="3" name="차트 2">
          <a:extLst>
            <a:ext uri="{FF2B5EF4-FFF2-40B4-BE49-F238E27FC236}">
              <a16:creationId xmlns:a16="http://schemas.microsoft.com/office/drawing/2014/main" id="{D1C83683-491C-4F62-A4E4-53F732BD4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2700944</xdr:colOff>
      <xdr:row>36</xdr:row>
      <xdr:rowOff>157248</xdr:rowOff>
    </xdr:from>
    <xdr:to>
      <xdr:col>15</xdr:col>
      <xdr:colOff>374601</xdr:colOff>
      <xdr:row>68</xdr:row>
      <xdr:rowOff>171400</xdr:rowOff>
    </xdr:to>
    <xdr:graphicFrame macro="">
      <xdr:nvGraphicFramePr>
        <xdr:cNvPr id="2" name="차트 1">
          <a:extLst>
            <a:ext uri="{FF2B5EF4-FFF2-40B4-BE49-F238E27FC236}">
              <a16:creationId xmlns:a16="http://schemas.microsoft.com/office/drawing/2014/main" id="{D9DF36A0-22B4-41DE-81D7-5F7932177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198471</xdr:colOff>
      <xdr:row>31</xdr:row>
      <xdr:rowOff>158785</xdr:rowOff>
    </xdr:from>
    <xdr:to>
      <xdr:col>33</xdr:col>
      <xdr:colOff>337343</xdr:colOff>
      <xdr:row>69</xdr:row>
      <xdr:rowOff>19844</xdr:rowOff>
    </xdr:to>
    <xdr:graphicFrame macro="">
      <xdr:nvGraphicFramePr>
        <xdr:cNvPr id="3" name="차트 2">
          <a:extLst>
            <a:ext uri="{FF2B5EF4-FFF2-40B4-BE49-F238E27FC236}">
              <a16:creationId xmlns:a16="http://schemas.microsoft.com/office/drawing/2014/main" id="{CA0E826F-6A3B-CEA6-055A-3DA4A3B12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326570</xdr:colOff>
      <xdr:row>28</xdr:row>
      <xdr:rowOff>197757</xdr:rowOff>
    </xdr:from>
    <xdr:to>
      <xdr:col>32</xdr:col>
      <xdr:colOff>36285</xdr:colOff>
      <xdr:row>71</xdr:row>
      <xdr:rowOff>127000</xdr:rowOff>
    </xdr:to>
    <xdr:graphicFrame macro="">
      <xdr:nvGraphicFramePr>
        <xdr:cNvPr id="2" name="차트 1">
          <a:extLst>
            <a:ext uri="{FF2B5EF4-FFF2-40B4-BE49-F238E27FC236}">
              <a16:creationId xmlns:a16="http://schemas.microsoft.com/office/drawing/2014/main" id="{03E4606E-9003-DC12-BFA1-A1F3D71F9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29</xdr:row>
      <xdr:rowOff>0</xdr:rowOff>
    </xdr:from>
    <xdr:to>
      <xdr:col>15</xdr:col>
      <xdr:colOff>776152</xdr:colOff>
      <xdr:row>61</xdr:row>
      <xdr:rowOff>14152</xdr:rowOff>
    </xdr:to>
    <xdr:graphicFrame macro="">
      <xdr:nvGraphicFramePr>
        <xdr:cNvPr id="2" name="차트 1">
          <a:extLst>
            <a:ext uri="{FF2B5EF4-FFF2-40B4-BE49-F238E27FC236}">
              <a16:creationId xmlns:a16="http://schemas.microsoft.com/office/drawing/2014/main" id="{3B7D40BB-234A-4DA4-9934-30EA6AB0B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2700944</xdr:colOff>
      <xdr:row>36</xdr:row>
      <xdr:rowOff>157248</xdr:rowOff>
    </xdr:from>
    <xdr:to>
      <xdr:col>15</xdr:col>
      <xdr:colOff>374601</xdr:colOff>
      <xdr:row>68</xdr:row>
      <xdr:rowOff>171400</xdr:rowOff>
    </xdr:to>
    <xdr:graphicFrame macro="">
      <xdr:nvGraphicFramePr>
        <xdr:cNvPr id="2" name="차트 1">
          <a:extLst>
            <a:ext uri="{FF2B5EF4-FFF2-40B4-BE49-F238E27FC236}">
              <a16:creationId xmlns:a16="http://schemas.microsoft.com/office/drawing/2014/main" id="{EC6B96FD-C4C3-435B-81B9-AD3034673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28</xdr:row>
      <xdr:rowOff>0</xdr:rowOff>
    </xdr:from>
    <xdr:to>
      <xdr:col>19</xdr:col>
      <xdr:colOff>669472</xdr:colOff>
      <xdr:row>60</xdr:row>
      <xdr:rowOff>14152</xdr:rowOff>
    </xdr:to>
    <xdr:graphicFrame macro="">
      <xdr:nvGraphicFramePr>
        <xdr:cNvPr id="2" name="차트 1">
          <a:extLst>
            <a:ext uri="{FF2B5EF4-FFF2-40B4-BE49-F238E27FC236}">
              <a16:creationId xmlns:a16="http://schemas.microsoft.com/office/drawing/2014/main" id="{F9603BA7-2C8C-4486-A76D-741AC1DCD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122355</xdr:colOff>
      <xdr:row>28</xdr:row>
      <xdr:rowOff>122971</xdr:rowOff>
    </xdr:from>
    <xdr:to>
      <xdr:col>31</xdr:col>
      <xdr:colOff>635000</xdr:colOff>
      <xdr:row>71</xdr:row>
      <xdr:rowOff>108414</xdr:rowOff>
    </xdr:to>
    <xdr:graphicFrame macro="">
      <xdr:nvGraphicFramePr>
        <xdr:cNvPr id="2" name="차트 1">
          <a:extLst>
            <a:ext uri="{FF2B5EF4-FFF2-40B4-BE49-F238E27FC236}">
              <a16:creationId xmlns:a16="http://schemas.microsoft.com/office/drawing/2014/main" id="{E83BAAE2-B5DE-55C5-EF56-353E8AEF3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27</xdr:row>
      <xdr:rowOff>0</xdr:rowOff>
    </xdr:from>
    <xdr:to>
      <xdr:col>16</xdr:col>
      <xdr:colOff>578032</xdr:colOff>
      <xdr:row>59</xdr:row>
      <xdr:rowOff>14152</xdr:rowOff>
    </xdr:to>
    <xdr:graphicFrame macro="">
      <xdr:nvGraphicFramePr>
        <xdr:cNvPr id="2" name="차트 1">
          <a:extLst>
            <a:ext uri="{FF2B5EF4-FFF2-40B4-BE49-F238E27FC236}">
              <a16:creationId xmlns:a16="http://schemas.microsoft.com/office/drawing/2014/main" id="{94ABACD2-ACF1-4E4A-9174-17C2EF3C0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27</xdr:row>
      <xdr:rowOff>0</xdr:rowOff>
    </xdr:from>
    <xdr:to>
      <xdr:col>13</xdr:col>
      <xdr:colOff>913312</xdr:colOff>
      <xdr:row>59</xdr:row>
      <xdr:rowOff>14152</xdr:rowOff>
    </xdr:to>
    <xdr:graphicFrame macro="">
      <xdr:nvGraphicFramePr>
        <xdr:cNvPr id="2" name="차트 1">
          <a:extLst>
            <a:ext uri="{FF2B5EF4-FFF2-40B4-BE49-F238E27FC236}">
              <a16:creationId xmlns:a16="http://schemas.microsoft.com/office/drawing/2014/main" id="{C359E138-D83C-4D34-ACF3-4894A3E34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row r="63">
          <cell r="A63">
            <v>42</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kosis.kr/statHtml/statHtml.do?orgId=337&amp;tblId=DT_337_2019_H1017&amp;vw_cd=MT_ZTITLE&amp;list_id=337_33703_002&amp;seqNo=&amp;lang_mode=ko&amp;language=kor&amp;obj_var_id=&amp;itm_id=&amp;conn_path=MT_ZTITLE" TargetMode="External"/><Relationship Id="rId3" Type="http://schemas.openxmlformats.org/officeDocument/2006/relationships/hyperlink" Target="http://www.kesis.net/crosseditor/binary/files/000003/20200408125915600_6PUNL17L.xlsb" TargetMode="External"/><Relationship Id="rId7" Type="http://schemas.openxmlformats.org/officeDocument/2006/relationships/hyperlink" Target="https://www.kesis.net/FileDownloadAction.do?file=/admin/admin_RegList.jsp/20241231/290581735604309791_01.xlsx&amp;oldFile=BAL_EXTEND_(1990-2022).xlsx" TargetMode="External"/><Relationship Id="rId2" Type="http://schemas.openxmlformats.org/officeDocument/2006/relationships/hyperlink" Target="https://kosis.kr/statHtml/statHtml.do?orgId=337&amp;tblId=DT_337_2019_H1017&amp;vw_cd=MT_ZTITLE&amp;list_id=337_33703_002&amp;seqNo=&amp;lang_mode=ko&amp;language=kor&amp;obj_var_id=&amp;itm_id=&amp;conn_path=MT_ZTITLE" TargetMode="External"/><Relationship Id="rId1" Type="http://schemas.openxmlformats.org/officeDocument/2006/relationships/hyperlink" Target="http://www.kesis.net/FileDownloadAction.do?file=/admin/admin_RegList.jsp/20210706/976071625505008233_01.xlsx&amp;oldFile=BAL_EXTEND_(1990~2019).xlsx" TargetMode="External"/><Relationship Id="rId6" Type="http://schemas.openxmlformats.org/officeDocument/2006/relationships/hyperlink" Target="https://www.kesis.net/crosseditor/binary/files/000005/2023_%EC%9E%A5%EA%B8%B0%EC%97%90%EB%84%88%EC%A7%80%EC%A0%84%EB%A7%9D_%EA%B8%B0%EC%A4%80_%EC%8B%9C%EB%82%98%EB%A6%AC%EC%98%A4_(REF).&#54000;&#45684;" TargetMode="External"/><Relationship Id="rId5" Type="http://schemas.openxmlformats.org/officeDocument/2006/relationships/hyperlink" Target="https://www.kesis.net/sub/sub_0001_01.jsp" TargetMode="External"/><Relationship Id="rId10" Type="http://schemas.openxmlformats.org/officeDocument/2006/relationships/printerSettings" Target="../printerSettings/printerSettings1.bin"/><Relationship Id="rId4" Type="http://schemas.openxmlformats.org/officeDocument/2006/relationships/hyperlink" Target="https://www.iea.org/data-and-statistics/data-tables?country=KOREA&amp;energy=Balances&amp;year=2019" TargetMode="External"/><Relationship Id="rId9" Type="http://schemas.openxmlformats.org/officeDocument/2006/relationships/hyperlink" Target="https://kosis.kr/statHtml/statHtml.do?orgId=339&amp;tblId=DT_F_M180&amp;vw_cd=MT_ZTITLE&amp;list_id=339_33901_03&amp;seqNo=&amp;lang_mode=ko&amp;language=kor&amp;obj_var_id=&amp;itm_id=&amp;conn_path=MT_ZTITL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3"/>
  <sheetViews>
    <sheetView zoomScale="83" zoomScaleNormal="100" workbookViewId="0">
      <selection activeCell="C11" sqref="C11"/>
    </sheetView>
  </sheetViews>
  <sheetFormatPr defaultColWidth="8.875" defaultRowHeight="16.5"/>
  <cols>
    <col min="2" max="2" width="43" customWidth="1"/>
    <col min="3" max="3" width="39.625" bestFit="1" customWidth="1"/>
    <col min="4" max="4" width="41.125" bestFit="1" customWidth="1"/>
    <col min="5" max="5" width="60.375" customWidth="1"/>
    <col min="6" max="6" width="61.5" bestFit="1" customWidth="1"/>
  </cols>
  <sheetData>
    <row r="1" spans="1:4">
      <c r="A1" s="1" t="s">
        <v>1</v>
      </c>
    </row>
    <row r="3" spans="1:4">
      <c r="A3" s="1" t="s">
        <v>0</v>
      </c>
      <c r="B3" s="3" t="s">
        <v>413</v>
      </c>
    </row>
    <row r="4" spans="1:4">
      <c r="B4" t="s">
        <v>686</v>
      </c>
    </row>
    <row r="5" spans="1:4">
      <c r="B5" s="2">
        <v>2019</v>
      </c>
    </row>
    <row r="6" spans="1:4">
      <c r="B6" t="s">
        <v>687</v>
      </c>
    </row>
    <row r="7" spans="1:4">
      <c r="B7" s="92" t="s">
        <v>685</v>
      </c>
    </row>
    <row r="8" spans="1:4">
      <c r="B8" s="2">
        <v>2023</v>
      </c>
    </row>
    <row r="9" spans="1:4">
      <c r="B9" t="s">
        <v>687</v>
      </c>
    </row>
    <row r="10" spans="1:4">
      <c r="B10" s="92" t="s">
        <v>816</v>
      </c>
      <c r="C10" s="92" t="s">
        <v>815</v>
      </c>
    </row>
    <row r="12" spans="1:4">
      <c r="B12" s="3" t="s">
        <v>605</v>
      </c>
    </row>
    <row r="13" spans="1:4">
      <c r="B13" t="s">
        <v>686</v>
      </c>
      <c r="D13" s="23"/>
    </row>
    <row r="14" spans="1:4">
      <c r="B14" s="2">
        <v>2021</v>
      </c>
      <c r="D14" s="23"/>
    </row>
    <row r="15" spans="1:4">
      <c r="B15" t="s">
        <v>688</v>
      </c>
      <c r="D15" s="22"/>
    </row>
    <row r="16" spans="1:4">
      <c r="B16" s="92" t="s">
        <v>412</v>
      </c>
      <c r="D16" s="23"/>
    </row>
    <row r="17" spans="2:4">
      <c r="B17" s="2">
        <v>2023</v>
      </c>
      <c r="D17" s="23"/>
    </row>
    <row r="18" spans="2:4">
      <c r="B18" t="s">
        <v>688</v>
      </c>
      <c r="D18" s="23"/>
    </row>
    <row r="19" spans="2:4">
      <c r="B19" s="92" t="s">
        <v>817</v>
      </c>
      <c r="D19" s="22"/>
    </row>
    <row r="20" spans="2:4">
      <c r="B20" s="92"/>
      <c r="D20" s="22"/>
    </row>
    <row r="21" spans="2:4">
      <c r="B21" t="s">
        <v>689</v>
      </c>
      <c r="D21" s="23"/>
    </row>
    <row r="22" spans="2:4">
      <c r="B22" s="2">
        <v>2021</v>
      </c>
      <c r="D22" s="23"/>
    </row>
    <row r="23" spans="2:4">
      <c r="B23" t="s">
        <v>690</v>
      </c>
      <c r="D23" s="22"/>
    </row>
    <row r="24" spans="2:4">
      <c r="B24" s="92" t="s">
        <v>631</v>
      </c>
      <c r="D24" s="23"/>
    </row>
    <row r="25" spans="2:4">
      <c r="B25" s="2">
        <v>2022</v>
      </c>
      <c r="D25" s="23"/>
    </row>
    <row r="26" spans="2:4">
      <c r="B26" t="s">
        <v>690</v>
      </c>
      <c r="D26" s="23"/>
    </row>
    <row r="27" spans="2:4">
      <c r="B27" s="92" t="s">
        <v>631</v>
      </c>
      <c r="D27" s="23"/>
    </row>
    <row r="28" spans="2:4">
      <c r="D28" s="22"/>
    </row>
    <row r="29" spans="2:4">
      <c r="B29" t="s">
        <v>689</v>
      </c>
    </row>
    <row r="30" spans="2:4">
      <c r="B30" s="2">
        <v>2021</v>
      </c>
    </row>
    <row r="31" spans="2:4">
      <c r="B31" t="s">
        <v>788</v>
      </c>
    </row>
    <row r="32" spans="2:4">
      <c r="B32" s="92" t="s">
        <v>818</v>
      </c>
    </row>
    <row r="33" spans="2:2">
      <c r="B33" s="2">
        <v>2024</v>
      </c>
    </row>
    <row r="34" spans="2:2">
      <c r="B34" t="s">
        <v>788</v>
      </c>
    </row>
    <row r="35" spans="2:2">
      <c r="B35" s="92" t="s">
        <v>819</v>
      </c>
    </row>
    <row r="36" spans="2:2">
      <c r="B36" s="92"/>
    </row>
    <row r="37" spans="2:2">
      <c r="B37" s="92"/>
    </row>
    <row r="39" spans="2:2">
      <c r="B39" s="3" t="s">
        <v>808</v>
      </c>
    </row>
    <row r="40" spans="2:2">
      <c r="B40" t="s">
        <v>809</v>
      </c>
    </row>
    <row r="41" spans="2:2">
      <c r="B41" s="2">
        <v>2022</v>
      </c>
    </row>
    <row r="42" spans="2:2">
      <c r="B42" t="s">
        <v>810</v>
      </c>
    </row>
    <row r="43" spans="2:2">
      <c r="B43" s="92" t="s">
        <v>820</v>
      </c>
    </row>
    <row r="44" spans="2:2">
      <c r="B44" s="92"/>
    </row>
    <row r="45" spans="2:2">
      <c r="B45" s="92"/>
    </row>
    <row r="46" spans="2:2">
      <c r="B46" s="92"/>
    </row>
    <row r="48" spans="2:2">
      <c r="B48" s="1" t="s">
        <v>691</v>
      </c>
    </row>
    <row r="49" spans="2:21">
      <c r="B49" s="249" t="s">
        <v>414</v>
      </c>
      <c r="C49" s="249" t="s">
        <v>738</v>
      </c>
      <c r="D49" s="249" t="s">
        <v>576</v>
      </c>
      <c r="E49" s="249" t="s">
        <v>577</v>
      </c>
      <c r="F49" s="249" t="s">
        <v>620</v>
      </c>
    </row>
    <row r="50" spans="2:21">
      <c r="B50" s="250" t="s">
        <v>2</v>
      </c>
      <c r="C50" s="251" t="s">
        <v>717</v>
      </c>
      <c r="D50" s="252" t="s">
        <v>709</v>
      </c>
      <c r="E50" s="255"/>
      <c r="F50" s="253"/>
    </row>
    <row r="51" spans="2:21">
      <c r="B51" s="250" t="s">
        <v>3</v>
      </c>
      <c r="C51" s="252" t="s">
        <v>693</v>
      </c>
      <c r="D51" s="251" t="s">
        <v>710</v>
      </c>
      <c r="E51" s="308"/>
      <c r="F51" s="252" t="s">
        <v>731</v>
      </c>
    </row>
    <row r="52" spans="2:21">
      <c r="B52" s="250" t="s">
        <v>4</v>
      </c>
      <c r="C52" s="252" t="s">
        <v>693</v>
      </c>
      <c r="D52" s="252" t="s">
        <v>711</v>
      </c>
      <c r="E52" s="255"/>
      <c r="F52" s="259"/>
      <c r="T52" s="202"/>
      <c r="U52" s="202"/>
    </row>
    <row r="53" spans="2:21">
      <c r="B53" s="250" t="s">
        <v>5</v>
      </c>
      <c r="C53" s="251" t="s">
        <v>717</v>
      </c>
      <c r="D53" s="252" t="s">
        <v>712</v>
      </c>
      <c r="E53" s="255"/>
      <c r="F53" s="253"/>
    </row>
    <row r="54" spans="2:21">
      <c r="B54" s="250" t="s">
        <v>6</v>
      </c>
      <c r="C54" s="251" t="s">
        <v>717</v>
      </c>
      <c r="D54" s="252" t="s">
        <v>713</v>
      </c>
      <c r="E54" s="255"/>
      <c r="F54" s="253"/>
    </row>
    <row r="55" spans="2:21">
      <c r="B55" s="250" t="s">
        <v>7</v>
      </c>
      <c r="C55" s="251" t="s">
        <v>717</v>
      </c>
      <c r="D55" s="252" t="s">
        <v>714</v>
      </c>
      <c r="E55" s="255"/>
      <c r="F55" s="254"/>
    </row>
    <row r="56" spans="2:21">
      <c r="B56" s="250" t="s">
        <v>8</v>
      </c>
      <c r="C56" s="251" t="s">
        <v>717</v>
      </c>
      <c r="D56" s="252" t="s">
        <v>739</v>
      </c>
      <c r="E56" s="255"/>
      <c r="F56" s="254"/>
    </row>
    <row r="57" spans="2:21">
      <c r="B57" s="250" t="s">
        <v>9</v>
      </c>
      <c r="C57" s="251" t="s">
        <v>717</v>
      </c>
      <c r="D57" s="252" t="s">
        <v>740</v>
      </c>
      <c r="E57" s="255"/>
      <c r="F57" s="254"/>
    </row>
    <row r="58" spans="2:21" ht="49.5">
      <c r="B58" s="250" t="s">
        <v>10</v>
      </c>
      <c r="C58" s="252" t="s">
        <v>693</v>
      </c>
      <c r="D58" s="255" t="s">
        <v>715</v>
      </c>
      <c r="E58" s="255"/>
      <c r="F58" s="252" t="s">
        <v>730</v>
      </c>
    </row>
    <row r="59" spans="2:21" ht="99">
      <c r="B59" s="250" t="s">
        <v>11</v>
      </c>
      <c r="C59" s="252" t="s">
        <v>694</v>
      </c>
      <c r="D59" s="252" t="s">
        <v>704</v>
      </c>
      <c r="E59" s="255" t="s">
        <v>716</v>
      </c>
      <c r="F59" s="254"/>
    </row>
    <row r="60" spans="2:21" ht="33">
      <c r="B60" s="250" t="s">
        <v>12</v>
      </c>
      <c r="C60" s="252" t="s">
        <v>694</v>
      </c>
      <c r="D60" s="252" t="s">
        <v>704</v>
      </c>
      <c r="E60" s="255" t="s">
        <v>718</v>
      </c>
      <c r="F60" s="254"/>
    </row>
    <row r="61" spans="2:21">
      <c r="B61" s="250" t="s">
        <v>13</v>
      </c>
      <c r="C61" s="251" t="s">
        <v>717</v>
      </c>
      <c r="D61" s="252" t="s">
        <v>702</v>
      </c>
      <c r="E61" s="255" t="s">
        <v>719</v>
      </c>
      <c r="F61" s="254"/>
    </row>
    <row r="62" spans="2:21" ht="66">
      <c r="B62" s="250" t="s">
        <v>14</v>
      </c>
      <c r="C62" s="251" t="s">
        <v>717</v>
      </c>
      <c r="D62" s="252" t="s">
        <v>702</v>
      </c>
      <c r="E62" s="255" t="s">
        <v>720</v>
      </c>
      <c r="F62" s="254"/>
    </row>
    <row r="63" spans="2:21">
      <c r="B63" s="250" t="s">
        <v>15</v>
      </c>
      <c r="C63" s="252" t="s">
        <v>695</v>
      </c>
      <c r="D63" s="252" t="s">
        <v>696</v>
      </c>
      <c r="E63" s="255"/>
      <c r="F63" s="254"/>
    </row>
    <row r="64" spans="2:21">
      <c r="B64" s="250" t="s">
        <v>16</v>
      </c>
      <c r="C64" s="252" t="s">
        <v>697</v>
      </c>
      <c r="D64" s="252" t="s">
        <v>698</v>
      </c>
      <c r="E64" s="255" t="s">
        <v>721</v>
      </c>
      <c r="F64" s="254"/>
    </row>
    <row r="65" spans="2:6" ht="49.5">
      <c r="B65" s="250" t="s">
        <v>17</v>
      </c>
      <c r="C65" s="252" t="s">
        <v>697</v>
      </c>
      <c r="D65" s="252" t="s">
        <v>698</v>
      </c>
      <c r="E65" s="255" t="s">
        <v>722</v>
      </c>
      <c r="F65" s="254"/>
    </row>
    <row r="66" spans="2:6" ht="82.5">
      <c r="B66" s="250" t="s">
        <v>18</v>
      </c>
      <c r="C66" s="252" t="s">
        <v>699</v>
      </c>
      <c r="D66" s="252" t="s">
        <v>703</v>
      </c>
      <c r="E66" s="255" t="s">
        <v>723</v>
      </c>
      <c r="F66" s="254"/>
    </row>
    <row r="67" spans="2:6" ht="82.5">
      <c r="B67" s="250" t="s">
        <v>19</v>
      </c>
      <c r="C67" s="252" t="s">
        <v>699</v>
      </c>
      <c r="D67" s="252" t="s">
        <v>703</v>
      </c>
      <c r="E67" s="255" t="s">
        <v>724</v>
      </c>
      <c r="F67" s="253"/>
    </row>
    <row r="68" spans="2:6" ht="99">
      <c r="B68" s="250" t="s">
        <v>20</v>
      </c>
      <c r="C68" s="252" t="s">
        <v>699</v>
      </c>
      <c r="D68" s="252" t="s">
        <v>703</v>
      </c>
      <c r="E68" s="255" t="s">
        <v>725</v>
      </c>
      <c r="F68" s="253"/>
    </row>
    <row r="69" spans="2:6" ht="66">
      <c r="B69" s="250" t="s">
        <v>21</v>
      </c>
      <c r="C69" s="252" t="s">
        <v>699</v>
      </c>
      <c r="D69" s="252" t="s">
        <v>705</v>
      </c>
      <c r="E69" s="274" t="s">
        <v>726</v>
      </c>
      <c r="F69" s="253"/>
    </row>
    <row r="70" spans="2:6" ht="66">
      <c r="B70" s="250" t="s">
        <v>22</v>
      </c>
      <c r="C70" s="252" t="s">
        <v>699</v>
      </c>
      <c r="D70" s="252" t="s">
        <v>705</v>
      </c>
      <c r="E70" s="255" t="s">
        <v>727</v>
      </c>
      <c r="F70" s="253"/>
    </row>
    <row r="71" spans="2:6">
      <c r="B71" s="250" t="s">
        <v>23</v>
      </c>
      <c r="C71" s="251" t="s">
        <v>717</v>
      </c>
      <c r="D71" s="252" t="s">
        <v>706</v>
      </c>
      <c r="E71" s="255"/>
      <c r="F71" s="253"/>
    </row>
    <row r="72" spans="2:6" ht="49.5">
      <c r="B72" s="250" t="s">
        <v>24</v>
      </c>
      <c r="C72" s="252" t="s">
        <v>693</v>
      </c>
      <c r="D72" s="255" t="s">
        <v>707</v>
      </c>
      <c r="E72" s="255"/>
      <c r="F72" s="252" t="s">
        <v>732</v>
      </c>
    </row>
    <row r="73" spans="2:6">
      <c r="B73" s="250" t="s">
        <v>25</v>
      </c>
      <c r="C73" s="252" t="s">
        <v>700</v>
      </c>
      <c r="D73" s="252" t="s">
        <v>701</v>
      </c>
      <c r="E73" s="255"/>
      <c r="F73" s="252" t="s">
        <v>733</v>
      </c>
    </row>
    <row r="74" spans="2:6">
      <c r="B74" s="250" t="s">
        <v>26</v>
      </c>
      <c r="C74" s="251" t="s">
        <v>717</v>
      </c>
      <c r="D74" s="252" t="s">
        <v>708</v>
      </c>
      <c r="E74" s="255"/>
      <c r="F74" s="253"/>
    </row>
    <row r="76" spans="2:6">
      <c r="B76" s="1" t="s">
        <v>607</v>
      </c>
    </row>
    <row r="77" spans="2:6">
      <c r="B77" s="249" t="s">
        <v>608</v>
      </c>
      <c r="C77" s="249" t="s">
        <v>575</v>
      </c>
      <c r="D77" s="249" t="s">
        <v>620</v>
      </c>
      <c r="E77" s="249" t="s">
        <v>619</v>
      </c>
    </row>
    <row r="78" spans="2:6">
      <c r="B78" s="250" t="s">
        <v>609</v>
      </c>
      <c r="C78" s="250" t="s">
        <v>609</v>
      </c>
      <c r="D78" s="252"/>
      <c r="E78" s="252"/>
    </row>
    <row r="79" spans="2:6">
      <c r="B79" s="250" t="s">
        <v>610</v>
      </c>
      <c r="C79" s="250" t="s">
        <v>610</v>
      </c>
      <c r="D79" s="252"/>
      <c r="E79" s="252"/>
    </row>
    <row r="80" spans="2:6">
      <c r="B80" s="250" t="s">
        <v>611</v>
      </c>
      <c r="C80" s="250" t="s">
        <v>611</v>
      </c>
      <c r="D80" s="252"/>
      <c r="E80" s="252"/>
    </row>
    <row r="81" spans="2:6">
      <c r="B81" s="250" t="s">
        <v>612</v>
      </c>
      <c r="C81" s="251" t="s">
        <v>728</v>
      </c>
      <c r="D81" s="252"/>
      <c r="E81" s="252" t="s">
        <v>734</v>
      </c>
    </row>
    <row r="82" spans="2:6">
      <c r="B82" s="250" t="s">
        <v>617</v>
      </c>
      <c r="C82" s="251" t="s">
        <v>693</v>
      </c>
      <c r="D82" s="252"/>
      <c r="E82" s="252" t="s">
        <v>735</v>
      </c>
    </row>
    <row r="83" spans="2:6">
      <c r="B83" s="250" t="s">
        <v>616</v>
      </c>
      <c r="C83" s="251" t="s">
        <v>729</v>
      </c>
      <c r="D83" s="252" t="s">
        <v>737</v>
      </c>
      <c r="E83" s="252"/>
    </row>
    <row r="84" spans="2:6">
      <c r="B84" s="250" t="s">
        <v>613</v>
      </c>
      <c r="C84" s="251" t="s">
        <v>729</v>
      </c>
      <c r="D84" s="489" t="s">
        <v>736</v>
      </c>
      <c r="E84" s="252"/>
    </row>
    <row r="85" spans="2:6">
      <c r="B85" s="250" t="s">
        <v>618</v>
      </c>
      <c r="C85" s="251" t="s">
        <v>729</v>
      </c>
      <c r="D85" s="490"/>
      <c r="E85" s="252"/>
    </row>
    <row r="86" spans="2:6">
      <c r="B86" s="250" t="s">
        <v>614</v>
      </c>
      <c r="C86" s="251" t="s">
        <v>729</v>
      </c>
      <c r="D86" s="491"/>
      <c r="E86" s="252"/>
    </row>
    <row r="87" spans="2:6">
      <c r="B87" s="250" t="s">
        <v>615</v>
      </c>
      <c r="C87" s="251" t="s">
        <v>693</v>
      </c>
      <c r="D87" s="252"/>
      <c r="E87" s="252"/>
    </row>
    <row r="88" spans="2:6">
      <c r="D88" s="23"/>
    </row>
    <row r="89" spans="2:6">
      <c r="B89" s="257" t="s">
        <v>606</v>
      </c>
      <c r="C89" s="258">
        <f>39656668.31*(10^6)</f>
        <v>39656668310000</v>
      </c>
      <c r="D89" s="256" t="s">
        <v>29</v>
      </c>
    </row>
    <row r="90" spans="2:6">
      <c r="B90" s="353"/>
      <c r="C90" s="169"/>
    </row>
    <row r="92" spans="2:6">
      <c r="B92" s="1" t="s">
        <v>692</v>
      </c>
    </row>
    <row r="93" spans="2:6">
      <c r="B93" s="249" t="s">
        <v>414</v>
      </c>
      <c r="C93" s="249" t="s">
        <v>575</v>
      </c>
      <c r="D93" s="249" t="s">
        <v>576</v>
      </c>
      <c r="E93" s="249" t="s">
        <v>577</v>
      </c>
      <c r="F93" s="249" t="s">
        <v>620</v>
      </c>
    </row>
    <row r="94" spans="2:6">
      <c r="B94" s="250" t="s">
        <v>2</v>
      </c>
      <c r="C94" s="251" t="s">
        <v>579</v>
      </c>
      <c r="D94" s="252" t="s">
        <v>581</v>
      </c>
      <c r="E94" s="255"/>
      <c r="F94" s="253"/>
    </row>
    <row r="95" spans="2:6">
      <c r="B95" s="250" t="s">
        <v>3</v>
      </c>
      <c r="C95" s="252" t="s">
        <v>578</v>
      </c>
      <c r="D95" s="251" t="s">
        <v>580</v>
      </c>
      <c r="E95" s="308"/>
      <c r="F95" s="252" t="s">
        <v>621</v>
      </c>
    </row>
    <row r="96" spans="2:6">
      <c r="B96" s="250" t="s">
        <v>4</v>
      </c>
      <c r="C96" s="252" t="s">
        <v>578</v>
      </c>
      <c r="D96" s="252" t="s">
        <v>599</v>
      </c>
      <c r="E96" s="255"/>
      <c r="F96" s="259"/>
    </row>
    <row r="97" spans="2:6">
      <c r="B97" s="250" t="s">
        <v>5</v>
      </c>
      <c r="C97" s="251" t="s">
        <v>579</v>
      </c>
      <c r="D97" s="252" t="s">
        <v>582</v>
      </c>
      <c r="E97" s="255"/>
      <c r="F97" s="253"/>
    </row>
    <row r="98" spans="2:6">
      <c r="B98" s="250" t="s">
        <v>6</v>
      </c>
      <c r="C98" s="251" t="s">
        <v>579</v>
      </c>
      <c r="D98" s="252" t="s">
        <v>583</v>
      </c>
      <c r="E98" s="255"/>
      <c r="F98" s="253"/>
    </row>
    <row r="99" spans="2:6">
      <c r="B99" s="250" t="s">
        <v>7</v>
      </c>
      <c r="C99" s="251" t="s">
        <v>579</v>
      </c>
      <c r="D99" s="252" t="s">
        <v>584</v>
      </c>
      <c r="E99" s="255"/>
      <c r="F99" s="254"/>
    </row>
    <row r="100" spans="2:6">
      <c r="B100" s="250" t="s">
        <v>8</v>
      </c>
      <c r="C100" s="251" t="s">
        <v>579</v>
      </c>
      <c r="D100" s="252" t="s">
        <v>585</v>
      </c>
      <c r="E100" s="255"/>
      <c r="F100" s="254"/>
    </row>
    <row r="101" spans="2:6">
      <c r="B101" s="250" t="s">
        <v>9</v>
      </c>
      <c r="C101" s="251" t="s">
        <v>579</v>
      </c>
      <c r="D101" s="252" t="s">
        <v>586</v>
      </c>
      <c r="E101" s="255"/>
      <c r="F101" s="254"/>
    </row>
    <row r="102" spans="2:6" ht="33">
      <c r="B102" s="250" t="s">
        <v>10</v>
      </c>
      <c r="C102" s="252" t="s">
        <v>578</v>
      </c>
      <c r="D102" s="255" t="s">
        <v>596</v>
      </c>
      <c r="E102" s="255"/>
      <c r="F102" s="252" t="s">
        <v>622</v>
      </c>
    </row>
    <row r="103" spans="2:6" ht="49.5">
      <c r="B103" s="250" t="s">
        <v>11</v>
      </c>
      <c r="C103" s="252" t="s">
        <v>600</v>
      </c>
      <c r="D103" s="252" t="s">
        <v>587</v>
      </c>
      <c r="E103" s="255" t="s">
        <v>636</v>
      </c>
      <c r="F103" s="254"/>
    </row>
    <row r="104" spans="2:6">
      <c r="B104" s="250" t="s">
        <v>12</v>
      </c>
      <c r="C104" s="252" t="s">
        <v>600</v>
      </c>
      <c r="D104" s="252" t="s">
        <v>587</v>
      </c>
      <c r="E104" s="255" t="s">
        <v>635</v>
      </c>
      <c r="F104" s="254"/>
    </row>
    <row r="105" spans="2:6">
      <c r="B105" s="250" t="s">
        <v>13</v>
      </c>
      <c r="C105" s="251" t="s">
        <v>579</v>
      </c>
      <c r="D105" s="252" t="s">
        <v>588</v>
      </c>
      <c r="E105" s="255" t="s">
        <v>646</v>
      </c>
      <c r="F105" s="254"/>
    </row>
    <row r="106" spans="2:6" ht="33">
      <c r="B106" s="250" t="s">
        <v>14</v>
      </c>
      <c r="C106" s="251" t="s">
        <v>579</v>
      </c>
      <c r="D106" s="252" t="s">
        <v>588</v>
      </c>
      <c r="E106" s="255" t="s">
        <v>647</v>
      </c>
      <c r="F106" s="254"/>
    </row>
    <row r="107" spans="2:6">
      <c r="B107" s="250" t="s">
        <v>15</v>
      </c>
      <c r="C107" s="252" t="s">
        <v>604</v>
      </c>
      <c r="D107" s="252" t="s">
        <v>589</v>
      </c>
      <c r="E107" s="255"/>
      <c r="F107" s="254"/>
    </row>
    <row r="108" spans="2:6">
      <c r="B108" s="250" t="s">
        <v>16</v>
      </c>
      <c r="C108" s="252" t="s">
        <v>601</v>
      </c>
      <c r="D108" s="252" t="s">
        <v>590</v>
      </c>
      <c r="E108" s="255" t="s">
        <v>637</v>
      </c>
      <c r="F108" s="254"/>
    </row>
    <row r="109" spans="2:6" ht="33">
      <c r="B109" s="250" t="s">
        <v>17</v>
      </c>
      <c r="C109" s="252" t="s">
        <v>601</v>
      </c>
      <c r="D109" s="252" t="s">
        <v>590</v>
      </c>
      <c r="E109" s="255" t="s">
        <v>638</v>
      </c>
      <c r="F109" s="254"/>
    </row>
    <row r="110" spans="2:6" ht="33">
      <c r="B110" s="250" t="s">
        <v>18</v>
      </c>
      <c r="C110" s="252" t="s">
        <v>602</v>
      </c>
      <c r="D110" s="252" t="s">
        <v>591</v>
      </c>
      <c r="E110" s="255" t="s">
        <v>639</v>
      </c>
      <c r="F110" s="254"/>
    </row>
    <row r="111" spans="2:6" ht="49.5">
      <c r="B111" s="250" t="s">
        <v>19</v>
      </c>
      <c r="C111" s="252" t="s">
        <v>602</v>
      </c>
      <c r="D111" s="252" t="s">
        <v>591</v>
      </c>
      <c r="E111" s="255" t="s">
        <v>641</v>
      </c>
      <c r="F111" s="253"/>
    </row>
    <row r="112" spans="2:6" ht="49.5">
      <c r="B112" s="250" t="s">
        <v>20</v>
      </c>
      <c r="C112" s="252" t="s">
        <v>602</v>
      </c>
      <c r="D112" s="252" t="s">
        <v>591</v>
      </c>
      <c r="E112" s="255" t="s">
        <v>640</v>
      </c>
      <c r="F112" s="253"/>
    </row>
    <row r="113" spans="1:6" ht="33">
      <c r="B113" s="250" t="s">
        <v>21</v>
      </c>
      <c r="C113" s="252" t="s">
        <v>602</v>
      </c>
      <c r="D113" s="252" t="s">
        <v>592</v>
      </c>
      <c r="E113" s="274" t="s">
        <v>642</v>
      </c>
      <c r="F113" s="253"/>
    </row>
    <row r="114" spans="1:6" ht="33">
      <c r="B114" s="250" t="s">
        <v>22</v>
      </c>
      <c r="C114" s="252" t="s">
        <v>602</v>
      </c>
      <c r="D114" s="252" t="s">
        <v>592</v>
      </c>
      <c r="E114" s="255" t="s">
        <v>643</v>
      </c>
      <c r="F114" s="253"/>
    </row>
    <row r="115" spans="1:6">
      <c r="B115" s="250" t="s">
        <v>23</v>
      </c>
      <c r="C115" s="251" t="s">
        <v>579</v>
      </c>
      <c r="D115" s="252" t="s">
        <v>593</v>
      </c>
      <c r="E115" s="255"/>
      <c r="F115" s="253"/>
    </row>
    <row r="116" spans="1:6" ht="33">
      <c r="B116" s="250" t="s">
        <v>24</v>
      </c>
      <c r="C116" s="252" t="s">
        <v>578</v>
      </c>
      <c r="D116" s="255" t="s">
        <v>597</v>
      </c>
      <c r="E116" s="255"/>
      <c r="F116" s="252" t="s">
        <v>623</v>
      </c>
    </row>
    <row r="117" spans="1:6">
      <c r="B117" s="250" t="s">
        <v>25</v>
      </c>
      <c r="C117" s="252" t="s">
        <v>603</v>
      </c>
      <c r="D117" s="252" t="s">
        <v>595</v>
      </c>
      <c r="E117" s="255"/>
      <c r="F117" s="252" t="s">
        <v>684</v>
      </c>
    </row>
    <row r="118" spans="1:6">
      <c r="B118" s="250" t="s">
        <v>26</v>
      </c>
      <c r="C118" s="251" t="s">
        <v>579</v>
      </c>
      <c r="D118" s="252" t="s">
        <v>594</v>
      </c>
      <c r="E118" s="255"/>
      <c r="F118" s="253"/>
    </row>
    <row r="119" spans="1:6" ht="17.100000000000001" customHeight="1"/>
    <row r="120" spans="1:6">
      <c r="A120" s="1" t="s">
        <v>811</v>
      </c>
    </row>
    <row r="121" spans="1:6">
      <c r="A121" t="s">
        <v>812</v>
      </c>
    </row>
    <row r="122" spans="1:6">
      <c r="A122" t="s">
        <v>813</v>
      </c>
    </row>
    <row r="123" spans="1:6">
      <c r="A123" t="s">
        <v>814</v>
      </c>
    </row>
  </sheetData>
  <mergeCells count="1">
    <mergeCell ref="D84:D86"/>
  </mergeCells>
  <phoneticPr fontId="37" type="noConversion"/>
  <hyperlinks>
    <hyperlink ref="B16" r:id="rId1" xr:uid="{18408D58-FD73-49D0-9BE6-AA9D6826B505}"/>
    <hyperlink ref="B24" r:id="rId2" xr:uid="{717372BC-744E-4FB7-B54D-67E3B2DD82BA}"/>
    <hyperlink ref="B7" r:id="rId3" xr:uid="{8C7D9AA0-3A7F-4541-A99F-B53AD6054F4D}"/>
    <hyperlink ref="B43" r:id="rId4" display="https://www.iea.org/data-and-statistics/data-tables?country=KOREA&amp;energy=Balances&amp;year=2019" xr:uid="{8B797CED-EB87-4287-950E-2DC675CB863E}"/>
    <hyperlink ref="C10" r:id="rId5" xr:uid="{B9FC5424-1E7B-4F1D-A340-47482062B18C}"/>
    <hyperlink ref="B10" r:id="rId6" xr:uid="{C203D584-F473-47C8-A84E-48F0443BED69}"/>
    <hyperlink ref="B19" r:id="rId7" xr:uid="{9F8F6A8A-F842-478D-9422-3072A58CB803}"/>
    <hyperlink ref="B27" r:id="rId8" xr:uid="{63D07754-A995-4B0C-B2D3-255A0E532AC3}"/>
    <hyperlink ref="B32" r:id="rId9" xr:uid="{84A1DB2B-2FD5-43AE-8FBF-E7524910F699}"/>
  </hyperlinks>
  <pageMargins left="0.7" right="0.7" top="0.75" bottom="0.75" header="0.3" footer="0.3"/>
  <pageSetup orientation="portrait" horizontalDpi="1200" verticalDpi="1200" r:id="rId1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7B7C3-3765-471F-83BA-73EC17A3BF97}">
  <dimension ref="A1:L95"/>
  <sheetViews>
    <sheetView topLeftCell="D1" zoomScale="80" zoomScaleNormal="80" workbookViewId="0">
      <selection activeCell="E33" sqref="E33"/>
    </sheetView>
  </sheetViews>
  <sheetFormatPr defaultColWidth="9.125" defaultRowHeight="16.5"/>
  <cols>
    <col min="1" max="3" width="9.625" style="260" customWidth="1"/>
    <col min="4" max="4" width="9.625" style="260" customWidth="1" collapsed="1"/>
    <col min="5" max="9" width="9.625" style="260" customWidth="1"/>
    <col min="10" max="10" width="9.625" style="261" customWidth="1"/>
    <col min="11" max="15" width="9.625" style="260" customWidth="1"/>
    <col min="16" max="16384" width="9.125" style="260"/>
  </cols>
  <sheetData>
    <row r="1" spans="1:12" ht="30" customHeight="1">
      <c r="A1" s="497" t="s">
        <v>118</v>
      </c>
      <c r="B1" s="497"/>
      <c r="C1" s="497"/>
      <c r="D1" s="497"/>
      <c r="E1" s="497"/>
      <c r="F1" s="497"/>
      <c r="G1" s="497"/>
      <c r="H1" s="497"/>
      <c r="I1" s="497"/>
      <c r="J1" s="497"/>
      <c r="K1" s="497"/>
      <c r="L1" s="497"/>
    </row>
    <row r="2" spans="1:12">
      <c r="A2" s="498" t="s">
        <v>50</v>
      </c>
      <c r="B2" s="498"/>
      <c r="C2" s="498"/>
      <c r="D2" s="498"/>
      <c r="E2" s="498"/>
      <c r="F2" s="498"/>
      <c r="G2" s="498"/>
      <c r="H2" s="498"/>
      <c r="I2" s="498"/>
      <c r="J2" s="498"/>
      <c r="K2" s="498"/>
      <c r="L2" s="498"/>
    </row>
    <row r="3" spans="1:12" ht="15" customHeight="1">
      <c r="A3" s="31"/>
      <c r="B3" s="32"/>
      <c r="C3" s="32"/>
      <c r="D3" s="32"/>
      <c r="E3" s="32"/>
      <c r="F3" s="32"/>
      <c r="G3" s="32"/>
      <c r="H3" s="494" t="s">
        <v>30</v>
      </c>
      <c r="I3" s="494"/>
      <c r="J3" s="33"/>
      <c r="K3" s="494" t="s">
        <v>31</v>
      </c>
      <c r="L3" s="494"/>
    </row>
    <row r="4" spans="1:12" ht="15" customHeight="1">
      <c r="A4" s="31"/>
      <c r="B4" s="34">
        <v>2000</v>
      </c>
      <c r="C4" s="34">
        <v>2018</v>
      </c>
      <c r="D4" s="34">
        <v>2025</v>
      </c>
      <c r="E4" s="34">
        <v>2030</v>
      </c>
      <c r="F4" s="34">
        <v>2035</v>
      </c>
      <c r="G4" s="34">
        <v>2040</v>
      </c>
      <c r="H4" s="35">
        <v>2018</v>
      </c>
      <c r="I4" s="35">
        <v>2040</v>
      </c>
      <c r="J4" s="36"/>
      <c r="K4" s="35" t="s">
        <v>32</v>
      </c>
      <c r="L4" s="35" t="s">
        <v>33</v>
      </c>
    </row>
    <row r="5" spans="1:12" ht="13.5" customHeight="1">
      <c r="A5" s="37" t="s">
        <v>119</v>
      </c>
      <c r="B5" s="38">
        <v>84.236999999999995</v>
      </c>
      <c r="C5" s="38">
        <v>145.02000000000001</v>
      </c>
      <c r="D5" s="39">
        <v>165.53299999999999</v>
      </c>
      <c r="E5" s="39">
        <v>174.054</v>
      </c>
      <c r="F5" s="39">
        <v>178.96</v>
      </c>
      <c r="G5" s="39">
        <v>182.27799999999999</v>
      </c>
      <c r="H5" s="63">
        <v>99.990000000000009</v>
      </c>
      <c r="I5" s="63">
        <v>100.00999999999999</v>
      </c>
      <c r="J5" s="82"/>
      <c r="K5" s="65">
        <v>3.06</v>
      </c>
      <c r="L5" s="65">
        <v>1.04</v>
      </c>
    </row>
    <row r="6" spans="1:12" ht="13.5" customHeight="1">
      <c r="A6" s="42" t="s">
        <v>35</v>
      </c>
      <c r="B6" s="83">
        <v>19.125</v>
      </c>
      <c r="C6" s="83">
        <v>31.992000000000001</v>
      </c>
      <c r="D6" s="45">
        <v>37.764000000000003</v>
      </c>
      <c r="E6" s="45">
        <v>39.494</v>
      </c>
      <c r="F6" s="45">
        <v>39.628999999999998</v>
      </c>
      <c r="G6" s="45">
        <v>38.875</v>
      </c>
      <c r="H6" s="45">
        <v>22.06</v>
      </c>
      <c r="I6" s="45">
        <v>21.33</v>
      </c>
      <c r="J6" s="45"/>
      <c r="K6" s="47">
        <v>2.9</v>
      </c>
      <c r="L6" s="47">
        <v>0.89</v>
      </c>
    </row>
    <row r="7" spans="1:12" ht="13.5" customHeight="1">
      <c r="A7" s="42" t="s">
        <v>36</v>
      </c>
      <c r="B7" s="83">
        <v>48.521999999999998</v>
      </c>
      <c r="C7" s="83">
        <v>69.293999999999997</v>
      </c>
      <c r="D7" s="45">
        <v>76.963999999999999</v>
      </c>
      <c r="E7" s="45">
        <v>79.251000000000005</v>
      </c>
      <c r="F7" s="45">
        <v>80.3</v>
      </c>
      <c r="G7" s="45">
        <v>80.805999999999997</v>
      </c>
      <c r="H7" s="45">
        <v>47.78</v>
      </c>
      <c r="I7" s="45">
        <v>44.33</v>
      </c>
      <c r="J7" s="46"/>
      <c r="K7" s="47">
        <v>2</v>
      </c>
      <c r="L7" s="47">
        <v>0.7</v>
      </c>
    </row>
    <row r="8" spans="1:12" ht="13.5" customHeight="1">
      <c r="A8" s="42" t="s">
        <v>84</v>
      </c>
      <c r="B8" s="83">
        <v>3.3079999999999998</v>
      </c>
      <c r="C8" s="83">
        <v>9.9039999999999999</v>
      </c>
      <c r="D8" s="45">
        <v>11.444000000000001</v>
      </c>
      <c r="E8" s="45">
        <v>12.468</v>
      </c>
      <c r="F8" s="45">
        <v>13.208</v>
      </c>
      <c r="G8" s="45">
        <v>13.795999999999999</v>
      </c>
      <c r="H8" s="45">
        <v>6.83</v>
      </c>
      <c r="I8" s="45">
        <v>7.57</v>
      </c>
      <c r="J8" s="46"/>
      <c r="K8" s="47">
        <v>6.28</v>
      </c>
      <c r="L8" s="47">
        <v>1.52</v>
      </c>
    </row>
    <row r="9" spans="1:12" ht="13.5" customHeight="1">
      <c r="A9" s="42" t="s">
        <v>37</v>
      </c>
      <c r="B9" s="83">
        <v>11.374000000000001</v>
      </c>
      <c r="C9" s="83">
        <v>24.399000000000001</v>
      </c>
      <c r="D9" s="45">
        <v>27.742999999999999</v>
      </c>
      <c r="E9" s="45">
        <v>29.661999999999999</v>
      </c>
      <c r="F9" s="45">
        <v>31.248999999999999</v>
      </c>
      <c r="G9" s="45">
        <v>32.802999999999997</v>
      </c>
      <c r="H9" s="45">
        <v>16.82</v>
      </c>
      <c r="I9" s="45">
        <v>18</v>
      </c>
      <c r="J9" s="46"/>
      <c r="K9" s="47">
        <v>4.33</v>
      </c>
      <c r="L9" s="47">
        <v>1.35</v>
      </c>
    </row>
    <row r="10" spans="1:12" ht="13.5" customHeight="1">
      <c r="A10" s="42" t="s">
        <v>120</v>
      </c>
      <c r="B10" s="83">
        <v>0</v>
      </c>
      <c r="C10" s="83">
        <v>0</v>
      </c>
      <c r="D10" s="45">
        <v>0</v>
      </c>
      <c r="E10" s="45">
        <v>0</v>
      </c>
      <c r="F10" s="45">
        <v>0</v>
      </c>
      <c r="G10" s="45">
        <v>0</v>
      </c>
      <c r="H10" s="45">
        <v>0</v>
      </c>
      <c r="I10" s="45">
        <v>0</v>
      </c>
      <c r="J10" s="46"/>
      <c r="K10" s="47" t="s">
        <v>38</v>
      </c>
      <c r="L10" s="47" t="s">
        <v>38</v>
      </c>
    </row>
    <row r="11" spans="1:12" ht="13.5" customHeight="1">
      <c r="A11" s="42" t="s">
        <v>63</v>
      </c>
      <c r="B11" s="83">
        <v>1.9079999999999999</v>
      </c>
      <c r="C11" s="83">
        <v>9.4320000000000004</v>
      </c>
      <c r="D11" s="45">
        <v>11.618</v>
      </c>
      <c r="E11" s="45">
        <v>13.179</v>
      </c>
      <c r="F11" s="45">
        <v>14.574</v>
      </c>
      <c r="G11" s="45">
        <v>15.999000000000001</v>
      </c>
      <c r="H11" s="45">
        <v>6.5</v>
      </c>
      <c r="I11" s="45">
        <v>8.7799999999999994</v>
      </c>
      <c r="J11" s="46"/>
      <c r="K11" s="47">
        <v>9.2899999999999991</v>
      </c>
      <c r="L11" s="47">
        <v>2.4300000000000002</v>
      </c>
    </row>
    <row r="12" spans="1:12" s="261" customFormat="1" ht="3" customHeight="1">
      <c r="A12" s="84"/>
      <c r="B12" s="85"/>
      <c r="C12" s="85"/>
      <c r="D12" s="86"/>
      <c r="E12" s="86"/>
      <c r="F12" s="86"/>
      <c r="G12" s="86"/>
      <c r="H12" s="87"/>
      <c r="I12" s="87"/>
      <c r="J12" s="87"/>
      <c r="K12" s="87"/>
      <c r="L12" s="87"/>
    </row>
    <row r="13" spans="1:12" ht="13.5" customHeight="1">
      <c r="A13" s="37" t="s">
        <v>121</v>
      </c>
      <c r="B13" s="38">
        <v>30.945</v>
      </c>
      <c r="C13" s="38">
        <v>42.96</v>
      </c>
      <c r="D13" s="39">
        <v>45.814</v>
      </c>
      <c r="E13" s="39">
        <v>46.411999999999999</v>
      </c>
      <c r="F13" s="39">
        <v>45.834000000000003</v>
      </c>
      <c r="G13" s="39">
        <v>44.567999999999998</v>
      </c>
      <c r="H13" s="63">
        <v>99.990000000000009</v>
      </c>
      <c r="I13" s="63">
        <v>100</v>
      </c>
      <c r="J13" s="82"/>
      <c r="K13" s="65">
        <v>1.84</v>
      </c>
      <c r="L13" s="65">
        <v>0.17</v>
      </c>
    </row>
    <row r="14" spans="1:12" ht="13.5" customHeight="1">
      <c r="A14" s="42" t="s">
        <v>35</v>
      </c>
      <c r="B14" s="83">
        <v>0</v>
      </c>
      <c r="C14" s="83">
        <v>0</v>
      </c>
      <c r="D14" s="45">
        <v>0</v>
      </c>
      <c r="E14" s="45">
        <v>0</v>
      </c>
      <c r="F14" s="45">
        <v>0</v>
      </c>
      <c r="G14" s="45">
        <v>0</v>
      </c>
      <c r="H14" s="45">
        <v>0</v>
      </c>
      <c r="I14" s="45">
        <v>0</v>
      </c>
      <c r="J14" s="46"/>
      <c r="K14" s="47" t="s">
        <v>38</v>
      </c>
      <c r="L14" s="47" t="s">
        <v>38</v>
      </c>
    </row>
    <row r="15" spans="1:12" ht="13.5" customHeight="1">
      <c r="A15" s="42" t="s">
        <v>36</v>
      </c>
      <c r="B15" s="83">
        <v>30.77</v>
      </c>
      <c r="C15" s="83">
        <v>40.781999999999996</v>
      </c>
      <c r="D15" s="45">
        <v>43.353999999999999</v>
      </c>
      <c r="E15" s="45">
        <v>43.738999999999997</v>
      </c>
      <c r="F15" s="45">
        <v>43.018000000000001</v>
      </c>
      <c r="G15" s="45">
        <v>41.668999999999997</v>
      </c>
      <c r="H15" s="45">
        <v>94.93</v>
      </c>
      <c r="I15" s="45">
        <v>93.5</v>
      </c>
      <c r="J15" s="46"/>
      <c r="K15" s="47">
        <v>1.58</v>
      </c>
      <c r="L15" s="47">
        <v>0.1</v>
      </c>
    </row>
    <row r="16" spans="1:12" ht="13.5" customHeight="1">
      <c r="A16" s="42" t="s">
        <v>84</v>
      </c>
      <c r="B16" s="83">
        <v>0</v>
      </c>
      <c r="C16" s="83">
        <v>1.2390000000000001</v>
      </c>
      <c r="D16" s="45">
        <v>1.452</v>
      </c>
      <c r="E16" s="45">
        <v>1.526</v>
      </c>
      <c r="F16" s="45">
        <v>1.4370000000000001</v>
      </c>
      <c r="G16" s="45">
        <v>1.3149999999999999</v>
      </c>
      <c r="H16" s="45">
        <v>2.88</v>
      </c>
      <c r="I16" s="45">
        <v>2.95</v>
      </c>
      <c r="J16" s="46"/>
      <c r="K16" s="47" t="s">
        <v>38</v>
      </c>
      <c r="L16" s="47">
        <v>0.27</v>
      </c>
    </row>
    <row r="17" spans="1:12" ht="13.5" customHeight="1">
      <c r="A17" s="42" t="s">
        <v>37</v>
      </c>
      <c r="B17" s="83">
        <v>0.17499999999999999</v>
      </c>
      <c r="C17" s="83">
        <v>0.255</v>
      </c>
      <c r="D17" s="45">
        <v>0.36399999999999999</v>
      </c>
      <c r="E17" s="45">
        <v>0.52200000000000002</v>
      </c>
      <c r="F17" s="45">
        <v>0.78400000000000003</v>
      </c>
      <c r="G17" s="45">
        <v>1.018</v>
      </c>
      <c r="H17" s="45">
        <v>0.59</v>
      </c>
      <c r="I17" s="45">
        <v>2.2799999999999998</v>
      </c>
      <c r="J17" s="46"/>
      <c r="K17" s="47">
        <v>2.11</v>
      </c>
      <c r="L17" s="47">
        <v>6.49</v>
      </c>
    </row>
    <row r="18" spans="1:12" ht="13.5" customHeight="1">
      <c r="A18" s="42" t="s">
        <v>120</v>
      </c>
      <c r="B18" s="83">
        <v>0</v>
      </c>
      <c r="C18" s="83">
        <v>0</v>
      </c>
      <c r="D18" s="45">
        <v>0</v>
      </c>
      <c r="E18" s="45">
        <v>0</v>
      </c>
      <c r="F18" s="45">
        <v>0</v>
      </c>
      <c r="G18" s="45">
        <v>0</v>
      </c>
      <c r="H18" s="45">
        <v>0</v>
      </c>
      <c r="I18" s="45">
        <v>0</v>
      </c>
      <c r="J18" s="46"/>
      <c r="K18" s="47" t="s">
        <v>38</v>
      </c>
      <c r="L18" s="47" t="s">
        <v>38</v>
      </c>
    </row>
    <row r="19" spans="1:12" ht="13.5" customHeight="1">
      <c r="A19" s="42" t="s">
        <v>63</v>
      </c>
      <c r="B19" s="83">
        <v>0</v>
      </c>
      <c r="C19" s="83">
        <v>0.68400000000000005</v>
      </c>
      <c r="D19" s="45">
        <v>0.64400000000000002</v>
      </c>
      <c r="E19" s="45">
        <v>0.625</v>
      </c>
      <c r="F19" s="45">
        <v>0.59499999999999997</v>
      </c>
      <c r="G19" s="45">
        <v>0.56599999999999995</v>
      </c>
      <c r="H19" s="45">
        <v>1.59</v>
      </c>
      <c r="I19" s="45">
        <v>1.27</v>
      </c>
      <c r="J19" s="46"/>
      <c r="K19" s="47" t="s">
        <v>38</v>
      </c>
      <c r="L19" s="47">
        <v>-0.86</v>
      </c>
    </row>
    <row r="20" spans="1:12" s="261" customFormat="1" ht="3" customHeight="1">
      <c r="A20" s="84"/>
      <c r="B20" s="85"/>
      <c r="C20" s="85"/>
      <c r="D20" s="86"/>
      <c r="E20" s="86"/>
      <c r="F20" s="86"/>
      <c r="G20" s="86"/>
      <c r="H20" s="87"/>
      <c r="I20" s="87"/>
      <c r="J20" s="87"/>
      <c r="K20" s="87"/>
      <c r="L20" s="87"/>
    </row>
    <row r="21" spans="1:12" ht="13.5" customHeight="1">
      <c r="A21" s="37" t="s">
        <v>122</v>
      </c>
      <c r="B21" s="38">
        <v>21.16</v>
      </c>
      <c r="C21" s="38">
        <v>23.187999999999999</v>
      </c>
      <c r="D21" s="39">
        <v>21.98</v>
      </c>
      <c r="E21" s="39">
        <v>21.879000000000001</v>
      </c>
      <c r="F21" s="39">
        <v>21.817</v>
      </c>
      <c r="G21" s="39">
        <v>21.684000000000001</v>
      </c>
      <c r="H21" s="63">
        <v>100.01</v>
      </c>
      <c r="I21" s="63">
        <v>100</v>
      </c>
      <c r="J21" s="82"/>
      <c r="K21" s="65">
        <v>0.51</v>
      </c>
      <c r="L21" s="65">
        <v>-0.3</v>
      </c>
    </row>
    <row r="22" spans="1:12" ht="13.5" customHeight="1">
      <c r="A22" s="42" t="s">
        <v>35</v>
      </c>
      <c r="B22" s="83">
        <v>0.53600000000000003</v>
      </c>
      <c r="C22" s="83">
        <v>0.318</v>
      </c>
      <c r="D22" s="45">
        <v>0.18</v>
      </c>
      <c r="E22" s="45">
        <v>0.114</v>
      </c>
      <c r="F22" s="45">
        <v>7.0000000000000007E-2</v>
      </c>
      <c r="G22" s="45">
        <v>4.2999999999999997E-2</v>
      </c>
      <c r="H22" s="45">
        <v>1.37</v>
      </c>
      <c r="I22" s="45">
        <v>0.2</v>
      </c>
      <c r="J22" s="46"/>
      <c r="K22" s="47">
        <v>-2.86</v>
      </c>
      <c r="L22" s="47">
        <v>-8.7200000000000006</v>
      </c>
    </row>
    <row r="23" spans="1:12" ht="13.5" customHeight="1">
      <c r="A23" s="42" t="s">
        <v>36</v>
      </c>
      <c r="B23" s="83">
        <v>8.8810000000000002</v>
      </c>
      <c r="C23" s="83">
        <v>3.3660000000000001</v>
      </c>
      <c r="D23" s="45">
        <v>2.2370000000000001</v>
      </c>
      <c r="E23" s="45">
        <v>1.6990000000000001</v>
      </c>
      <c r="F23" s="45">
        <v>1.31</v>
      </c>
      <c r="G23" s="45">
        <v>1.016</v>
      </c>
      <c r="H23" s="45">
        <v>14.52</v>
      </c>
      <c r="I23" s="45">
        <v>4.68</v>
      </c>
      <c r="J23" s="46"/>
      <c r="K23" s="47">
        <v>-5.25</v>
      </c>
      <c r="L23" s="47">
        <v>-5.3</v>
      </c>
    </row>
    <row r="24" spans="1:12" ht="13.5" customHeight="1">
      <c r="A24" s="42" t="s">
        <v>84</v>
      </c>
      <c r="B24" s="83">
        <v>7.3529999999999998</v>
      </c>
      <c r="C24" s="83">
        <v>10.9</v>
      </c>
      <c r="D24" s="45">
        <v>10.433</v>
      </c>
      <c r="E24" s="45">
        <v>10.444000000000001</v>
      </c>
      <c r="F24" s="45">
        <v>10.455</v>
      </c>
      <c r="G24" s="45">
        <v>10.427</v>
      </c>
      <c r="H24" s="45">
        <v>47.01</v>
      </c>
      <c r="I24" s="45">
        <v>48.09</v>
      </c>
      <c r="J24" s="46"/>
      <c r="K24" s="47">
        <v>2.21</v>
      </c>
      <c r="L24" s="47">
        <v>-0.2</v>
      </c>
    </row>
    <row r="25" spans="1:12" ht="13.5" customHeight="1">
      <c r="A25" s="42" t="s">
        <v>37</v>
      </c>
      <c r="B25" s="83">
        <v>3.1909999999999998</v>
      </c>
      <c r="C25" s="83">
        <v>6.0789999999999997</v>
      </c>
      <c r="D25" s="45">
        <v>6.5549999999999997</v>
      </c>
      <c r="E25" s="45">
        <v>6.8129999999999997</v>
      </c>
      <c r="F25" s="45">
        <v>6.9930000000000003</v>
      </c>
      <c r="G25" s="45">
        <v>7.0960000000000001</v>
      </c>
      <c r="H25" s="45">
        <v>26.22</v>
      </c>
      <c r="I25" s="45">
        <v>32.72</v>
      </c>
      <c r="J25" s="46"/>
      <c r="K25" s="47">
        <v>3.65</v>
      </c>
      <c r="L25" s="47">
        <v>0.71</v>
      </c>
    </row>
    <row r="26" spans="1:12" ht="13.5" customHeight="1">
      <c r="A26" s="42" t="s">
        <v>120</v>
      </c>
      <c r="B26" s="83">
        <v>1.0840000000000001</v>
      </c>
      <c r="C26" s="83">
        <v>2.2490000000000001</v>
      </c>
      <c r="D26" s="45">
        <v>2.0870000000000002</v>
      </c>
      <c r="E26" s="45">
        <v>2.173</v>
      </c>
      <c r="F26" s="45">
        <v>2.2370000000000001</v>
      </c>
      <c r="G26" s="45">
        <v>2.2759999999999998</v>
      </c>
      <c r="H26" s="45">
        <v>9.6999999999999993</v>
      </c>
      <c r="I26" s="45">
        <v>10.5</v>
      </c>
      <c r="J26" s="46"/>
      <c r="K26" s="47">
        <v>4.1399999999999997</v>
      </c>
      <c r="L26" s="47">
        <v>0.05</v>
      </c>
    </row>
    <row r="27" spans="1:12" ht="13.5" customHeight="1">
      <c r="A27" s="42" t="s">
        <v>63</v>
      </c>
      <c r="B27" s="83">
        <v>0.115</v>
      </c>
      <c r="C27" s="83">
        <v>0.27500000000000002</v>
      </c>
      <c r="D27" s="45">
        <v>0.48799999999999999</v>
      </c>
      <c r="E27" s="45">
        <v>0.63700000000000001</v>
      </c>
      <c r="F27" s="45">
        <v>0.753</v>
      </c>
      <c r="G27" s="45">
        <v>0.82599999999999996</v>
      </c>
      <c r="H27" s="45">
        <v>1.19</v>
      </c>
      <c r="I27" s="45">
        <v>3.81</v>
      </c>
      <c r="J27" s="46"/>
      <c r="K27" s="47">
        <v>4.96</v>
      </c>
      <c r="L27" s="47">
        <v>5.12</v>
      </c>
    </row>
    <row r="28" spans="1:12" s="261" customFormat="1" ht="3" customHeight="1">
      <c r="A28" s="84"/>
      <c r="B28" s="85"/>
      <c r="C28" s="85"/>
      <c r="D28" s="86"/>
      <c r="E28" s="86"/>
      <c r="F28" s="86"/>
      <c r="G28" s="86"/>
      <c r="H28" s="87"/>
      <c r="I28" s="87"/>
      <c r="J28" s="87"/>
      <c r="K28" s="87"/>
      <c r="L28" s="87"/>
    </row>
    <row r="29" spans="1:12" ht="13.5" customHeight="1">
      <c r="A29" s="37" t="s">
        <v>123</v>
      </c>
      <c r="B29" s="38">
        <v>13.616</v>
      </c>
      <c r="C29" s="38">
        <v>25.498000000000001</v>
      </c>
      <c r="D29" s="39">
        <v>28.228000000000002</v>
      </c>
      <c r="E29" s="39">
        <v>30.004000000000001</v>
      </c>
      <c r="F29" s="39">
        <v>31.234999999999999</v>
      </c>
      <c r="G29" s="39">
        <v>32.037999999999997</v>
      </c>
      <c r="H29" s="63">
        <v>100.00000000000001</v>
      </c>
      <c r="I29" s="63">
        <v>99.990000000000009</v>
      </c>
      <c r="J29" s="82"/>
      <c r="K29" s="65">
        <v>3.55</v>
      </c>
      <c r="L29" s="65">
        <v>1.04</v>
      </c>
    </row>
    <row r="30" spans="1:12" ht="13.5" customHeight="1">
      <c r="A30" s="42" t="s">
        <v>35</v>
      </c>
      <c r="B30" s="83">
        <v>0</v>
      </c>
      <c r="C30" s="83">
        <v>0.113</v>
      </c>
      <c r="D30" s="45">
        <v>0.104</v>
      </c>
      <c r="E30" s="45">
        <v>9.9000000000000005E-2</v>
      </c>
      <c r="F30" s="45">
        <v>9.4E-2</v>
      </c>
      <c r="G30" s="45">
        <v>0.09</v>
      </c>
      <c r="H30" s="45">
        <v>0.44</v>
      </c>
      <c r="I30" s="45">
        <v>0.28000000000000003</v>
      </c>
      <c r="J30" s="46"/>
      <c r="K30" s="47" t="s">
        <v>38</v>
      </c>
      <c r="L30" s="47">
        <v>-1.05</v>
      </c>
    </row>
    <row r="31" spans="1:12" ht="13.5" customHeight="1">
      <c r="A31" s="42" t="s">
        <v>36</v>
      </c>
      <c r="B31" s="83">
        <v>5.6669999999999998</v>
      </c>
      <c r="C31" s="83">
        <v>3.3879999999999999</v>
      </c>
      <c r="D31" s="45">
        <v>2.302</v>
      </c>
      <c r="E31" s="45">
        <v>1.986</v>
      </c>
      <c r="F31" s="45">
        <v>1.704</v>
      </c>
      <c r="G31" s="45">
        <v>1.4950000000000001</v>
      </c>
      <c r="H31" s="45">
        <v>13.29</v>
      </c>
      <c r="I31" s="45">
        <v>4.66</v>
      </c>
      <c r="J31" s="46"/>
      <c r="K31" s="47">
        <v>-2.82</v>
      </c>
      <c r="L31" s="47">
        <v>-3.65</v>
      </c>
    </row>
    <row r="32" spans="1:12" ht="13.5" customHeight="1">
      <c r="A32" s="42" t="s">
        <v>84</v>
      </c>
      <c r="B32" s="83">
        <v>1.9</v>
      </c>
      <c r="C32" s="83">
        <v>3.8220000000000001</v>
      </c>
      <c r="D32" s="45">
        <v>5.2060000000000004</v>
      </c>
      <c r="E32" s="45">
        <v>5.6520000000000001</v>
      </c>
      <c r="F32" s="45">
        <v>6.0049999999999999</v>
      </c>
      <c r="G32" s="45">
        <v>6.2549999999999999</v>
      </c>
      <c r="H32" s="45">
        <v>14.99</v>
      </c>
      <c r="I32" s="45">
        <v>19.52</v>
      </c>
      <c r="J32" s="46"/>
      <c r="K32" s="47">
        <v>3.96</v>
      </c>
      <c r="L32" s="47">
        <v>2.2599999999999998</v>
      </c>
    </row>
    <row r="33" spans="1:12" ht="13.5" customHeight="1">
      <c r="A33" s="42" t="s">
        <v>37</v>
      </c>
      <c r="B33" s="83">
        <v>5.86</v>
      </c>
      <c r="C33" s="83">
        <v>14.516</v>
      </c>
      <c r="D33" s="45">
        <v>16.369</v>
      </c>
      <c r="E33" s="45">
        <v>17.687999999999999</v>
      </c>
      <c r="F33" s="45">
        <v>18.648</v>
      </c>
      <c r="G33" s="45">
        <v>19.315000000000001</v>
      </c>
      <c r="H33" s="45">
        <v>56.93</v>
      </c>
      <c r="I33" s="45">
        <v>60.29</v>
      </c>
      <c r="J33" s="46"/>
      <c r="K33" s="47">
        <v>5.17</v>
      </c>
      <c r="L33" s="47">
        <v>1.31</v>
      </c>
    </row>
    <row r="34" spans="1:12" ht="13.5" customHeight="1">
      <c r="A34" s="42" t="s">
        <v>120</v>
      </c>
      <c r="B34" s="83">
        <v>8.3000000000000004E-2</v>
      </c>
      <c r="C34" s="83">
        <v>0.38600000000000001</v>
      </c>
      <c r="D34" s="45">
        <v>0.45100000000000001</v>
      </c>
      <c r="E34" s="45">
        <v>0.504</v>
      </c>
      <c r="F34" s="45">
        <v>0.52600000000000002</v>
      </c>
      <c r="G34" s="45">
        <v>0.53</v>
      </c>
      <c r="H34" s="45">
        <v>1.51</v>
      </c>
      <c r="I34" s="45">
        <v>1.65</v>
      </c>
      <c r="J34" s="46"/>
      <c r="K34" s="47">
        <v>8.8800000000000008</v>
      </c>
      <c r="L34" s="47">
        <v>1.45</v>
      </c>
    </row>
    <row r="35" spans="1:12" ht="13.5" customHeight="1">
      <c r="A35" s="42" t="s">
        <v>63</v>
      </c>
      <c r="B35" s="83">
        <v>0.107</v>
      </c>
      <c r="C35" s="83">
        <v>3.274</v>
      </c>
      <c r="D35" s="45">
        <v>3.7959999999999998</v>
      </c>
      <c r="E35" s="45">
        <v>4.0739999999999998</v>
      </c>
      <c r="F35" s="45">
        <v>4.2590000000000003</v>
      </c>
      <c r="G35" s="45">
        <v>4.3540000000000001</v>
      </c>
      <c r="H35" s="45">
        <v>12.84</v>
      </c>
      <c r="I35" s="45">
        <v>13.59</v>
      </c>
      <c r="J35" s="46"/>
      <c r="K35" s="47">
        <v>20.93</v>
      </c>
      <c r="L35" s="47">
        <v>1.3</v>
      </c>
    </row>
    <row r="36" spans="1:12">
      <c r="H36" s="262"/>
      <c r="I36" s="262"/>
      <c r="J36" s="263"/>
      <c r="K36" s="262"/>
      <c r="L36" s="262"/>
    </row>
    <row r="37" spans="1:12">
      <c r="A37" s="492" t="s">
        <v>821</v>
      </c>
      <c r="B37" s="493"/>
      <c r="C37" s="493"/>
      <c r="D37" s="493"/>
      <c r="E37" s="493"/>
      <c r="F37" s="493"/>
      <c r="G37" s="493"/>
      <c r="H37" s="493"/>
      <c r="I37" s="493"/>
      <c r="J37" s="493"/>
      <c r="K37" s="262"/>
      <c r="L37" s="262"/>
    </row>
    <row r="38" spans="1:12" ht="17.100000000000001" customHeight="1">
      <c r="A38" s="499" t="s">
        <v>50</v>
      </c>
      <c r="B38" s="499"/>
      <c r="C38" s="499"/>
      <c r="D38" s="499"/>
      <c r="E38" s="499"/>
      <c r="F38" s="499"/>
      <c r="G38" s="499"/>
      <c r="H38" s="499"/>
      <c r="I38" s="499"/>
      <c r="J38" s="499"/>
      <c r="K38" s="262"/>
      <c r="L38" s="262"/>
    </row>
    <row r="39" spans="1:12">
      <c r="A39" s="31"/>
      <c r="B39" s="32"/>
      <c r="C39" s="32"/>
      <c r="D39" s="32"/>
      <c r="E39" s="32"/>
      <c r="F39" s="32"/>
      <c r="G39" s="494" t="s">
        <v>30</v>
      </c>
      <c r="H39" s="494"/>
      <c r="I39" s="494" t="s">
        <v>31</v>
      </c>
      <c r="J39" s="494"/>
      <c r="K39" s="262"/>
      <c r="L39" s="262"/>
    </row>
    <row r="40" spans="1:12" ht="17.100000000000001" customHeight="1">
      <c r="A40" s="31"/>
      <c r="B40" s="34">
        <v>2000</v>
      </c>
      <c r="C40" s="34">
        <v>2022</v>
      </c>
      <c r="D40" s="34">
        <v>2030</v>
      </c>
      <c r="E40" s="34">
        <v>2040</v>
      </c>
      <c r="F40" s="34">
        <v>2050</v>
      </c>
      <c r="G40" s="35">
        <v>2022</v>
      </c>
      <c r="H40" s="35">
        <v>2050</v>
      </c>
      <c r="I40" s="35" t="s">
        <v>822</v>
      </c>
      <c r="J40" s="35" t="s">
        <v>823</v>
      </c>
      <c r="K40" s="262"/>
      <c r="L40" s="262"/>
    </row>
    <row r="41" spans="1:12">
      <c r="A41" s="37" t="s">
        <v>119</v>
      </c>
      <c r="B41" s="38">
        <v>79.698999999999998</v>
      </c>
      <c r="C41" s="38">
        <v>128.422</v>
      </c>
      <c r="D41" s="39">
        <v>141.85400000000001</v>
      </c>
      <c r="E41" s="39">
        <v>148.006</v>
      </c>
      <c r="F41" s="39">
        <v>147.58600000000001</v>
      </c>
      <c r="G41" s="63">
        <v>100.00999999999999</v>
      </c>
      <c r="H41" s="63">
        <v>100</v>
      </c>
      <c r="I41" s="65">
        <v>2.19</v>
      </c>
      <c r="J41" s="65">
        <v>0.5</v>
      </c>
      <c r="K41" s="262"/>
      <c r="L41" s="262"/>
    </row>
    <row r="42" spans="1:12">
      <c r="A42" s="42" t="s">
        <v>35</v>
      </c>
      <c r="B42" s="83">
        <v>20.745999999999999</v>
      </c>
      <c r="C42" s="83">
        <v>29.789000000000001</v>
      </c>
      <c r="D42" s="45">
        <v>31.923999999999999</v>
      </c>
      <c r="E42" s="45">
        <v>29.763000000000002</v>
      </c>
      <c r="F42" s="45">
        <v>26.777999999999999</v>
      </c>
      <c r="G42" s="45">
        <v>23.2</v>
      </c>
      <c r="H42" s="45">
        <v>18.14</v>
      </c>
      <c r="I42" s="47">
        <v>1.66</v>
      </c>
      <c r="J42" s="47">
        <v>-0.38</v>
      </c>
      <c r="K42" s="262"/>
      <c r="L42" s="262"/>
    </row>
    <row r="43" spans="1:12">
      <c r="A43" s="42" t="s">
        <v>36</v>
      </c>
      <c r="B43" s="83">
        <v>44.420999999999999</v>
      </c>
      <c r="C43" s="83">
        <v>60.481000000000002</v>
      </c>
      <c r="D43" s="45">
        <v>65.015000000000001</v>
      </c>
      <c r="E43" s="45">
        <v>67.849999999999994</v>
      </c>
      <c r="F43" s="45">
        <v>68.837000000000003</v>
      </c>
      <c r="G43" s="45">
        <v>47.1</v>
      </c>
      <c r="H43" s="45">
        <v>46.64</v>
      </c>
      <c r="I43" s="47">
        <v>1.41</v>
      </c>
      <c r="J43" s="47">
        <v>0.46</v>
      </c>
      <c r="K43" s="262"/>
      <c r="L43" s="262"/>
    </row>
    <row r="44" spans="1:12">
      <c r="A44" s="42" t="s">
        <v>84</v>
      </c>
      <c r="B44" s="83">
        <v>3.516</v>
      </c>
      <c r="C44" s="83">
        <v>10.010999999999999</v>
      </c>
      <c r="D44" s="45">
        <v>12.151</v>
      </c>
      <c r="E44" s="45">
        <v>14.108000000000001</v>
      </c>
      <c r="F44" s="45">
        <v>14.766999999999999</v>
      </c>
      <c r="G44" s="45">
        <v>7.8</v>
      </c>
      <c r="H44" s="45">
        <v>10.01</v>
      </c>
      <c r="I44" s="47">
        <v>4.87</v>
      </c>
      <c r="J44" s="47">
        <v>1.4</v>
      </c>
      <c r="K44" s="262"/>
      <c r="L44" s="262"/>
    </row>
    <row r="45" spans="1:12">
      <c r="A45" s="42" t="s">
        <v>37</v>
      </c>
      <c r="B45" s="83">
        <v>11.016999999999999</v>
      </c>
      <c r="C45" s="83">
        <v>23.57</v>
      </c>
      <c r="D45" s="45">
        <v>27.631</v>
      </c>
      <c r="E45" s="45">
        <v>30.23</v>
      </c>
      <c r="F45" s="45">
        <v>30.279</v>
      </c>
      <c r="G45" s="45">
        <v>18.350000000000001</v>
      </c>
      <c r="H45" s="45">
        <v>20.52</v>
      </c>
      <c r="I45" s="47">
        <v>3.52</v>
      </c>
      <c r="J45" s="47">
        <v>0.9</v>
      </c>
      <c r="K45" s="262"/>
      <c r="L45" s="262"/>
    </row>
    <row r="46" spans="1:12">
      <c r="A46" s="42" t="s">
        <v>120</v>
      </c>
      <c r="B46" s="83">
        <v>0</v>
      </c>
      <c r="C46" s="83">
        <v>0</v>
      </c>
      <c r="D46" s="45">
        <v>0</v>
      </c>
      <c r="E46" s="45">
        <v>0</v>
      </c>
      <c r="F46" s="45">
        <v>0</v>
      </c>
      <c r="G46" s="45">
        <v>0</v>
      </c>
      <c r="H46" s="45">
        <v>0</v>
      </c>
      <c r="I46" s="47" t="s">
        <v>38</v>
      </c>
      <c r="J46" s="47" t="s">
        <v>38</v>
      </c>
      <c r="K46" s="262"/>
      <c r="L46" s="262"/>
    </row>
    <row r="47" spans="1:12">
      <c r="A47" s="42" t="s">
        <v>63</v>
      </c>
      <c r="B47" s="83">
        <v>0</v>
      </c>
      <c r="C47" s="83">
        <v>4.5709999999999997</v>
      </c>
      <c r="D47" s="45">
        <v>5.1340000000000003</v>
      </c>
      <c r="E47" s="45">
        <v>6.056</v>
      </c>
      <c r="F47" s="45">
        <v>6.9249999999999998</v>
      </c>
      <c r="G47" s="45">
        <v>3.56</v>
      </c>
      <c r="H47" s="45">
        <v>4.6900000000000004</v>
      </c>
      <c r="I47" s="47">
        <v>56.84</v>
      </c>
      <c r="J47" s="47">
        <v>1.49</v>
      </c>
      <c r="K47" s="262"/>
      <c r="L47" s="262"/>
    </row>
    <row r="48" spans="1:12">
      <c r="A48" s="84"/>
      <c r="B48" s="85"/>
      <c r="C48" s="85"/>
      <c r="D48" s="86"/>
      <c r="E48" s="86"/>
      <c r="F48" s="86"/>
      <c r="G48" s="87"/>
      <c r="H48" s="87"/>
      <c r="I48" s="87"/>
      <c r="J48" s="87"/>
      <c r="K48" s="262"/>
      <c r="L48" s="262"/>
    </row>
    <row r="49" spans="1:12">
      <c r="A49" s="37" t="s">
        <v>121</v>
      </c>
      <c r="B49" s="38">
        <v>25.007000000000001</v>
      </c>
      <c r="C49" s="38">
        <v>36.290999999999997</v>
      </c>
      <c r="D49" s="39">
        <v>32.732999999999997</v>
      </c>
      <c r="E49" s="39">
        <v>26.838999999999999</v>
      </c>
      <c r="F49" s="39">
        <v>19.858000000000001</v>
      </c>
      <c r="G49" s="63">
        <v>100</v>
      </c>
      <c r="H49" s="63">
        <v>100.00000000000001</v>
      </c>
      <c r="I49" s="65">
        <v>1.71</v>
      </c>
      <c r="J49" s="65">
        <v>-2.13</v>
      </c>
      <c r="K49" s="262"/>
      <c r="L49" s="262"/>
    </row>
    <row r="50" spans="1:12">
      <c r="A50" s="42" t="s">
        <v>35</v>
      </c>
      <c r="B50" s="83">
        <v>0</v>
      </c>
      <c r="C50" s="83">
        <v>0</v>
      </c>
      <c r="D50" s="45">
        <v>0</v>
      </c>
      <c r="E50" s="45">
        <v>0</v>
      </c>
      <c r="F50" s="45">
        <v>0</v>
      </c>
      <c r="G50" s="45">
        <v>0</v>
      </c>
      <c r="H50" s="45">
        <v>0</v>
      </c>
      <c r="I50" s="47" t="s">
        <v>38</v>
      </c>
      <c r="J50" s="47" t="s">
        <v>38</v>
      </c>
      <c r="K50" s="262"/>
      <c r="L50" s="262"/>
    </row>
    <row r="51" spans="1:12">
      <c r="A51" s="42" t="s">
        <v>36</v>
      </c>
      <c r="B51" s="83">
        <v>24.832000000000001</v>
      </c>
      <c r="C51" s="83">
        <v>34.238</v>
      </c>
      <c r="D51" s="45">
        <v>29.847999999999999</v>
      </c>
      <c r="E51" s="45">
        <v>23.436</v>
      </c>
      <c r="F51" s="45">
        <v>15.898999999999999</v>
      </c>
      <c r="G51" s="45">
        <v>94.34</v>
      </c>
      <c r="H51" s="45">
        <v>80.06</v>
      </c>
      <c r="I51" s="47">
        <v>1.47</v>
      </c>
      <c r="J51" s="47">
        <v>-2.7</v>
      </c>
      <c r="K51" s="262"/>
      <c r="L51" s="262"/>
    </row>
    <row r="52" spans="1:12">
      <c r="A52" s="42" t="s">
        <v>84</v>
      </c>
      <c r="B52" s="83">
        <v>0</v>
      </c>
      <c r="C52" s="83">
        <v>1.0249999999999999</v>
      </c>
      <c r="D52" s="45">
        <v>1.419</v>
      </c>
      <c r="E52" s="45">
        <v>0.79100000000000004</v>
      </c>
      <c r="F52" s="45">
        <v>0.129</v>
      </c>
      <c r="G52" s="45">
        <v>2.83</v>
      </c>
      <c r="H52" s="45">
        <v>0.65</v>
      </c>
      <c r="I52" s="47" t="s">
        <v>38</v>
      </c>
      <c r="J52" s="47">
        <v>-7.13</v>
      </c>
      <c r="K52" s="262"/>
      <c r="L52" s="262"/>
    </row>
    <row r="53" spans="1:12">
      <c r="A53" s="42" t="s">
        <v>37</v>
      </c>
      <c r="B53" s="83">
        <v>0.17499999999999999</v>
      </c>
      <c r="C53" s="83">
        <v>0.34599999999999997</v>
      </c>
      <c r="D53" s="45">
        <v>0.76900000000000002</v>
      </c>
      <c r="E53" s="45">
        <v>1.0309999999999999</v>
      </c>
      <c r="F53" s="45">
        <v>1.2689999999999999</v>
      </c>
      <c r="G53" s="45">
        <v>0.95</v>
      </c>
      <c r="H53" s="45">
        <v>6.39</v>
      </c>
      <c r="I53" s="47">
        <v>3.14</v>
      </c>
      <c r="J53" s="47">
        <v>4.75</v>
      </c>
      <c r="K53" s="262"/>
      <c r="L53" s="262"/>
    </row>
    <row r="54" spans="1:12">
      <c r="A54" s="42" t="s">
        <v>120</v>
      </c>
      <c r="B54" s="83">
        <v>0</v>
      </c>
      <c r="C54" s="83">
        <v>0</v>
      </c>
      <c r="D54" s="45">
        <v>0</v>
      </c>
      <c r="E54" s="45">
        <v>0</v>
      </c>
      <c r="F54" s="45">
        <v>0</v>
      </c>
      <c r="G54" s="45">
        <v>0</v>
      </c>
      <c r="H54" s="45">
        <v>0</v>
      </c>
      <c r="I54" s="47" t="s">
        <v>38</v>
      </c>
      <c r="J54" s="47" t="s">
        <v>38</v>
      </c>
      <c r="K54" s="262"/>
      <c r="L54" s="262"/>
    </row>
    <row r="55" spans="1:12">
      <c r="A55" s="42" t="s">
        <v>63</v>
      </c>
      <c r="B55" s="83">
        <v>0</v>
      </c>
      <c r="C55" s="83">
        <v>0.68200000000000005</v>
      </c>
      <c r="D55" s="45">
        <v>0.69599999999999995</v>
      </c>
      <c r="E55" s="45">
        <v>1.581</v>
      </c>
      <c r="F55" s="45">
        <v>2.5609999999999999</v>
      </c>
      <c r="G55" s="45">
        <v>1.88</v>
      </c>
      <c r="H55" s="45">
        <v>12.9</v>
      </c>
      <c r="I55" s="47" t="s">
        <v>38</v>
      </c>
      <c r="J55" s="47">
        <v>4.84</v>
      </c>
      <c r="K55" s="262"/>
      <c r="L55" s="262"/>
    </row>
    <row r="56" spans="1:12">
      <c r="A56" s="84"/>
      <c r="B56" s="85"/>
      <c r="C56" s="85"/>
      <c r="D56" s="86"/>
      <c r="E56" s="86"/>
      <c r="F56" s="86"/>
      <c r="G56" s="87"/>
      <c r="H56" s="87"/>
      <c r="I56" s="87"/>
      <c r="J56" s="87"/>
      <c r="K56" s="262"/>
      <c r="L56" s="262"/>
    </row>
    <row r="57" spans="1:12">
      <c r="A57" s="37" t="s">
        <v>122</v>
      </c>
      <c r="B57" s="38">
        <v>16.283999999999999</v>
      </c>
      <c r="C57" s="38">
        <v>23.216000000000001</v>
      </c>
      <c r="D57" s="39">
        <v>22.286000000000001</v>
      </c>
      <c r="E57" s="39">
        <v>21.759</v>
      </c>
      <c r="F57" s="39">
        <v>20.521999999999998</v>
      </c>
      <c r="G57" s="63">
        <v>99.999999999999986</v>
      </c>
      <c r="H57" s="63">
        <v>99.990000000000009</v>
      </c>
      <c r="I57" s="65">
        <v>1.63</v>
      </c>
      <c r="J57" s="65">
        <v>-0.44</v>
      </c>
      <c r="K57" s="262"/>
      <c r="L57" s="262"/>
    </row>
    <row r="58" spans="1:12">
      <c r="A58" s="42" t="s">
        <v>35</v>
      </c>
      <c r="B58" s="83">
        <v>0.45</v>
      </c>
      <c r="C58" s="83">
        <v>0.182</v>
      </c>
      <c r="D58" s="45">
        <v>0.05</v>
      </c>
      <c r="E58" s="45">
        <v>1.4999999999999999E-2</v>
      </c>
      <c r="F58" s="45">
        <v>4.0000000000000001E-3</v>
      </c>
      <c r="G58" s="45">
        <v>0.78</v>
      </c>
      <c r="H58" s="45">
        <v>0.02</v>
      </c>
      <c r="I58" s="47">
        <v>-4.03</v>
      </c>
      <c r="J58" s="47">
        <v>-12.57</v>
      </c>
      <c r="K58" s="262"/>
      <c r="L58" s="262"/>
    </row>
    <row r="59" spans="1:12">
      <c r="A59" s="42" t="s">
        <v>36</v>
      </c>
      <c r="B59" s="83">
        <v>4.0990000000000002</v>
      </c>
      <c r="C59" s="83">
        <v>2.0259999999999998</v>
      </c>
      <c r="D59" s="45">
        <v>1.224</v>
      </c>
      <c r="E59" s="45">
        <v>0.89900000000000002</v>
      </c>
      <c r="F59" s="45">
        <v>0.61599999999999999</v>
      </c>
      <c r="G59" s="45">
        <v>8.73</v>
      </c>
      <c r="H59" s="45">
        <v>3</v>
      </c>
      <c r="I59" s="47">
        <v>-3.15</v>
      </c>
      <c r="J59" s="47">
        <v>-4.16</v>
      </c>
      <c r="K59" s="262"/>
      <c r="L59" s="262"/>
    </row>
    <row r="60" spans="1:12">
      <c r="A60" s="42" t="s">
        <v>84</v>
      </c>
      <c r="B60" s="83">
        <v>7.3529999999999998</v>
      </c>
      <c r="C60" s="83">
        <v>11.468999999999999</v>
      </c>
      <c r="D60" s="45">
        <v>10.622999999999999</v>
      </c>
      <c r="E60" s="45">
        <v>10.084</v>
      </c>
      <c r="F60" s="45">
        <v>9.2029999999999994</v>
      </c>
      <c r="G60" s="45">
        <v>49.4</v>
      </c>
      <c r="H60" s="45">
        <v>44.84</v>
      </c>
      <c r="I60" s="47">
        <v>2.04</v>
      </c>
      <c r="J60" s="47">
        <v>-0.78</v>
      </c>
      <c r="K60" s="262"/>
      <c r="L60" s="262"/>
    </row>
    <row r="61" spans="1:12">
      <c r="A61" s="42" t="s">
        <v>37</v>
      </c>
      <c r="B61" s="83">
        <v>3.1909999999999998</v>
      </c>
      <c r="C61" s="83">
        <v>6.7560000000000002</v>
      </c>
      <c r="D61" s="45">
        <v>7.5860000000000003</v>
      </c>
      <c r="E61" s="45">
        <v>7.9029999999999996</v>
      </c>
      <c r="F61" s="45">
        <v>7.8840000000000003</v>
      </c>
      <c r="G61" s="45">
        <v>29.1</v>
      </c>
      <c r="H61" s="45">
        <v>38.42</v>
      </c>
      <c r="I61" s="47">
        <v>3.47</v>
      </c>
      <c r="J61" s="47">
        <v>0.55000000000000004</v>
      </c>
      <c r="K61" s="262"/>
      <c r="L61" s="262"/>
    </row>
    <row r="62" spans="1:12">
      <c r="A62" s="42" t="s">
        <v>120</v>
      </c>
      <c r="B62" s="83">
        <v>1.113</v>
      </c>
      <c r="C62" s="83">
        <v>2.3370000000000002</v>
      </c>
      <c r="D62" s="45">
        <v>2.363</v>
      </c>
      <c r="E62" s="45">
        <v>2.3660000000000001</v>
      </c>
      <c r="F62" s="45">
        <v>2.2890000000000001</v>
      </c>
      <c r="G62" s="45">
        <v>10.07</v>
      </c>
      <c r="H62" s="45">
        <v>11.15</v>
      </c>
      <c r="I62" s="47">
        <v>3.43</v>
      </c>
      <c r="J62" s="47">
        <v>-7.0000000000000007E-2</v>
      </c>
      <c r="K62" s="262"/>
      <c r="L62" s="262"/>
    </row>
    <row r="63" spans="1:12">
      <c r="A63" s="42" t="s">
        <v>63</v>
      </c>
      <c r="B63" s="83">
        <v>7.8E-2</v>
      </c>
      <c r="C63" s="83">
        <v>0.44500000000000001</v>
      </c>
      <c r="D63" s="45">
        <v>0.44</v>
      </c>
      <c r="E63" s="45">
        <v>0.49299999999999999</v>
      </c>
      <c r="F63" s="45">
        <v>0.52600000000000002</v>
      </c>
      <c r="G63" s="45">
        <v>1.92</v>
      </c>
      <c r="H63" s="45">
        <v>2.56</v>
      </c>
      <c r="I63" s="47">
        <v>8.25</v>
      </c>
      <c r="J63" s="47">
        <v>0.6</v>
      </c>
      <c r="K63" s="262"/>
      <c r="L63" s="262"/>
    </row>
    <row r="64" spans="1:12">
      <c r="A64" s="84"/>
      <c r="B64" s="85"/>
      <c r="C64" s="85"/>
      <c r="D64" s="86"/>
      <c r="E64" s="86"/>
      <c r="F64" s="86"/>
      <c r="G64" s="87"/>
      <c r="H64" s="87"/>
      <c r="I64" s="87"/>
      <c r="J64" s="87"/>
      <c r="K64" s="262"/>
      <c r="L64" s="262"/>
    </row>
    <row r="65" spans="1:12" ht="19.5">
      <c r="A65" s="37" t="s">
        <v>123</v>
      </c>
      <c r="B65" s="38">
        <v>18.704000000000001</v>
      </c>
      <c r="C65" s="38">
        <v>24.222000000000001</v>
      </c>
      <c r="D65" s="39">
        <v>27.937000000000001</v>
      </c>
      <c r="E65" s="39">
        <v>31.367999999999999</v>
      </c>
      <c r="F65" s="39">
        <v>31.818999999999999</v>
      </c>
      <c r="G65" s="63">
        <v>100</v>
      </c>
      <c r="H65" s="63">
        <v>100</v>
      </c>
      <c r="I65" s="65">
        <v>1.18</v>
      </c>
      <c r="J65" s="65">
        <v>0.98</v>
      </c>
      <c r="K65" s="262"/>
      <c r="L65" s="262"/>
    </row>
    <row r="66" spans="1:12">
      <c r="A66" s="42" t="s">
        <v>35</v>
      </c>
      <c r="B66" s="83">
        <v>2.1000000000000001E-2</v>
      </c>
      <c r="C66" s="83">
        <v>1.7000000000000001E-2</v>
      </c>
      <c r="D66" s="45">
        <v>0.01</v>
      </c>
      <c r="E66" s="45">
        <v>4.0000000000000001E-3</v>
      </c>
      <c r="F66" s="45">
        <v>1E-3</v>
      </c>
      <c r="G66" s="45">
        <v>7.0000000000000007E-2</v>
      </c>
      <c r="H66" s="45">
        <v>0</v>
      </c>
      <c r="I66" s="47">
        <v>-0.91</v>
      </c>
      <c r="J66" s="47">
        <v>-8.7100000000000009</v>
      </c>
      <c r="K66" s="262"/>
      <c r="L66" s="262"/>
    </row>
    <row r="67" spans="1:12">
      <c r="A67" s="42" t="s">
        <v>36</v>
      </c>
      <c r="B67" s="83">
        <v>10.449</v>
      </c>
      <c r="C67" s="83">
        <v>3.29</v>
      </c>
      <c r="D67" s="45">
        <v>2.4670000000000001</v>
      </c>
      <c r="E67" s="45">
        <v>1.5109999999999999</v>
      </c>
      <c r="F67" s="45">
        <v>0.82899999999999996</v>
      </c>
      <c r="G67" s="45">
        <v>13.58</v>
      </c>
      <c r="H67" s="45">
        <v>2.61</v>
      </c>
      <c r="I67" s="47">
        <v>-5.12</v>
      </c>
      <c r="J67" s="47">
        <v>-4.8</v>
      </c>
      <c r="K67" s="262"/>
      <c r="L67" s="262"/>
    </row>
    <row r="68" spans="1:12">
      <c r="A68" s="42" t="s">
        <v>84</v>
      </c>
      <c r="B68" s="83">
        <v>1.849</v>
      </c>
      <c r="C68" s="83">
        <v>3.5579999999999998</v>
      </c>
      <c r="D68" s="45">
        <v>4.5839999999999996</v>
      </c>
      <c r="E68" s="45">
        <v>5.6710000000000003</v>
      </c>
      <c r="F68" s="45">
        <v>6.1449999999999996</v>
      </c>
      <c r="G68" s="45">
        <v>14.69</v>
      </c>
      <c r="H68" s="45">
        <v>19.309999999999999</v>
      </c>
      <c r="I68" s="47">
        <v>3.02</v>
      </c>
      <c r="J68" s="47">
        <v>1.97</v>
      </c>
      <c r="K68" s="262"/>
      <c r="L68" s="262"/>
    </row>
    <row r="69" spans="1:12">
      <c r="A69" s="42" t="s">
        <v>37</v>
      </c>
      <c r="B69" s="83">
        <v>5.86</v>
      </c>
      <c r="C69" s="83">
        <v>15.367000000000001</v>
      </c>
      <c r="D69" s="45">
        <v>17.562999999999999</v>
      </c>
      <c r="E69" s="45">
        <v>19.125</v>
      </c>
      <c r="F69" s="45">
        <v>19.018000000000001</v>
      </c>
      <c r="G69" s="45">
        <v>63.44</v>
      </c>
      <c r="H69" s="45">
        <v>59.77</v>
      </c>
      <c r="I69" s="47">
        <v>4.4800000000000004</v>
      </c>
      <c r="J69" s="47">
        <v>0.76</v>
      </c>
      <c r="K69" s="262"/>
      <c r="L69" s="262"/>
    </row>
    <row r="70" spans="1:12">
      <c r="A70" s="42" t="s">
        <v>120</v>
      </c>
      <c r="B70" s="83">
        <v>9.5000000000000001E-2</v>
      </c>
      <c r="C70" s="83">
        <v>0.53500000000000003</v>
      </c>
      <c r="D70" s="45">
        <v>0.64</v>
      </c>
      <c r="E70" s="45">
        <v>0.79800000000000004</v>
      </c>
      <c r="F70" s="45">
        <v>0.88700000000000001</v>
      </c>
      <c r="G70" s="45">
        <v>2.21</v>
      </c>
      <c r="H70" s="45">
        <v>2.79</v>
      </c>
      <c r="I70" s="47">
        <v>8.17</v>
      </c>
      <c r="J70" s="47">
        <v>1.82</v>
      </c>
      <c r="K70" s="262"/>
      <c r="L70" s="262"/>
    </row>
    <row r="71" spans="1:12" ht="17.25" thickBot="1">
      <c r="A71" s="42" t="s">
        <v>63</v>
      </c>
      <c r="B71" s="83">
        <v>0.43</v>
      </c>
      <c r="C71" s="83">
        <v>1.4550000000000001</v>
      </c>
      <c r="D71" s="45">
        <v>2.673</v>
      </c>
      <c r="E71" s="45">
        <v>4.258</v>
      </c>
      <c r="F71" s="45">
        <v>4.9400000000000004</v>
      </c>
      <c r="G71" s="45">
        <v>6.01</v>
      </c>
      <c r="H71" s="45">
        <v>15.52</v>
      </c>
      <c r="I71" s="47">
        <v>5.69</v>
      </c>
      <c r="J71" s="47">
        <v>4.46</v>
      </c>
      <c r="K71" s="262"/>
      <c r="L71" s="262"/>
    </row>
    <row r="72" spans="1:12">
      <c r="A72" s="495" t="s">
        <v>824</v>
      </c>
      <c r="B72" s="496"/>
      <c r="C72" s="496"/>
      <c r="D72" s="496"/>
      <c r="E72" s="496"/>
      <c r="F72" s="496"/>
      <c r="G72" s="496"/>
      <c r="H72" s="496"/>
      <c r="I72" s="496"/>
      <c r="J72" s="496"/>
      <c r="K72" s="262"/>
      <c r="L72" s="262"/>
    </row>
    <row r="73" spans="1:12" ht="17.100000000000001" customHeight="1">
      <c r="H73" s="262"/>
      <c r="I73" s="262"/>
      <c r="J73" s="263"/>
      <c r="K73" s="262"/>
      <c r="L73" s="262"/>
    </row>
    <row r="74" spans="1:12">
      <c r="H74" s="262"/>
      <c r="I74" s="262"/>
      <c r="J74" s="263"/>
      <c r="K74" s="262"/>
      <c r="L74" s="262"/>
    </row>
    <row r="75" spans="1:12">
      <c r="H75" s="262"/>
      <c r="I75" s="262"/>
      <c r="J75" s="263"/>
      <c r="K75" s="262"/>
      <c r="L75" s="262"/>
    </row>
    <row r="76" spans="1:12">
      <c r="H76" s="262"/>
      <c r="I76" s="262"/>
      <c r="J76" s="263"/>
      <c r="K76" s="262"/>
      <c r="L76" s="262"/>
    </row>
    <row r="77" spans="1:12">
      <c r="H77" s="262"/>
      <c r="I77" s="262"/>
      <c r="J77" s="263"/>
      <c r="K77" s="262"/>
      <c r="L77" s="262"/>
    </row>
    <row r="78" spans="1:12">
      <c r="H78" s="262"/>
      <c r="I78" s="262"/>
      <c r="J78" s="263"/>
      <c r="K78" s="262"/>
      <c r="L78" s="262"/>
    </row>
    <row r="79" spans="1:12">
      <c r="H79" s="262"/>
      <c r="I79" s="262"/>
      <c r="J79" s="263"/>
      <c r="K79" s="262"/>
      <c r="L79" s="262"/>
    </row>
    <row r="80" spans="1:12">
      <c r="H80" s="262"/>
      <c r="I80" s="262"/>
      <c r="J80" s="263"/>
      <c r="K80" s="262"/>
      <c r="L80" s="262"/>
    </row>
    <row r="81" spans="8:12">
      <c r="H81" s="262"/>
      <c r="I81" s="262"/>
      <c r="J81" s="263"/>
      <c r="K81" s="262"/>
      <c r="L81" s="262"/>
    </row>
    <row r="82" spans="8:12">
      <c r="H82" s="262"/>
      <c r="I82" s="262"/>
      <c r="J82" s="263"/>
      <c r="K82" s="262"/>
      <c r="L82" s="262"/>
    </row>
    <row r="83" spans="8:12">
      <c r="H83" s="262"/>
      <c r="I83" s="262"/>
      <c r="J83" s="263"/>
      <c r="K83" s="262"/>
      <c r="L83" s="262"/>
    </row>
    <row r="84" spans="8:12">
      <c r="H84" s="262"/>
      <c r="I84" s="262"/>
      <c r="J84" s="263"/>
      <c r="K84" s="262"/>
      <c r="L84" s="262"/>
    </row>
    <row r="85" spans="8:12">
      <c r="H85" s="262"/>
      <c r="I85" s="262"/>
      <c r="J85" s="263"/>
      <c r="K85" s="262"/>
      <c r="L85" s="262"/>
    </row>
    <row r="86" spans="8:12">
      <c r="H86" s="262"/>
      <c r="I86" s="262"/>
      <c r="J86" s="263"/>
      <c r="K86" s="262"/>
      <c r="L86" s="262"/>
    </row>
    <row r="87" spans="8:12">
      <c r="H87" s="262"/>
      <c r="I87" s="262"/>
      <c r="J87" s="263"/>
      <c r="K87" s="262"/>
      <c r="L87" s="262"/>
    </row>
    <row r="88" spans="8:12">
      <c r="H88" s="262"/>
      <c r="I88" s="262"/>
      <c r="J88" s="263"/>
      <c r="K88" s="262"/>
      <c r="L88" s="262"/>
    </row>
    <row r="89" spans="8:12">
      <c r="H89" s="262"/>
      <c r="I89" s="262"/>
      <c r="J89" s="263"/>
      <c r="K89" s="262"/>
      <c r="L89" s="262"/>
    </row>
    <row r="90" spans="8:12">
      <c r="H90" s="262"/>
      <c r="I90" s="262"/>
      <c r="J90" s="263"/>
      <c r="K90" s="262"/>
      <c r="L90" s="262"/>
    </row>
    <row r="91" spans="8:12">
      <c r="H91" s="262"/>
      <c r="I91" s="262"/>
      <c r="J91" s="263"/>
      <c r="K91" s="262"/>
      <c r="L91" s="262"/>
    </row>
    <row r="92" spans="8:12">
      <c r="H92" s="262"/>
      <c r="I92" s="262"/>
      <c r="J92" s="263"/>
      <c r="K92" s="262"/>
      <c r="L92" s="262"/>
    </row>
    <row r="93" spans="8:12">
      <c r="H93" s="262"/>
      <c r="I93" s="262"/>
      <c r="J93" s="263"/>
      <c r="K93" s="262"/>
      <c r="L93" s="262"/>
    </row>
    <row r="94" spans="8:12">
      <c r="H94" s="262"/>
      <c r="I94" s="262"/>
      <c r="J94" s="263"/>
      <c r="K94" s="262"/>
      <c r="L94" s="262"/>
    </row>
    <row r="95" spans="8:12">
      <c r="H95" s="262"/>
      <c r="I95" s="262"/>
      <c r="J95" s="263"/>
      <c r="K95" s="262"/>
      <c r="L95" s="262"/>
    </row>
  </sheetData>
  <mergeCells count="9">
    <mergeCell ref="A37:J37"/>
    <mergeCell ref="G39:H39"/>
    <mergeCell ref="I39:J39"/>
    <mergeCell ref="A72:J72"/>
    <mergeCell ref="A1:L1"/>
    <mergeCell ref="A2:L2"/>
    <mergeCell ref="H3:I3"/>
    <mergeCell ref="K3:L3"/>
    <mergeCell ref="A38:J38"/>
  </mergeCells>
  <phoneticPr fontId="37"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AA0B2-D049-46F8-9717-3FAA2777736C}">
  <dimension ref="A1:BQ133"/>
  <sheetViews>
    <sheetView zoomScale="79" zoomScaleNormal="100" workbookViewId="0">
      <selection activeCell="AV24" sqref="AV24"/>
    </sheetView>
  </sheetViews>
  <sheetFormatPr defaultColWidth="9.125" defaultRowHeight="16.5"/>
  <cols>
    <col min="1" max="1" width="20.625" style="30" customWidth="1"/>
    <col min="2" max="3" width="6.125" style="30" customWidth="1"/>
    <col min="4" max="4" width="6.125" style="30" customWidth="1" collapsed="1"/>
    <col min="5" max="7" width="6.125" style="30" customWidth="1"/>
    <col min="8" max="9" width="5.5" style="30" customWidth="1"/>
    <col min="10" max="10" width="0.625" style="55" customWidth="1"/>
    <col min="11" max="12" width="5.5" style="30" customWidth="1"/>
    <col min="13" max="13" width="4.375" style="30" customWidth="1"/>
    <col min="14" max="14" width="20.625" style="30" customWidth="1"/>
    <col min="15" max="15" width="14.375" style="150" customWidth="1"/>
    <col min="16" max="48" width="6.125" style="150" customWidth="1"/>
    <col min="49" max="16384" width="9.125" style="30"/>
  </cols>
  <sheetData>
    <row r="1" spans="1:49">
      <c r="P1" s="421"/>
      <c r="Q1" s="421"/>
      <c r="R1" s="421"/>
      <c r="S1" s="421"/>
      <c r="T1" s="421"/>
      <c r="U1" s="421"/>
      <c r="V1" s="421"/>
      <c r="W1" s="421"/>
      <c r="X1" s="421"/>
      <c r="Y1" s="421"/>
      <c r="Z1" s="421"/>
      <c r="AA1" s="421"/>
      <c r="AB1" s="421"/>
      <c r="AC1" s="421"/>
      <c r="AD1" s="421"/>
      <c r="AE1" s="421"/>
      <c r="AF1" s="421"/>
      <c r="AG1" s="421"/>
      <c r="AH1" s="421"/>
      <c r="AI1" s="421"/>
      <c r="AJ1" s="421"/>
      <c r="AK1" s="421"/>
      <c r="AL1" s="421"/>
      <c r="AM1" s="421"/>
      <c r="AN1" s="421"/>
      <c r="AO1" s="421"/>
      <c r="AP1" s="421"/>
      <c r="AQ1" s="421"/>
      <c r="AR1" s="30"/>
      <c r="AS1" s="30"/>
      <c r="AT1" s="30"/>
      <c r="AU1" s="30"/>
      <c r="AV1" s="30"/>
    </row>
    <row r="2" spans="1:49">
      <c r="N2" s="257" t="s">
        <v>606</v>
      </c>
      <c r="O2" s="30"/>
      <c r="P2" s="421"/>
      <c r="Q2" s="421"/>
      <c r="R2" s="421"/>
      <c r="S2" s="421"/>
      <c r="T2" s="421"/>
      <c r="U2" s="421"/>
      <c r="V2" s="421"/>
      <c r="W2" s="421"/>
      <c r="X2" s="421"/>
      <c r="Y2" s="421"/>
      <c r="Z2" s="421"/>
      <c r="AA2" s="421"/>
      <c r="AB2" s="421"/>
      <c r="AC2" s="421"/>
      <c r="AD2" s="421"/>
      <c r="AE2" s="421"/>
      <c r="AF2" s="421"/>
      <c r="AG2" s="421"/>
      <c r="AH2" s="421"/>
      <c r="AI2" s="421"/>
      <c r="AJ2" s="421"/>
      <c r="AK2" s="421"/>
      <c r="AL2" s="421"/>
      <c r="AM2" s="421"/>
      <c r="AN2" s="421"/>
      <c r="AO2" s="421"/>
      <c r="AP2" s="421"/>
      <c r="AQ2" s="421"/>
      <c r="AR2" s="30"/>
      <c r="AS2" s="30"/>
      <c r="AT2" s="30"/>
      <c r="AU2" s="30"/>
      <c r="AV2" s="30"/>
    </row>
    <row r="3" spans="1:49">
      <c r="N3" s="387">
        <f>About!C89</f>
        <v>39656668310000</v>
      </c>
      <c r="O3" s="256" t="s">
        <v>29</v>
      </c>
      <c r="P3" s="436" t="s">
        <v>1161</v>
      </c>
      <c r="Q3" s="421"/>
      <c r="R3" s="421"/>
      <c r="S3" s="421"/>
      <c r="T3" s="421"/>
      <c r="U3" s="421"/>
      <c r="V3" s="421"/>
      <c r="W3" s="421"/>
      <c r="X3" s="421"/>
      <c r="Y3" s="421"/>
      <c r="Z3" s="421"/>
      <c r="AA3" s="421"/>
      <c r="AB3" s="421"/>
      <c r="AC3" s="421"/>
      <c r="AD3" s="421"/>
      <c r="AE3" s="421"/>
      <c r="AF3" s="421"/>
      <c r="AG3" s="421"/>
      <c r="AH3" s="421"/>
      <c r="AI3" s="421"/>
      <c r="AJ3" s="421"/>
      <c r="AK3" s="421"/>
      <c r="AL3" s="421"/>
      <c r="AM3" s="421"/>
      <c r="AN3" s="421"/>
      <c r="AO3" s="421"/>
      <c r="AP3" s="421"/>
      <c r="AQ3" s="421"/>
      <c r="AR3" s="30"/>
      <c r="AS3" s="30"/>
      <c r="AT3" s="30"/>
      <c r="AU3" s="30"/>
      <c r="AV3" s="30"/>
    </row>
    <row r="4" spans="1:49">
      <c r="A4" s="502" t="s">
        <v>825</v>
      </c>
      <c r="B4" s="503"/>
      <c r="C4" s="503"/>
      <c r="D4" s="503"/>
      <c r="E4" s="503"/>
      <c r="F4" s="503"/>
      <c r="G4" s="503"/>
      <c r="H4" s="503"/>
      <c r="I4" s="503"/>
      <c r="J4" s="503"/>
      <c r="K4" s="503"/>
      <c r="L4" s="503"/>
      <c r="O4" s="30"/>
      <c r="P4" s="436" t="s">
        <v>881</v>
      </c>
      <c r="Q4" s="421"/>
      <c r="R4" s="421"/>
      <c r="S4" s="421"/>
      <c r="T4" s="421"/>
      <c r="U4" s="421"/>
      <c r="V4" s="421"/>
      <c r="W4" s="421"/>
      <c r="X4" s="421"/>
      <c r="Y4" s="421"/>
      <c r="Z4" s="421"/>
      <c r="AA4" s="421"/>
      <c r="AB4" s="421"/>
      <c r="AC4" s="421"/>
      <c r="AD4" s="421"/>
      <c r="AE4" s="421"/>
      <c r="AF4" s="421"/>
      <c r="AG4" s="421"/>
      <c r="AH4" s="421"/>
      <c r="AI4" s="421"/>
      <c r="AJ4" s="421"/>
      <c r="AK4" s="421"/>
      <c r="AL4" s="421"/>
      <c r="AM4" s="421"/>
      <c r="AN4" s="421"/>
      <c r="AO4" s="421"/>
      <c r="AP4" s="421"/>
      <c r="AQ4" s="421"/>
      <c r="AR4" s="30"/>
      <c r="AS4" s="30"/>
      <c r="AT4" s="30"/>
      <c r="AU4" s="30"/>
      <c r="AV4" s="30"/>
    </row>
    <row r="5" spans="1:49">
      <c r="A5" s="504" t="s">
        <v>117</v>
      </c>
      <c r="B5" s="504"/>
      <c r="C5" s="504"/>
      <c r="D5" s="504"/>
      <c r="E5" s="504"/>
      <c r="F5" s="504"/>
      <c r="G5" s="504"/>
      <c r="H5" s="504"/>
      <c r="I5" s="504"/>
      <c r="J5" s="504"/>
      <c r="K5" s="504"/>
      <c r="L5" s="504"/>
      <c r="N5" s="153" t="s">
        <v>438</v>
      </c>
      <c r="O5" s="153"/>
      <c r="P5" s="427"/>
      <c r="Q5" s="153"/>
      <c r="R5" s="153"/>
      <c r="S5" s="153"/>
      <c r="T5" s="153"/>
      <c r="U5" s="153"/>
      <c r="V5" s="153"/>
      <c r="W5" s="153"/>
      <c r="X5" s="153"/>
      <c r="Y5" s="153"/>
      <c r="Z5" s="153"/>
      <c r="AA5" s="153"/>
      <c r="AB5" s="153"/>
      <c r="AC5" s="153"/>
      <c r="AD5" s="153"/>
      <c r="AE5" s="153"/>
      <c r="AF5" s="153"/>
      <c r="AG5" s="153"/>
      <c r="AI5" s="153"/>
      <c r="AJ5" s="153"/>
      <c r="AK5" s="153"/>
      <c r="AL5" s="153"/>
      <c r="AM5" s="153"/>
      <c r="AN5" s="153"/>
      <c r="AO5" s="153"/>
      <c r="AP5" s="153"/>
      <c r="AQ5" s="153"/>
      <c r="AS5" s="30"/>
      <c r="AT5" s="30"/>
      <c r="AU5" s="30"/>
      <c r="AV5" s="30"/>
    </row>
    <row r="6" spans="1:49" ht="15" customHeight="1">
      <c r="A6" s="31"/>
      <c r="B6" s="32"/>
      <c r="C6" s="32"/>
      <c r="D6" s="32"/>
      <c r="E6" s="32"/>
      <c r="F6" s="32"/>
      <c r="G6" s="32"/>
      <c r="H6" s="494" t="s">
        <v>30</v>
      </c>
      <c r="I6" s="494"/>
      <c r="J6" s="33"/>
      <c r="K6" s="494" t="s">
        <v>31</v>
      </c>
      <c r="L6" s="494"/>
      <c r="N6" s="31"/>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46"/>
      <c r="AU6" s="146"/>
      <c r="AV6" s="146"/>
    </row>
    <row r="7" spans="1:49" ht="15" customHeight="1">
      <c r="A7" s="31"/>
      <c r="B7" s="34">
        <v>2000</v>
      </c>
      <c r="C7" s="34">
        <v>2018</v>
      </c>
      <c r="D7" s="34">
        <v>2022</v>
      </c>
      <c r="E7" s="34">
        <v>2030</v>
      </c>
      <c r="F7" s="34">
        <v>2040</v>
      </c>
      <c r="G7" s="34">
        <v>2050</v>
      </c>
      <c r="H7" s="35">
        <v>2022</v>
      </c>
      <c r="I7" s="35">
        <v>2050</v>
      </c>
      <c r="J7" s="36"/>
      <c r="K7" s="35" t="s">
        <v>822</v>
      </c>
      <c r="L7" s="35" t="s">
        <v>823</v>
      </c>
      <c r="N7" s="31"/>
      <c r="O7" s="144">
        <v>2000</v>
      </c>
      <c r="P7" s="144">
        <v>2018</v>
      </c>
      <c r="Q7" s="144">
        <v>2019</v>
      </c>
      <c r="R7" s="156">
        <v>2020</v>
      </c>
      <c r="S7" s="144">
        <v>2021</v>
      </c>
      <c r="T7" s="144">
        <v>2022</v>
      </c>
      <c r="U7" s="144">
        <v>2023</v>
      </c>
      <c r="V7" s="144">
        <v>2024</v>
      </c>
      <c r="W7" s="156">
        <v>2025</v>
      </c>
      <c r="X7" s="144">
        <v>2026</v>
      </c>
      <c r="Y7" s="144">
        <v>2027</v>
      </c>
      <c r="Z7" s="144">
        <v>2028</v>
      </c>
      <c r="AA7" s="144">
        <v>2029</v>
      </c>
      <c r="AB7" s="156">
        <v>2030</v>
      </c>
      <c r="AC7" s="144">
        <v>2031</v>
      </c>
      <c r="AD7" s="144">
        <v>2032</v>
      </c>
      <c r="AE7" s="144">
        <v>2033</v>
      </c>
      <c r="AF7" s="144">
        <v>2034</v>
      </c>
      <c r="AG7" s="156">
        <v>2035</v>
      </c>
      <c r="AH7" s="144">
        <v>2036</v>
      </c>
      <c r="AI7" s="144">
        <v>2037</v>
      </c>
      <c r="AJ7" s="144">
        <v>2038</v>
      </c>
      <c r="AK7" s="144">
        <v>2039</v>
      </c>
      <c r="AL7" s="156">
        <v>2040</v>
      </c>
      <c r="AM7" s="144">
        <v>2041</v>
      </c>
      <c r="AN7" s="144">
        <v>2042</v>
      </c>
      <c r="AO7" s="144">
        <v>2043</v>
      </c>
      <c r="AP7" s="144">
        <v>2044</v>
      </c>
      <c r="AQ7" s="156">
        <v>2045</v>
      </c>
      <c r="AR7" s="144">
        <v>2046</v>
      </c>
      <c r="AS7" s="144">
        <v>2047</v>
      </c>
      <c r="AT7" s="144">
        <v>2048</v>
      </c>
      <c r="AU7" s="144">
        <v>2049</v>
      </c>
      <c r="AV7" s="144">
        <v>2050</v>
      </c>
      <c r="AW7" s="170" t="s">
        <v>447</v>
      </c>
    </row>
    <row r="8" spans="1:49" ht="13.5" customHeight="1">
      <c r="A8" s="37" t="s">
        <v>34</v>
      </c>
      <c r="B8" s="38"/>
      <c r="C8" s="38"/>
      <c r="D8" s="38"/>
      <c r="E8" s="39"/>
      <c r="F8" s="39"/>
      <c r="G8" s="39"/>
      <c r="H8" s="40"/>
      <c r="I8" s="40"/>
      <c r="J8" s="41"/>
      <c r="K8" s="40"/>
      <c r="L8" s="40"/>
      <c r="N8" s="37" t="s">
        <v>34</v>
      </c>
      <c r="O8" s="147"/>
      <c r="P8" s="147"/>
      <c r="Q8" s="148"/>
      <c r="R8" s="157"/>
      <c r="S8" s="148"/>
      <c r="T8" s="147"/>
      <c r="U8" s="148"/>
      <c r="V8" s="148"/>
      <c r="W8" s="157"/>
      <c r="X8" s="148"/>
      <c r="Y8" s="148"/>
      <c r="Z8" s="148"/>
      <c r="AA8" s="148"/>
      <c r="AB8" s="157"/>
      <c r="AC8" s="148"/>
      <c r="AD8" s="148"/>
      <c r="AE8" s="148"/>
      <c r="AF8" s="148"/>
      <c r="AG8" s="157"/>
      <c r="AH8" s="148"/>
      <c r="AI8" s="148"/>
      <c r="AJ8" s="148"/>
      <c r="AK8" s="148"/>
      <c r="AL8" s="157"/>
      <c r="AM8" s="148"/>
      <c r="AN8" s="148"/>
      <c r="AO8" s="148"/>
      <c r="AP8" s="148"/>
      <c r="AQ8" s="157"/>
      <c r="AR8" s="148"/>
      <c r="AS8" s="148"/>
      <c r="AT8" s="148"/>
      <c r="AU8" s="148"/>
      <c r="AV8" s="148"/>
    </row>
    <row r="9" spans="1:49" ht="13.5" customHeight="1">
      <c r="A9" s="42" t="s">
        <v>441</v>
      </c>
      <c r="B9" s="43">
        <v>35.962000000000003</v>
      </c>
      <c r="C9" s="43">
        <v>71.519000000000005</v>
      </c>
      <c r="D9" s="43">
        <v>81.052000000000007</v>
      </c>
      <c r="E9" s="44">
        <v>73.45</v>
      </c>
      <c r="F9" s="44">
        <v>79.043999999999997</v>
      </c>
      <c r="G9" s="44">
        <v>81.483999999999995</v>
      </c>
      <c r="H9" s="45">
        <v>100</v>
      </c>
      <c r="I9" s="45">
        <v>100</v>
      </c>
      <c r="J9" s="46"/>
      <c r="K9" s="47">
        <v>3.16</v>
      </c>
      <c r="L9" s="47">
        <v>0.75</v>
      </c>
      <c r="N9" s="42" t="s">
        <v>441</v>
      </c>
      <c r="O9" s="149">
        <f>B9*$N$3</f>
        <v>1426133105764220.3</v>
      </c>
      <c r="P9" s="149">
        <f t="shared" ref="P9:Y14" si="0">AK64*$N$3</f>
        <v>2858897520289901.5</v>
      </c>
      <c r="Q9" s="151">
        <f t="shared" si="0"/>
        <v>2855389650037872.5</v>
      </c>
      <c r="R9" s="151">
        <f t="shared" si="0"/>
        <v>2742420254216531.5</v>
      </c>
      <c r="S9" s="151">
        <f t="shared" si="0"/>
        <v>3027811124232944</v>
      </c>
      <c r="T9" s="417">
        <f t="shared" si="0"/>
        <v>2873709210164356.5</v>
      </c>
      <c r="U9" s="151">
        <f t="shared" si="0"/>
        <v>2689551753195821.5</v>
      </c>
      <c r="V9" s="151">
        <f t="shared" si="0"/>
        <v>2620018400413147</v>
      </c>
      <c r="W9" s="151">
        <f t="shared" si="0"/>
        <v>2588307634573798</v>
      </c>
      <c r="X9" s="151">
        <f t="shared" si="0"/>
        <v>2552316077549915</v>
      </c>
      <c r="Y9" s="151">
        <f t="shared" si="0"/>
        <v>2512320788187096</v>
      </c>
      <c r="Z9" s="151">
        <f t="shared" ref="Z9:AG14" si="1">AU64*$N$3</f>
        <v>2469137747061987.5</v>
      </c>
      <c r="AA9" s="151">
        <f t="shared" si="1"/>
        <v>2406871560882541.5</v>
      </c>
      <c r="AB9" s="151">
        <f t="shared" si="1"/>
        <v>2358626220596573</v>
      </c>
      <c r="AC9" s="151">
        <f t="shared" si="1"/>
        <v>2341572914172979</v>
      </c>
      <c r="AD9" s="151">
        <f t="shared" si="1"/>
        <v>2324468559877946.5</v>
      </c>
      <c r="AE9" s="151">
        <f t="shared" si="1"/>
        <v>2307312284908976.5</v>
      </c>
      <c r="AF9" s="151">
        <f t="shared" si="1"/>
        <v>2290103191037187</v>
      </c>
      <c r="AG9" s="479">
        <f t="shared" si="1"/>
        <v>2260074194124283</v>
      </c>
      <c r="AH9" s="151">
        <f t="shared" ref="AH9:AV9" si="2">BC64*$N$3</f>
        <v>2256015103577399</v>
      </c>
      <c r="AI9" s="151">
        <f t="shared" si="2"/>
        <v>2251956013030516</v>
      </c>
      <c r="AJ9" s="151">
        <f t="shared" si="2"/>
        <v>2247896922483632.3</v>
      </c>
      <c r="AK9" s="151">
        <f t="shared" si="2"/>
        <v>2243837831936748</v>
      </c>
      <c r="AL9" s="151">
        <f t="shared" si="2"/>
        <v>2239778741389863.8</v>
      </c>
      <c r="AM9" s="151">
        <f t="shared" si="2"/>
        <v>2236257089594655</v>
      </c>
      <c r="AN9" s="151">
        <f t="shared" si="2"/>
        <v>2232735437799445.5</v>
      </c>
      <c r="AO9" s="151">
        <f t="shared" si="2"/>
        <v>2229213786004237</v>
      </c>
      <c r="AP9" s="151">
        <f t="shared" si="2"/>
        <v>2225692134209027.3</v>
      </c>
      <c r="AQ9" s="151">
        <f t="shared" si="2"/>
        <v>2222170482413818</v>
      </c>
      <c r="AR9" s="151">
        <f t="shared" si="2"/>
        <v>2218648830618608.3</v>
      </c>
      <c r="AS9" s="151">
        <f t="shared" si="2"/>
        <v>2215127178823399.8</v>
      </c>
      <c r="AT9" s="151">
        <f t="shared" si="2"/>
        <v>2211605527028190.5</v>
      </c>
      <c r="AU9" s="151">
        <f t="shared" si="2"/>
        <v>2208083875232981</v>
      </c>
      <c r="AV9" s="151">
        <f t="shared" si="2"/>
        <v>2204562223437771.8</v>
      </c>
      <c r="AW9" s="174">
        <f>(AV9/R9)^(1/30)-1</f>
        <v>-7.2506490857949801E-3</v>
      </c>
    </row>
    <row r="10" spans="1:49" ht="13.5" customHeight="1">
      <c r="A10" s="48" t="s">
        <v>45</v>
      </c>
      <c r="B10" s="43">
        <v>0.27300000000000002</v>
      </c>
      <c r="C10" s="43">
        <v>0.219</v>
      </c>
      <c r="D10" s="43">
        <v>0.26</v>
      </c>
      <c r="E10" s="44">
        <v>2.9470000000000001</v>
      </c>
      <c r="F10" s="44">
        <v>3.0470000000000002</v>
      </c>
      <c r="G10" s="44">
        <v>2.891</v>
      </c>
      <c r="H10" s="45">
        <v>4.0599999999999996</v>
      </c>
      <c r="I10" s="45">
        <v>3.55</v>
      </c>
      <c r="J10" s="46"/>
      <c r="K10" s="47">
        <v>2.88</v>
      </c>
      <c r="L10" s="47">
        <v>0.27</v>
      </c>
      <c r="N10" s="48" t="s">
        <v>45</v>
      </c>
      <c r="O10" s="149">
        <f t="shared" ref="O10:O14" si="3">B10*$N$3</f>
        <v>10826270448630</v>
      </c>
      <c r="P10" s="149">
        <f t="shared" si="0"/>
        <v>8673071986070.2402</v>
      </c>
      <c r="Q10" s="151">
        <f t="shared" si="0"/>
        <v>8125611680050.6895</v>
      </c>
      <c r="R10" s="151">
        <f t="shared" si="0"/>
        <v>8063747277487.0898</v>
      </c>
      <c r="S10" s="151">
        <f t="shared" si="0"/>
        <v>9078648069632.9902</v>
      </c>
      <c r="T10" s="417">
        <f t="shared" si="0"/>
        <v>8634975592192.1592</v>
      </c>
      <c r="U10" s="151">
        <f t="shared" si="0"/>
        <v>8111772446353.2168</v>
      </c>
      <c r="V10" s="151">
        <f t="shared" si="0"/>
        <v>7912535670253.1523</v>
      </c>
      <c r="W10" s="151">
        <f t="shared" si="0"/>
        <v>7826445619960.8887</v>
      </c>
      <c r="X10" s="151">
        <f t="shared" si="0"/>
        <v>7727604381602.2383</v>
      </c>
      <c r="Y10" s="151">
        <f t="shared" si="0"/>
        <v>7616144640503.6396</v>
      </c>
      <c r="Z10" s="151">
        <f t="shared" si="1"/>
        <v>7491221140184.2188</v>
      </c>
      <c r="AA10" s="151">
        <f t="shared" si="1"/>
        <v>6617163631665.5732</v>
      </c>
      <c r="AB10" s="151">
        <f t="shared" si="1"/>
        <v>5759310015852.2344</v>
      </c>
      <c r="AC10" s="151">
        <f t="shared" si="1"/>
        <v>5717669132853.8418</v>
      </c>
      <c r="AD10" s="151">
        <f t="shared" si="1"/>
        <v>5675903600805.6357</v>
      </c>
      <c r="AE10" s="151">
        <f t="shared" si="1"/>
        <v>5634011288492.3643</v>
      </c>
      <c r="AF10" s="151">
        <f t="shared" si="1"/>
        <v>5591990002612.4561</v>
      </c>
      <c r="AG10" s="479">
        <f t="shared" si="1"/>
        <v>4856107799554.9746</v>
      </c>
      <c r="AH10" s="151">
        <f t="shared" ref="AH10:AV10" si="4">BC65*$N$3</f>
        <v>4714572768523.917</v>
      </c>
      <c r="AI10" s="151">
        <f t="shared" si="4"/>
        <v>4573037737492.8926</v>
      </c>
      <c r="AJ10" s="151">
        <f t="shared" si="4"/>
        <v>4431502706461.8311</v>
      </c>
      <c r="AK10" s="151">
        <f t="shared" si="4"/>
        <v>4289967675430.771</v>
      </c>
      <c r="AL10" s="151">
        <f t="shared" si="4"/>
        <v>4148432644399.6777</v>
      </c>
      <c r="AM10" s="151">
        <f t="shared" si="4"/>
        <v>4075800522921.9429</v>
      </c>
      <c r="AN10" s="151">
        <f t="shared" si="4"/>
        <v>4003168401444.2124</v>
      </c>
      <c r="AO10" s="151">
        <f t="shared" si="4"/>
        <v>3930536279966.4814</v>
      </c>
      <c r="AP10" s="151">
        <f t="shared" si="4"/>
        <v>3857904158488.751</v>
      </c>
      <c r="AQ10" s="151">
        <f t="shared" si="4"/>
        <v>3785272037011.02</v>
      </c>
      <c r="AR10" s="151">
        <f t="shared" si="4"/>
        <v>3712639915533.2896</v>
      </c>
      <c r="AS10" s="151">
        <f t="shared" si="4"/>
        <v>3640007794055.5586</v>
      </c>
      <c r="AT10" s="151">
        <f t="shared" si="4"/>
        <v>3567375672577.8276</v>
      </c>
      <c r="AU10" s="151">
        <f t="shared" si="4"/>
        <v>3494743551100.0967</v>
      </c>
      <c r="AV10" s="151">
        <f t="shared" si="4"/>
        <v>3422111429622.3594</v>
      </c>
      <c r="AW10" s="171"/>
    </row>
    <row r="11" spans="1:49" ht="13.5" customHeight="1">
      <c r="A11" s="48" t="s">
        <v>41</v>
      </c>
      <c r="B11" s="43">
        <v>33.057000000000002</v>
      </c>
      <c r="C11" s="43">
        <v>62.287999999999997</v>
      </c>
      <c r="D11" s="43">
        <v>69.561999999999998</v>
      </c>
      <c r="E11" s="44">
        <v>59.665999999999997</v>
      </c>
      <c r="F11" s="44">
        <v>62.814</v>
      </c>
      <c r="G11" s="44">
        <v>63.743000000000002</v>
      </c>
      <c r="H11" s="45">
        <v>83.36</v>
      </c>
      <c r="I11" s="45">
        <v>78.23</v>
      </c>
      <c r="J11" s="46"/>
      <c r="K11" s="47">
        <v>2.86</v>
      </c>
      <c r="L11" s="47">
        <v>0.53</v>
      </c>
      <c r="N11" s="48" t="s">
        <v>41</v>
      </c>
      <c r="O11" s="149">
        <f t="shared" si="3"/>
        <v>1310930484323670</v>
      </c>
      <c r="P11" s="149">
        <f t="shared" si="0"/>
        <v>2460210831358717.5</v>
      </c>
      <c r="Q11" s="151">
        <f t="shared" si="0"/>
        <v>2409341478024074.5</v>
      </c>
      <c r="R11" s="151">
        <f t="shared" si="0"/>
        <v>2291916179638085.5</v>
      </c>
      <c r="S11" s="151">
        <f t="shared" si="0"/>
        <v>2566768914236943</v>
      </c>
      <c r="T11" s="417">
        <f t="shared" si="0"/>
        <v>2421240328222027</v>
      </c>
      <c r="U11" s="151">
        <f t="shared" si="0"/>
        <v>2251609160409767.3</v>
      </c>
      <c r="V11" s="151">
        <f t="shared" si="0"/>
        <v>2180471317105041</v>
      </c>
      <c r="W11" s="151">
        <f t="shared" si="0"/>
        <v>2141346124361726.8</v>
      </c>
      <c r="X11" s="151">
        <f t="shared" si="0"/>
        <v>2099347945472492.3</v>
      </c>
      <c r="Y11" s="151">
        <f t="shared" si="0"/>
        <v>2054570822809583.3</v>
      </c>
      <c r="Z11" s="151">
        <f t="shared" si="1"/>
        <v>2006843923294813.5</v>
      </c>
      <c r="AA11" s="151">
        <f t="shared" si="1"/>
        <v>1943316557327490.5</v>
      </c>
      <c r="AB11" s="151">
        <f t="shared" si="1"/>
        <v>1821056675950741.8</v>
      </c>
      <c r="AC11" s="151">
        <f t="shared" si="1"/>
        <v>1807890097355738.8</v>
      </c>
      <c r="AD11" s="151">
        <f t="shared" si="1"/>
        <v>1794684105535247.3</v>
      </c>
      <c r="AE11" s="151">
        <f t="shared" si="1"/>
        <v>1781438026612751.5</v>
      </c>
      <c r="AF11" s="151">
        <f t="shared" si="1"/>
        <v>1768151167080443.8</v>
      </c>
      <c r="AG11" s="479">
        <f t="shared" si="1"/>
        <v>1742750383241940</v>
      </c>
      <c r="AH11" s="151">
        <f t="shared" ref="AH11:AV11" si="5">BC66*$N$3</f>
        <v>1739176218092356.3</v>
      </c>
      <c r="AI11" s="151">
        <f t="shared" si="5"/>
        <v>1735602052942773.8</v>
      </c>
      <c r="AJ11" s="151">
        <f t="shared" si="5"/>
        <v>1732027887793189.8</v>
      </c>
      <c r="AK11" s="151">
        <f t="shared" si="5"/>
        <v>1728453722643606.3</v>
      </c>
      <c r="AL11" s="151">
        <f t="shared" si="5"/>
        <v>1724879557494023.5</v>
      </c>
      <c r="AM11" s="151">
        <f t="shared" si="5"/>
        <v>1721946393113666.3</v>
      </c>
      <c r="AN11" s="151">
        <f t="shared" si="5"/>
        <v>1719013228733309.3</v>
      </c>
      <c r="AO11" s="151">
        <f t="shared" si="5"/>
        <v>1716080064352953</v>
      </c>
      <c r="AP11" s="151">
        <f t="shared" si="5"/>
        <v>1713146899972595.8</v>
      </c>
      <c r="AQ11" s="151">
        <f t="shared" si="5"/>
        <v>1710213735592240</v>
      </c>
      <c r="AR11" s="151">
        <f t="shared" si="5"/>
        <v>1707280571211882.8</v>
      </c>
      <c r="AS11" s="151">
        <f t="shared" si="5"/>
        <v>1704347406831527</v>
      </c>
      <c r="AT11" s="151">
        <f t="shared" si="5"/>
        <v>1701414242451169.5</v>
      </c>
      <c r="AU11" s="151">
        <f t="shared" si="5"/>
        <v>1698481078070812.3</v>
      </c>
      <c r="AV11" s="151">
        <f t="shared" si="5"/>
        <v>1695547913690456.8</v>
      </c>
      <c r="AW11" s="171"/>
    </row>
    <row r="12" spans="1:49" ht="13.5" customHeight="1">
      <c r="A12" s="48" t="s">
        <v>42</v>
      </c>
      <c r="B12" s="43">
        <v>0.31900000000000001</v>
      </c>
      <c r="C12" s="43">
        <v>3.653</v>
      </c>
      <c r="D12" s="43">
        <v>4.5960000000000001</v>
      </c>
      <c r="E12" s="44">
        <v>3.339</v>
      </c>
      <c r="F12" s="44">
        <v>4.0410000000000004</v>
      </c>
      <c r="G12" s="44">
        <v>4.4880000000000004</v>
      </c>
      <c r="H12" s="45">
        <v>3.39</v>
      </c>
      <c r="I12" s="45">
        <v>5.51</v>
      </c>
      <c r="J12" s="46"/>
      <c r="K12" s="47">
        <v>9.25</v>
      </c>
      <c r="L12" s="47">
        <v>2.52</v>
      </c>
      <c r="N12" s="48" t="s">
        <v>42</v>
      </c>
      <c r="O12" s="149">
        <f t="shared" si="3"/>
        <v>12650477190890</v>
      </c>
      <c r="P12" s="149">
        <f t="shared" si="0"/>
        <v>177485044944805.69</v>
      </c>
      <c r="Q12" s="151">
        <f t="shared" si="0"/>
        <v>225207919245728.03</v>
      </c>
      <c r="R12" s="151">
        <f t="shared" si="0"/>
        <v>239658452267877.22</v>
      </c>
      <c r="S12" s="151">
        <f t="shared" si="0"/>
        <v>269821792546433.97</v>
      </c>
      <c r="T12" s="417">
        <f t="shared" si="0"/>
        <v>270593384099338.03</v>
      </c>
      <c r="U12" s="151">
        <f t="shared" si="0"/>
        <v>267087141451187.66</v>
      </c>
      <c r="V12" s="151">
        <f t="shared" si="0"/>
        <v>272888087128781.81</v>
      </c>
      <c r="W12" s="151">
        <f t="shared" si="0"/>
        <v>281941304180408.56</v>
      </c>
      <c r="X12" s="151">
        <f t="shared" si="0"/>
        <v>290054480806454.19</v>
      </c>
      <c r="Y12" s="151">
        <f t="shared" si="0"/>
        <v>297187325278027.25</v>
      </c>
      <c r="Z12" s="151">
        <f t="shared" si="1"/>
        <v>303262213939679.5</v>
      </c>
      <c r="AA12" s="151">
        <f t="shared" si="1"/>
        <v>308215478359687.5</v>
      </c>
      <c r="AB12" s="151">
        <f t="shared" si="1"/>
        <v>314509748772367</v>
      </c>
      <c r="AC12" s="151">
        <f t="shared" si="1"/>
        <v>312235784770700.69</v>
      </c>
      <c r="AD12" s="151">
        <f t="shared" si="1"/>
        <v>309955013817987.63</v>
      </c>
      <c r="AE12" s="151">
        <f t="shared" si="1"/>
        <v>307667319530846.31</v>
      </c>
      <c r="AF12" s="151">
        <f t="shared" si="1"/>
        <v>305372582135428.31</v>
      </c>
      <c r="AG12" s="479">
        <f t="shared" si="1"/>
        <v>303070678326944.94</v>
      </c>
      <c r="AH12" s="151">
        <f t="shared" ref="AH12:AV12" si="6">BC67*$N$3</f>
        <v>302867599087784.75</v>
      </c>
      <c r="AI12" s="151">
        <f t="shared" si="6"/>
        <v>302664519848624.63</v>
      </c>
      <c r="AJ12" s="151">
        <f t="shared" si="6"/>
        <v>302461440609464.44</v>
      </c>
      <c r="AK12" s="151">
        <f t="shared" si="6"/>
        <v>302258361370304.31</v>
      </c>
      <c r="AL12" s="151">
        <f t="shared" si="6"/>
        <v>302055282131144.25</v>
      </c>
      <c r="AM12" s="151">
        <f t="shared" si="6"/>
        <v>301750208049907.13</v>
      </c>
      <c r="AN12" s="151">
        <f t="shared" si="6"/>
        <v>301445133968670.13</v>
      </c>
      <c r="AO12" s="151">
        <f t="shared" si="6"/>
        <v>301140059887433.06</v>
      </c>
      <c r="AP12" s="151">
        <f t="shared" si="6"/>
        <v>300834985806196.06</v>
      </c>
      <c r="AQ12" s="151">
        <f t="shared" si="6"/>
        <v>300529911724959</v>
      </c>
      <c r="AR12" s="151">
        <f t="shared" si="6"/>
        <v>300224837643722</v>
      </c>
      <c r="AS12" s="151">
        <f t="shared" si="6"/>
        <v>299919763562484.94</v>
      </c>
      <c r="AT12" s="151">
        <f t="shared" si="6"/>
        <v>299614689481247.88</v>
      </c>
      <c r="AU12" s="151">
        <f t="shared" si="6"/>
        <v>299309615400010.88</v>
      </c>
      <c r="AV12" s="151">
        <f t="shared" si="6"/>
        <v>299004541318773.94</v>
      </c>
      <c r="AW12" s="171"/>
    </row>
    <row r="13" spans="1:49" ht="13.5" customHeight="1">
      <c r="A13" s="48" t="s">
        <v>43</v>
      </c>
      <c r="B13" s="43">
        <v>2.3130000000000002</v>
      </c>
      <c r="C13" s="43">
        <v>5.359</v>
      </c>
      <c r="D13" s="43">
        <v>6.633</v>
      </c>
      <c r="E13" s="44">
        <v>5.7110000000000003</v>
      </c>
      <c r="F13" s="44">
        <v>7.024</v>
      </c>
      <c r="G13" s="44">
        <v>7.9969999999999999</v>
      </c>
      <c r="H13" s="45">
        <v>6.96</v>
      </c>
      <c r="I13" s="45">
        <v>9.81</v>
      </c>
      <c r="J13" s="46"/>
      <c r="K13" s="47">
        <v>3.89</v>
      </c>
      <c r="L13" s="47">
        <v>2</v>
      </c>
      <c r="N13" s="48" t="s">
        <v>43</v>
      </c>
      <c r="O13" s="149">
        <f t="shared" si="3"/>
        <v>91725873801030</v>
      </c>
      <c r="P13" s="149">
        <f t="shared" si="0"/>
        <v>212528572000308.31</v>
      </c>
      <c r="Q13" s="151">
        <f t="shared" si="0"/>
        <v>212714641088018.88</v>
      </c>
      <c r="R13" s="151">
        <f t="shared" si="0"/>
        <v>202781875033081.47</v>
      </c>
      <c r="S13" s="151">
        <f t="shared" si="0"/>
        <v>182141769379934.19</v>
      </c>
      <c r="T13" s="417">
        <f t="shared" si="0"/>
        <v>173240522250798.75</v>
      </c>
      <c r="U13" s="151">
        <f t="shared" si="0"/>
        <v>162743678888513.31</v>
      </c>
      <c r="V13" s="151">
        <f t="shared" si="0"/>
        <v>158746460509071.63</v>
      </c>
      <c r="W13" s="151">
        <f t="shared" si="0"/>
        <v>157019265670592.31</v>
      </c>
      <c r="X13" s="151">
        <f t="shared" si="0"/>
        <v>155036248165754.03</v>
      </c>
      <c r="Y13" s="151">
        <f t="shared" si="0"/>
        <v>152800070014269.75</v>
      </c>
      <c r="Z13" s="151">
        <f t="shared" si="1"/>
        <v>150293773128346.53</v>
      </c>
      <c r="AA13" s="151">
        <f t="shared" si="1"/>
        <v>147508733667513.28</v>
      </c>
      <c r="AB13" s="151">
        <f t="shared" si="1"/>
        <v>144433800694913.06</v>
      </c>
      <c r="AC13" s="151">
        <f t="shared" si="1"/>
        <v>143389517442371.41</v>
      </c>
      <c r="AD13" s="151">
        <f t="shared" si="1"/>
        <v>142342108201479.03</v>
      </c>
      <c r="AE13" s="151">
        <f t="shared" si="1"/>
        <v>141291519524944.91</v>
      </c>
      <c r="AF13" s="151">
        <f t="shared" si="1"/>
        <v>140237696408457.45</v>
      </c>
      <c r="AG13" s="479">
        <f t="shared" si="1"/>
        <v>139180582226175.08</v>
      </c>
      <c r="AH13" s="151">
        <f t="shared" ref="AH13:AV13" si="7">BC68*$N$3</f>
        <v>139087321185877.83</v>
      </c>
      <c r="AI13" s="151">
        <f t="shared" si="7"/>
        <v>138994060145580.56</v>
      </c>
      <c r="AJ13" s="151">
        <f t="shared" si="7"/>
        <v>138900799105283.36</v>
      </c>
      <c r="AK13" s="151">
        <f t="shared" si="7"/>
        <v>138807538064986.16</v>
      </c>
      <c r="AL13" s="151">
        <f t="shared" si="7"/>
        <v>138714277024688.94</v>
      </c>
      <c r="AM13" s="151">
        <f t="shared" si="7"/>
        <v>138574176410261.06</v>
      </c>
      <c r="AN13" s="151">
        <f t="shared" si="7"/>
        <v>138434075795833.17</v>
      </c>
      <c r="AO13" s="151">
        <f t="shared" si="7"/>
        <v>138293975181405.27</v>
      </c>
      <c r="AP13" s="151">
        <f t="shared" si="7"/>
        <v>138153874566977.36</v>
      </c>
      <c r="AQ13" s="151">
        <f t="shared" si="7"/>
        <v>138013773952549.47</v>
      </c>
      <c r="AR13" s="151">
        <f t="shared" si="7"/>
        <v>137873673338121.58</v>
      </c>
      <c r="AS13" s="151">
        <f t="shared" si="7"/>
        <v>137733572723693.67</v>
      </c>
      <c r="AT13" s="151">
        <f t="shared" si="7"/>
        <v>137593472109265.77</v>
      </c>
      <c r="AU13" s="151">
        <f t="shared" si="7"/>
        <v>137453371494837.86</v>
      </c>
      <c r="AV13" s="151">
        <f t="shared" si="7"/>
        <v>137313270880409.91</v>
      </c>
      <c r="AW13" s="171"/>
    </row>
    <row r="14" spans="1:49" ht="13.5" customHeight="1">
      <c r="A14" s="49" t="s">
        <v>44</v>
      </c>
      <c r="B14" s="43">
        <v>0</v>
      </c>
      <c r="C14" s="43">
        <v>0</v>
      </c>
      <c r="D14" s="43">
        <v>0</v>
      </c>
      <c r="E14" s="44">
        <v>1.7869999999999999</v>
      </c>
      <c r="F14" s="44">
        <v>2.1179999999999999</v>
      </c>
      <c r="G14" s="44">
        <v>2.3639999999999999</v>
      </c>
      <c r="H14" s="45">
        <v>2.23</v>
      </c>
      <c r="I14" s="45">
        <v>2.9</v>
      </c>
      <c r="J14" s="46"/>
      <c r="K14" s="47" t="s">
        <v>38</v>
      </c>
      <c r="L14" s="47">
        <v>1.71</v>
      </c>
      <c r="N14" s="49" t="s">
        <v>44</v>
      </c>
      <c r="O14" s="418">
        <f t="shared" si="3"/>
        <v>0</v>
      </c>
      <c r="P14" s="418">
        <f t="shared" si="0"/>
        <v>0</v>
      </c>
      <c r="Q14" s="391">
        <f t="shared" si="0"/>
        <v>0</v>
      </c>
      <c r="R14" s="391">
        <f t="shared" si="0"/>
        <v>0</v>
      </c>
      <c r="S14" s="391">
        <f t="shared" si="0"/>
        <v>0</v>
      </c>
      <c r="T14" s="419">
        <f t="shared" si="0"/>
        <v>0</v>
      </c>
      <c r="U14" s="391">
        <f t="shared" si="0"/>
        <v>0</v>
      </c>
      <c r="V14" s="391">
        <f t="shared" si="0"/>
        <v>0</v>
      </c>
      <c r="W14" s="391">
        <f t="shared" si="0"/>
        <v>174494741109.67758</v>
      </c>
      <c r="X14" s="391">
        <f t="shared" si="0"/>
        <v>149798723611.96213</v>
      </c>
      <c r="Y14" s="391">
        <f t="shared" si="0"/>
        <v>146425444711.97583</v>
      </c>
      <c r="Z14" s="391">
        <f t="shared" si="1"/>
        <v>1246615558963.7085</v>
      </c>
      <c r="AA14" s="391">
        <f t="shared" si="1"/>
        <v>1213627896184.4924</v>
      </c>
      <c r="AB14" s="391">
        <f t="shared" si="1"/>
        <v>72866685162698.891</v>
      </c>
      <c r="AC14" s="391">
        <f t="shared" si="1"/>
        <v>72339845471314.141</v>
      </c>
      <c r="AD14" s="391">
        <f t="shared" si="1"/>
        <v>71811428722427.094</v>
      </c>
      <c r="AE14" s="391">
        <f t="shared" si="1"/>
        <v>71281407951941.297</v>
      </c>
      <c r="AF14" s="391">
        <f t="shared" si="1"/>
        <v>70749755410245.297</v>
      </c>
      <c r="AG14" s="480">
        <f t="shared" si="1"/>
        <v>70216442529667.555</v>
      </c>
      <c r="AH14" s="391">
        <f t="shared" ref="AH14:AV14" si="8">BC69*$N$3</f>
        <v>70169392442855.547</v>
      </c>
      <c r="AI14" s="391">
        <f t="shared" si="8"/>
        <v>70122342356043.547</v>
      </c>
      <c r="AJ14" s="391">
        <f t="shared" si="8"/>
        <v>70075292269231.531</v>
      </c>
      <c r="AK14" s="391">
        <f t="shared" si="8"/>
        <v>70028242182419.523</v>
      </c>
      <c r="AL14" s="391">
        <f t="shared" si="8"/>
        <v>69981192095607.523</v>
      </c>
      <c r="AM14" s="163">
        <f t="shared" si="8"/>
        <v>69910511497897.703</v>
      </c>
      <c r="AN14" s="163">
        <f t="shared" si="8"/>
        <v>69839830900187.859</v>
      </c>
      <c r="AO14" s="163">
        <f t="shared" si="8"/>
        <v>69769150302478.023</v>
      </c>
      <c r="AP14" s="163">
        <f t="shared" si="8"/>
        <v>69698469704768.211</v>
      </c>
      <c r="AQ14" s="163">
        <f t="shared" si="8"/>
        <v>69627789107058.383</v>
      </c>
      <c r="AR14" s="163">
        <f t="shared" si="8"/>
        <v>69557108509348.547</v>
      </c>
      <c r="AS14" s="163">
        <f t="shared" si="8"/>
        <v>69486427911638.719</v>
      </c>
      <c r="AT14" s="163">
        <f t="shared" si="8"/>
        <v>69415747313928.891</v>
      </c>
      <c r="AU14" s="163">
        <f t="shared" si="8"/>
        <v>69345066716219.07</v>
      </c>
      <c r="AV14" s="163">
        <f t="shared" si="8"/>
        <v>69274386118509.242</v>
      </c>
      <c r="AW14" s="171"/>
    </row>
    <row r="15" spans="1:49" s="55" customFormat="1" ht="3" customHeight="1">
      <c r="A15" s="50"/>
      <c r="B15" s="51"/>
      <c r="C15" s="51"/>
      <c r="D15" s="51"/>
      <c r="E15" s="52"/>
      <c r="F15" s="52"/>
      <c r="G15" s="52"/>
      <c r="H15" s="53"/>
      <c r="I15" s="53"/>
      <c r="J15" s="53"/>
      <c r="K15" s="54"/>
      <c r="L15" s="54"/>
      <c r="N15" s="50"/>
      <c r="O15" s="149"/>
      <c r="P15" s="149"/>
      <c r="Q15" s="151"/>
      <c r="R15" s="151"/>
      <c r="S15" s="151"/>
      <c r="T15" s="417"/>
      <c r="U15" s="151"/>
      <c r="V15" s="151"/>
      <c r="W15" s="151"/>
      <c r="X15" s="151"/>
      <c r="Y15" s="151"/>
      <c r="Z15" s="151"/>
      <c r="AA15" s="151"/>
      <c r="AB15" s="151"/>
      <c r="AC15" s="151"/>
      <c r="AD15" s="151"/>
      <c r="AE15" s="151"/>
      <c r="AF15" s="151"/>
      <c r="AG15" s="479"/>
      <c r="AH15" s="151"/>
      <c r="AI15" s="151"/>
      <c r="AJ15" s="151"/>
      <c r="AK15" s="151"/>
      <c r="AL15" s="151"/>
      <c r="AM15" s="151"/>
      <c r="AN15" s="151"/>
      <c r="AO15" s="151"/>
      <c r="AP15" s="151"/>
      <c r="AQ15" s="151"/>
      <c r="AR15" s="151"/>
      <c r="AS15" s="151"/>
      <c r="AT15" s="151"/>
      <c r="AU15" s="151"/>
      <c r="AV15" s="151"/>
      <c r="AW15" s="171"/>
    </row>
    <row r="16" spans="1:49" ht="13.5" customHeight="1">
      <c r="A16" s="42" t="s">
        <v>46</v>
      </c>
      <c r="B16" s="43">
        <v>5.6890000000000001</v>
      </c>
      <c r="C16" s="43">
        <v>4.3209999999999997</v>
      </c>
      <c r="D16" s="43">
        <v>4.5039999999999996</v>
      </c>
      <c r="E16" s="44">
        <v>5.3719999999999999</v>
      </c>
      <c r="F16" s="44">
        <v>5.3659999999999997</v>
      </c>
      <c r="G16" s="44">
        <v>4.7990000000000004</v>
      </c>
      <c r="H16" s="45">
        <v>100</v>
      </c>
      <c r="I16" s="45">
        <v>100</v>
      </c>
      <c r="J16" s="46"/>
      <c r="K16" s="47">
        <v>-0.56999999999999995</v>
      </c>
      <c r="L16" s="47">
        <v>-0.14000000000000001</v>
      </c>
      <c r="N16" s="42" t="s">
        <v>126</v>
      </c>
      <c r="O16" s="149">
        <f t="shared" ref="O16:P21" si="9">B16*$N$3</f>
        <v>225606786015590</v>
      </c>
      <c r="P16" s="149">
        <f t="shared" si="9"/>
        <v>171356463767510</v>
      </c>
      <c r="Q16" s="151">
        <f>SUM(Q17:Q21)</f>
        <v>179286945435216.31</v>
      </c>
      <c r="R16" s="151">
        <v>180318803281272.25</v>
      </c>
      <c r="S16" s="151">
        <v>179977769438665.81</v>
      </c>
      <c r="T16" s="417">
        <f t="shared" ref="T16:T35" si="10">D16*$N$3</f>
        <v>178613634068239.97</v>
      </c>
      <c r="U16" s="151">
        <v>179295701753452.91</v>
      </c>
      <c r="V16" s="151">
        <v>178954667910846.44</v>
      </c>
      <c r="W16" s="151">
        <v>178613634068239.97</v>
      </c>
      <c r="X16" s="151">
        <v>178550183398944</v>
      </c>
      <c r="Y16" s="151">
        <v>178486732729648</v>
      </c>
      <c r="Z16" s="151">
        <v>178423282060352</v>
      </c>
      <c r="AA16" s="151">
        <v>178359831391056.03</v>
      </c>
      <c r="AB16" s="151">
        <v>178296380721760.03</v>
      </c>
      <c r="AC16" s="151">
        <v>177963264707956</v>
      </c>
      <c r="AD16" s="151">
        <v>177630148694152</v>
      </c>
      <c r="AE16" s="151">
        <v>177297032680348</v>
      </c>
      <c r="AF16" s="151">
        <v>176963916666544</v>
      </c>
      <c r="AG16" s="479">
        <v>176630800652740</v>
      </c>
      <c r="AH16" s="151">
        <v>176440448644851.94</v>
      </c>
      <c r="AI16" s="151">
        <v>176250096636963.94</v>
      </c>
      <c r="AJ16" s="151">
        <v>176059744629075.94</v>
      </c>
      <c r="AK16" s="151">
        <v>175869392621187.94</v>
      </c>
      <c r="AL16" s="151">
        <v>175679040613300</v>
      </c>
      <c r="AM16" s="151">
        <v>175298336597523.94</v>
      </c>
      <c r="AN16" s="151">
        <v>175047418041671.56</v>
      </c>
      <c r="AO16" s="151">
        <v>174796499485819.25</v>
      </c>
      <c r="AP16" s="151">
        <v>174545580929966.88</v>
      </c>
      <c r="AQ16" s="151">
        <v>174294662374114.5</v>
      </c>
      <c r="AR16" s="151">
        <v>174043743818262.13</v>
      </c>
      <c r="AS16" s="151">
        <v>173792825262409.75</v>
      </c>
      <c r="AT16" s="151">
        <v>173541906706557.38</v>
      </c>
      <c r="AU16" s="151">
        <v>173290988150705</v>
      </c>
      <c r="AV16" s="151">
        <v>173040069594852.63</v>
      </c>
      <c r="AW16" s="174">
        <f>(AV16/R16)^(1/30)-1</f>
        <v>-1.3724982547810294E-3</v>
      </c>
    </row>
    <row r="17" spans="1:49" ht="13.5" customHeight="1">
      <c r="A17" s="48" t="s">
        <v>45</v>
      </c>
      <c r="B17" s="43">
        <v>3.5289999999999999</v>
      </c>
      <c r="C17" s="43">
        <v>2.1960000000000002</v>
      </c>
      <c r="D17" s="43">
        <v>2.1640000000000001</v>
      </c>
      <c r="E17" s="44">
        <v>1.847</v>
      </c>
      <c r="F17" s="44">
        <v>1.6359999999999999</v>
      </c>
      <c r="G17" s="44">
        <v>1.365</v>
      </c>
      <c r="H17" s="45">
        <v>42.9</v>
      </c>
      <c r="I17" s="45">
        <v>28.45</v>
      </c>
      <c r="J17" s="46"/>
      <c r="K17" s="47">
        <v>-2.21</v>
      </c>
      <c r="L17" s="47">
        <v>-1.6</v>
      </c>
      <c r="N17" s="48" t="s">
        <v>45</v>
      </c>
      <c r="O17" s="149">
        <f t="shared" si="9"/>
        <v>139948382465990</v>
      </c>
      <c r="P17" s="149">
        <f t="shared" si="9"/>
        <v>87086043608760</v>
      </c>
      <c r="Q17" s="151">
        <f>P17*P$113</f>
        <v>86284396563339.703</v>
      </c>
      <c r="R17" s="151">
        <v>82115831927154.188</v>
      </c>
      <c r="S17" s="151">
        <v>82856071586291.344</v>
      </c>
      <c r="T17" s="417">
        <f t="shared" si="10"/>
        <v>85817030222840</v>
      </c>
      <c r="U17" s="151">
        <v>84336550904565.672</v>
      </c>
      <c r="V17" s="151">
        <v>85076790563702.844</v>
      </c>
      <c r="W17" s="151">
        <v>85817030222840</v>
      </c>
      <c r="X17" s="151">
        <v>85158729528894</v>
      </c>
      <c r="Y17" s="151">
        <v>84500428834948</v>
      </c>
      <c r="Z17" s="151">
        <v>83842128141002</v>
      </c>
      <c r="AA17" s="151">
        <v>83183827447056</v>
      </c>
      <c r="AB17" s="151">
        <v>82525526753110</v>
      </c>
      <c r="AC17" s="151">
        <v>81827569390854</v>
      </c>
      <c r="AD17" s="151">
        <v>81129612028598</v>
      </c>
      <c r="AE17" s="151">
        <v>80431654666342</v>
      </c>
      <c r="AF17" s="151">
        <v>79733697304086</v>
      </c>
      <c r="AG17" s="479">
        <v>79035739941830</v>
      </c>
      <c r="AH17" s="151">
        <v>78456752584504</v>
      </c>
      <c r="AI17" s="151">
        <v>77877765227178</v>
      </c>
      <c r="AJ17" s="151">
        <v>77298777869852</v>
      </c>
      <c r="AK17" s="151">
        <v>76719790512526</v>
      </c>
      <c r="AL17" s="151">
        <v>76140803155200</v>
      </c>
      <c r="AM17" s="151">
        <v>75403189124634</v>
      </c>
      <c r="AN17" s="151">
        <v>74773729644004.25</v>
      </c>
      <c r="AO17" s="151">
        <v>74144270163374.75</v>
      </c>
      <c r="AP17" s="151">
        <v>73514810682745</v>
      </c>
      <c r="AQ17" s="151">
        <v>72885351202115.5</v>
      </c>
      <c r="AR17" s="151">
        <v>72255891721485.75</v>
      </c>
      <c r="AS17" s="151">
        <v>71626432240856.25</v>
      </c>
      <c r="AT17" s="151">
        <v>70996972760226.5</v>
      </c>
      <c r="AU17" s="151">
        <v>70367513279596.75</v>
      </c>
      <c r="AV17" s="151">
        <v>69738053798967.25</v>
      </c>
      <c r="AW17" s="171"/>
    </row>
    <row r="18" spans="1:49" ht="13.5" customHeight="1">
      <c r="A18" s="48" t="s">
        <v>41</v>
      </c>
      <c r="B18" s="43">
        <v>1.1359999999999999</v>
      </c>
      <c r="C18" s="43">
        <v>0.53400000000000003</v>
      </c>
      <c r="D18" s="43">
        <v>0.54900000000000004</v>
      </c>
      <c r="E18" s="44">
        <v>0.70499999999999996</v>
      </c>
      <c r="F18" s="44">
        <v>0.67</v>
      </c>
      <c r="G18" s="44">
        <v>0.50600000000000001</v>
      </c>
      <c r="H18" s="45">
        <v>9.49</v>
      </c>
      <c r="I18" s="45">
        <v>10.55</v>
      </c>
      <c r="J18" s="46"/>
      <c r="K18" s="47">
        <v>-3.89</v>
      </c>
      <c r="L18" s="47">
        <v>0.23</v>
      </c>
      <c r="N18" s="48" t="s">
        <v>41</v>
      </c>
      <c r="O18" s="149">
        <f t="shared" si="9"/>
        <v>45049975200159.992</v>
      </c>
      <c r="P18" s="149">
        <f t="shared" si="9"/>
        <v>21176660877540</v>
      </c>
      <c r="Q18" s="151">
        <f>P18*P$114</f>
        <v>21152823266981.238</v>
      </c>
      <c r="R18" s="151">
        <v>20318506897424.656</v>
      </c>
      <c r="S18" s="151">
        <v>20609107698377.723</v>
      </c>
      <c r="T18" s="417">
        <f t="shared" si="10"/>
        <v>21771510902190</v>
      </c>
      <c r="U18" s="151">
        <v>21190309300283.859</v>
      </c>
      <c r="V18" s="151">
        <v>21480910101236.93</v>
      </c>
      <c r="W18" s="151">
        <v>21771510902190</v>
      </c>
      <c r="X18" s="151">
        <v>21763579568528</v>
      </c>
      <c r="Y18" s="151">
        <v>21755648234866</v>
      </c>
      <c r="Z18" s="151">
        <v>21747716901204</v>
      </c>
      <c r="AA18" s="151">
        <v>21739785567542</v>
      </c>
      <c r="AB18" s="151">
        <v>21731854233880</v>
      </c>
      <c r="AC18" s="151">
        <v>21684266231908</v>
      </c>
      <c r="AD18" s="151">
        <v>21636678229936</v>
      </c>
      <c r="AE18" s="151">
        <v>21589090227964</v>
      </c>
      <c r="AF18" s="151">
        <v>21541502225992</v>
      </c>
      <c r="AG18" s="479">
        <v>21493914224020</v>
      </c>
      <c r="AH18" s="151">
        <v>21493914224020</v>
      </c>
      <c r="AI18" s="151">
        <v>21493914224020</v>
      </c>
      <c r="AJ18" s="151">
        <v>21493914224020</v>
      </c>
      <c r="AK18" s="151">
        <v>21493914224020</v>
      </c>
      <c r="AL18" s="151">
        <v>21493914224020</v>
      </c>
      <c r="AM18" s="151">
        <v>21430463554724</v>
      </c>
      <c r="AN18" s="151">
        <v>21410274705402.547</v>
      </c>
      <c r="AO18" s="151">
        <v>21390085856081.094</v>
      </c>
      <c r="AP18" s="151">
        <v>21369897006759.641</v>
      </c>
      <c r="AQ18" s="151">
        <v>21349708157438.188</v>
      </c>
      <c r="AR18" s="151">
        <v>21329519308116.727</v>
      </c>
      <c r="AS18" s="151">
        <v>21309330458795.273</v>
      </c>
      <c r="AT18" s="151">
        <v>21289141609473.82</v>
      </c>
      <c r="AU18" s="151">
        <v>21268952760152.367</v>
      </c>
      <c r="AV18" s="151">
        <v>21248763910830.914</v>
      </c>
      <c r="AW18" s="171"/>
    </row>
    <row r="19" spans="1:49" ht="13.5" customHeight="1">
      <c r="A19" s="48" t="s">
        <v>42</v>
      </c>
      <c r="B19" s="43">
        <v>0.252</v>
      </c>
      <c r="C19" s="43">
        <v>0.54700000000000004</v>
      </c>
      <c r="D19" s="43">
        <v>0.63300000000000001</v>
      </c>
      <c r="E19" s="44">
        <v>0.84799999999999998</v>
      </c>
      <c r="F19" s="44">
        <v>0.97499999999999998</v>
      </c>
      <c r="G19" s="44">
        <v>0.873</v>
      </c>
      <c r="H19" s="45">
        <v>10.66</v>
      </c>
      <c r="I19" s="45">
        <v>18.18</v>
      </c>
      <c r="J19" s="46"/>
      <c r="K19" s="47">
        <v>3.46</v>
      </c>
      <c r="L19" s="47">
        <v>1.78</v>
      </c>
      <c r="N19" s="48" t="s">
        <v>42</v>
      </c>
      <c r="O19" s="149">
        <f t="shared" si="9"/>
        <v>9993480414120</v>
      </c>
      <c r="P19" s="149">
        <f t="shared" si="9"/>
        <v>21692197565570</v>
      </c>
      <c r="Q19" s="151">
        <f>P19*P$115</f>
        <v>30984292008525.156</v>
      </c>
      <c r="R19" s="151">
        <v>38328559094022.359</v>
      </c>
      <c r="S19" s="151">
        <v>35683381483263.883</v>
      </c>
      <c r="T19" s="417">
        <f t="shared" si="10"/>
        <v>25102671040230</v>
      </c>
      <c r="U19" s="151">
        <v>30393026261746.941</v>
      </c>
      <c r="V19" s="151">
        <v>27747848650988.469</v>
      </c>
      <c r="W19" s="151">
        <v>25102671040230</v>
      </c>
      <c r="X19" s="151">
        <v>25356473717414</v>
      </c>
      <c r="Y19" s="151">
        <v>25610276394598</v>
      </c>
      <c r="Z19" s="151">
        <v>25864079071782</v>
      </c>
      <c r="AA19" s="151">
        <v>26117881748966</v>
      </c>
      <c r="AB19" s="151">
        <v>26371684426150</v>
      </c>
      <c r="AC19" s="151">
        <v>26514448432066</v>
      </c>
      <c r="AD19" s="151">
        <v>26657212437982</v>
      </c>
      <c r="AE19" s="151">
        <v>26799976443898</v>
      </c>
      <c r="AF19" s="151">
        <v>26942740449814</v>
      </c>
      <c r="AG19" s="479">
        <v>27085504455730.004</v>
      </c>
      <c r="AH19" s="151">
        <v>27148955125026</v>
      </c>
      <c r="AI19" s="151">
        <v>27212405794322</v>
      </c>
      <c r="AJ19" s="151">
        <v>27275856463618</v>
      </c>
      <c r="AK19" s="151">
        <v>27339307132914</v>
      </c>
      <c r="AL19" s="151">
        <v>27402757802209.996</v>
      </c>
      <c r="AM19" s="151">
        <v>27571959586999.344</v>
      </c>
      <c r="AN19" s="151">
        <v>27669058338497.781</v>
      </c>
      <c r="AO19" s="151">
        <v>27766157089996.188</v>
      </c>
      <c r="AP19" s="151">
        <v>27863255841494.625</v>
      </c>
      <c r="AQ19" s="151">
        <v>27960354592993.031</v>
      </c>
      <c r="AR19" s="151">
        <v>28057453344491.469</v>
      </c>
      <c r="AS19" s="151">
        <v>28154552095989.875</v>
      </c>
      <c r="AT19" s="151">
        <v>28251650847488.313</v>
      </c>
      <c r="AU19" s="151">
        <v>28348749598986.75</v>
      </c>
      <c r="AV19" s="151">
        <v>28445848350485.156</v>
      </c>
      <c r="AW19" s="171"/>
    </row>
    <row r="20" spans="1:49" ht="13.5" customHeight="1">
      <c r="A20" s="48" t="s">
        <v>43</v>
      </c>
      <c r="B20" s="43">
        <v>0.77200000000000002</v>
      </c>
      <c r="C20" s="43">
        <v>1.0449999999999999</v>
      </c>
      <c r="D20" s="43">
        <v>1.157</v>
      </c>
      <c r="E20" s="44">
        <v>1.232</v>
      </c>
      <c r="F20" s="44">
        <v>1.365</v>
      </c>
      <c r="G20" s="44">
        <v>1.3580000000000001</v>
      </c>
      <c r="H20" s="45">
        <v>20.32</v>
      </c>
      <c r="I20" s="45">
        <v>28.3</v>
      </c>
      <c r="J20" s="46"/>
      <c r="K20" s="47">
        <v>1.25</v>
      </c>
      <c r="L20" s="47">
        <v>1.05</v>
      </c>
      <c r="N20" s="48" t="s">
        <v>43</v>
      </c>
      <c r="O20" s="149">
        <f t="shared" si="9"/>
        <v>30614947935320</v>
      </c>
      <c r="P20" s="149">
        <f t="shared" si="9"/>
        <v>41441218383950</v>
      </c>
      <c r="Q20" s="151">
        <f>P20*P$117</f>
        <v>40865433596370.219</v>
      </c>
      <c r="R20" s="151">
        <v>39555905362671.078</v>
      </c>
      <c r="S20" s="151">
        <v>40821277337070.867</v>
      </c>
      <c r="T20" s="417">
        <f t="shared" si="10"/>
        <v>45882765234670</v>
      </c>
      <c r="U20" s="151">
        <v>43352021285870.438</v>
      </c>
      <c r="V20" s="151">
        <v>44617393260270.219</v>
      </c>
      <c r="W20" s="151">
        <v>45882765234670</v>
      </c>
      <c r="X20" s="151">
        <v>46231743915798</v>
      </c>
      <c r="Y20" s="151">
        <v>46580722596926</v>
      </c>
      <c r="Z20" s="151">
        <v>46929701278054</v>
      </c>
      <c r="AA20" s="151">
        <v>47278679959182</v>
      </c>
      <c r="AB20" s="151">
        <v>47627658640310</v>
      </c>
      <c r="AC20" s="151">
        <v>47913186652142</v>
      </c>
      <c r="AD20" s="151">
        <v>48198714663974</v>
      </c>
      <c r="AE20" s="151">
        <v>48484242675806</v>
      </c>
      <c r="AF20" s="151">
        <v>48769770687638</v>
      </c>
      <c r="AG20" s="479">
        <v>49055298699470.008</v>
      </c>
      <c r="AH20" s="151">
        <v>49364620712288</v>
      </c>
      <c r="AI20" s="151">
        <v>49673942725106</v>
      </c>
      <c r="AJ20" s="151">
        <v>49983264737924</v>
      </c>
      <c r="AK20" s="151">
        <v>50292586750742</v>
      </c>
      <c r="AL20" s="151">
        <v>50601908763560</v>
      </c>
      <c r="AM20" s="151">
        <v>50879505441730</v>
      </c>
      <c r="AN20" s="151">
        <v>51178733029887.25</v>
      </c>
      <c r="AO20" s="151">
        <v>51477960618044.5</v>
      </c>
      <c r="AP20" s="151">
        <v>51777188206201.75</v>
      </c>
      <c r="AQ20" s="151">
        <v>52076415794359</v>
      </c>
      <c r="AR20" s="151">
        <v>52375643382516.375</v>
      </c>
      <c r="AS20" s="151">
        <v>52674870970673.625</v>
      </c>
      <c r="AT20" s="151">
        <v>52974098558830.875</v>
      </c>
      <c r="AU20" s="151">
        <v>53273326146988.125</v>
      </c>
      <c r="AV20" s="151">
        <v>53572553735145.375</v>
      </c>
      <c r="AW20" s="171"/>
    </row>
    <row r="21" spans="1:49" ht="13.5" customHeight="1">
      <c r="A21" s="49" t="s">
        <v>44</v>
      </c>
      <c r="B21" s="43">
        <v>0</v>
      </c>
      <c r="C21" s="43">
        <v>0</v>
      </c>
      <c r="D21" s="43">
        <v>0</v>
      </c>
      <c r="E21" s="44">
        <v>0.74</v>
      </c>
      <c r="F21" s="44">
        <v>0.72</v>
      </c>
      <c r="G21" s="44">
        <v>0.69699999999999995</v>
      </c>
      <c r="H21" s="45">
        <v>16.62</v>
      </c>
      <c r="I21" s="45">
        <v>14.52</v>
      </c>
      <c r="J21" s="46"/>
      <c r="K21" s="47" t="s">
        <v>38</v>
      </c>
      <c r="L21" s="47">
        <v>-0.62</v>
      </c>
      <c r="N21" s="49" t="s">
        <v>44</v>
      </c>
      <c r="O21" s="418">
        <f t="shared" si="9"/>
        <v>0</v>
      </c>
      <c r="P21" s="418">
        <f t="shared" si="9"/>
        <v>0</v>
      </c>
      <c r="Q21" s="391">
        <f>P21*P$118</f>
        <v>0</v>
      </c>
      <c r="R21" s="391">
        <v>0</v>
      </c>
      <c r="S21" s="391">
        <v>0</v>
      </c>
      <c r="T21" s="419">
        <f t="shared" si="10"/>
        <v>0</v>
      </c>
      <c r="U21" s="391">
        <v>0</v>
      </c>
      <c r="V21" s="391">
        <v>0</v>
      </c>
      <c r="W21" s="391">
        <v>0</v>
      </c>
      <c r="X21" s="391">
        <v>0</v>
      </c>
      <c r="Y21" s="391">
        <v>0</v>
      </c>
      <c r="Z21" s="391">
        <v>0</v>
      </c>
      <c r="AA21" s="391">
        <v>0</v>
      </c>
      <c r="AB21" s="391">
        <v>0</v>
      </c>
      <c r="AC21" s="391">
        <v>0</v>
      </c>
      <c r="AD21" s="391">
        <v>0</v>
      </c>
      <c r="AE21" s="391">
        <v>0</v>
      </c>
      <c r="AF21" s="391">
        <v>0</v>
      </c>
      <c r="AG21" s="480">
        <v>0</v>
      </c>
      <c r="AH21" s="391">
        <v>0</v>
      </c>
      <c r="AI21" s="391">
        <v>0</v>
      </c>
      <c r="AJ21" s="391">
        <v>0</v>
      </c>
      <c r="AK21" s="391">
        <v>0</v>
      </c>
      <c r="AL21" s="391">
        <v>0</v>
      </c>
      <c r="AM21" s="163">
        <v>0</v>
      </c>
      <c r="AN21" s="163">
        <v>0</v>
      </c>
      <c r="AO21" s="163">
        <v>0</v>
      </c>
      <c r="AP21" s="163">
        <v>0</v>
      </c>
      <c r="AQ21" s="163">
        <v>0</v>
      </c>
      <c r="AR21" s="163">
        <v>0</v>
      </c>
      <c r="AS21" s="163">
        <v>0</v>
      </c>
      <c r="AT21" s="163">
        <v>0</v>
      </c>
      <c r="AU21" s="163">
        <v>0</v>
      </c>
      <c r="AV21" s="163">
        <v>0</v>
      </c>
      <c r="AW21" s="171"/>
    </row>
    <row r="22" spans="1:49" s="55" customFormat="1" ht="3" customHeight="1">
      <c r="A22" s="50"/>
      <c r="B22" s="51"/>
      <c r="C22" s="51"/>
      <c r="D22" s="51"/>
      <c r="E22" s="52"/>
      <c r="F22" s="52"/>
      <c r="G22" s="52"/>
      <c r="H22" s="53"/>
      <c r="I22" s="53"/>
      <c r="J22" s="53"/>
      <c r="K22" s="54"/>
      <c r="L22" s="54"/>
      <c r="N22" s="50"/>
      <c r="O22" s="149"/>
      <c r="P22" s="149"/>
      <c r="Q22" s="151"/>
      <c r="R22" s="151"/>
      <c r="S22" s="151"/>
      <c r="T22" s="417"/>
      <c r="U22" s="151"/>
      <c r="V22" s="151"/>
      <c r="W22" s="151"/>
      <c r="X22" s="151"/>
      <c r="Y22" s="151"/>
      <c r="Z22" s="151"/>
      <c r="AA22" s="151"/>
      <c r="AB22" s="151">
        <v>0</v>
      </c>
      <c r="AC22" s="151"/>
      <c r="AD22" s="151"/>
      <c r="AE22" s="151"/>
      <c r="AF22" s="151"/>
      <c r="AG22" s="479">
        <v>0</v>
      </c>
      <c r="AH22" s="151"/>
      <c r="AI22" s="151"/>
      <c r="AJ22" s="151"/>
      <c r="AK22" s="151"/>
      <c r="AL22" s="151">
        <v>0</v>
      </c>
      <c r="AM22" s="151"/>
      <c r="AN22" s="151"/>
      <c r="AO22" s="151"/>
      <c r="AP22" s="151"/>
      <c r="AQ22" s="151"/>
      <c r="AR22" s="151"/>
      <c r="AS22" s="151"/>
      <c r="AT22" s="151"/>
      <c r="AU22" s="151"/>
      <c r="AV22" s="151"/>
      <c r="AW22" s="171"/>
    </row>
    <row r="23" spans="1:49" ht="13.5" customHeight="1">
      <c r="A23" s="42" t="s">
        <v>47</v>
      </c>
      <c r="B23" s="43">
        <v>16.564568901312239</v>
      </c>
      <c r="C23" s="43">
        <v>30.283731101226309</v>
      </c>
      <c r="D23" s="43">
        <v>34.201999999999998</v>
      </c>
      <c r="E23" s="44">
        <v>28.983000000000001</v>
      </c>
      <c r="F23" s="44">
        <v>27.759</v>
      </c>
      <c r="G23" s="44">
        <v>26.018000000000001</v>
      </c>
      <c r="H23" s="45">
        <v>100</v>
      </c>
      <c r="I23" s="45">
        <v>100</v>
      </c>
      <c r="J23" s="46"/>
      <c r="K23" s="47">
        <v>1.91</v>
      </c>
      <c r="L23" s="47">
        <v>0.02</v>
      </c>
      <c r="N23" s="42" t="s">
        <v>442</v>
      </c>
      <c r="O23" s="149">
        <f t="shared" ref="O23:O28" si="11">B23*$N$3</f>
        <v>656895614617480.63</v>
      </c>
      <c r="P23" s="149">
        <f t="shared" ref="P23:Y28" si="12">AK74*$N$3</f>
        <v>961264212796756.88</v>
      </c>
      <c r="Q23" s="151">
        <f t="shared" si="12"/>
        <v>963514444975618.88</v>
      </c>
      <c r="R23" s="151">
        <f t="shared" si="12"/>
        <v>912228068399069.5</v>
      </c>
      <c r="S23" s="151">
        <f t="shared" si="12"/>
        <v>949983175623091.75</v>
      </c>
      <c r="T23" s="417">
        <f t="shared" si="12"/>
        <v>876045934747584.88</v>
      </c>
      <c r="U23" s="151">
        <f t="shared" si="12"/>
        <v>875468747080819.63</v>
      </c>
      <c r="V23" s="151">
        <f t="shared" si="12"/>
        <v>879196923331805</v>
      </c>
      <c r="W23" s="151">
        <f t="shared" si="12"/>
        <v>879196923331805</v>
      </c>
      <c r="X23" s="151">
        <f t="shared" si="12"/>
        <v>879196923331805</v>
      </c>
      <c r="Y23" s="151">
        <f t="shared" si="12"/>
        <v>792772284417707.5</v>
      </c>
      <c r="Z23" s="151">
        <f t="shared" ref="Z23:AG28" si="13">AU74*$N$3</f>
        <v>744828072812266.25</v>
      </c>
      <c r="AA23" s="151">
        <f t="shared" si="13"/>
        <v>731725097504561.13</v>
      </c>
      <c r="AB23" s="151">
        <f t="shared" si="13"/>
        <v>760541587979631</v>
      </c>
      <c r="AC23" s="151">
        <f t="shared" si="13"/>
        <v>693982035087827.38</v>
      </c>
      <c r="AD23" s="151">
        <f t="shared" si="13"/>
        <v>701117480074332.63</v>
      </c>
      <c r="AE23" s="151">
        <f t="shared" si="13"/>
        <v>720193058101083.25</v>
      </c>
      <c r="AF23" s="151">
        <f t="shared" si="13"/>
        <v>640170244291733.75</v>
      </c>
      <c r="AG23" s="479">
        <f t="shared" si="13"/>
        <v>689389169139086.13</v>
      </c>
      <c r="AH23" s="151">
        <f t="shared" ref="AH23:AU23" si="14">BC74*$N$3</f>
        <v>689389169139086.13</v>
      </c>
      <c r="AI23" s="151">
        <f t="shared" si="14"/>
        <v>689389169139086.13</v>
      </c>
      <c r="AJ23" s="151">
        <f t="shared" si="14"/>
        <v>641796808734640.75</v>
      </c>
      <c r="AK23" s="151">
        <f t="shared" si="14"/>
        <v>453665117235258.25</v>
      </c>
      <c r="AL23" s="151">
        <f t="shared" si="14"/>
        <v>485457747279842.69</v>
      </c>
      <c r="AM23" s="151">
        <f t="shared" si="14"/>
        <v>433344811515763.69</v>
      </c>
      <c r="AN23" s="151">
        <f t="shared" si="14"/>
        <v>363417776992991.94</v>
      </c>
      <c r="AO23" s="151">
        <f t="shared" si="14"/>
        <v>298115470395839.88</v>
      </c>
      <c r="AP23" s="151">
        <f t="shared" si="14"/>
        <v>298115470395839.88</v>
      </c>
      <c r="AQ23" s="151">
        <f t="shared" si="14"/>
        <v>310832522413673.75</v>
      </c>
      <c r="AR23" s="151">
        <f t="shared" si="14"/>
        <v>310832522413673.75</v>
      </c>
      <c r="AS23" s="151">
        <f t="shared" si="14"/>
        <v>329908100440424.38</v>
      </c>
      <c r="AT23" s="151">
        <f t="shared" si="14"/>
        <v>329908100440424.38</v>
      </c>
      <c r="AU23" s="151">
        <f t="shared" si="14"/>
        <v>329908100440424.38</v>
      </c>
      <c r="AV23" s="151">
        <f>BQ74*$N$3</f>
        <v>329908100440424.38</v>
      </c>
      <c r="AW23" s="174">
        <f>(AV23/R23)^(1/30)-1</f>
        <v>-3.3334279099443642E-2</v>
      </c>
    </row>
    <row r="24" spans="1:49" ht="13.5" customHeight="1">
      <c r="A24" s="48" t="s">
        <v>45</v>
      </c>
      <c r="B24" s="43">
        <v>13.275017250026536</v>
      </c>
      <c r="C24" s="43">
        <v>25.562886985760269</v>
      </c>
      <c r="D24" s="43">
        <v>29.731999999999999</v>
      </c>
      <c r="E24" s="44">
        <v>23.984999999999999</v>
      </c>
      <c r="F24" s="44">
        <v>22.204000000000001</v>
      </c>
      <c r="G24" s="44">
        <v>20.216000000000001</v>
      </c>
      <c r="H24" s="45">
        <v>84.12</v>
      </c>
      <c r="I24" s="45">
        <v>77.7</v>
      </c>
      <c r="J24" s="41"/>
      <c r="K24" s="47">
        <v>2.17</v>
      </c>
      <c r="L24" s="47">
        <v>-0.27</v>
      </c>
      <c r="N24" s="48" t="s">
        <v>45</v>
      </c>
      <c r="O24" s="149">
        <f t="shared" si="11"/>
        <v>526442955893830.69</v>
      </c>
      <c r="P24" s="149">
        <f t="shared" si="12"/>
        <v>772591212015419.88</v>
      </c>
      <c r="Q24" s="151">
        <f t="shared" si="12"/>
        <v>778944399180864.5</v>
      </c>
      <c r="R24" s="151">
        <f t="shared" si="12"/>
        <v>739444659395065</v>
      </c>
      <c r="S24" s="151">
        <f t="shared" si="12"/>
        <v>767964757409266.63</v>
      </c>
      <c r="T24" s="417">
        <f t="shared" si="12"/>
        <v>708180212565935.63</v>
      </c>
      <c r="U24" s="151">
        <f t="shared" si="12"/>
        <v>712267136713175.75</v>
      </c>
      <c r="V24" s="151">
        <f t="shared" si="12"/>
        <v>711999176967034.5</v>
      </c>
      <c r="W24" s="151">
        <f t="shared" si="12"/>
        <v>711999176967034.5</v>
      </c>
      <c r="X24" s="151">
        <f t="shared" si="12"/>
        <v>711999176967034.5</v>
      </c>
      <c r="Y24" s="151">
        <f t="shared" si="12"/>
        <v>636140247796474.25</v>
      </c>
      <c r="Z24" s="151">
        <f t="shared" si="13"/>
        <v>581799480450025.25</v>
      </c>
      <c r="AA24" s="151">
        <f t="shared" si="13"/>
        <v>567682231050223.25</v>
      </c>
      <c r="AB24" s="151">
        <f t="shared" si="13"/>
        <v>581788132169703.75</v>
      </c>
      <c r="AC24" s="151">
        <f t="shared" si="13"/>
        <v>510337009209316.69</v>
      </c>
      <c r="AD24" s="151">
        <f t="shared" si="13"/>
        <v>510428629804384.13</v>
      </c>
      <c r="AE24" s="151">
        <f t="shared" si="13"/>
        <v>511390646052591.44</v>
      </c>
      <c r="AF24" s="151">
        <f t="shared" si="13"/>
        <v>441150896820591.19</v>
      </c>
      <c r="AG24" s="479">
        <f t="shared" si="13"/>
        <v>442112913068798.44</v>
      </c>
      <c r="AH24" s="151">
        <f t="shared" ref="AH24:AV24" si="15">BC75*$N$3</f>
        <v>442112913068798.44</v>
      </c>
      <c r="AI24" s="151">
        <f t="shared" si="15"/>
        <v>442112913068798.44</v>
      </c>
      <c r="AJ24" s="151">
        <f t="shared" si="15"/>
        <v>394165408211963.81</v>
      </c>
      <c r="AK24" s="151">
        <f t="shared" si="15"/>
        <v>217705754485352.06</v>
      </c>
      <c r="AL24" s="151">
        <f t="shared" si="15"/>
        <v>219309114899030.91</v>
      </c>
      <c r="AM24" s="151">
        <f t="shared" si="15"/>
        <v>146779013209525.13</v>
      </c>
      <c r="AN24" s="151">
        <f t="shared" si="15"/>
        <v>84837103139240.922</v>
      </c>
      <c r="AO24" s="151">
        <f t="shared" si="15"/>
        <v>15330318667779.457</v>
      </c>
      <c r="AP24" s="151">
        <f t="shared" si="15"/>
        <v>15330318667779.457</v>
      </c>
      <c r="AQ24" s="151">
        <f t="shared" si="15"/>
        <v>15971662833251.01</v>
      </c>
      <c r="AR24" s="151">
        <f t="shared" si="15"/>
        <v>15971662833251.01</v>
      </c>
      <c r="AS24" s="151">
        <f t="shared" si="15"/>
        <v>16933679081458.322</v>
      </c>
      <c r="AT24" s="151">
        <f t="shared" si="15"/>
        <v>16933679081458.322</v>
      </c>
      <c r="AU24" s="151">
        <f t="shared" si="15"/>
        <v>16933679081458.322</v>
      </c>
      <c r="AV24" s="151">
        <f t="shared" si="15"/>
        <v>16933679081458.322</v>
      </c>
      <c r="AW24" s="171"/>
    </row>
    <row r="25" spans="1:49" ht="13.5" customHeight="1">
      <c r="A25" s="48" t="s">
        <v>41</v>
      </c>
      <c r="B25" s="43">
        <v>0.92281653717970269</v>
      </c>
      <c r="C25" s="43">
        <v>6.8318916203372868E-2</v>
      </c>
      <c r="D25" s="43">
        <v>5.8000000000000003E-2</v>
      </c>
      <c r="E25" s="44">
        <v>6.5000000000000002E-2</v>
      </c>
      <c r="F25" s="44">
        <v>5.8999999999999997E-2</v>
      </c>
      <c r="G25" s="44">
        <v>5.1999999999999998E-2</v>
      </c>
      <c r="H25" s="45">
        <v>0.21</v>
      </c>
      <c r="I25" s="45">
        <v>0.2</v>
      </c>
      <c r="J25" s="41"/>
      <c r="K25" s="47">
        <v>-11.99</v>
      </c>
      <c r="L25" s="47">
        <v>-0.22</v>
      </c>
      <c r="N25" s="48" t="s">
        <v>41</v>
      </c>
      <c r="O25" s="149">
        <f t="shared" si="11"/>
        <v>36595829325918.25</v>
      </c>
      <c r="P25" s="149">
        <f t="shared" si="12"/>
        <v>0</v>
      </c>
      <c r="Q25" s="151">
        <f t="shared" si="12"/>
        <v>0</v>
      </c>
      <c r="R25" s="151">
        <f t="shared" si="12"/>
        <v>0</v>
      </c>
      <c r="S25" s="151">
        <f t="shared" si="12"/>
        <v>0</v>
      </c>
      <c r="T25" s="417">
        <f t="shared" si="12"/>
        <v>0</v>
      </c>
      <c r="U25" s="151">
        <f t="shared" si="12"/>
        <v>0</v>
      </c>
      <c r="V25" s="151">
        <f t="shared" si="12"/>
        <v>0</v>
      </c>
      <c r="W25" s="151">
        <f t="shared" si="12"/>
        <v>0</v>
      </c>
      <c r="X25" s="151">
        <f t="shared" si="12"/>
        <v>0</v>
      </c>
      <c r="Y25" s="151">
        <f t="shared" si="12"/>
        <v>0</v>
      </c>
      <c r="Z25" s="151">
        <f t="shared" si="13"/>
        <v>0</v>
      </c>
      <c r="AA25" s="151">
        <f t="shared" si="13"/>
        <v>0</v>
      </c>
      <c r="AB25" s="151">
        <f t="shared" si="13"/>
        <v>0</v>
      </c>
      <c r="AC25" s="151">
        <f t="shared" si="13"/>
        <v>0</v>
      </c>
      <c r="AD25" s="151">
        <f t="shared" si="13"/>
        <v>0</v>
      </c>
      <c r="AE25" s="151">
        <f t="shared" si="13"/>
        <v>0</v>
      </c>
      <c r="AF25" s="151">
        <f t="shared" si="13"/>
        <v>0</v>
      </c>
      <c r="AG25" s="479">
        <f t="shared" si="13"/>
        <v>0</v>
      </c>
      <c r="AH25" s="151">
        <f t="shared" ref="AH25:AV25" si="16">BC76*$N$3</f>
        <v>0</v>
      </c>
      <c r="AI25" s="151">
        <f t="shared" si="16"/>
        <v>0</v>
      </c>
      <c r="AJ25" s="151">
        <f t="shared" si="16"/>
        <v>0</v>
      </c>
      <c r="AK25" s="151">
        <f t="shared" si="16"/>
        <v>0</v>
      </c>
      <c r="AL25" s="151">
        <f t="shared" si="16"/>
        <v>0</v>
      </c>
      <c r="AM25" s="151">
        <f t="shared" si="16"/>
        <v>0</v>
      </c>
      <c r="AN25" s="151">
        <f t="shared" si="16"/>
        <v>0</v>
      </c>
      <c r="AO25" s="151">
        <f t="shared" si="16"/>
        <v>0</v>
      </c>
      <c r="AP25" s="151">
        <f t="shared" si="16"/>
        <v>0</v>
      </c>
      <c r="AQ25" s="151">
        <f t="shared" si="16"/>
        <v>0</v>
      </c>
      <c r="AR25" s="151">
        <f t="shared" si="16"/>
        <v>0</v>
      </c>
      <c r="AS25" s="151">
        <f t="shared" si="16"/>
        <v>0</v>
      </c>
      <c r="AT25" s="151">
        <f t="shared" si="16"/>
        <v>0</v>
      </c>
      <c r="AU25" s="151">
        <f t="shared" si="16"/>
        <v>0</v>
      </c>
      <c r="AV25" s="151">
        <f t="shared" si="16"/>
        <v>0</v>
      </c>
      <c r="AW25" s="171"/>
    </row>
    <row r="26" spans="1:49" ht="13.5" customHeight="1">
      <c r="A26" s="48" t="s">
        <v>42</v>
      </c>
      <c r="B26" s="43">
        <v>0.64701865000000003</v>
      </c>
      <c r="C26" s="43">
        <v>1.6552676211186672</v>
      </c>
      <c r="D26" s="43">
        <v>1.786</v>
      </c>
      <c r="E26" s="44">
        <v>2.1680000000000001</v>
      </c>
      <c r="F26" s="44">
        <v>2.8730000000000002</v>
      </c>
      <c r="G26" s="44">
        <v>3.4489999999999998</v>
      </c>
      <c r="H26" s="45">
        <v>7.02</v>
      </c>
      <c r="I26" s="45">
        <v>13.26</v>
      </c>
      <c r="J26" s="41"/>
      <c r="K26" s="47">
        <v>3.49</v>
      </c>
      <c r="L26" s="47">
        <v>2.31</v>
      </c>
      <c r="N26" s="48" t="s">
        <v>42</v>
      </c>
      <c r="O26" s="149">
        <f t="shared" si="11"/>
        <v>25658603993433.984</v>
      </c>
      <c r="P26" s="149">
        <f t="shared" si="12"/>
        <v>91461566231037.359</v>
      </c>
      <c r="Q26" s="151">
        <f t="shared" si="12"/>
        <v>89762548928311.75</v>
      </c>
      <c r="R26" s="151">
        <f t="shared" si="12"/>
        <v>84158587719609.094</v>
      </c>
      <c r="S26" s="151">
        <f t="shared" si="12"/>
        <v>88518965936138.891</v>
      </c>
      <c r="T26" s="417">
        <f t="shared" si="12"/>
        <v>81635342415688.297</v>
      </c>
      <c r="U26" s="151">
        <f t="shared" si="12"/>
        <v>79664693121352.406</v>
      </c>
      <c r="V26" s="151">
        <f t="shared" si="12"/>
        <v>81393605980440.109</v>
      </c>
      <c r="W26" s="151">
        <f t="shared" si="12"/>
        <v>81393605980440.109</v>
      </c>
      <c r="X26" s="151">
        <f t="shared" si="12"/>
        <v>81393605980440.109</v>
      </c>
      <c r="Y26" s="151">
        <f t="shared" si="12"/>
        <v>75863604450642.859</v>
      </c>
      <c r="Z26" s="151">
        <f t="shared" si="13"/>
        <v>77339339138317.422</v>
      </c>
      <c r="AA26" s="151">
        <f t="shared" si="13"/>
        <v>77528107654523.141</v>
      </c>
      <c r="AB26" s="151">
        <f t="shared" si="13"/>
        <v>83462612638692.984</v>
      </c>
      <c r="AC26" s="151">
        <f t="shared" si="13"/>
        <v>83860166801007.781</v>
      </c>
      <c r="AD26" s="151">
        <f t="shared" si="13"/>
        <v>86522429983329.344</v>
      </c>
      <c r="AE26" s="151">
        <f t="shared" si="13"/>
        <v>95098584309328.969</v>
      </c>
      <c r="AF26" s="151">
        <f t="shared" si="13"/>
        <v>89978212522479.672</v>
      </c>
      <c r="AG26" s="479">
        <f t="shared" si="13"/>
        <v>98554366848479.328</v>
      </c>
      <c r="AH26" s="151">
        <f t="shared" ref="AH26:AV26" si="17">BC77*$N$3</f>
        <v>98554366848479.328</v>
      </c>
      <c r="AI26" s="151">
        <f t="shared" si="17"/>
        <v>98554366848479.328</v>
      </c>
      <c r="AJ26" s="151">
        <f t="shared" si="17"/>
        <v>99042442325182.328</v>
      </c>
      <c r="AK26" s="151">
        <f t="shared" si="17"/>
        <v>95698746214274.594</v>
      </c>
      <c r="AL26" s="151">
        <f t="shared" si="17"/>
        <v>109992336757607.33</v>
      </c>
      <c r="AM26" s="151">
        <f t="shared" si="17"/>
        <v>121717051315546.38</v>
      </c>
      <c r="AN26" s="151">
        <f t="shared" si="17"/>
        <v>120227078102291.5</v>
      </c>
      <c r="AO26" s="151">
        <f t="shared" si="17"/>
        <v>123486405715096.86</v>
      </c>
      <c r="AP26" s="151">
        <f t="shared" si="17"/>
        <v>123486405715096.86</v>
      </c>
      <c r="AQ26" s="151">
        <f t="shared" si="17"/>
        <v>129203841932429.95</v>
      </c>
      <c r="AR26" s="151">
        <f t="shared" si="17"/>
        <v>129203841932429.95</v>
      </c>
      <c r="AS26" s="151">
        <f t="shared" si="17"/>
        <v>137779996258429.59</v>
      </c>
      <c r="AT26" s="151">
        <f t="shared" si="17"/>
        <v>137779996258429.59</v>
      </c>
      <c r="AU26" s="151">
        <f t="shared" si="17"/>
        <v>137779996258429.59</v>
      </c>
      <c r="AV26" s="151">
        <f t="shared" si="17"/>
        <v>137779996258429.59</v>
      </c>
      <c r="AW26" s="171"/>
    </row>
    <row r="27" spans="1:49" ht="13.5" customHeight="1">
      <c r="A27" s="48" t="s">
        <v>43</v>
      </c>
      <c r="B27" s="43">
        <v>1.7197164641059999</v>
      </c>
      <c r="C27" s="43">
        <v>2.9972575781439996</v>
      </c>
      <c r="D27" s="43">
        <v>2.625</v>
      </c>
      <c r="E27" s="44">
        <v>2.754</v>
      </c>
      <c r="F27" s="44">
        <v>2.6110000000000002</v>
      </c>
      <c r="G27" s="44">
        <v>2.2890000000000001</v>
      </c>
      <c r="H27" s="45">
        <v>8.6</v>
      </c>
      <c r="I27" s="45">
        <v>8.8000000000000007</v>
      </c>
      <c r="J27" s="41"/>
      <c r="K27" s="47">
        <v>1.18</v>
      </c>
      <c r="L27" s="47">
        <v>0.1</v>
      </c>
      <c r="N27" s="48" t="s">
        <v>43</v>
      </c>
      <c r="O27" s="149">
        <f t="shared" si="11"/>
        <v>68198225404297.656</v>
      </c>
      <c r="P27" s="149">
        <f t="shared" si="12"/>
        <v>97211434550299.641</v>
      </c>
      <c r="Q27" s="151">
        <f t="shared" si="12"/>
        <v>94807496866442.625</v>
      </c>
      <c r="R27" s="151">
        <f t="shared" si="12"/>
        <v>88624821284395.469</v>
      </c>
      <c r="S27" s="151">
        <f t="shared" si="12"/>
        <v>93499452277686.141</v>
      </c>
      <c r="T27" s="417">
        <f t="shared" si="12"/>
        <v>86230379765960.953</v>
      </c>
      <c r="U27" s="151">
        <f t="shared" si="12"/>
        <v>83536917246291.469</v>
      </c>
      <c r="V27" s="151">
        <f t="shared" si="12"/>
        <v>85804140384330.297</v>
      </c>
      <c r="W27" s="151">
        <f t="shared" si="12"/>
        <v>85804140384330.297</v>
      </c>
      <c r="X27" s="151">
        <f t="shared" si="12"/>
        <v>85804140384330.297</v>
      </c>
      <c r="Y27" s="151">
        <f t="shared" si="12"/>
        <v>80768432170590.281</v>
      </c>
      <c r="Z27" s="151">
        <f t="shared" si="13"/>
        <v>85689253223923.563</v>
      </c>
      <c r="AA27" s="151">
        <f t="shared" si="13"/>
        <v>86514758799814.859</v>
      </c>
      <c r="AB27" s="151">
        <f t="shared" si="13"/>
        <v>95290843171234.266</v>
      </c>
      <c r="AC27" s="151">
        <f t="shared" si="13"/>
        <v>99784859077502.953</v>
      </c>
      <c r="AD27" s="151">
        <f t="shared" si="13"/>
        <v>104166420286619.14</v>
      </c>
      <c r="AE27" s="151">
        <f t="shared" si="13"/>
        <v>113703827739162.86</v>
      </c>
      <c r="AF27" s="151">
        <f t="shared" si="13"/>
        <v>109041134948662.86</v>
      </c>
      <c r="AG27" s="479">
        <f t="shared" si="13"/>
        <v>148721889221808.34</v>
      </c>
      <c r="AH27" s="151">
        <f t="shared" ref="AH27:AV27" si="18">BC78*$N$3</f>
        <v>148721889221808.34</v>
      </c>
      <c r="AI27" s="151">
        <f t="shared" si="18"/>
        <v>148721889221808.34</v>
      </c>
      <c r="AJ27" s="151">
        <f t="shared" si="18"/>
        <v>148588958197494.66</v>
      </c>
      <c r="AK27" s="151">
        <f t="shared" si="18"/>
        <v>140260616535631.56</v>
      </c>
      <c r="AL27" s="151">
        <f t="shared" si="18"/>
        <v>156156295623204.44</v>
      </c>
      <c r="AM27" s="151">
        <f t="shared" si="18"/>
        <v>164848746990692.16</v>
      </c>
      <c r="AN27" s="151">
        <f t="shared" si="18"/>
        <v>158353595751459.47</v>
      </c>
      <c r="AO27" s="151">
        <f t="shared" si="18"/>
        <v>159298746012963.53</v>
      </c>
      <c r="AP27" s="151">
        <f t="shared" si="18"/>
        <v>159298746012963.53</v>
      </c>
      <c r="AQ27" s="151">
        <f t="shared" si="18"/>
        <v>165657017647992.75</v>
      </c>
      <c r="AR27" s="151">
        <f t="shared" si="18"/>
        <v>165657017647992.75</v>
      </c>
      <c r="AS27" s="151">
        <f t="shared" si="18"/>
        <v>175194425100536.5</v>
      </c>
      <c r="AT27" s="151">
        <f t="shared" si="18"/>
        <v>175194425100536.5</v>
      </c>
      <c r="AU27" s="151">
        <f t="shared" si="18"/>
        <v>175194425100536.5</v>
      </c>
      <c r="AV27" s="151">
        <f t="shared" si="18"/>
        <v>175194425100536.5</v>
      </c>
      <c r="AW27" s="171"/>
    </row>
    <row r="28" spans="1:49" ht="13.5" customHeight="1">
      <c r="A28" s="49" t="s">
        <v>44</v>
      </c>
      <c r="B28" s="56">
        <v>0</v>
      </c>
      <c r="C28" s="56">
        <v>0</v>
      </c>
      <c r="D28" s="43">
        <v>0</v>
      </c>
      <c r="E28" s="44">
        <v>1.0999999999999999E-2</v>
      </c>
      <c r="F28" s="44">
        <v>1.2E-2</v>
      </c>
      <c r="G28" s="44">
        <v>1.2999999999999999E-2</v>
      </c>
      <c r="H28" s="45">
        <v>0.04</v>
      </c>
      <c r="I28" s="45">
        <v>0.05</v>
      </c>
      <c r="J28" s="57"/>
      <c r="K28" s="47" t="s">
        <v>38</v>
      </c>
      <c r="L28" s="47">
        <v>0.47</v>
      </c>
      <c r="N28" s="49" t="s">
        <v>44</v>
      </c>
      <c r="O28" s="418">
        <f t="shared" si="11"/>
        <v>0</v>
      </c>
      <c r="P28" s="418">
        <f t="shared" si="12"/>
        <v>0</v>
      </c>
      <c r="Q28" s="391">
        <f t="shared" si="12"/>
        <v>0</v>
      </c>
      <c r="R28" s="391">
        <f t="shared" si="12"/>
        <v>0</v>
      </c>
      <c r="S28" s="391">
        <f t="shared" si="12"/>
        <v>0</v>
      </c>
      <c r="T28" s="419">
        <f t="shared" si="12"/>
        <v>0</v>
      </c>
      <c r="U28" s="391">
        <f t="shared" si="12"/>
        <v>0</v>
      </c>
      <c r="V28" s="391">
        <f t="shared" si="12"/>
        <v>0</v>
      </c>
      <c r="W28" s="391">
        <f t="shared" si="12"/>
        <v>0</v>
      </c>
      <c r="X28" s="391">
        <f t="shared" si="12"/>
        <v>0</v>
      </c>
      <c r="Y28" s="391">
        <f t="shared" si="12"/>
        <v>0</v>
      </c>
      <c r="Z28" s="391">
        <f t="shared" si="13"/>
        <v>0</v>
      </c>
      <c r="AA28" s="391">
        <f t="shared" si="13"/>
        <v>0</v>
      </c>
      <c r="AB28" s="391">
        <f t="shared" si="13"/>
        <v>0</v>
      </c>
      <c r="AC28" s="391">
        <f t="shared" si="13"/>
        <v>0</v>
      </c>
      <c r="AD28" s="391">
        <f t="shared" si="13"/>
        <v>0</v>
      </c>
      <c r="AE28" s="391">
        <f t="shared" si="13"/>
        <v>0</v>
      </c>
      <c r="AF28" s="391">
        <f t="shared" si="13"/>
        <v>0</v>
      </c>
      <c r="AG28" s="480">
        <f t="shared" si="13"/>
        <v>0</v>
      </c>
      <c r="AH28" s="391">
        <f t="shared" ref="AH28:AV28" si="19">BC79*$N$3</f>
        <v>0</v>
      </c>
      <c r="AI28" s="391">
        <f t="shared" si="19"/>
        <v>0</v>
      </c>
      <c r="AJ28" s="391">
        <f t="shared" si="19"/>
        <v>0</v>
      </c>
      <c r="AK28" s="391">
        <f t="shared" si="19"/>
        <v>0</v>
      </c>
      <c r="AL28" s="391">
        <f t="shared" si="19"/>
        <v>0</v>
      </c>
      <c r="AM28" s="163">
        <f t="shared" si="19"/>
        <v>0</v>
      </c>
      <c r="AN28" s="163">
        <f t="shared" si="19"/>
        <v>0</v>
      </c>
      <c r="AO28" s="163">
        <f t="shared" si="19"/>
        <v>0</v>
      </c>
      <c r="AP28" s="163">
        <f t="shared" si="19"/>
        <v>0</v>
      </c>
      <c r="AQ28" s="163">
        <f t="shared" si="19"/>
        <v>0</v>
      </c>
      <c r="AR28" s="163">
        <f t="shared" si="19"/>
        <v>0</v>
      </c>
      <c r="AS28" s="163">
        <f t="shared" si="19"/>
        <v>0</v>
      </c>
      <c r="AT28" s="163">
        <f t="shared" si="19"/>
        <v>0</v>
      </c>
      <c r="AU28" s="163">
        <f t="shared" si="19"/>
        <v>0</v>
      </c>
      <c r="AV28" s="163">
        <f t="shared" si="19"/>
        <v>0</v>
      </c>
      <c r="AW28" s="171"/>
    </row>
    <row r="29" spans="1:49" s="55" customFormat="1" ht="3" customHeight="1">
      <c r="A29" s="50"/>
      <c r="B29" s="51"/>
      <c r="C29" s="51"/>
      <c r="D29" s="51"/>
      <c r="E29" s="52"/>
      <c r="F29" s="52"/>
      <c r="G29" s="52"/>
      <c r="H29" s="53"/>
      <c r="I29" s="53"/>
      <c r="J29" s="53"/>
      <c r="K29" s="54"/>
      <c r="L29" s="54"/>
      <c r="N29" s="50"/>
      <c r="O29" s="149"/>
      <c r="P29" s="149"/>
      <c r="Q29" s="151"/>
      <c r="R29" s="151"/>
      <c r="S29" s="151"/>
      <c r="T29" s="417"/>
      <c r="U29" s="151"/>
      <c r="V29" s="151"/>
      <c r="W29" s="151"/>
      <c r="X29" s="151"/>
      <c r="Y29" s="151"/>
      <c r="Z29" s="151"/>
      <c r="AA29" s="151"/>
      <c r="AB29" s="151">
        <v>0</v>
      </c>
      <c r="AC29" s="151"/>
      <c r="AD29" s="151"/>
      <c r="AE29" s="151"/>
      <c r="AF29" s="151"/>
      <c r="AG29" s="479">
        <v>0</v>
      </c>
      <c r="AH29" s="151"/>
      <c r="AI29" s="151"/>
      <c r="AJ29" s="151"/>
      <c r="AK29" s="151"/>
      <c r="AL29" s="151">
        <v>0</v>
      </c>
      <c r="AM29" s="151"/>
      <c r="AN29" s="151"/>
      <c r="AO29" s="151"/>
      <c r="AP29" s="151"/>
      <c r="AQ29" s="151"/>
      <c r="AR29" s="151"/>
      <c r="AS29" s="151"/>
      <c r="AT29" s="151"/>
      <c r="AU29" s="151"/>
      <c r="AV29" s="151"/>
      <c r="AW29" s="171"/>
    </row>
    <row r="30" spans="1:49" ht="13.5" customHeight="1">
      <c r="A30" s="42" t="s">
        <v>48</v>
      </c>
      <c r="B30" s="43">
        <v>5.1077679549385184</v>
      </c>
      <c r="C30" s="43">
        <v>11.424090483035839</v>
      </c>
      <c r="D30" s="43">
        <v>13.128</v>
      </c>
      <c r="E30" s="44">
        <f>E37+E44</f>
        <v>14.055999999999999</v>
      </c>
      <c r="F30" s="44">
        <f t="shared" ref="F30:G30" si="20">F37+F44</f>
        <v>14.748000000000001</v>
      </c>
      <c r="G30" s="44">
        <f t="shared" si="20"/>
        <v>14.15</v>
      </c>
      <c r="H30" s="45"/>
      <c r="I30" s="45"/>
      <c r="J30" s="46"/>
      <c r="K30" s="47"/>
      <c r="L30" s="47"/>
      <c r="N30" s="42" t="s">
        <v>127</v>
      </c>
      <c r="O30" s="149">
        <f t="shared" ref="O30:P35" si="21">B30*$N$3</f>
        <v>202557059593443.84</v>
      </c>
      <c r="P30" s="149">
        <f t="shared" si="21"/>
        <v>453041367029179.94</v>
      </c>
      <c r="Q30" s="151">
        <f>SUM(Q31:Q35)</f>
        <v>481384618057926.56</v>
      </c>
      <c r="R30" s="151">
        <v>495852240569989.63</v>
      </c>
      <c r="S30" s="151">
        <v>500804340770727.69</v>
      </c>
      <c r="T30" s="417">
        <f>D30*$N$3</f>
        <v>520612741573680</v>
      </c>
      <c r="U30" s="151">
        <v>510708541172203.88</v>
      </c>
      <c r="V30" s="151">
        <v>515660641372941.94</v>
      </c>
      <c r="W30" s="151">
        <v>520612741573680</v>
      </c>
      <c r="X30" s="151">
        <v>529828951288920</v>
      </c>
      <c r="Y30" s="151">
        <v>539045161004164</v>
      </c>
      <c r="Z30" s="151">
        <v>548261370719408</v>
      </c>
      <c r="AA30" s="151">
        <v>557477580434652</v>
      </c>
      <c r="AB30" s="151">
        <v>566693790149900</v>
      </c>
      <c r="AC30" s="151">
        <v>574522016474292</v>
      </c>
      <c r="AD30" s="151">
        <v>582350242798686</v>
      </c>
      <c r="AE30" s="151">
        <v>590178469123080</v>
      </c>
      <c r="AF30" s="151">
        <v>598006695447474</v>
      </c>
      <c r="AG30" s="479">
        <v>605834921771870</v>
      </c>
      <c r="AH30" s="151">
        <v>613932813440770</v>
      </c>
      <c r="AI30" s="151">
        <v>622030705109672</v>
      </c>
      <c r="AJ30" s="151">
        <v>630128596778574</v>
      </c>
      <c r="AK30" s="151">
        <v>638226488447476</v>
      </c>
      <c r="AL30" s="151">
        <v>646324380116379.88</v>
      </c>
      <c r="AM30" s="151">
        <v>654062717992606</v>
      </c>
      <c r="AN30" s="151">
        <v>662046206182018</v>
      </c>
      <c r="AO30" s="151">
        <v>670029694371432</v>
      </c>
      <c r="AP30" s="151">
        <v>678013182560846</v>
      </c>
      <c r="AQ30" s="151">
        <v>685996670750260</v>
      </c>
      <c r="AR30" s="151">
        <v>693980158939674</v>
      </c>
      <c r="AS30" s="151">
        <v>701963647129088</v>
      </c>
      <c r="AT30" s="151">
        <v>709947135318502</v>
      </c>
      <c r="AU30" s="151">
        <v>717930623507916</v>
      </c>
      <c r="AV30" s="151">
        <v>725914111697330</v>
      </c>
      <c r="AW30" s="174">
        <f>(AV30/R30)^(1/30)-1</f>
        <v>1.2786177125774234E-2</v>
      </c>
    </row>
    <row r="31" spans="1:49" ht="13.5" customHeight="1">
      <c r="A31" s="48" t="s">
        <v>45</v>
      </c>
      <c r="B31" s="43">
        <v>0</v>
      </c>
      <c r="C31" s="43">
        <v>0</v>
      </c>
      <c r="D31" s="43">
        <v>0</v>
      </c>
      <c r="E31" s="44">
        <f t="shared" ref="E31:G35" si="22">E38+E45</f>
        <v>0.09</v>
      </c>
      <c r="F31" s="44">
        <f t="shared" si="22"/>
        <v>9.0999999999999998E-2</v>
      </c>
      <c r="G31" s="44">
        <f t="shared" si="22"/>
        <v>8.4000000000000005E-2</v>
      </c>
      <c r="H31" s="45"/>
      <c r="I31" s="45"/>
      <c r="J31" s="41"/>
      <c r="K31" s="47"/>
      <c r="L31" s="47"/>
      <c r="N31" s="48" t="s">
        <v>45</v>
      </c>
      <c r="O31" s="149">
        <f t="shared" si="21"/>
        <v>0</v>
      </c>
      <c r="P31" s="149">
        <f t="shared" si="21"/>
        <v>0</v>
      </c>
      <c r="Q31" s="151">
        <f>P31*P$113</f>
        <v>0</v>
      </c>
      <c r="R31" s="151">
        <v>0</v>
      </c>
      <c r="S31" s="151">
        <v>0</v>
      </c>
      <c r="T31" s="417">
        <f t="shared" si="10"/>
        <v>0</v>
      </c>
      <c r="U31" s="151">
        <v>0</v>
      </c>
      <c r="V31" s="151">
        <v>0</v>
      </c>
      <c r="W31" s="151">
        <v>0</v>
      </c>
      <c r="X31" s="151">
        <v>0</v>
      </c>
      <c r="Y31" s="151">
        <v>0</v>
      </c>
      <c r="Z31" s="151">
        <v>0</v>
      </c>
      <c r="AA31" s="151">
        <v>0</v>
      </c>
      <c r="AB31" s="151">
        <v>0</v>
      </c>
      <c r="AC31" s="151">
        <v>0</v>
      </c>
      <c r="AD31" s="151">
        <v>0</v>
      </c>
      <c r="AE31" s="151">
        <v>0</v>
      </c>
      <c r="AF31" s="151">
        <v>0</v>
      </c>
      <c r="AG31" s="479">
        <v>0</v>
      </c>
      <c r="AH31" s="151">
        <v>0</v>
      </c>
      <c r="AI31" s="151">
        <v>0</v>
      </c>
      <c r="AJ31" s="151">
        <v>0</v>
      </c>
      <c r="AK31" s="151">
        <v>0</v>
      </c>
      <c r="AL31" s="151">
        <v>0</v>
      </c>
      <c r="AM31" s="151">
        <v>0</v>
      </c>
      <c r="AN31" s="151">
        <v>0</v>
      </c>
      <c r="AO31" s="151">
        <v>0</v>
      </c>
      <c r="AP31" s="151">
        <v>0</v>
      </c>
      <c r="AQ31" s="151">
        <v>0</v>
      </c>
      <c r="AR31" s="151">
        <v>0</v>
      </c>
      <c r="AS31" s="151">
        <v>0</v>
      </c>
      <c r="AT31" s="151">
        <v>0</v>
      </c>
      <c r="AU31" s="151">
        <v>0</v>
      </c>
      <c r="AV31" s="151">
        <v>0</v>
      </c>
      <c r="AW31" s="171"/>
    </row>
    <row r="32" spans="1:49" ht="13.5" customHeight="1">
      <c r="A32" s="48" t="s">
        <v>41</v>
      </c>
      <c r="B32" s="43">
        <v>1.5485365429385192</v>
      </c>
      <c r="C32" s="43">
        <v>0.28404264420545788</v>
      </c>
      <c r="D32" s="43">
        <v>0.27200000000000002</v>
      </c>
      <c r="E32" s="44">
        <f t="shared" si="22"/>
        <v>0.32600000000000001</v>
      </c>
      <c r="F32" s="44">
        <f t="shared" si="22"/>
        <v>0.27900000000000003</v>
      </c>
      <c r="G32" s="44">
        <f t="shared" si="22"/>
        <v>0.23599999999999999</v>
      </c>
      <c r="H32" s="45"/>
      <c r="I32" s="45"/>
      <c r="J32" s="41"/>
      <c r="K32" s="47"/>
      <c r="L32" s="47"/>
      <c r="N32" s="48" t="s">
        <v>41</v>
      </c>
      <c r="O32" s="149">
        <f t="shared" si="21"/>
        <v>61409800049226.93</v>
      </c>
      <c r="P32" s="149">
        <f t="shared" si="21"/>
        <v>11264184927151.188</v>
      </c>
      <c r="Q32" s="151">
        <f>P32*P$114</f>
        <v>11251505343003.902</v>
      </c>
      <c r="R32" s="151">
        <v>10807719897848.939</v>
      </c>
      <c r="S32" s="151">
        <v>10803498674343.15</v>
      </c>
      <c r="T32" s="417">
        <f t="shared" si="10"/>
        <v>10786613780320</v>
      </c>
      <c r="U32" s="151">
        <v>10795056227331.574</v>
      </c>
      <c r="V32" s="151">
        <v>10790835003825.787</v>
      </c>
      <c r="W32" s="151">
        <v>10786613780320</v>
      </c>
      <c r="X32" s="151">
        <v>10556605104122</v>
      </c>
      <c r="Y32" s="151">
        <v>10326596427924</v>
      </c>
      <c r="Z32" s="151">
        <v>10096587751726</v>
      </c>
      <c r="AA32" s="151">
        <v>9866579075528</v>
      </c>
      <c r="AB32" s="151">
        <v>9636570399330</v>
      </c>
      <c r="AC32" s="151">
        <v>9430355724118</v>
      </c>
      <c r="AD32" s="151">
        <v>9224141048906</v>
      </c>
      <c r="AE32" s="151">
        <v>9017926373694</v>
      </c>
      <c r="AF32" s="151">
        <v>8811711698482</v>
      </c>
      <c r="AG32" s="479">
        <v>8605497023270</v>
      </c>
      <c r="AH32" s="151">
        <v>8391351014396</v>
      </c>
      <c r="AI32" s="151">
        <v>8177205005522</v>
      </c>
      <c r="AJ32" s="151">
        <v>7963058996648</v>
      </c>
      <c r="AK32" s="151">
        <v>7748912987774</v>
      </c>
      <c r="AL32" s="151">
        <v>7534766978900</v>
      </c>
      <c r="AM32" s="151">
        <v>7331196081575.3125</v>
      </c>
      <c r="AN32" s="151">
        <v>7120414880921.5625</v>
      </c>
      <c r="AO32" s="151">
        <v>6909633680267.8125</v>
      </c>
      <c r="AP32" s="151">
        <v>6698852479614</v>
      </c>
      <c r="AQ32" s="151">
        <v>6488071278960.25</v>
      </c>
      <c r="AR32" s="151">
        <v>6277290078306.5</v>
      </c>
      <c r="AS32" s="151">
        <v>6066508877652.75</v>
      </c>
      <c r="AT32" s="151">
        <v>5855727676999</v>
      </c>
      <c r="AU32" s="151">
        <v>5644946476345.25</v>
      </c>
      <c r="AV32" s="151">
        <v>5434165275691.5</v>
      </c>
      <c r="AW32" s="171"/>
    </row>
    <row r="33" spans="1:49" ht="13.5" customHeight="1">
      <c r="A33" s="48" t="s">
        <v>42</v>
      </c>
      <c r="B33" s="43">
        <v>0.72147075000000016</v>
      </c>
      <c r="C33" s="43">
        <v>1.9667732148303811</v>
      </c>
      <c r="D33" s="43">
        <v>2.1080000000000001</v>
      </c>
      <c r="E33" s="44">
        <f t="shared" si="22"/>
        <v>2.0099999999999998</v>
      </c>
      <c r="F33" s="44">
        <f t="shared" si="22"/>
        <v>2.0089999999999999</v>
      </c>
      <c r="G33" s="44">
        <f t="shared" si="22"/>
        <v>1.8820000000000001</v>
      </c>
      <c r="H33" s="45"/>
      <c r="I33" s="45"/>
      <c r="J33" s="41"/>
      <c r="K33" s="47"/>
      <c r="L33" s="47"/>
      <c r="N33" s="48" t="s">
        <v>42</v>
      </c>
      <c r="O33" s="149">
        <f t="shared" si="21"/>
        <v>28611126228116.938</v>
      </c>
      <c r="P33" s="149">
        <f t="shared" si="21"/>
        <v>77995673021520.797</v>
      </c>
      <c r="Q33" s="151">
        <f>P33*P$115</f>
        <v>111405988305027.98</v>
      </c>
      <c r="R33" s="151">
        <v>137812766707800</v>
      </c>
      <c r="S33" s="151">
        <v>126969464725736</v>
      </c>
      <c r="T33" s="417">
        <f t="shared" si="10"/>
        <v>83596256797480</v>
      </c>
      <c r="U33" s="151">
        <v>105282860761608.02</v>
      </c>
      <c r="V33" s="151">
        <v>94439558779544.016</v>
      </c>
      <c r="W33" s="151">
        <v>83596256797480</v>
      </c>
      <c r="X33" s="151">
        <v>85317356202134</v>
      </c>
      <c r="Y33" s="151">
        <v>87038455606788</v>
      </c>
      <c r="Z33" s="151">
        <v>88759555011442</v>
      </c>
      <c r="AA33" s="151">
        <v>90480654416096</v>
      </c>
      <c r="AB33" s="151">
        <v>92201753820750</v>
      </c>
      <c r="AC33" s="151">
        <v>93780089219488</v>
      </c>
      <c r="AD33" s="151">
        <v>95358424618226</v>
      </c>
      <c r="AE33" s="151">
        <v>96936760016964</v>
      </c>
      <c r="AF33" s="151">
        <v>98515095415702</v>
      </c>
      <c r="AG33" s="479">
        <v>100093430814440</v>
      </c>
      <c r="AH33" s="151">
        <v>101751079549798</v>
      </c>
      <c r="AI33" s="151">
        <v>103408728285156</v>
      </c>
      <c r="AJ33" s="151">
        <v>105066377020514</v>
      </c>
      <c r="AK33" s="151">
        <v>106724025755872</v>
      </c>
      <c r="AL33" s="151">
        <v>108381674491230</v>
      </c>
      <c r="AM33" s="151">
        <v>109933572111094.5</v>
      </c>
      <c r="AN33" s="151">
        <v>111557572764250</v>
      </c>
      <c r="AO33" s="151">
        <v>113181573417405.5</v>
      </c>
      <c r="AP33" s="151">
        <v>114805574070561</v>
      </c>
      <c r="AQ33" s="151">
        <v>116429574723717</v>
      </c>
      <c r="AR33" s="151">
        <v>118053575376872.5</v>
      </c>
      <c r="AS33" s="151">
        <v>119677576030028</v>
      </c>
      <c r="AT33" s="151">
        <v>121301576683183.5</v>
      </c>
      <c r="AU33" s="151">
        <v>122925577336339</v>
      </c>
      <c r="AV33" s="151">
        <v>124549577989494.5</v>
      </c>
      <c r="AW33" s="171"/>
    </row>
    <row r="34" spans="1:49" ht="13.5" customHeight="1">
      <c r="A34" s="48" t="s">
        <v>43</v>
      </c>
      <c r="B34" s="43">
        <v>2.8377606619999991</v>
      </c>
      <c r="C34" s="43">
        <v>9.1732746239999994</v>
      </c>
      <c r="D34" s="43">
        <v>10.747</v>
      </c>
      <c r="E34" s="44">
        <f t="shared" si="22"/>
        <v>11.164999999999999</v>
      </c>
      <c r="F34" s="44">
        <f t="shared" si="22"/>
        <v>11.844000000000001</v>
      </c>
      <c r="G34" s="44">
        <f t="shared" si="22"/>
        <v>11.388</v>
      </c>
      <c r="H34" s="45"/>
      <c r="I34" s="45"/>
      <c r="J34" s="41"/>
      <c r="K34" s="47"/>
      <c r="L34" s="47"/>
      <c r="N34" s="48" t="s">
        <v>43</v>
      </c>
      <c r="O34" s="149">
        <f t="shared" si="21"/>
        <v>112536133316099.98</v>
      </c>
      <c r="P34" s="149">
        <f t="shared" si="21"/>
        <v>363781509080507.94</v>
      </c>
      <c r="Q34" s="151">
        <f>P34*P$117</f>
        <v>358727124409894.69</v>
      </c>
      <c r="R34" s="151">
        <v>347231753964340.75</v>
      </c>
      <c r="S34" s="151">
        <v>363023446036986.56</v>
      </c>
      <c r="T34" s="417">
        <f t="shared" si="10"/>
        <v>426190214327570</v>
      </c>
      <c r="U34" s="151">
        <v>394606830182278.31</v>
      </c>
      <c r="V34" s="151">
        <v>410398522254924.13</v>
      </c>
      <c r="W34" s="151">
        <v>426190214327570</v>
      </c>
      <c r="X34" s="151">
        <v>433923264648018</v>
      </c>
      <c r="Y34" s="151">
        <v>441656314968468</v>
      </c>
      <c r="Z34" s="151">
        <v>449389365288918</v>
      </c>
      <c r="AA34" s="151">
        <v>457122415609368</v>
      </c>
      <c r="AB34" s="151">
        <v>464855465929820</v>
      </c>
      <c r="AC34" s="151">
        <v>471311571530688</v>
      </c>
      <c r="AD34" s="151">
        <v>477767677131556</v>
      </c>
      <c r="AE34" s="151">
        <v>484223782732424</v>
      </c>
      <c r="AF34" s="151">
        <v>490679888333292</v>
      </c>
      <c r="AG34" s="479">
        <v>497135993934160</v>
      </c>
      <c r="AH34" s="151">
        <v>503782451542916</v>
      </c>
      <c r="AI34" s="151">
        <v>510428909151672</v>
      </c>
      <c r="AJ34" s="151">
        <v>517075366760428</v>
      </c>
      <c r="AK34" s="151">
        <v>523721824369184</v>
      </c>
      <c r="AL34" s="151">
        <v>530368281977940</v>
      </c>
      <c r="AM34" s="151">
        <v>536760936909512</v>
      </c>
      <c r="AN34" s="151">
        <v>543326639120982</v>
      </c>
      <c r="AO34" s="151">
        <v>549892341332454</v>
      </c>
      <c r="AP34" s="151">
        <v>556458043543924</v>
      </c>
      <c r="AQ34" s="151">
        <v>563023745755394</v>
      </c>
      <c r="AR34" s="151">
        <v>569589447966864</v>
      </c>
      <c r="AS34" s="151">
        <v>576155150178334</v>
      </c>
      <c r="AT34" s="151">
        <v>582720852389804</v>
      </c>
      <c r="AU34" s="151">
        <v>589286554601274</v>
      </c>
      <c r="AV34" s="151">
        <v>595852256812744</v>
      </c>
      <c r="AW34" s="171"/>
    </row>
    <row r="35" spans="1:49" ht="13.5" customHeight="1">
      <c r="A35" s="49" t="s">
        <v>44</v>
      </c>
      <c r="B35" s="56">
        <v>0</v>
      </c>
      <c r="C35" s="56">
        <v>0</v>
      </c>
      <c r="D35" s="43">
        <v>0</v>
      </c>
      <c r="E35" s="413">
        <f t="shared" si="22"/>
        <v>0.46599999999999997</v>
      </c>
      <c r="F35" s="413">
        <f t="shared" si="22"/>
        <v>0.52500000000000002</v>
      </c>
      <c r="G35" s="413">
        <f t="shared" si="22"/>
        <v>0.55900000000000005</v>
      </c>
      <c r="H35" s="45"/>
      <c r="I35" s="45"/>
      <c r="J35" s="57"/>
      <c r="K35" s="47"/>
      <c r="L35" s="47"/>
      <c r="N35" s="49" t="s">
        <v>44</v>
      </c>
      <c r="O35" s="418">
        <f t="shared" si="21"/>
        <v>0</v>
      </c>
      <c r="P35" s="418">
        <f t="shared" si="21"/>
        <v>0</v>
      </c>
      <c r="Q35" s="391">
        <f>P35*P$118</f>
        <v>0</v>
      </c>
      <c r="R35" s="391">
        <v>0</v>
      </c>
      <c r="S35" s="391">
        <v>0</v>
      </c>
      <c r="T35" s="419">
        <f t="shared" si="10"/>
        <v>0</v>
      </c>
      <c r="U35" s="391">
        <v>0</v>
      </c>
      <c r="V35" s="391">
        <v>0</v>
      </c>
      <c r="W35" s="391">
        <v>0</v>
      </c>
      <c r="X35" s="391">
        <v>0</v>
      </c>
      <c r="Y35" s="391">
        <v>0</v>
      </c>
      <c r="Z35" s="391">
        <v>0</v>
      </c>
      <c r="AA35" s="391">
        <v>0</v>
      </c>
      <c r="AB35" s="391">
        <v>0</v>
      </c>
      <c r="AC35" s="391">
        <v>0</v>
      </c>
      <c r="AD35" s="391">
        <v>0</v>
      </c>
      <c r="AE35" s="391">
        <v>0</v>
      </c>
      <c r="AF35" s="391">
        <v>0</v>
      </c>
      <c r="AG35" s="480">
        <v>0</v>
      </c>
      <c r="AH35" s="391">
        <v>0</v>
      </c>
      <c r="AI35" s="391">
        <v>0</v>
      </c>
      <c r="AJ35" s="391">
        <v>0</v>
      </c>
      <c r="AK35" s="391">
        <v>0</v>
      </c>
      <c r="AL35" s="391">
        <v>0</v>
      </c>
      <c r="AM35" s="163">
        <v>0</v>
      </c>
      <c r="AN35" s="163">
        <v>0</v>
      </c>
      <c r="AO35" s="163">
        <v>0</v>
      </c>
      <c r="AP35" s="163">
        <v>0</v>
      </c>
      <c r="AQ35" s="163">
        <v>0</v>
      </c>
      <c r="AR35" s="163">
        <v>0</v>
      </c>
      <c r="AS35" s="163">
        <v>0</v>
      </c>
      <c r="AT35" s="163">
        <v>0</v>
      </c>
      <c r="AU35" s="163">
        <v>0</v>
      </c>
      <c r="AV35" s="163">
        <v>0</v>
      </c>
      <c r="AW35" s="171"/>
    </row>
    <row r="36" spans="1:49" s="55" customFormat="1" ht="10.5" customHeight="1">
      <c r="A36" s="50"/>
      <c r="B36" s="51"/>
      <c r="C36" s="51"/>
      <c r="D36" s="51"/>
      <c r="H36" s="53"/>
      <c r="I36" s="53"/>
      <c r="J36" s="53"/>
      <c r="K36" s="54"/>
      <c r="L36" s="54"/>
      <c r="N36" s="50"/>
      <c r="O36" s="420"/>
      <c r="P36" s="420"/>
      <c r="Q36" s="151"/>
      <c r="R36" s="151">
        <v>-5</v>
      </c>
      <c r="S36" s="151">
        <v>-4</v>
      </c>
      <c r="T36" s="465"/>
      <c r="U36" s="151">
        <v>-2</v>
      </c>
      <c r="V36" s="151">
        <v>-1</v>
      </c>
      <c r="W36" s="151">
        <v>0</v>
      </c>
      <c r="X36" s="151"/>
      <c r="Y36" s="151"/>
      <c r="Z36" s="151"/>
      <c r="AA36" s="151"/>
      <c r="AB36" s="151">
        <v>0</v>
      </c>
      <c r="AC36" s="151"/>
      <c r="AD36" s="151"/>
      <c r="AE36" s="151"/>
      <c r="AF36" s="151"/>
      <c r="AG36" s="151">
        <v>0</v>
      </c>
      <c r="AH36" s="151"/>
      <c r="AI36" s="151"/>
      <c r="AJ36" s="151"/>
      <c r="AK36" s="151"/>
      <c r="AL36" s="151">
        <v>0</v>
      </c>
      <c r="AM36" s="151"/>
      <c r="AN36" s="151"/>
      <c r="AO36" s="151"/>
      <c r="AP36" s="151"/>
      <c r="AQ36" s="151"/>
      <c r="AR36" s="151"/>
      <c r="AS36" s="151"/>
      <c r="AT36" s="151"/>
      <c r="AU36" s="151"/>
      <c r="AV36" s="151"/>
      <c r="AW36" s="171" t="e">
        <f t="shared" ref="AW36" si="23">RATE(30,0,-R36,AV36)</f>
        <v>#NUM!</v>
      </c>
    </row>
    <row r="37" spans="1:49" ht="13.5" customHeight="1">
      <c r="A37" s="42" t="s">
        <v>354</v>
      </c>
      <c r="B37" s="43">
        <v>3.32979</v>
      </c>
      <c r="C37" s="408"/>
      <c r="D37" s="43">
        <v>9.8960799999999995</v>
      </c>
      <c r="E37" s="44">
        <v>10.831</v>
      </c>
      <c r="F37" s="44">
        <v>11.5</v>
      </c>
      <c r="G37" s="44">
        <v>11.141</v>
      </c>
      <c r="H37" s="45">
        <v>100</v>
      </c>
      <c r="I37" s="45">
        <v>100</v>
      </c>
      <c r="K37" s="47">
        <v>5.08</v>
      </c>
      <c r="L37" s="47">
        <v>0.42</v>
      </c>
      <c r="R37" s="426"/>
      <c r="S37" s="426"/>
      <c r="T37" s="426"/>
      <c r="U37" s="426"/>
      <c r="V37" s="426"/>
      <c r="W37" s="426"/>
      <c r="X37" s="426"/>
    </row>
    <row r="38" spans="1:49" ht="13.5" customHeight="1">
      <c r="A38" s="48" t="s">
        <v>35</v>
      </c>
      <c r="B38" s="43">
        <v>0</v>
      </c>
      <c r="C38" s="408"/>
      <c r="D38" s="43">
        <v>8.5574999999999998E-2</v>
      </c>
      <c r="E38" s="44">
        <v>0.09</v>
      </c>
      <c r="F38" s="44">
        <v>9.0999999999999998E-2</v>
      </c>
      <c r="G38" s="44">
        <v>8.4000000000000005E-2</v>
      </c>
      <c r="H38" s="45">
        <v>0.86</v>
      </c>
      <c r="I38" s="45">
        <v>0.76</v>
      </c>
      <c r="K38" s="47" t="s">
        <v>38</v>
      </c>
      <c r="L38" s="47">
        <v>-0.06</v>
      </c>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row>
    <row r="39" spans="1:49" ht="13.5" customHeight="1">
      <c r="A39" s="48" t="s">
        <v>36</v>
      </c>
      <c r="B39" s="43">
        <v>0.57662599999999997</v>
      </c>
      <c r="C39" s="408"/>
      <c r="D39" s="43">
        <v>8.1406000000000006E-2</v>
      </c>
      <c r="E39" s="44">
        <v>6.6000000000000003E-2</v>
      </c>
      <c r="F39" s="44">
        <v>3.2000000000000001E-2</v>
      </c>
      <c r="G39" s="44">
        <v>2.4E-2</v>
      </c>
      <c r="H39" s="45">
        <v>0.82</v>
      </c>
      <c r="I39" s="45">
        <v>0.22</v>
      </c>
      <c r="K39" s="47">
        <v>-8.51</v>
      </c>
      <c r="L39" s="47">
        <v>-4.2699999999999996</v>
      </c>
      <c r="R39" s="421"/>
      <c r="S39" s="30"/>
      <c r="T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row>
    <row r="40" spans="1:49" ht="13.5" customHeight="1">
      <c r="A40" s="48" t="s">
        <v>827</v>
      </c>
      <c r="B40" s="43">
        <v>0.72147099999999997</v>
      </c>
      <c r="C40" s="408"/>
      <c r="D40" s="43">
        <v>1.456596</v>
      </c>
      <c r="E40" s="44">
        <v>1.39</v>
      </c>
      <c r="F40" s="44">
        <v>1.44</v>
      </c>
      <c r="G40" s="44">
        <v>1.3560000000000001</v>
      </c>
      <c r="H40" s="45">
        <v>14.72</v>
      </c>
      <c r="I40" s="45">
        <v>12.17</v>
      </c>
      <c r="K40" s="47">
        <v>3.25</v>
      </c>
      <c r="L40" s="47">
        <v>-0.26</v>
      </c>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row>
    <row r="41" spans="1:49" ht="13.5" customHeight="1">
      <c r="A41" s="48" t="s">
        <v>37</v>
      </c>
      <c r="B41" s="43">
        <v>2.0316930000000002</v>
      </c>
      <c r="C41" s="408"/>
      <c r="D41" s="43">
        <v>7.9593850000000002</v>
      </c>
      <c r="E41" s="44">
        <v>8.9359999999999999</v>
      </c>
      <c r="F41" s="44">
        <v>9.5340000000000007</v>
      </c>
      <c r="G41" s="44">
        <v>9.2349999999999994</v>
      </c>
      <c r="H41" s="45">
        <v>80.430000000000007</v>
      </c>
      <c r="I41" s="45">
        <v>82.89</v>
      </c>
      <c r="K41" s="47">
        <v>6.4</v>
      </c>
      <c r="L41" s="47">
        <v>0.53</v>
      </c>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row>
    <row r="42" spans="1:49" ht="13.5" customHeight="1">
      <c r="A42" s="49" t="s">
        <v>828</v>
      </c>
      <c r="B42" s="56">
        <v>0</v>
      </c>
      <c r="C42" s="411"/>
      <c r="D42" s="412">
        <v>0.31311800000000001</v>
      </c>
      <c r="E42" s="413">
        <v>0.34899999999999998</v>
      </c>
      <c r="F42" s="413">
        <v>0.40400000000000003</v>
      </c>
      <c r="G42" s="413">
        <v>0.442</v>
      </c>
      <c r="H42" s="45">
        <v>3.16</v>
      </c>
      <c r="I42" s="45">
        <v>3.97</v>
      </c>
      <c r="J42" s="414"/>
      <c r="K42" s="47" t="s">
        <v>38</v>
      </c>
      <c r="L42" s="47">
        <v>1.24</v>
      </c>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row>
    <row r="43" spans="1:49" ht="5.0999999999999996" customHeight="1">
      <c r="B43" s="408"/>
      <c r="C43" s="408"/>
      <c r="D43" s="409"/>
      <c r="E43" s="410"/>
      <c r="F43" s="410"/>
      <c r="G43" s="410"/>
      <c r="H43" s="53"/>
      <c r="I43" s="53"/>
      <c r="K43" s="54"/>
      <c r="L43" s="54"/>
    </row>
    <row r="44" spans="1:49">
      <c r="A44" s="42" t="s">
        <v>356</v>
      </c>
      <c r="B44" s="43">
        <v>1.778009</v>
      </c>
      <c r="C44" s="408"/>
      <c r="D44" s="43">
        <v>3.0996379999999997</v>
      </c>
      <c r="E44" s="44">
        <v>3.2250000000000001</v>
      </c>
      <c r="F44" s="44">
        <v>3.2480000000000002</v>
      </c>
      <c r="G44" s="44">
        <v>3.0089999999999999</v>
      </c>
      <c r="H44" s="45">
        <v>100</v>
      </c>
      <c r="I44" s="45">
        <v>100</v>
      </c>
      <c r="K44" s="47">
        <v>2.56</v>
      </c>
      <c r="L44" s="47">
        <v>-0.11</v>
      </c>
    </row>
    <row r="45" spans="1:49">
      <c r="A45" s="48" t="s">
        <v>35</v>
      </c>
      <c r="B45" s="43">
        <v>0</v>
      </c>
      <c r="C45" s="408"/>
      <c r="D45" s="43">
        <v>0</v>
      </c>
      <c r="E45" s="44">
        <v>0</v>
      </c>
      <c r="F45" s="44">
        <v>0</v>
      </c>
      <c r="G45" s="44">
        <v>0</v>
      </c>
      <c r="H45" s="45">
        <v>0</v>
      </c>
      <c r="I45" s="45">
        <v>0</v>
      </c>
      <c r="K45" s="47" t="s">
        <v>38</v>
      </c>
      <c r="L45" s="47" t="s">
        <v>38</v>
      </c>
    </row>
    <row r="46" spans="1:49">
      <c r="A46" s="48" t="s">
        <v>36</v>
      </c>
      <c r="B46" s="43">
        <v>0.97194100000000005</v>
      </c>
      <c r="C46" s="408"/>
      <c r="D46" s="43">
        <v>0.24479400000000001</v>
      </c>
      <c r="E46" s="44">
        <v>0.26</v>
      </c>
      <c r="F46" s="44">
        <v>0.247</v>
      </c>
      <c r="G46" s="44">
        <v>0.21199999999999999</v>
      </c>
      <c r="H46" s="45">
        <v>7.9</v>
      </c>
      <c r="I46" s="45">
        <v>7.06</v>
      </c>
      <c r="K46" s="47">
        <v>-6.08</v>
      </c>
      <c r="L46" s="47">
        <v>-0.51</v>
      </c>
    </row>
    <row r="47" spans="1:49">
      <c r="A47" s="48" t="s">
        <v>827</v>
      </c>
      <c r="B47" s="43">
        <v>0</v>
      </c>
      <c r="C47" s="408"/>
      <c r="D47" s="43">
        <v>0.79857</v>
      </c>
      <c r="E47" s="44">
        <v>0.62</v>
      </c>
      <c r="F47" s="44">
        <v>0.56899999999999995</v>
      </c>
      <c r="G47" s="44">
        <v>0.52600000000000002</v>
      </c>
      <c r="H47" s="45">
        <v>25.76</v>
      </c>
      <c r="I47" s="45">
        <v>17.48</v>
      </c>
      <c r="K47" s="47" t="s">
        <v>38</v>
      </c>
      <c r="L47" s="47">
        <v>-1.48</v>
      </c>
    </row>
    <row r="48" spans="1:49">
      <c r="A48" s="48" t="s">
        <v>37</v>
      </c>
      <c r="B48" s="43">
        <v>0.80606800000000001</v>
      </c>
      <c r="C48" s="408"/>
      <c r="D48" s="43">
        <v>1.95584</v>
      </c>
      <c r="E48" s="44">
        <v>2.2290000000000001</v>
      </c>
      <c r="F48" s="44">
        <v>2.31</v>
      </c>
      <c r="G48" s="44">
        <v>2.153</v>
      </c>
      <c r="H48" s="45">
        <v>63.1</v>
      </c>
      <c r="I48" s="45">
        <v>71.569999999999993</v>
      </c>
      <c r="K48" s="47">
        <v>4.1100000000000003</v>
      </c>
      <c r="L48" s="47">
        <v>0.34</v>
      </c>
    </row>
    <row r="49" spans="1:69">
      <c r="A49" s="49" t="s">
        <v>828</v>
      </c>
      <c r="B49" s="412">
        <v>0</v>
      </c>
      <c r="C49" s="411"/>
      <c r="D49" s="412">
        <v>0.100434</v>
      </c>
      <c r="E49" s="413">
        <v>0.11700000000000001</v>
      </c>
      <c r="F49" s="413">
        <v>0.121</v>
      </c>
      <c r="G49" s="413">
        <v>0.11700000000000001</v>
      </c>
      <c r="H49" s="415">
        <v>3.24</v>
      </c>
      <c r="I49" s="415">
        <v>3.89</v>
      </c>
      <c r="J49" s="414"/>
      <c r="K49" s="416" t="s">
        <v>38</v>
      </c>
      <c r="L49" s="416">
        <v>0.55000000000000004</v>
      </c>
    </row>
    <row r="50" spans="1:69">
      <c r="A50" s="407" t="s">
        <v>829</v>
      </c>
      <c r="T50" s="425" t="s">
        <v>830</v>
      </c>
    </row>
    <row r="51" spans="1:69">
      <c r="A51" s="42" t="s">
        <v>437</v>
      </c>
      <c r="B51" s="43">
        <f>'KEEI BAU - Overview'!B41-SUM('KEEI BAU - Industry'!B9,'KEEI BAU - Industry'!B16,'KEEI BAU - Industry'!B23,'KEEI BAU - Industry'!B30)</f>
        <v>16.375663143749243</v>
      </c>
      <c r="C51" s="43">
        <f>'KEEI BAU - Overview'!C5-SUM('KEEI BAU - Industry'!C9,'KEEI BAU - Industry'!C16,'KEEI BAU - Industry'!C23,'KEEI BAU - Industry'!C30)</f>
        <v>27.472178415737858</v>
      </c>
      <c r="D51" s="44">
        <f>'KEEI BAU - Overview'!C41-SUM('KEEI BAU - Industry'!D9,'KEEI BAU - Industry'!D16,'KEEI BAU - Industry'!D23,'KEEI BAU - Industry'!D30)</f>
        <v>-4.4640000000000271</v>
      </c>
      <c r="E51" s="44">
        <f>'KEEI BAU - Overview'!D41-SUM('KEEI BAU - Industry'!E9,'KEEI BAU - Industry'!E16,'KEEI BAU - Industry'!E23,'KEEI BAU - Industry'!E30)</f>
        <v>19.993000000000009</v>
      </c>
      <c r="F51" s="44">
        <f>'KEEI BAU - Overview'!E41-SUM('KEEI BAU - Industry'!F9,'KEEI BAU - Industry'!F16,'KEEI BAU - Industry'!F23,'KEEI BAU - Industry'!F30)</f>
        <v>21.088999999999999</v>
      </c>
      <c r="G51" s="44">
        <f>'KEEI BAU - Overview'!F41-SUM('KEEI BAU - Industry'!G9,'KEEI BAU - Industry'!G16,'KEEI BAU - Industry'!G23,'KEEI BAU - Industry'!G30)</f>
        <v>21.135000000000005</v>
      </c>
      <c r="H51" s="45"/>
      <c r="I51" s="45"/>
      <c r="J51" s="46"/>
      <c r="K51" s="47"/>
      <c r="L51" s="47"/>
      <c r="N51" s="42" t="s">
        <v>443</v>
      </c>
      <c r="O51" s="149">
        <f t="shared" ref="O51:P56" si="24">B51*$N$3</f>
        <v>649404241647955.63</v>
      </c>
      <c r="P51" s="149">
        <f t="shared" si="24"/>
        <v>1089455067186057.5</v>
      </c>
      <c r="Q51" s="151">
        <f>SUM(Q52:Q56)</f>
        <v>1105006572607370.3</v>
      </c>
      <c r="R51" s="151">
        <v>1126254212281159.5</v>
      </c>
      <c r="S51" s="151">
        <v>1159937619888241.3</v>
      </c>
      <c r="T51" s="422">
        <v>1193621027495323</v>
      </c>
      <c r="U51" s="151">
        <v>1227304435102404.8</v>
      </c>
      <c r="V51" s="151">
        <v>1260987842709486.5</v>
      </c>
      <c r="W51" s="151">
        <v>1294671250316568.5</v>
      </c>
      <c r="X51" s="151">
        <v>1318338349963976</v>
      </c>
      <c r="Y51" s="151">
        <v>1342005449611384</v>
      </c>
      <c r="Z51" s="151">
        <v>1365672549258792</v>
      </c>
      <c r="AA51" s="151">
        <v>1389339648906200</v>
      </c>
      <c r="AB51" s="151">
        <v>1413006748553611.3</v>
      </c>
      <c r="AC51" s="151">
        <v>1432152988013688</v>
      </c>
      <c r="AD51" s="151">
        <v>1451299227473752</v>
      </c>
      <c r="AE51" s="151">
        <v>1470445466933824</v>
      </c>
      <c r="AF51" s="151">
        <v>1489591706393888</v>
      </c>
      <c r="AG51" s="151">
        <v>1508737945853950.8</v>
      </c>
      <c r="AH51" s="151">
        <v>1526337575249928</v>
      </c>
      <c r="AI51" s="151">
        <v>1543937204645908</v>
      </c>
      <c r="AJ51" s="151">
        <v>1561536834041884</v>
      </c>
      <c r="AK51" s="151">
        <v>1579136463437864</v>
      </c>
      <c r="AL51" s="151">
        <v>1596736092833840.5</v>
      </c>
      <c r="AM51" s="151">
        <v>1616397868981932</v>
      </c>
      <c r="AN51" s="151">
        <v>1634653635980860</v>
      </c>
      <c r="AO51" s="151">
        <v>1652909402979780</v>
      </c>
      <c r="AP51" s="151">
        <v>1671165169978708</v>
      </c>
      <c r="AQ51" s="151">
        <v>1689420936977628</v>
      </c>
      <c r="AR51" s="151">
        <v>1707676703976556</v>
      </c>
      <c r="AS51" s="151">
        <v>1725932470975476</v>
      </c>
      <c r="AT51" s="151">
        <v>1744188237974404</v>
      </c>
      <c r="AU51" s="151">
        <v>1762444004973332</v>
      </c>
      <c r="AV51" s="151">
        <v>1780699771972252</v>
      </c>
      <c r="AW51" s="174">
        <f>(AV51/R51)^(1/30)-1</f>
        <v>1.5387491750552318E-2</v>
      </c>
    </row>
    <row r="52" spans="1:69">
      <c r="A52" s="48" t="s">
        <v>45</v>
      </c>
      <c r="B52" s="43">
        <f>'KEEI BAU - Overview'!B42-SUM('KEEI BAU - Industry'!B10,'KEEI BAU - Industry'!B17,'KEEI BAU - Industry'!B24,'KEEI BAU - Industry'!B31)</f>
        <v>3.6689827499734626</v>
      </c>
      <c r="C52" s="43">
        <f>'KEEI BAU - Overview'!C6-SUM('KEEI BAU - Industry'!C10,'KEEI BAU - Industry'!C17,'KEEI BAU - Industry'!C24,'KEEI BAU - Industry'!C31)</f>
        <v>4.014113014239733</v>
      </c>
      <c r="D52" s="44">
        <f>'KEEI BAU - Overview'!C42-SUM('KEEI BAU - Industry'!D10,'KEEI BAU - Industry'!D17,'KEEI BAU - Industry'!D24,'KEEI BAU - Industry'!D31)</f>
        <v>-2.3669999999999973</v>
      </c>
      <c r="E52" s="44">
        <f>'KEEI BAU - Overview'!D42-SUM('KEEI BAU - Industry'!E10,'KEEI BAU - Industry'!E17,'KEEI BAU - Industry'!E24,'KEEI BAU - Industry'!E31)</f>
        <v>3.0549999999999997</v>
      </c>
      <c r="F52" s="44">
        <f>'KEEI BAU - Overview'!E42-SUM('KEEI BAU - Industry'!F10,'KEEI BAU - Industry'!F17,'KEEI BAU - Industry'!F24,'KEEI BAU - Industry'!F31)</f>
        <v>2.7850000000000001</v>
      </c>
      <c r="G52" s="44">
        <f>'KEEI BAU - Overview'!F42-SUM('KEEI BAU - Industry'!G10,'KEEI BAU - Industry'!G17,'KEEI BAU - Industry'!G24,'KEEI BAU - Industry'!G31)</f>
        <v>2.2219999999999978</v>
      </c>
      <c r="H52" s="45"/>
      <c r="I52" s="45"/>
      <c r="J52" s="41"/>
      <c r="K52" s="47"/>
      <c r="L52" s="47"/>
      <c r="N52" s="48" t="s">
        <v>45</v>
      </c>
      <c r="O52" s="149">
        <f t="shared" si="24"/>
        <v>145499631950809.28</v>
      </c>
      <c r="P52" s="149">
        <f t="shared" si="24"/>
        <v>159186348364559.41</v>
      </c>
      <c r="Q52" s="151">
        <f>P52*P$113</f>
        <v>157721001443863.41</v>
      </c>
      <c r="R52" s="151">
        <v>150101197456244.16</v>
      </c>
      <c r="S52" s="151">
        <v>164559877141491.38</v>
      </c>
      <c r="T52" s="423">
        <v>179018556826738.56</v>
      </c>
      <c r="U52" s="151">
        <v>193477236511985.75</v>
      </c>
      <c r="V52" s="151">
        <v>207935916197232.94</v>
      </c>
      <c r="W52" s="151">
        <v>222394595882480.16</v>
      </c>
      <c r="X52" s="151">
        <v>227605482098414</v>
      </c>
      <c r="Y52" s="151">
        <v>232816368314348</v>
      </c>
      <c r="Z52" s="151">
        <v>238027254530282</v>
      </c>
      <c r="AA52" s="151">
        <v>243238140746216</v>
      </c>
      <c r="AB52" s="151">
        <v>248449026962150.03</v>
      </c>
      <c r="AC52" s="151">
        <v>252073646445684</v>
      </c>
      <c r="AD52" s="151">
        <v>255698265929218</v>
      </c>
      <c r="AE52" s="151">
        <v>259322885412752</v>
      </c>
      <c r="AF52" s="151">
        <v>262947504896286</v>
      </c>
      <c r="AG52" s="151">
        <v>266572124379820.06</v>
      </c>
      <c r="AH52" s="151">
        <v>268911867810110</v>
      </c>
      <c r="AI52" s="151">
        <v>271251611240400</v>
      </c>
      <c r="AJ52" s="151">
        <v>273591354670690</v>
      </c>
      <c r="AK52" s="151">
        <v>275931098100980</v>
      </c>
      <c r="AL52" s="151">
        <v>278270841531269.97</v>
      </c>
      <c r="AM52" s="151">
        <v>282323753032552</v>
      </c>
      <c r="AN52" s="151">
        <v>285208595394521</v>
      </c>
      <c r="AO52" s="151">
        <v>288093437756491</v>
      </c>
      <c r="AP52" s="151">
        <v>290978280118460</v>
      </c>
      <c r="AQ52" s="151">
        <v>293863122480429</v>
      </c>
      <c r="AR52" s="151">
        <v>296747964842398</v>
      </c>
      <c r="AS52" s="151">
        <v>299632807204368</v>
      </c>
      <c r="AT52" s="151">
        <v>302517649566337</v>
      </c>
      <c r="AU52" s="151">
        <v>305402491928306</v>
      </c>
      <c r="AV52" s="151">
        <v>308287334290276</v>
      </c>
      <c r="AW52" s="171"/>
    </row>
    <row r="53" spans="1:69">
      <c r="A53" s="48" t="s">
        <v>41</v>
      </c>
      <c r="B53" s="43">
        <f>'KEEI BAU - Overview'!B43-SUM('KEEI BAU - Industry'!B11,'KEEI BAU - Industry'!B18,'KEEI BAU - Industry'!B25,'KEEI BAU - Industry'!B32)</f>
        <v>7.7566469198817671</v>
      </c>
      <c r="C53" s="43">
        <f>'KEEI BAU - Overview'!C7-SUM('KEEI BAU - Industry'!C11,'KEEI BAU - Industry'!C18,'KEEI BAU - Industry'!C25,'KEEI BAU - Industry'!C32)</f>
        <v>6.1196384395911707</v>
      </c>
      <c r="D53" s="44">
        <f>'KEEI BAU - Overview'!C43-SUM('KEEI BAU - Industry'!D11,'KEEI BAU - Industry'!D18,'KEEI BAU - Industry'!D25,'KEEI BAU - Industry'!D32)</f>
        <v>-9.9600000000000151</v>
      </c>
      <c r="E53" s="44">
        <f>'KEEI BAU - Overview'!D43-SUM('KEEI BAU - Industry'!E11,'KEEI BAU - Industry'!E18,'KEEI BAU - Industry'!E25,'KEEI BAU - Industry'!E32)</f>
        <v>4.2530000000000072</v>
      </c>
      <c r="F53" s="44">
        <f>'KEEI BAU - Overview'!E43-SUM('KEEI BAU - Industry'!F11,'KEEI BAU - Industry'!F18,'KEEI BAU - Industry'!F25,'KEEI BAU - Industry'!F32)</f>
        <v>4.0279999999999916</v>
      </c>
      <c r="G53" s="44">
        <f>'KEEI BAU - Overview'!F43-SUM('KEEI BAU - Industry'!G11,'KEEI BAU - Industry'!G18,'KEEI BAU - Industry'!G25,'KEEI BAU - Industry'!G32)</f>
        <v>4.2999999999999972</v>
      </c>
      <c r="H53" s="45"/>
      <c r="I53" s="45"/>
      <c r="J53" s="41"/>
      <c r="K53" s="47"/>
      <c r="L53" s="47"/>
      <c r="N53" s="48" t="s">
        <v>41</v>
      </c>
      <c r="O53" s="149">
        <f t="shared" si="24"/>
        <v>307602774099534.38</v>
      </c>
      <c r="P53" s="149">
        <f t="shared" si="24"/>
        <v>242684471775993.03</v>
      </c>
      <c r="Q53" s="151">
        <f>P53*P$114</f>
        <v>242411292828645.84</v>
      </c>
      <c r="R53" s="151">
        <v>232850029671494.84</v>
      </c>
      <c r="S53" s="151">
        <v>238016113214421.72</v>
      </c>
      <c r="T53" s="423">
        <v>243182196757348.63</v>
      </c>
      <c r="U53" s="151">
        <v>248348280300275.5</v>
      </c>
      <c r="V53" s="151">
        <v>253514363843202.38</v>
      </c>
      <c r="W53" s="151">
        <v>258680447386129.28</v>
      </c>
      <c r="X53" s="151">
        <v>261067778818392</v>
      </c>
      <c r="Y53" s="151">
        <v>263455110250654</v>
      </c>
      <c r="Z53" s="151">
        <v>265842441682916</v>
      </c>
      <c r="AA53" s="151">
        <v>268229773115178</v>
      </c>
      <c r="AB53" s="151">
        <v>270617104547440.5</v>
      </c>
      <c r="AC53" s="151">
        <v>272314409951108</v>
      </c>
      <c r="AD53" s="151">
        <v>274011715354776</v>
      </c>
      <c r="AE53" s="151">
        <v>275709020758444</v>
      </c>
      <c r="AF53" s="151">
        <v>277406326162112</v>
      </c>
      <c r="AG53" s="151">
        <v>279103631565779.88</v>
      </c>
      <c r="AH53" s="151">
        <v>280436095620996.5</v>
      </c>
      <c r="AI53" s="151">
        <v>281768559676212</v>
      </c>
      <c r="AJ53" s="151">
        <v>283101023731428</v>
      </c>
      <c r="AK53" s="151">
        <v>284433487786644</v>
      </c>
      <c r="AL53" s="151">
        <v>285765951841859.56</v>
      </c>
      <c r="AM53" s="151">
        <v>287584871028345</v>
      </c>
      <c r="AN53" s="151">
        <v>289072116261692</v>
      </c>
      <c r="AO53" s="151">
        <v>290559361495039.5</v>
      </c>
      <c r="AP53" s="151">
        <v>292046606728386.5</v>
      </c>
      <c r="AQ53" s="151">
        <v>293533851961733.5</v>
      </c>
      <c r="AR53" s="151">
        <v>295021097195080.5</v>
      </c>
      <c r="AS53" s="151">
        <v>296508342428428</v>
      </c>
      <c r="AT53" s="151">
        <v>297995587661775</v>
      </c>
      <c r="AU53" s="151">
        <v>299482832895122</v>
      </c>
      <c r="AV53" s="151">
        <v>300970078128469.5</v>
      </c>
      <c r="AW53" s="171"/>
    </row>
    <row r="54" spans="1:69">
      <c r="A54" s="48" t="s">
        <v>42</v>
      </c>
      <c r="B54" s="43">
        <f>'KEEI BAU - Overview'!B44-SUM('KEEI BAU - Industry'!B12,'KEEI BAU - Industry'!B19,'KEEI BAU - Industry'!B26,'KEEI BAU - Industry'!B33)</f>
        <v>1.5765106</v>
      </c>
      <c r="C54" s="43">
        <f>'KEEI BAU - Overview'!C8-SUM('KEEI BAU - Industry'!C12,'KEEI BAU - Industry'!C19,'KEEI BAU - Industry'!C26,'KEEI BAU - Industry'!C33)</f>
        <v>2.0819591640509518</v>
      </c>
      <c r="D54" s="44">
        <f>'KEEI BAU - Overview'!C44-SUM('KEEI BAU - Industry'!D12,'KEEI BAU - Industry'!D19,'KEEI BAU - Industry'!D26,'KEEI BAU - Industry'!D33)</f>
        <v>0.88799999999999812</v>
      </c>
      <c r="E54" s="44">
        <f>'KEEI BAU - Overview'!D44-SUM('KEEI BAU - Industry'!E12,'KEEI BAU - Industry'!E19,'KEEI BAU - Industry'!E26,'KEEI BAU - Industry'!E33)</f>
        <v>3.7859999999999996</v>
      </c>
      <c r="F54" s="44">
        <f>'KEEI BAU - Overview'!E44-SUM('KEEI BAU - Industry'!F12,'KEEI BAU - Industry'!F19,'KEEI BAU - Industry'!F26,'KEEI BAU - Industry'!F33)</f>
        <v>4.2100000000000009</v>
      </c>
      <c r="G54" s="44">
        <f>'KEEI BAU - Overview'!F44-SUM('KEEI BAU - Industry'!G12,'KEEI BAU - Industry'!G19,'KEEI BAU - Industry'!G26,'KEEI BAU - Industry'!G33)</f>
        <v>4.0749999999999993</v>
      </c>
      <c r="H54" s="45"/>
      <c r="I54" s="45"/>
      <c r="J54" s="41"/>
      <c r="K54" s="47"/>
      <c r="L54" s="47"/>
      <c r="N54" s="48" t="s">
        <v>42</v>
      </c>
      <c r="O54" s="149">
        <f t="shared" si="24"/>
        <v>62519157951399.086</v>
      </c>
      <c r="P54" s="149">
        <f t="shared" si="24"/>
        <v>82563564003733.469</v>
      </c>
      <c r="Q54" s="151">
        <f>P54*P$115</f>
        <v>117930586268335.67</v>
      </c>
      <c r="R54" s="151">
        <v>145883902834859.75</v>
      </c>
      <c r="S54" s="151">
        <v>135115747697389.81</v>
      </c>
      <c r="T54" s="423">
        <v>124347592559919.86</v>
      </c>
      <c r="U54" s="151">
        <v>113579437422449.91</v>
      </c>
      <c r="V54" s="151">
        <v>102811282284979.95</v>
      </c>
      <c r="W54" s="151">
        <v>92043127147509.984</v>
      </c>
      <c r="X54" s="151">
        <v>93605599878924</v>
      </c>
      <c r="Y54" s="151">
        <v>95168072610338</v>
      </c>
      <c r="Z54" s="151">
        <v>96730545341752</v>
      </c>
      <c r="AA54" s="151">
        <v>98293018073166</v>
      </c>
      <c r="AB54" s="151">
        <v>99855490804580.031</v>
      </c>
      <c r="AC54" s="151">
        <v>101489345538952</v>
      </c>
      <c r="AD54" s="151">
        <v>103123200273324</v>
      </c>
      <c r="AE54" s="151">
        <v>104757055007696</v>
      </c>
      <c r="AF54" s="151">
        <v>106390909742068</v>
      </c>
      <c r="AG54" s="151">
        <v>108024764476440.02</v>
      </c>
      <c r="AH54" s="151">
        <v>109880696553348</v>
      </c>
      <c r="AI54" s="151">
        <v>111736628630256</v>
      </c>
      <c r="AJ54" s="151">
        <v>113592560707164</v>
      </c>
      <c r="AK54" s="151">
        <v>115448492784072</v>
      </c>
      <c r="AL54" s="151">
        <v>117304424860979.94</v>
      </c>
      <c r="AM54" s="151">
        <v>118864253814506.5</v>
      </c>
      <c r="AN54" s="151">
        <v>120625971261247.5</v>
      </c>
      <c r="AO54" s="151">
        <v>122387688707989</v>
      </c>
      <c r="AP54" s="151">
        <v>124149406154730</v>
      </c>
      <c r="AQ54" s="151">
        <v>125911123601471.5</v>
      </c>
      <c r="AR54" s="151">
        <v>127672841048212.5</v>
      </c>
      <c r="AS54" s="151">
        <v>129434558494954</v>
      </c>
      <c r="AT54" s="151">
        <v>131196275941695</v>
      </c>
      <c r="AU54" s="151">
        <v>132957993388436</v>
      </c>
      <c r="AV54" s="151">
        <v>134719710835177.5</v>
      </c>
      <c r="AW54" s="171"/>
    </row>
    <row r="55" spans="1:69">
      <c r="A55" s="48" t="s">
        <v>43</v>
      </c>
      <c r="B55" s="43">
        <f>'KEEI BAU - Overview'!B45-SUM('KEEI BAU - Industry'!B13,'KEEI BAU - Industry'!B20,'KEEI BAU - Industry'!B27,'KEEI BAU - Industry'!B34)</f>
        <v>3.3745228738940005</v>
      </c>
      <c r="C55" s="43">
        <f>'KEEI BAU - Overview'!C9-SUM('KEEI BAU - Industry'!C13,'KEEI BAU - Industry'!C20,'KEEI BAU - Industry'!C27,'KEEI BAU - Industry'!C34)</f>
        <v>5.824467797856002</v>
      </c>
      <c r="D55" s="44">
        <f>'KEEI BAU - Overview'!C45-SUM('KEEI BAU - Industry'!D13,'KEEI BAU - Industry'!D20,'KEEI BAU - Industry'!D27,'KEEI BAU - Industry'!D34)</f>
        <v>2.4080000000000013</v>
      </c>
      <c r="E55" s="44">
        <f>'KEEI BAU - Overview'!D45-SUM('KEEI BAU - Industry'!E13,'KEEI BAU - Industry'!E20,'KEEI BAU - Industry'!E27,'KEEI BAU - Industry'!E34)</f>
        <v>6.7689999999999984</v>
      </c>
      <c r="F55" s="44">
        <f>'KEEI BAU - Overview'!E45-SUM('KEEI BAU - Industry'!F13,'KEEI BAU - Industry'!F20,'KEEI BAU - Industry'!F27,'KEEI BAU - Industry'!F34)</f>
        <v>7.3859999999999992</v>
      </c>
      <c r="G55" s="44">
        <f>'KEEI BAU - Overview'!F45-SUM('KEEI BAU - Industry'!G13,'KEEI BAU - Industry'!G20,'KEEI BAU - Industry'!G27,'KEEI BAU - Industry'!G34)</f>
        <v>7.2469999999999999</v>
      </c>
      <c r="H55" s="45"/>
      <c r="I55" s="45"/>
      <c r="J55" s="41"/>
      <c r="K55" s="47"/>
      <c r="L55" s="47"/>
      <c r="N55" s="48" t="s">
        <v>43</v>
      </c>
      <c r="O55" s="149">
        <f t="shared" si="24"/>
        <v>133822334314522.34</v>
      </c>
      <c r="P55" s="149">
        <f t="shared" si="24"/>
        <v>230978987541851.59</v>
      </c>
      <c r="Q55" s="151">
        <f>P55*P$117</f>
        <v>227769762705723.56</v>
      </c>
      <c r="R55" s="151">
        <v>220470906220016.47</v>
      </c>
      <c r="S55" s="151">
        <v>228572831805635.19</v>
      </c>
      <c r="T55" s="423">
        <v>236674757391253.88</v>
      </c>
      <c r="U55" s="151">
        <v>244776682976872.56</v>
      </c>
      <c r="V55" s="151">
        <v>252878608562491.28</v>
      </c>
      <c r="W55" s="151">
        <v>260980534148109.97</v>
      </c>
      <c r="X55" s="151">
        <v>263082337568540</v>
      </c>
      <c r="Y55" s="151">
        <v>265184140988970</v>
      </c>
      <c r="Z55" s="151">
        <v>267285944409400</v>
      </c>
      <c r="AA55" s="151">
        <v>269387747829830</v>
      </c>
      <c r="AB55" s="151">
        <v>271489551250260</v>
      </c>
      <c r="AC55" s="151">
        <v>272599937962940</v>
      </c>
      <c r="AD55" s="151">
        <v>273710324675620</v>
      </c>
      <c r="AE55" s="151">
        <v>274820711388300</v>
      </c>
      <c r="AF55" s="151">
        <v>275931098100980</v>
      </c>
      <c r="AG55" s="151">
        <v>277041484813660.03</v>
      </c>
      <c r="AH55" s="151">
        <v>277834618179860</v>
      </c>
      <c r="AI55" s="151">
        <v>278627751546060</v>
      </c>
      <c r="AJ55" s="151">
        <v>279420884912260</v>
      </c>
      <c r="AK55" s="151">
        <v>280214018278460</v>
      </c>
      <c r="AL55" s="151">
        <v>281007151644659.94</v>
      </c>
      <c r="AM55" s="151">
        <v>282223289472833.5</v>
      </c>
      <c r="AN55" s="151">
        <v>283151015167843</v>
      </c>
      <c r="AO55" s="151">
        <v>284078740862852.75</v>
      </c>
      <c r="AP55" s="151">
        <v>285006466557862.5</v>
      </c>
      <c r="AQ55" s="151">
        <v>285934192252872.25</v>
      </c>
      <c r="AR55" s="151">
        <v>286861917947881.75</v>
      </c>
      <c r="AS55" s="151">
        <v>287789643642891.5</v>
      </c>
      <c r="AT55" s="151">
        <v>288717369337901.25</v>
      </c>
      <c r="AU55" s="151">
        <v>289645095032911</v>
      </c>
      <c r="AV55" s="151">
        <v>290572820727920.75</v>
      </c>
      <c r="AW55" s="171"/>
    </row>
    <row r="56" spans="1:69" ht="17.25" thickBot="1">
      <c r="A56" s="49" t="s">
        <v>44</v>
      </c>
      <c r="B56" s="43">
        <f>'KEEI BAU - Overview'!B47-SUM('KEEI BAU - Industry'!B14,'KEEI BAU - Industry'!B21,'KEEI BAU - Industry'!B28,'KEEI BAU - Industry'!B35)</f>
        <v>0</v>
      </c>
      <c r="C56" s="43">
        <f>'KEEI BAU - Overview'!C11-SUM('KEEI BAU - Industry'!C14,'KEEI BAU - Industry'!C21,'KEEI BAU - Industry'!C28,'KEEI BAU - Industry'!C35)</f>
        <v>9.4320000000000004</v>
      </c>
      <c r="D56" s="44">
        <f>'KEEI BAU - Overview'!C46-SUM('KEEI BAU - Industry'!D14,'KEEI BAU - Industry'!D21,'KEEI BAU - Industry'!D28,'KEEI BAU - Industry'!D35)</f>
        <v>0</v>
      </c>
      <c r="E56" s="44">
        <f>'KEEI BAU - Overview'!D46-SUM('KEEI BAU - Industry'!E14,'KEEI BAU - Industry'!E21,'KEEI BAU - Industry'!E28,'KEEI BAU - Industry'!E35)</f>
        <v>-3.0040000000000004</v>
      </c>
      <c r="F56" s="44">
        <f>'KEEI BAU - Overview'!E46-SUM('KEEI BAU - Industry'!F14,'KEEI BAU - Industry'!F21,'KEEI BAU - Industry'!F28,'KEEI BAU - Industry'!F35)</f>
        <v>-3.375</v>
      </c>
      <c r="G56" s="44">
        <f>'KEEI BAU - Overview'!F46-SUM('KEEI BAU - Industry'!G14,'KEEI BAU - Industry'!G21,'KEEI BAU - Industry'!G28,'KEEI BAU - Industry'!G35)</f>
        <v>-3.633</v>
      </c>
      <c r="H56" s="45"/>
      <c r="I56" s="45"/>
      <c r="J56" s="57"/>
      <c r="K56" s="47"/>
      <c r="L56" s="47"/>
      <c r="N56" s="390" t="s">
        <v>44</v>
      </c>
      <c r="O56" s="149">
        <f t="shared" si="24"/>
        <v>0</v>
      </c>
      <c r="P56" s="149">
        <f t="shared" si="24"/>
        <v>374041695499920</v>
      </c>
      <c r="Q56" s="151">
        <f>P56*P$118</f>
        <v>359173929360801.81</v>
      </c>
      <c r="R56" s="151">
        <v>376948176098544.5</v>
      </c>
      <c r="S56" s="151">
        <v>393704775363951.63</v>
      </c>
      <c r="T56" s="424">
        <v>410461374629358.69</v>
      </c>
      <c r="U56" s="151">
        <v>427217973894765.75</v>
      </c>
      <c r="V56" s="151">
        <v>443974573160172.88</v>
      </c>
      <c r="W56" s="151">
        <v>460731172425580</v>
      </c>
      <c r="X56" s="151">
        <v>473111984271964</v>
      </c>
      <c r="Y56" s="151">
        <v>485492796118348</v>
      </c>
      <c r="Z56" s="151">
        <v>497873607964728</v>
      </c>
      <c r="AA56" s="151">
        <v>510254419811112</v>
      </c>
      <c r="AB56" s="151">
        <v>522635231657490</v>
      </c>
      <c r="AC56" s="151">
        <v>533699442115984</v>
      </c>
      <c r="AD56" s="151">
        <v>544763652574472</v>
      </c>
      <c r="AE56" s="151">
        <v>555827863032964</v>
      </c>
      <c r="AF56" s="151">
        <v>566892073491452</v>
      </c>
      <c r="AG56" s="151">
        <v>577956283949940</v>
      </c>
      <c r="AH56" s="151">
        <v>589258434418292</v>
      </c>
      <c r="AI56" s="151">
        <v>600560584886644</v>
      </c>
      <c r="AJ56" s="151">
        <v>611862735354992</v>
      </c>
      <c r="AK56" s="151">
        <v>623164885823344</v>
      </c>
      <c r="AL56" s="151">
        <v>634467036291690</v>
      </c>
      <c r="AM56" s="391">
        <v>645451933413560</v>
      </c>
      <c r="AN56" s="391">
        <v>656653139635304</v>
      </c>
      <c r="AO56" s="391">
        <v>667854345857048</v>
      </c>
      <c r="AP56" s="391">
        <v>679055552078788</v>
      </c>
      <c r="AQ56" s="391">
        <v>690256758300532</v>
      </c>
      <c r="AR56" s="391">
        <v>701457964522276</v>
      </c>
      <c r="AS56" s="391">
        <v>712659170744016</v>
      </c>
      <c r="AT56" s="391">
        <v>723860376965760</v>
      </c>
      <c r="AU56" s="391">
        <v>735061583187504</v>
      </c>
      <c r="AV56" s="391">
        <v>746262789409244</v>
      </c>
      <c r="AW56" s="171"/>
    </row>
    <row r="57" spans="1:69">
      <c r="A57" s="495" t="s">
        <v>826</v>
      </c>
      <c r="B57" s="496"/>
      <c r="C57" s="496"/>
      <c r="D57" s="496"/>
      <c r="E57" s="496"/>
      <c r="F57" s="496"/>
      <c r="G57" s="496"/>
      <c r="H57" s="496"/>
      <c r="I57" s="496"/>
      <c r="J57" s="496"/>
      <c r="K57" s="496"/>
      <c r="L57" s="496"/>
      <c r="N57" s="500" t="s">
        <v>39</v>
      </c>
      <c r="O57" s="501"/>
      <c r="P57" s="501"/>
      <c r="Q57" s="501"/>
      <c r="R57" s="501"/>
      <c r="S57" s="501"/>
      <c r="T57" s="501"/>
      <c r="U57" s="501"/>
      <c r="V57" s="501"/>
      <c r="W57" s="501"/>
      <c r="X57" s="501"/>
      <c r="Y57" s="501"/>
      <c r="Z57" s="501"/>
      <c r="AA57" s="501"/>
      <c r="AB57" s="501"/>
      <c r="AC57" s="501"/>
      <c r="AD57" s="501"/>
      <c r="AE57" s="501"/>
      <c r="AF57" s="501"/>
      <c r="AG57" s="501"/>
      <c r="AH57" s="501"/>
      <c r="AI57" s="501"/>
      <c r="AJ57" s="501"/>
      <c r="AK57" s="501"/>
      <c r="AL57" s="501"/>
      <c r="AM57" s="30"/>
      <c r="AN57" s="30"/>
      <c r="AO57" s="30"/>
      <c r="AP57" s="30"/>
      <c r="AQ57" s="30"/>
      <c r="AR57" s="30"/>
      <c r="AS57" s="30"/>
      <c r="AT57" s="30"/>
      <c r="AU57" s="30"/>
      <c r="AV57" s="30"/>
    </row>
    <row r="58" spans="1:69">
      <c r="L58" s="58"/>
      <c r="M58" s="58"/>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row>
    <row r="61" spans="1:69">
      <c r="A61" s="466" t="s">
        <v>1165</v>
      </c>
      <c r="B61"/>
      <c r="C61"/>
      <c r="D61"/>
      <c r="E61"/>
      <c r="F61" t="s">
        <v>1174</v>
      </c>
      <c r="G61"/>
      <c r="H61"/>
      <c r="I61"/>
      <c r="J61"/>
      <c r="K61"/>
      <c r="L61"/>
      <c r="M61"/>
      <c r="N61"/>
      <c r="O61"/>
      <c r="P61"/>
      <c r="Q61"/>
      <c r="R61"/>
      <c r="S61"/>
      <c r="T61"/>
      <c r="AK61" s="481" t="s">
        <v>1175</v>
      </c>
      <c r="AM61" s="481" t="s">
        <v>1176</v>
      </c>
      <c r="AW61" s="150"/>
      <c r="AX61" s="150"/>
      <c r="AY61" s="150"/>
      <c r="AZ61" s="150"/>
      <c r="BA61" s="150"/>
      <c r="BB61" s="150"/>
    </row>
    <row r="62" spans="1:69">
      <c r="A62"/>
      <c r="B62" s="467" t="s">
        <v>1166</v>
      </c>
      <c r="C62" s="34">
        <v>2018</v>
      </c>
      <c r="D62" s="34">
        <v>2019</v>
      </c>
      <c r="E62" s="34">
        <v>2020</v>
      </c>
      <c r="F62" s="34">
        <v>2021</v>
      </c>
      <c r="G62" s="34">
        <v>2022</v>
      </c>
      <c r="H62" s="34">
        <v>2023</v>
      </c>
      <c r="I62" s="34">
        <v>2024</v>
      </c>
      <c r="J62" s="34">
        <v>2025</v>
      </c>
      <c r="K62" s="34">
        <v>2026</v>
      </c>
      <c r="L62" s="34">
        <v>2027</v>
      </c>
      <c r="M62" s="34">
        <v>2028</v>
      </c>
      <c r="N62" s="34">
        <v>2029</v>
      </c>
      <c r="O62" s="34">
        <v>2030</v>
      </c>
      <c r="P62" s="34">
        <v>2031</v>
      </c>
      <c r="Q62" s="34">
        <v>2032</v>
      </c>
      <c r="R62" s="34">
        <v>2033</v>
      </c>
      <c r="S62" s="34">
        <v>2034</v>
      </c>
      <c r="T62" s="34">
        <v>2035</v>
      </c>
      <c r="U62" s="34">
        <v>2036</v>
      </c>
      <c r="V62" s="34">
        <v>2037</v>
      </c>
      <c r="W62" s="34">
        <v>2038</v>
      </c>
      <c r="X62" s="34">
        <v>2039</v>
      </c>
      <c r="Y62" s="34">
        <v>2040</v>
      </c>
      <c r="Z62" s="34">
        <v>2041</v>
      </c>
      <c r="AA62" s="34">
        <v>2042</v>
      </c>
      <c r="AB62" s="34">
        <v>2043</v>
      </c>
      <c r="AC62" s="34">
        <v>2044</v>
      </c>
      <c r="AD62" s="34">
        <v>2045</v>
      </c>
      <c r="AE62" s="34">
        <v>2046</v>
      </c>
      <c r="AF62" s="34">
        <v>2047</v>
      </c>
      <c r="AG62" s="34">
        <v>2048</v>
      </c>
      <c r="AH62" s="34">
        <v>2049</v>
      </c>
      <c r="AI62" s="34">
        <v>2050</v>
      </c>
      <c r="AK62" s="34">
        <v>2018</v>
      </c>
      <c r="AL62" s="34">
        <v>2019</v>
      </c>
      <c r="AM62" s="34">
        <v>2020</v>
      </c>
      <c r="AN62" s="34">
        <v>2021</v>
      </c>
      <c r="AO62" s="34">
        <v>2022</v>
      </c>
      <c r="AP62" s="34">
        <v>2023</v>
      </c>
      <c r="AQ62" s="34">
        <v>2024</v>
      </c>
      <c r="AR62" s="34">
        <v>2025</v>
      </c>
      <c r="AS62" s="34">
        <v>2026</v>
      </c>
      <c r="AT62" s="34">
        <v>2027</v>
      </c>
      <c r="AU62" s="34">
        <v>2028</v>
      </c>
      <c r="AV62" s="34">
        <v>2029</v>
      </c>
      <c r="AW62" s="34">
        <v>2030</v>
      </c>
      <c r="AX62" s="34">
        <v>2031</v>
      </c>
      <c r="AY62" s="34">
        <v>2032</v>
      </c>
      <c r="AZ62" s="34">
        <v>2033</v>
      </c>
      <c r="BA62" s="34">
        <v>2034</v>
      </c>
      <c r="BB62" s="34">
        <v>2035</v>
      </c>
      <c r="BC62" s="34">
        <v>2036</v>
      </c>
      <c r="BD62" s="34">
        <v>2037</v>
      </c>
      <c r="BE62" s="34">
        <v>2038</v>
      </c>
      <c r="BF62" s="34">
        <v>2039</v>
      </c>
      <c r="BG62" s="34">
        <v>2040</v>
      </c>
      <c r="BH62" s="34">
        <v>2041</v>
      </c>
      <c r="BI62" s="34">
        <v>2042</v>
      </c>
      <c r="BJ62" s="34">
        <v>2043</v>
      </c>
      <c r="BK62" s="34">
        <v>2044</v>
      </c>
      <c r="BL62" s="34">
        <v>2045</v>
      </c>
      <c r="BM62" s="34">
        <v>2046</v>
      </c>
      <c r="BN62" s="34">
        <v>2047</v>
      </c>
      <c r="BO62" s="34">
        <v>2048</v>
      </c>
      <c r="BP62" s="34">
        <v>2049</v>
      </c>
      <c r="BQ62" s="34">
        <v>2050</v>
      </c>
    </row>
    <row r="63" spans="1:69">
      <c r="A63" s="468" t="s">
        <v>34</v>
      </c>
      <c r="B63"/>
      <c r="C63" s="469"/>
      <c r="D63"/>
      <c r="E63"/>
      <c r="F63"/>
      <c r="G63" s="469"/>
      <c r="H63" s="469"/>
      <c r="I63" s="469"/>
      <c r="J63" s="469"/>
      <c r="K63" s="469"/>
      <c r="L63" s="470"/>
      <c r="M63" s="470"/>
      <c r="N63" s="471"/>
      <c r="O63" s="470"/>
      <c r="P63" s="470"/>
      <c r="Q63"/>
      <c r="R63"/>
      <c r="S63"/>
      <c r="T63"/>
      <c r="AK63" s="469"/>
      <c r="AL63"/>
      <c r="AM63"/>
      <c r="AN63"/>
      <c r="AO63" s="469"/>
      <c r="AP63" s="469"/>
      <c r="AQ63" s="469"/>
      <c r="AR63" s="469"/>
      <c r="AS63" s="469"/>
      <c r="AT63" s="470"/>
      <c r="AU63" s="470"/>
      <c r="AV63" s="471"/>
      <c r="AW63" s="470"/>
      <c r="AX63" s="470"/>
      <c r="AY63"/>
      <c r="AZ63"/>
      <c r="BA63"/>
      <c r="BB63"/>
    </row>
    <row r="64" spans="1:69">
      <c r="A64" s="472" t="s">
        <v>294</v>
      </c>
      <c r="B64" s="473">
        <v>72194</v>
      </c>
      <c r="C64" s="473">
        <v>72091.217999999993</v>
      </c>
      <c r="D64" s="473">
        <v>72002.762000000002</v>
      </c>
      <c r="E64" s="473">
        <v>69154.076000000001</v>
      </c>
      <c r="F64" s="473">
        <v>76350.617771625504</v>
      </c>
      <c r="G64" s="473">
        <v>72464.716090123722</v>
      </c>
      <c r="H64" s="473">
        <v>67820.920612173883</v>
      </c>
      <c r="I64" s="473">
        <v>66067.536988538996</v>
      </c>
      <c r="J64" s="473">
        <v>65267.904362029301</v>
      </c>
      <c r="K64" s="473">
        <v>64360.325421142647</v>
      </c>
      <c r="L64" s="473">
        <v>63351.786603656219</v>
      </c>
      <c r="M64" s="473">
        <v>62262.864034883103</v>
      </c>
      <c r="N64" s="473">
        <v>60692.732482411142</v>
      </c>
      <c r="O64" s="473">
        <v>59476.156750208174</v>
      </c>
      <c r="P64" s="473">
        <v>59046.133070702701</v>
      </c>
      <c r="Q64" s="473">
        <v>58614.822145606173</v>
      </c>
      <c r="R64" s="473">
        <v>58182.201965946653</v>
      </c>
      <c r="S64" s="473">
        <v>57748.249881589385</v>
      </c>
      <c r="T64" s="473">
        <v>56991.025480432821</v>
      </c>
      <c r="U64" s="478">
        <v>56888.669666899688</v>
      </c>
      <c r="V64" s="478">
        <v>56786.313853366562</v>
      </c>
      <c r="W64" s="478">
        <v>56683.958039833436</v>
      </c>
      <c r="X64" s="478">
        <v>56581.602226300281</v>
      </c>
      <c r="Y64" s="473">
        <v>56479.246412767141</v>
      </c>
      <c r="Z64" s="478">
        <v>56390.442891309416</v>
      </c>
      <c r="AA64" s="478">
        <v>56301.639369851677</v>
      </c>
      <c r="AB64" s="478">
        <v>56212.835848393966</v>
      </c>
      <c r="AC64" s="478">
        <v>56124.032326936227</v>
      </c>
      <c r="AD64" s="478">
        <v>56035.228805478488</v>
      </c>
      <c r="AE64" s="478">
        <v>55946.425284020748</v>
      </c>
      <c r="AF64" s="478">
        <v>55857.621762563038</v>
      </c>
      <c r="AG64" s="478">
        <v>55768.818241105299</v>
      </c>
      <c r="AH64" s="478">
        <v>55680.014719647559</v>
      </c>
      <c r="AI64" s="473">
        <v>55591.211198189834</v>
      </c>
      <c r="AK64" s="478">
        <f t="shared" ref="AK64:AT69" si="25">C64/1000</f>
        <v>72.091217999999998</v>
      </c>
      <c r="AL64" s="478">
        <f t="shared" si="25"/>
        <v>72.002762000000004</v>
      </c>
      <c r="AM64" s="478">
        <f t="shared" si="25"/>
        <v>69.154076000000003</v>
      </c>
      <c r="AN64" s="478">
        <f t="shared" si="25"/>
        <v>76.350617771625508</v>
      </c>
      <c r="AO64" s="478">
        <f t="shared" si="25"/>
        <v>72.464716090123716</v>
      </c>
      <c r="AP64" s="478">
        <f t="shared" si="25"/>
        <v>67.820920612173879</v>
      </c>
      <c r="AQ64" s="478">
        <f t="shared" si="25"/>
        <v>66.06753698853899</v>
      </c>
      <c r="AR64" s="478">
        <f t="shared" si="25"/>
        <v>65.267904362029299</v>
      </c>
      <c r="AS64" s="478">
        <f t="shared" si="25"/>
        <v>64.360325421142647</v>
      </c>
      <c r="AT64" s="478">
        <f t="shared" si="25"/>
        <v>63.351786603656222</v>
      </c>
      <c r="AU64" s="478">
        <f t="shared" ref="AU64:BB69" si="26">M64/1000</f>
        <v>62.262864034883101</v>
      </c>
      <c r="AV64" s="478">
        <f t="shared" si="26"/>
        <v>60.692732482411145</v>
      </c>
      <c r="AW64" s="478">
        <f t="shared" si="26"/>
        <v>59.476156750208176</v>
      </c>
      <c r="AX64" s="478">
        <f t="shared" si="26"/>
        <v>59.046133070702702</v>
      </c>
      <c r="AY64" s="478">
        <f t="shared" si="26"/>
        <v>58.614822145606176</v>
      </c>
      <c r="AZ64" s="478">
        <f t="shared" si="26"/>
        <v>58.182201965946653</v>
      </c>
      <c r="BA64" s="478">
        <f t="shared" si="26"/>
        <v>57.748249881589388</v>
      </c>
      <c r="BB64" s="478">
        <f t="shared" si="26"/>
        <v>56.991025480432825</v>
      </c>
      <c r="BC64" s="478">
        <f t="shared" ref="BC64:BQ69" si="27">U64/1000</f>
        <v>56.888669666899688</v>
      </c>
      <c r="BD64" s="478">
        <f t="shared" si="27"/>
        <v>56.786313853366565</v>
      </c>
      <c r="BE64" s="478">
        <f t="shared" si="27"/>
        <v>56.683958039833435</v>
      </c>
      <c r="BF64" s="478">
        <f t="shared" si="27"/>
        <v>56.581602226300284</v>
      </c>
      <c r="BG64" s="478">
        <f t="shared" si="27"/>
        <v>56.479246412767139</v>
      </c>
      <c r="BH64" s="478">
        <f t="shared" si="27"/>
        <v>56.390442891309419</v>
      </c>
      <c r="BI64" s="478">
        <f t="shared" si="27"/>
        <v>56.301639369851678</v>
      </c>
      <c r="BJ64" s="478">
        <f t="shared" si="27"/>
        <v>56.212835848393965</v>
      </c>
      <c r="BK64" s="478">
        <f t="shared" si="27"/>
        <v>56.124032326936224</v>
      </c>
      <c r="BL64" s="478">
        <f t="shared" si="27"/>
        <v>56.035228805478489</v>
      </c>
      <c r="BM64" s="478">
        <f t="shared" si="27"/>
        <v>55.946425284020748</v>
      </c>
      <c r="BN64" s="478">
        <f t="shared" si="27"/>
        <v>55.857621762563035</v>
      </c>
      <c r="BO64" s="478">
        <f t="shared" si="27"/>
        <v>55.768818241105301</v>
      </c>
      <c r="BP64" s="478">
        <f t="shared" si="27"/>
        <v>55.680014719647559</v>
      </c>
      <c r="BQ64" s="478">
        <f t="shared" si="27"/>
        <v>55.591211198189832</v>
      </c>
    </row>
    <row r="65" spans="1:69">
      <c r="A65" s="474" t="s">
        <v>1167</v>
      </c>
      <c r="B65" s="473">
        <v>219</v>
      </c>
      <c r="C65" s="473">
        <v>218.70400000000001</v>
      </c>
      <c r="D65" s="473">
        <v>204.899</v>
      </c>
      <c r="E65" s="473">
        <v>203.339</v>
      </c>
      <c r="F65" s="473">
        <v>228.9311850068776</v>
      </c>
      <c r="G65" s="473">
        <v>217.74334456671252</v>
      </c>
      <c r="H65" s="473">
        <v>204.55002379278838</v>
      </c>
      <c r="I65" s="473">
        <v>199.52598156759154</v>
      </c>
      <c r="J65" s="473">
        <v>197.35509697337176</v>
      </c>
      <c r="K65" s="473">
        <v>194.86267280939512</v>
      </c>
      <c r="L65" s="473">
        <v>192.0520549272446</v>
      </c>
      <c r="M65" s="473">
        <v>188.90192896752245</v>
      </c>
      <c r="N65" s="473">
        <v>166.86131018215065</v>
      </c>
      <c r="O65" s="473">
        <v>145.2292958861585</v>
      </c>
      <c r="P65" s="473">
        <v>144.17926105537336</v>
      </c>
      <c r="Q65" s="473">
        <v>143.12608301929325</v>
      </c>
      <c r="R65" s="473">
        <v>142.06970803625646</v>
      </c>
      <c r="S65" s="473">
        <v>141.01008079900538</v>
      </c>
      <c r="T65" s="473">
        <v>122.45375132359358</v>
      </c>
      <c r="U65" s="478">
        <v>118.88474169513302</v>
      </c>
      <c r="V65" s="478">
        <v>115.31573206667326</v>
      </c>
      <c r="W65" s="478">
        <v>111.7467224382126</v>
      </c>
      <c r="X65" s="478">
        <v>108.17771280975194</v>
      </c>
      <c r="Y65" s="473">
        <v>104.60870318129047</v>
      </c>
      <c r="Z65" s="478">
        <v>102.77717964255135</v>
      </c>
      <c r="AA65" s="478">
        <v>100.94565610381233</v>
      </c>
      <c r="AB65" s="478">
        <v>99.114132565073305</v>
      </c>
      <c r="AC65" s="478">
        <v>97.282609026334285</v>
      </c>
      <c r="AD65" s="478">
        <v>95.451085487595265</v>
      </c>
      <c r="AE65" s="478">
        <v>93.619561948856244</v>
      </c>
      <c r="AF65" s="478">
        <v>91.788038410117224</v>
      </c>
      <c r="AG65" s="478">
        <v>89.956514871378204</v>
      </c>
      <c r="AH65" s="478">
        <v>88.124991332639183</v>
      </c>
      <c r="AI65" s="473">
        <v>86.293467793899993</v>
      </c>
      <c r="AK65" s="478">
        <f t="shared" si="25"/>
        <v>0.21870400000000001</v>
      </c>
      <c r="AL65" s="478">
        <f t="shared" si="25"/>
        <v>0.204899</v>
      </c>
      <c r="AM65" s="478">
        <f t="shared" si="25"/>
        <v>0.20333899999999999</v>
      </c>
      <c r="AN65" s="478">
        <f t="shared" si="25"/>
        <v>0.22893118500687759</v>
      </c>
      <c r="AO65" s="478">
        <f t="shared" si="25"/>
        <v>0.21774334456671252</v>
      </c>
      <c r="AP65" s="478">
        <f t="shared" si="25"/>
        <v>0.20455002379278839</v>
      </c>
      <c r="AQ65" s="478">
        <f t="shared" si="25"/>
        <v>0.19952598156759155</v>
      </c>
      <c r="AR65" s="478">
        <f t="shared" si="25"/>
        <v>0.19735509697337175</v>
      </c>
      <c r="AS65" s="478">
        <f t="shared" si="25"/>
        <v>0.19486267280939512</v>
      </c>
      <c r="AT65" s="478">
        <f t="shared" si="25"/>
        <v>0.19205205492724459</v>
      </c>
      <c r="AU65" s="478">
        <f t="shared" si="26"/>
        <v>0.18890192896752245</v>
      </c>
      <c r="AV65" s="478">
        <f t="shared" si="26"/>
        <v>0.16686131018215064</v>
      </c>
      <c r="AW65" s="478">
        <f t="shared" si="26"/>
        <v>0.14522929588615849</v>
      </c>
      <c r="AX65" s="478">
        <f t="shared" si="26"/>
        <v>0.14417926105537335</v>
      </c>
      <c r="AY65" s="478">
        <f t="shared" si="26"/>
        <v>0.14312608301929325</v>
      </c>
      <c r="AZ65" s="478">
        <f t="shared" si="26"/>
        <v>0.14206970803625646</v>
      </c>
      <c r="BA65" s="478">
        <f t="shared" si="26"/>
        <v>0.14101008079900537</v>
      </c>
      <c r="BB65" s="478">
        <f t="shared" si="26"/>
        <v>0.12245375132359358</v>
      </c>
      <c r="BC65" s="478">
        <f t="shared" si="27"/>
        <v>0.11888474169513302</v>
      </c>
      <c r="BD65" s="478">
        <f t="shared" si="27"/>
        <v>0.11531573206667327</v>
      </c>
      <c r="BE65" s="478">
        <f t="shared" si="27"/>
        <v>0.1117467224382126</v>
      </c>
      <c r="BF65" s="478">
        <f t="shared" si="27"/>
        <v>0.10817771280975194</v>
      </c>
      <c r="BG65" s="478">
        <f t="shared" si="27"/>
        <v>0.10460870318129047</v>
      </c>
      <c r="BH65" s="478">
        <f t="shared" si="27"/>
        <v>0.10277717964255134</v>
      </c>
      <c r="BI65" s="478">
        <f t="shared" si="27"/>
        <v>0.10094565610381233</v>
      </c>
      <c r="BJ65" s="478">
        <f t="shared" si="27"/>
        <v>9.9114132565073301E-2</v>
      </c>
      <c r="BK65" s="478">
        <f t="shared" si="27"/>
        <v>9.7282609026334288E-2</v>
      </c>
      <c r="BL65" s="478">
        <f t="shared" si="27"/>
        <v>9.5451085487595261E-2</v>
      </c>
      <c r="BM65" s="478">
        <f t="shared" si="27"/>
        <v>9.3619561948856247E-2</v>
      </c>
      <c r="BN65" s="478">
        <f t="shared" si="27"/>
        <v>9.178803841011722E-2</v>
      </c>
      <c r="BO65" s="478">
        <f t="shared" si="27"/>
        <v>8.9956514871378207E-2</v>
      </c>
      <c r="BP65" s="478">
        <f t="shared" si="27"/>
        <v>8.812499133263918E-2</v>
      </c>
      <c r="BQ65" s="478">
        <f t="shared" si="27"/>
        <v>8.6293467793899986E-2</v>
      </c>
    </row>
    <row r="66" spans="1:69">
      <c r="A66" s="474" t="s">
        <v>1168</v>
      </c>
      <c r="B66" s="473">
        <v>62288</v>
      </c>
      <c r="C66" s="473">
        <v>62037.759000000005</v>
      </c>
      <c r="D66" s="473">
        <v>60755.014999999999</v>
      </c>
      <c r="E66" s="473">
        <v>57793.966999999997</v>
      </c>
      <c r="F66" s="473">
        <v>64724.774511370015</v>
      </c>
      <c r="G66" s="473">
        <v>61055.061642974091</v>
      </c>
      <c r="H66" s="473">
        <v>56777.567465040716</v>
      </c>
      <c r="I66" s="473">
        <v>54983.724302306146</v>
      </c>
      <c r="J66" s="473">
        <v>53997.126224084626</v>
      </c>
      <c r="K66" s="473">
        <v>52938.081662879165</v>
      </c>
      <c r="L66" s="473">
        <v>51808.962032533978</v>
      </c>
      <c r="M66" s="473">
        <v>50605.459530970198</v>
      </c>
      <c r="N66" s="473">
        <v>49003.525513953864</v>
      </c>
      <c r="O66" s="473">
        <v>45920.566541681364</v>
      </c>
      <c r="P66" s="473">
        <v>45588.552301552096</v>
      </c>
      <c r="Q66" s="473">
        <v>45255.544200184151</v>
      </c>
      <c r="R66" s="473">
        <v>44921.525244810749</v>
      </c>
      <c r="S66" s="473">
        <v>44586.477947633815</v>
      </c>
      <c r="T66" s="473">
        <v>43945.960604120657</v>
      </c>
      <c r="U66" s="478">
        <v>43855.83288280922</v>
      </c>
      <c r="V66" s="478">
        <v>43765.705161497812</v>
      </c>
      <c r="W66" s="478">
        <v>43675.577440186375</v>
      </c>
      <c r="X66" s="478">
        <v>43585.449718874937</v>
      </c>
      <c r="Y66" s="473">
        <v>43495.321997563529</v>
      </c>
      <c r="Z66" s="478">
        <v>43421.35803373711</v>
      </c>
      <c r="AA66" s="478">
        <v>43347.39406991069</v>
      </c>
      <c r="AB66" s="478">
        <v>43273.430106084299</v>
      </c>
      <c r="AC66" s="478">
        <v>43199.466142257879</v>
      </c>
      <c r="AD66" s="478">
        <v>43125.502178431489</v>
      </c>
      <c r="AE66" s="478">
        <v>43051.538214605069</v>
      </c>
      <c r="AF66" s="478">
        <v>42977.574250778678</v>
      </c>
      <c r="AG66" s="478">
        <v>42903.610286952258</v>
      </c>
      <c r="AH66" s="478">
        <v>42829.646323125839</v>
      </c>
      <c r="AI66" s="473">
        <v>42755.682359299455</v>
      </c>
      <c r="AK66" s="478">
        <f t="shared" si="25"/>
        <v>62.037759000000008</v>
      </c>
      <c r="AL66" s="478">
        <f t="shared" si="25"/>
        <v>60.755015</v>
      </c>
      <c r="AM66" s="478">
        <f t="shared" si="25"/>
        <v>57.793966999999995</v>
      </c>
      <c r="AN66" s="478">
        <f t="shared" si="25"/>
        <v>64.724774511370015</v>
      </c>
      <c r="AO66" s="478">
        <f t="shared" si="25"/>
        <v>61.055061642974088</v>
      </c>
      <c r="AP66" s="478">
        <f t="shared" si="25"/>
        <v>56.777567465040718</v>
      </c>
      <c r="AQ66" s="478">
        <f t="shared" si="25"/>
        <v>54.983724302306143</v>
      </c>
      <c r="AR66" s="478">
        <f t="shared" si="25"/>
        <v>53.997126224084624</v>
      </c>
      <c r="AS66" s="478">
        <f t="shared" si="25"/>
        <v>52.938081662879164</v>
      </c>
      <c r="AT66" s="478">
        <f t="shared" si="25"/>
        <v>51.808962032533977</v>
      </c>
      <c r="AU66" s="478">
        <f t="shared" si="26"/>
        <v>50.605459530970201</v>
      </c>
      <c r="AV66" s="478">
        <f t="shared" si="26"/>
        <v>49.003525513953861</v>
      </c>
      <c r="AW66" s="478">
        <f t="shared" si="26"/>
        <v>45.920566541681367</v>
      </c>
      <c r="AX66" s="478">
        <f t="shared" si="26"/>
        <v>45.588552301552099</v>
      </c>
      <c r="AY66" s="478">
        <f t="shared" si="26"/>
        <v>45.255544200184154</v>
      </c>
      <c r="AZ66" s="478">
        <f t="shared" si="26"/>
        <v>44.921525244810752</v>
      </c>
      <c r="BA66" s="478">
        <f t="shared" si="26"/>
        <v>44.586477947633817</v>
      </c>
      <c r="BB66" s="478">
        <f t="shared" si="26"/>
        <v>43.945960604120657</v>
      </c>
      <c r="BC66" s="478">
        <f t="shared" si="27"/>
        <v>43.855832882809217</v>
      </c>
      <c r="BD66" s="478">
        <f t="shared" si="27"/>
        <v>43.765705161497813</v>
      </c>
      <c r="BE66" s="478">
        <f t="shared" si="27"/>
        <v>43.675577440186373</v>
      </c>
      <c r="BF66" s="478">
        <f t="shared" si="27"/>
        <v>43.585449718874941</v>
      </c>
      <c r="BG66" s="478">
        <f t="shared" si="27"/>
        <v>43.495321997563529</v>
      </c>
      <c r="BH66" s="478">
        <f t="shared" si="27"/>
        <v>43.421358033737107</v>
      </c>
      <c r="BI66" s="478">
        <f t="shared" si="27"/>
        <v>43.347394069910692</v>
      </c>
      <c r="BJ66" s="478">
        <f t="shared" si="27"/>
        <v>43.273430106084298</v>
      </c>
      <c r="BK66" s="478">
        <f t="shared" si="27"/>
        <v>43.199466142257876</v>
      </c>
      <c r="BL66" s="478">
        <f t="shared" si="27"/>
        <v>43.125502178431489</v>
      </c>
      <c r="BM66" s="478">
        <f t="shared" si="27"/>
        <v>43.051538214605067</v>
      </c>
      <c r="BN66" s="478">
        <f t="shared" si="27"/>
        <v>42.97757425077868</v>
      </c>
      <c r="BO66" s="478">
        <f t="shared" si="27"/>
        <v>42.903610286952258</v>
      </c>
      <c r="BP66" s="478">
        <f t="shared" si="27"/>
        <v>42.829646323125836</v>
      </c>
      <c r="BQ66" s="478">
        <f t="shared" si="27"/>
        <v>42.755682359299456</v>
      </c>
    </row>
    <row r="67" spans="1:69">
      <c r="A67" s="474" t="s">
        <v>1169</v>
      </c>
      <c r="B67" s="473">
        <v>4226</v>
      </c>
      <c r="C67" s="473">
        <v>4475.5410000000002</v>
      </c>
      <c r="D67" s="473">
        <v>5678.942</v>
      </c>
      <c r="E67" s="473">
        <v>6043.3329999999996</v>
      </c>
      <c r="F67" s="473">
        <v>6803.945062585969</v>
      </c>
      <c r="G67" s="473">
        <v>6823.4018547418927</v>
      </c>
      <c r="H67" s="473">
        <v>6734.986897117572</v>
      </c>
      <c r="I67" s="473">
        <v>6881.2660961730144</v>
      </c>
      <c r="J67" s="473">
        <v>7109.5560014383009</v>
      </c>
      <c r="K67" s="473">
        <v>7314.1414336441567</v>
      </c>
      <c r="L67" s="473">
        <v>7494.0063788234866</v>
      </c>
      <c r="M67" s="473">
        <v>7647.1934447203057</v>
      </c>
      <c r="N67" s="473">
        <v>7772.0971401414108</v>
      </c>
      <c r="O67" s="473">
        <v>7930.8162328164835</v>
      </c>
      <c r="P67" s="473">
        <v>7873.4749558365183</v>
      </c>
      <c r="Q67" s="473">
        <v>7815.9620317833906</v>
      </c>
      <c r="R67" s="473">
        <v>7758.2745258825389</v>
      </c>
      <c r="S67" s="473">
        <v>7700.4094178638861</v>
      </c>
      <c r="T67" s="473">
        <v>7642.3635984196208</v>
      </c>
      <c r="U67" s="478">
        <v>7637.24266295493</v>
      </c>
      <c r="V67" s="478">
        <v>7632.1217274902392</v>
      </c>
      <c r="W67" s="478">
        <v>7627.0007920255484</v>
      </c>
      <c r="X67" s="478">
        <v>7621.8798565608577</v>
      </c>
      <c r="Y67" s="473">
        <v>7616.7589210961687</v>
      </c>
      <c r="Z67" s="478">
        <v>7609.0660388083197</v>
      </c>
      <c r="AA67" s="478">
        <v>7601.3731565204725</v>
      </c>
      <c r="AB67" s="478">
        <v>7593.6802742326254</v>
      </c>
      <c r="AC67" s="478">
        <v>7585.9873919447782</v>
      </c>
      <c r="AD67" s="478">
        <v>7578.294509656931</v>
      </c>
      <c r="AE67" s="478">
        <v>7570.6016273690839</v>
      </c>
      <c r="AF67" s="478">
        <v>7562.9087450812367</v>
      </c>
      <c r="AG67" s="478">
        <v>7555.2158627933895</v>
      </c>
      <c r="AH67" s="478">
        <v>7547.5229805055424</v>
      </c>
      <c r="AI67" s="473">
        <v>7539.830098217697</v>
      </c>
      <c r="AK67" s="478">
        <f t="shared" si="25"/>
        <v>4.4755409999999998</v>
      </c>
      <c r="AL67" s="478">
        <f t="shared" si="25"/>
        <v>5.6789420000000002</v>
      </c>
      <c r="AM67" s="478">
        <f t="shared" si="25"/>
        <v>6.0433329999999996</v>
      </c>
      <c r="AN67" s="478">
        <f t="shared" si="25"/>
        <v>6.803945062585969</v>
      </c>
      <c r="AO67" s="478">
        <f t="shared" si="25"/>
        <v>6.8234018547418929</v>
      </c>
      <c r="AP67" s="478">
        <f t="shared" si="25"/>
        <v>6.7349868971175724</v>
      </c>
      <c r="AQ67" s="478">
        <f t="shared" si="25"/>
        <v>6.8812660961730145</v>
      </c>
      <c r="AR67" s="478">
        <f t="shared" si="25"/>
        <v>7.1095560014383006</v>
      </c>
      <c r="AS67" s="478">
        <f t="shared" si="25"/>
        <v>7.3141414336441564</v>
      </c>
      <c r="AT67" s="478">
        <f t="shared" si="25"/>
        <v>7.494006378823487</v>
      </c>
      <c r="AU67" s="478">
        <f t="shared" si="26"/>
        <v>7.6471934447203056</v>
      </c>
      <c r="AV67" s="478">
        <f t="shared" si="26"/>
        <v>7.772097140141411</v>
      </c>
      <c r="AW67" s="478">
        <f t="shared" si="26"/>
        <v>7.9308162328164835</v>
      </c>
      <c r="AX67" s="478">
        <f t="shared" si="26"/>
        <v>7.8734749558365182</v>
      </c>
      <c r="AY67" s="478">
        <f t="shared" si="26"/>
        <v>7.8159620317833909</v>
      </c>
      <c r="AZ67" s="478">
        <f t="shared" si="26"/>
        <v>7.7582745258825385</v>
      </c>
      <c r="BA67" s="478">
        <f t="shared" si="26"/>
        <v>7.7004094178638862</v>
      </c>
      <c r="BB67" s="478">
        <f t="shared" si="26"/>
        <v>7.642363598419621</v>
      </c>
      <c r="BC67" s="478">
        <f t="shared" si="27"/>
        <v>7.6372426629549297</v>
      </c>
      <c r="BD67" s="478">
        <f t="shared" si="27"/>
        <v>7.6321217274902393</v>
      </c>
      <c r="BE67" s="478">
        <f t="shared" si="27"/>
        <v>7.627000792025548</v>
      </c>
      <c r="BF67" s="478">
        <f t="shared" si="27"/>
        <v>7.6218798565608576</v>
      </c>
      <c r="BG67" s="478">
        <f t="shared" si="27"/>
        <v>7.616758921096169</v>
      </c>
      <c r="BH67" s="478">
        <f t="shared" si="27"/>
        <v>7.6090660388083196</v>
      </c>
      <c r="BI67" s="478">
        <f t="shared" si="27"/>
        <v>7.6013731565204727</v>
      </c>
      <c r="BJ67" s="478">
        <f t="shared" si="27"/>
        <v>7.593680274232625</v>
      </c>
      <c r="BK67" s="478">
        <f t="shared" si="27"/>
        <v>7.5859873919447782</v>
      </c>
      <c r="BL67" s="478">
        <f t="shared" si="27"/>
        <v>7.5782945096569314</v>
      </c>
      <c r="BM67" s="478">
        <f t="shared" si="27"/>
        <v>7.5706016273690837</v>
      </c>
      <c r="BN67" s="478">
        <f t="shared" si="27"/>
        <v>7.5629087450812369</v>
      </c>
      <c r="BO67" s="478">
        <f t="shared" si="27"/>
        <v>7.5552158627933892</v>
      </c>
      <c r="BP67" s="478">
        <f t="shared" si="27"/>
        <v>7.5475229805055424</v>
      </c>
      <c r="BQ67" s="478">
        <f t="shared" si="27"/>
        <v>7.5398300982176973</v>
      </c>
    </row>
    <row r="68" spans="1:69">
      <c r="A68" s="474" t="s">
        <v>1170</v>
      </c>
      <c r="B68" s="473">
        <v>4056</v>
      </c>
      <c r="C68" s="473">
        <v>5359.2139999999999</v>
      </c>
      <c r="D68" s="473">
        <v>5363.9059999999999</v>
      </c>
      <c r="E68" s="473">
        <v>5113.4369999999999</v>
      </c>
      <c r="F68" s="473">
        <v>4592.9670126626479</v>
      </c>
      <c r="G68" s="473">
        <v>4368.5092478410161</v>
      </c>
      <c r="H68" s="473">
        <v>4103.8162262227952</v>
      </c>
      <c r="I68" s="473">
        <v>4003.020608492252</v>
      </c>
      <c r="J68" s="473">
        <v>3959.4669033504674</v>
      </c>
      <c r="K68" s="473">
        <v>3909.4622612727003</v>
      </c>
      <c r="L68" s="473">
        <v>3853.0738089195211</v>
      </c>
      <c r="M68" s="473">
        <v>3789.8739236863171</v>
      </c>
      <c r="N68" s="473">
        <v>3719.6451430166371</v>
      </c>
      <c r="O68" s="473">
        <v>3642.1062799794508</v>
      </c>
      <c r="P68" s="473">
        <v>3615.7731739207575</v>
      </c>
      <c r="Q68" s="473">
        <v>3589.3612415641437</v>
      </c>
      <c r="R68" s="473">
        <v>3562.8691351591988</v>
      </c>
      <c r="S68" s="473">
        <v>3536.2954676929958</v>
      </c>
      <c r="T68" s="473">
        <v>3509.6388112633931</v>
      </c>
      <c r="U68" s="478">
        <v>3507.2870998294366</v>
      </c>
      <c r="V68" s="478">
        <v>3504.93538839548</v>
      </c>
      <c r="W68" s="478">
        <v>3502.5836769615244</v>
      </c>
      <c r="X68" s="478">
        <v>3500.2319655275687</v>
      </c>
      <c r="Y68" s="473">
        <v>3497.8802540936131</v>
      </c>
      <c r="Z68" s="478">
        <v>3494.347415345469</v>
      </c>
      <c r="AA68" s="478">
        <v>3490.814576597324</v>
      </c>
      <c r="AB68" s="478">
        <v>3487.2817378491791</v>
      </c>
      <c r="AC68" s="478">
        <v>3483.7488991010341</v>
      </c>
      <c r="AD68" s="478">
        <v>3480.2160603528891</v>
      </c>
      <c r="AE68" s="478">
        <v>3476.6832216047442</v>
      </c>
      <c r="AF68" s="478">
        <v>3473.1503828565992</v>
      </c>
      <c r="AG68" s="478">
        <v>3469.6175441084542</v>
      </c>
      <c r="AH68" s="478">
        <v>3466.0847053603093</v>
      </c>
      <c r="AI68" s="473">
        <v>3462.5518666121629</v>
      </c>
      <c r="AK68" s="478">
        <f t="shared" si="25"/>
        <v>5.3592139999999997</v>
      </c>
      <c r="AL68" s="478">
        <f t="shared" si="25"/>
        <v>5.3639060000000001</v>
      </c>
      <c r="AM68" s="478">
        <f t="shared" si="25"/>
        <v>5.1134370000000002</v>
      </c>
      <c r="AN68" s="478">
        <f t="shared" si="25"/>
        <v>4.5929670126626476</v>
      </c>
      <c r="AO68" s="478">
        <f t="shared" si="25"/>
        <v>4.3685092478410157</v>
      </c>
      <c r="AP68" s="478">
        <f t="shared" si="25"/>
        <v>4.1038162262227953</v>
      </c>
      <c r="AQ68" s="478">
        <f t="shared" si="25"/>
        <v>4.0030206084922524</v>
      </c>
      <c r="AR68" s="478">
        <f t="shared" si="25"/>
        <v>3.9594669033504672</v>
      </c>
      <c r="AS68" s="478">
        <f t="shared" si="25"/>
        <v>3.9094622612727004</v>
      </c>
      <c r="AT68" s="478">
        <f t="shared" si="25"/>
        <v>3.8530738089195209</v>
      </c>
      <c r="AU68" s="478">
        <f t="shared" si="26"/>
        <v>3.7898739236863173</v>
      </c>
      <c r="AV68" s="478">
        <f t="shared" si="26"/>
        <v>3.7196451430166371</v>
      </c>
      <c r="AW68" s="478">
        <f t="shared" si="26"/>
        <v>3.6421062799794508</v>
      </c>
      <c r="AX68" s="478">
        <f t="shared" si="26"/>
        <v>3.6157731739207573</v>
      </c>
      <c r="AY68" s="478">
        <f t="shared" si="26"/>
        <v>3.5893612415641436</v>
      </c>
      <c r="AZ68" s="478">
        <f t="shared" si="26"/>
        <v>3.5628691351591986</v>
      </c>
      <c r="BA68" s="478">
        <f t="shared" si="26"/>
        <v>3.5362954676929959</v>
      </c>
      <c r="BB68" s="478">
        <f t="shared" si="26"/>
        <v>3.5096388112633932</v>
      </c>
      <c r="BC68" s="478">
        <f t="shared" si="27"/>
        <v>3.5072870998294365</v>
      </c>
      <c r="BD68" s="478">
        <f t="shared" si="27"/>
        <v>3.5049353883954799</v>
      </c>
      <c r="BE68" s="478">
        <f t="shared" si="27"/>
        <v>3.5025836769615242</v>
      </c>
      <c r="BF68" s="478">
        <f t="shared" si="27"/>
        <v>3.5002319655275689</v>
      </c>
      <c r="BG68" s="478">
        <f t="shared" si="27"/>
        <v>3.4978802540936131</v>
      </c>
      <c r="BH68" s="478">
        <f t="shared" si="27"/>
        <v>3.494347415345469</v>
      </c>
      <c r="BI68" s="478">
        <f t="shared" si="27"/>
        <v>3.490814576597324</v>
      </c>
      <c r="BJ68" s="478">
        <f t="shared" si="27"/>
        <v>3.4872817378491789</v>
      </c>
      <c r="BK68" s="478">
        <f t="shared" si="27"/>
        <v>3.4837488991010339</v>
      </c>
      <c r="BL68" s="478">
        <f t="shared" si="27"/>
        <v>3.4802160603528893</v>
      </c>
      <c r="BM68" s="478">
        <f t="shared" si="27"/>
        <v>3.4766832216047443</v>
      </c>
      <c r="BN68" s="478">
        <f t="shared" si="27"/>
        <v>3.4731503828565993</v>
      </c>
      <c r="BO68" s="478">
        <f t="shared" si="27"/>
        <v>3.4696175441084542</v>
      </c>
      <c r="BP68" s="478">
        <f t="shared" si="27"/>
        <v>3.4660847053603092</v>
      </c>
      <c r="BQ68" s="478">
        <f t="shared" si="27"/>
        <v>3.4625518666121629</v>
      </c>
    </row>
    <row r="69" spans="1:69">
      <c r="A69" s="475" t="s">
        <v>1171</v>
      </c>
      <c r="B69" s="476">
        <v>1405</v>
      </c>
      <c r="C69" s="476">
        <v>0</v>
      </c>
      <c r="D69" s="476">
        <v>0</v>
      </c>
      <c r="E69" s="476">
        <v>0</v>
      </c>
      <c r="F69" s="476">
        <v>0</v>
      </c>
      <c r="G69" s="476">
        <v>0</v>
      </c>
      <c r="H69" s="476">
        <v>0</v>
      </c>
      <c r="I69" s="476">
        <v>0</v>
      </c>
      <c r="J69" s="476">
        <v>4.4001361825364489</v>
      </c>
      <c r="K69" s="476">
        <v>3.7773905372224177</v>
      </c>
      <c r="L69" s="476">
        <v>3.6923284519857797</v>
      </c>
      <c r="M69" s="476">
        <v>31.435206538753953</v>
      </c>
      <c r="N69" s="476">
        <v>30.603375117078574</v>
      </c>
      <c r="O69" s="476">
        <v>1837.438399844712</v>
      </c>
      <c r="P69" s="476">
        <v>1824.153378337953</v>
      </c>
      <c r="Q69" s="476">
        <v>1810.8285890551931</v>
      </c>
      <c r="R69" s="476">
        <v>1797.4633520579102</v>
      </c>
      <c r="S69" s="476">
        <v>1784.0569675996894</v>
      </c>
      <c r="T69" s="476">
        <v>1770.6087153055535</v>
      </c>
      <c r="U69" s="476">
        <v>1769.4222796109507</v>
      </c>
      <c r="V69" s="476">
        <v>1768.2358439163481</v>
      </c>
      <c r="W69" s="476">
        <v>1767.0494082217451</v>
      </c>
      <c r="X69" s="476">
        <v>1765.8629725271421</v>
      </c>
      <c r="Y69" s="476">
        <v>1764.6765368325396</v>
      </c>
      <c r="Z69" s="476">
        <v>1762.8942237759484</v>
      </c>
      <c r="AA69" s="476">
        <v>1761.1119107193567</v>
      </c>
      <c r="AB69" s="476">
        <v>1759.3295976627651</v>
      </c>
      <c r="AC69" s="476">
        <v>1757.5472846061739</v>
      </c>
      <c r="AD69" s="476">
        <v>1755.7649715495827</v>
      </c>
      <c r="AE69" s="476">
        <v>1753.982658492991</v>
      </c>
      <c r="AF69" s="476">
        <v>1752.2003454363994</v>
      </c>
      <c r="AG69" s="476">
        <v>1750.4180323798082</v>
      </c>
      <c r="AH69" s="476">
        <v>1748.635719323217</v>
      </c>
      <c r="AI69" s="476">
        <v>1746.8534062666254</v>
      </c>
      <c r="AK69" s="476">
        <f t="shared" si="25"/>
        <v>0</v>
      </c>
      <c r="AL69" s="476">
        <f t="shared" si="25"/>
        <v>0</v>
      </c>
      <c r="AM69" s="476">
        <f t="shared" si="25"/>
        <v>0</v>
      </c>
      <c r="AN69" s="476">
        <f t="shared" si="25"/>
        <v>0</v>
      </c>
      <c r="AO69" s="476">
        <f t="shared" si="25"/>
        <v>0</v>
      </c>
      <c r="AP69" s="476">
        <f t="shared" si="25"/>
        <v>0</v>
      </c>
      <c r="AQ69" s="476">
        <f t="shared" si="25"/>
        <v>0</v>
      </c>
      <c r="AR69" s="476">
        <f t="shared" si="25"/>
        <v>4.4001361825364493E-3</v>
      </c>
      <c r="AS69" s="476">
        <f t="shared" si="25"/>
        <v>3.7773905372224179E-3</v>
      </c>
      <c r="AT69" s="476">
        <f t="shared" si="25"/>
        <v>3.6923284519857799E-3</v>
      </c>
      <c r="AU69" s="476">
        <f t="shared" si="26"/>
        <v>3.1435206538753951E-2</v>
      </c>
      <c r="AV69" s="476">
        <f t="shared" si="26"/>
        <v>3.0603375117078575E-2</v>
      </c>
      <c r="AW69" s="476">
        <f t="shared" si="26"/>
        <v>1.8374383998447119</v>
      </c>
      <c r="AX69" s="476">
        <f t="shared" si="26"/>
        <v>1.8241533783379529</v>
      </c>
      <c r="AY69" s="476">
        <f t="shared" si="26"/>
        <v>1.8108285890551932</v>
      </c>
      <c r="AZ69" s="476">
        <f t="shared" si="26"/>
        <v>1.7974633520579102</v>
      </c>
      <c r="BA69" s="476">
        <f t="shared" si="26"/>
        <v>1.7840569675996893</v>
      </c>
      <c r="BB69" s="476">
        <f t="shared" si="26"/>
        <v>1.7706087153055534</v>
      </c>
      <c r="BC69" s="476">
        <f t="shared" si="27"/>
        <v>1.7694222796109507</v>
      </c>
      <c r="BD69" s="476">
        <f t="shared" si="27"/>
        <v>1.7682358439163481</v>
      </c>
      <c r="BE69" s="476">
        <f t="shared" si="27"/>
        <v>1.7670494082217452</v>
      </c>
      <c r="BF69" s="476">
        <f t="shared" si="27"/>
        <v>1.7658629725271422</v>
      </c>
      <c r="BG69" s="476">
        <f t="shared" si="27"/>
        <v>1.7646765368325397</v>
      </c>
      <c r="BH69" s="476">
        <f t="shared" si="27"/>
        <v>1.7628942237759484</v>
      </c>
      <c r="BI69" s="476">
        <f t="shared" si="27"/>
        <v>1.7611119107193567</v>
      </c>
      <c r="BJ69" s="476">
        <f t="shared" si="27"/>
        <v>1.759329597662765</v>
      </c>
      <c r="BK69" s="476">
        <f t="shared" si="27"/>
        <v>1.7575472846061739</v>
      </c>
      <c r="BL69" s="476">
        <f t="shared" si="27"/>
        <v>1.7557649715495827</v>
      </c>
      <c r="BM69" s="476">
        <f t="shared" si="27"/>
        <v>1.753982658492991</v>
      </c>
      <c r="BN69" s="476">
        <f t="shared" si="27"/>
        <v>1.7522003454363995</v>
      </c>
      <c r="BO69" s="476">
        <f t="shared" si="27"/>
        <v>1.7504180323798082</v>
      </c>
      <c r="BP69" s="476">
        <f t="shared" si="27"/>
        <v>1.7486357193232169</v>
      </c>
      <c r="BQ69" s="476">
        <f t="shared" si="27"/>
        <v>1.7468534062666254</v>
      </c>
    </row>
    <row r="70" spans="1:69">
      <c r="AW70" s="150"/>
      <c r="AX70" s="150"/>
      <c r="AY70" s="150"/>
      <c r="AZ70" s="150"/>
      <c r="BA70" s="150"/>
      <c r="BB70" s="150"/>
    </row>
    <row r="71" spans="1:69">
      <c r="A71" s="30" t="s">
        <v>1173</v>
      </c>
      <c r="F71" t="s">
        <v>1174</v>
      </c>
      <c r="AK71" s="481" t="s">
        <v>1175</v>
      </c>
      <c r="AM71" s="481" t="s">
        <v>1176</v>
      </c>
      <c r="AW71" s="150"/>
      <c r="AX71" s="150"/>
      <c r="AY71" s="150"/>
      <c r="AZ71" s="150"/>
      <c r="BA71" s="150"/>
      <c r="BB71" s="150"/>
    </row>
    <row r="72" spans="1:69">
      <c r="A72" s="474"/>
      <c r="B72" s="467" t="s">
        <v>1166</v>
      </c>
      <c r="C72" s="34">
        <v>2018</v>
      </c>
      <c r="D72" s="34">
        <v>2019</v>
      </c>
      <c r="E72" s="34">
        <v>2020</v>
      </c>
      <c r="F72" s="34">
        <v>2021</v>
      </c>
      <c r="G72" s="34">
        <v>2022</v>
      </c>
      <c r="H72" s="34">
        <v>2023</v>
      </c>
      <c r="I72" s="34">
        <v>2024</v>
      </c>
      <c r="J72" s="34">
        <v>2025</v>
      </c>
      <c r="K72" s="34">
        <v>2026</v>
      </c>
      <c r="L72" s="34">
        <v>2027</v>
      </c>
      <c r="M72" s="34">
        <v>2028</v>
      </c>
      <c r="N72" s="34">
        <v>2029</v>
      </c>
      <c r="O72" s="34">
        <v>2030</v>
      </c>
      <c r="P72" s="34">
        <v>2031</v>
      </c>
      <c r="Q72" s="34">
        <v>2032</v>
      </c>
      <c r="R72" s="34">
        <v>2033</v>
      </c>
      <c r="S72" s="34">
        <v>2034</v>
      </c>
      <c r="T72" s="34">
        <v>2035</v>
      </c>
      <c r="U72" s="34">
        <v>2036</v>
      </c>
      <c r="V72" s="34">
        <v>2037</v>
      </c>
      <c r="W72" s="34">
        <v>2038</v>
      </c>
      <c r="X72" s="34">
        <v>2039</v>
      </c>
      <c r="Y72" s="34">
        <v>2040</v>
      </c>
      <c r="Z72" s="34">
        <v>2041</v>
      </c>
      <c r="AA72" s="34">
        <v>2042</v>
      </c>
      <c r="AB72" s="34">
        <v>2043</v>
      </c>
      <c r="AC72" s="34">
        <v>2044</v>
      </c>
      <c r="AD72" s="34">
        <v>2045</v>
      </c>
      <c r="AE72" s="34">
        <v>2046</v>
      </c>
      <c r="AF72" s="34">
        <v>2047</v>
      </c>
      <c r="AG72" s="34">
        <v>2048</v>
      </c>
      <c r="AH72" s="34">
        <v>2049</v>
      </c>
      <c r="AI72" s="34">
        <v>2050</v>
      </c>
      <c r="AK72" s="34">
        <v>2018</v>
      </c>
      <c r="AL72" s="34">
        <v>2019</v>
      </c>
      <c r="AM72" s="34">
        <v>2020</v>
      </c>
      <c r="AN72" s="34">
        <v>2021</v>
      </c>
      <c r="AO72" s="34">
        <v>2022</v>
      </c>
      <c r="AP72" s="34">
        <v>2023</v>
      </c>
      <c r="AQ72" s="34">
        <v>2024</v>
      </c>
      <c r="AR72" s="34">
        <v>2025</v>
      </c>
      <c r="AS72" s="34">
        <v>2026</v>
      </c>
      <c r="AT72" s="34">
        <v>2027</v>
      </c>
      <c r="AU72" s="34">
        <v>2028</v>
      </c>
      <c r="AV72" s="34">
        <v>2029</v>
      </c>
      <c r="AW72" s="34">
        <v>2030</v>
      </c>
      <c r="AX72" s="34">
        <v>2031</v>
      </c>
      <c r="AY72" s="34">
        <v>2032</v>
      </c>
      <c r="AZ72" s="34">
        <v>2033</v>
      </c>
      <c r="BA72" s="34">
        <v>2034</v>
      </c>
      <c r="BB72" s="34">
        <v>2035</v>
      </c>
      <c r="BC72" s="34">
        <v>2036</v>
      </c>
      <c r="BD72" s="34">
        <v>2037</v>
      </c>
      <c r="BE72" s="34">
        <v>2038</v>
      </c>
      <c r="BF72" s="34">
        <v>2039</v>
      </c>
      <c r="BG72" s="34">
        <v>2040</v>
      </c>
      <c r="BH72" s="34">
        <v>2041</v>
      </c>
      <c r="BI72" s="34">
        <v>2042</v>
      </c>
      <c r="BJ72" s="34">
        <v>2043</v>
      </c>
      <c r="BK72" s="34">
        <v>2044</v>
      </c>
      <c r="BL72" s="34">
        <v>2045</v>
      </c>
      <c r="BM72" s="34">
        <v>2046</v>
      </c>
      <c r="BN72" s="34">
        <v>2047</v>
      </c>
      <c r="BO72" s="34">
        <v>2048</v>
      </c>
      <c r="BP72" s="34">
        <v>2049</v>
      </c>
      <c r="BQ72" s="34">
        <v>2050</v>
      </c>
    </row>
    <row r="73" spans="1:69">
      <c r="A73" s="468" t="s">
        <v>34</v>
      </c>
      <c r="B73"/>
      <c r="C73" s="469"/>
      <c r="D73"/>
      <c r="E73"/>
      <c r="F73"/>
      <c r="G73" s="469"/>
      <c r="H73" s="469"/>
      <c r="I73" s="469"/>
      <c r="J73" s="469"/>
      <c r="K73" s="469"/>
      <c r="L73" s="470"/>
      <c r="M73" s="470"/>
      <c r="N73" s="471"/>
      <c r="O73" s="470"/>
      <c r="P73" s="470"/>
      <c r="Q73"/>
      <c r="R73"/>
      <c r="S73"/>
      <c r="T73"/>
      <c r="AK73" s="469"/>
      <c r="AL73"/>
      <c r="AM73"/>
      <c r="AN73"/>
      <c r="AO73" s="469"/>
      <c r="AP73" s="469"/>
      <c r="AQ73" s="469"/>
      <c r="AR73" s="469"/>
      <c r="AS73" s="469"/>
      <c r="AT73" s="470"/>
      <c r="AU73" s="470"/>
      <c r="AV73" s="471"/>
      <c r="AW73" s="470"/>
      <c r="AX73" s="470"/>
      <c r="AY73"/>
      <c r="AZ73"/>
      <c r="BA73"/>
      <c r="BB73"/>
    </row>
    <row r="74" spans="1:69">
      <c r="A74" s="472" t="s">
        <v>351</v>
      </c>
      <c r="B74" s="473">
        <v>30478</v>
      </c>
      <c r="C74" s="473">
        <v>24239.661417909894</v>
      </c>
      <c r="D74" s="473">
        <v>24296.404262802247</v>
      </c>
      <c r="E74" s="473">
        <v>23003.144421212965</v>
      </c>
      <c r="F74" s="473">
        <v>23955.193820040091</v>
      </c>
      <c r="G74" s="473">
        <v>22090.759816216767</v>
      </c>
      <c r="H74" s="473">
        <v>22076.205198005944</v>
      </c>
      <c r="I74" s="473">
        <v>22170.216531026708</v>
      </c>
      <c r="J74" s="473">
        <v>22170.216531026708</v>
      </c>
      <c r="K74" s="473">
        <v>22170.216531026708</v>
      </c>
      <c r="L74" s="473">
        <v>19990.894802874765</v>
      </c>
      <c r="M74" s="473">
        <v>18781.912463999077</v>
      </c>
      <c r="N74" s="473">
        <v>18451.502072352512</v>
      </c>
      <c r="O74" s="473">
        <v>19178.151377579281</v>
      </c>
      <c r="P74" s="473">
        <v>17499.756400686587</v>
      </c>
      <c r="Q74" s="473">
        <v>17679.686921594868</v>
      </c>
      <c r="R74" s="473">
        <v>18160.70509179603</v>
      </c>
      <c r="S74" s="473">
        <v>16142.814602766455</v>
      </c>
      <c r="T74" s="473">
        <v>17383.940671719181</v>
      </c>
      <c r="U74" s="473">
        <v>17383.940671719181</v>
      </c>
      <c r="V74" s="473">
        <v>17383.940671719181</v>
      </c>
      <c r="W74" s="473">
        <v>16183.830767568603</v>
      </c>
      <c r="X74" s="473">
        <v>11439.819242728972</v>
      </c>
      <c r="Y74" s="473">
        <v>12241.516193064244</v>
      </c>
      <c r="Z74" s="473">
        <v>10927.413471254455</v>
      </c>
      <c r="AA74" s="473">
        <v>9164.1025956119192</v>
      </c>
      <c r="AB74" s="473">
        <v>7517.4108945674034</v>
      </c>
      <c r="AC74" s="473">
        <v>7517.4108945674034</v>
      </c>
      <c r="AD74" s="473">
        <v>7838.089674701514</v>
      </c>
      <c r="AE74" s="473">
        <v>7838.089674701514</v>
      </c>
      <c r="AF74" s="473">
        <v>8319.1078449026772</v>
      </c>
      <c r="AG74" s="473">
        <v>8319.1078449026772</v>
      </c>
      <c r="AH74" s="473">
        <v>8319.1078449026772</v>
      </c>
      <c r="AI74" s="473">
        <v>8319.1078449026772</v>
      </c>
      <c r="AK74" s="478">
        <f t="shared" ref="AK74:AT79" si="28">C74/1000</f>
        <v>24.239661417909893</v>
      </c>
      <c r="AL74" s="478">
        <f t="shared" si="28"/>
        <v>24.296404262802248</v>
      </c>
      <c r="AM74" s="478">
        <f t="shared" si="28"/>
        <v>23.003144421212966</v>
      </c>
      <c r="AN74" s="478">
        <f t="shared" si="28"/>
        <v>23.95519382004009</v>
      </c>
      <c r="AO74" s="478">
        <f t="shared" si="28"/>
        <v>22.090759816216767</v>
      </c>
      <c r="AP74" s="478">
        <f t="shared" si="28"/>
        <v>22.076205198005944</v>
      </c>
      <c r="AQ74" s="478">
        <f t="shared" si="28"/>
        <v>22.170216531026707</v>
      </c>
      <c r="AR74" s="478">
        <f t="shared" si="28"/>
        <v>22.170216531026707</v>
      </c>
      <c r="AS74" s="478">
        <f t="shared" si="28"/>
        <v>22.170216531026707</v>
      </c>
      <c r="AT74" s="478">
        <f t="shared" si="28"/>
        <v>19.990894802874767</v>
      </c>
      <c r="AU74" s="478">
        <f t="shared" ref="AU74:BB79" si="29">M74/1000</f>
        <v>18.781912463999078</v>
      </c>
      <c r="AV74" s="478">
        <f t="shared" si="29"/>
        <v>18.451502072352511</v>
      </c>
      <c r="AW74" s="478">
        <f t="shared" si="29"/>
        <v>19.17815137757928</v>
      </c>
      <c r="AX74" s="478">
        <f t="shared" si="29"/>
        <v>17.499756400686586</v>
      </c>
      <c r="AY74" s="478">
        <f t="shared" si="29"/>
        <v>17.679686921594868</v>
      </c>
      <c r="AZ74" s="478">
        <f t="shared" si="29"/>
        <v>18.160705091796029</v>
      </c>
      <c r="BA74" s="478">
        <f t="shared" si="29"/>
        <v>16.142814602766457</v>
      </c>
      <c r="BB74" s="478">
        <f t="shared" si="29"/>
        <v>17.383940671719181</v>
      </c>
      <c r="BC74" s="478">
        <f t="shared" ref="BC74:BQ79" si="30">U74/1000</f>
        <v>17.383940671719181</v>
      </c>
      <c r="BD74" s="478">
        <f t="shared" si="30"/>
        <v>17.383940671719181</v>
      </c>
      <c r="BE74" s="478">
        <f t="shared" si="30"/>
        <v>16.183830767568601</v>
      </c>
      <c r="BF74" s="478">
        <f t="shared" si="30"/>
        <v>11.439819242728973</v>
      </c>
      <c r="BG74" s="478">
        <f t="shared" si="30"/>
        <v>12.241516193064244</v>
      </c>
      <c r="BH74" s="478">
        <f t="shared" si="30"/>
        <v>10.927413471254456</v>
      </c>
      <c r="BI74" s="478">
        <f t="shared" si="30"/>
        <v>9.1641025956119186</v>
      </c>
      <c r="BJ74" s="478">
        <f t="shared" si="30"/>
        <v>7.5174108945674032</v>
      </c>
      <c r="BK74" s="478">
        <f t="shared" si="30"/>
        <v>7.5174108945674032</v>
      </c>
      <c r="BL74" s="478">
        <f t="shared" si="30"/>
        <v>7.8380896747015143</v>
      </c>
      <c r="BM74" s="478">
        <f t="shared" si="30"/>
        <v>7.8380896747015143</v>
      </c>
      <c r="BN74" s="478">
        <f t="shared" si="30"/>
        <v>8.3191078449026765</v>
      </c>
      <c r="BO74" s="478">
        <f t="shared" si="30"/>
        <v>8.3191078449026765</v>
      </c>
      <c r="BP74" s="478">
        <f t="shared" si="30"/>
        <v>8.3191078449026765</v>
      </c>
      <c r="BQ74" s="478">
        <f t="shared" si="30"/>
        <v>8.3191078449026765</v>
      </c>
    </row>
    <row r="75" spans="1:69">
      <c r="A75" s="474" t="s">
        <v>1167</v>
      </c>
      <c r="B75" s="473">
        <v>25182</v>
      </c>
      <c r="C75" s="473">
        <v>19481.999999999996</v>
      </c>
      <c r="D75" s="473">
        <v>19642.204763440564</v>
      </c>
      <c r="E75" s="473">
        <v>18646.161942167073</v>
      </c>
      <c r="F75" s="473">
        <v>19365.337284665773</v>
      </c>
      <c r="G75" s="473">
        <v>17857.783892232768</v>
      </c>
      <c r="H75" s="473">
        <v>17960.841570081349</v>
      </c>
      <c r="I75" s="473">
        <v>17954.08457920036</v>
      </c>
      <c r="J75" s="473">
        <v>17954.08457920036</v>
      </c>
      <c r="K75" s="473">
        <v>17954.08457920036</v>
      </c>
      <c r="L75" s="473">
        <v>16041.192437642632</v>
      </c>
      <c r="M75" s="473">
        <v>14670.911734239564</v>
      </c>
      <c r="N75" s="473">
        <v>14314.92496073035</v>
      </c>
      <c r="O75" s="473">
        <v>14670.625571008888</v>
      </c>
      <c r="P75" s="473">
        <v>12868.882610610734</v>
      </c>
      <c r="Q75" s="473">
        <v>12871.192955855855</v>
      </c>
      <c r="R75" s="473">
        <v>12895.45158092963</v>
      </c>
      <c r="S75" s="473">
        <v>11124.255153561366</v>
      </c>
      <c r="T75" s="473">
        <v>11148.513778635139</v>
      </c>
      <c r="U75" s="473">
        <v>11148.513778635139</v>
      </c>
      <c r="V75" s="473">
        <v>11148.513778635139</v>
      </c>
      <c r="W75" s="473">
        <v>9939.4483956830372</v>
      </c>
      <c r="X75" s="473">
        <v>5489.7641118897127</v>
      </c>
      <c r="Y75" s="473">
        <v>5530.1951536793358</v>
      </c>
      <c r="Z75" s="473">
        <v>3701.244190816521</v>
      </c>
      <c r="AA75" s="473">
        <v>2139.2897274188822</v>
      </c>
      <c r="AB75" s="473">
        <v>386.57606201158603</v>
      </c>
      <c r="AC75" s="473">
        <v>386.57606201158603</v>
      </c>
      <c r="AD75" s="473">
        <v>402.74847872743572</v>
      </c>
      <c r="AE75" s="473">
        <v>402.74847872743572</v>
      </c>
      <c r="AF75" s="473">
        <v>427.00710380120995</v>
      </c>
      <c r="AG75" s="473">
        <v>427.00710380120995</v>
      </c>
      <c r="AH75" s="473">
        <v>427.00710380120995</v>
      </c>
      <c r="AI75" s="473">
        <v>427.00710380120995</v>
      </c>
      <c r="AK75" s="478">
        <f t="shared" si="28"/>
        <v>19.481999999999996</v>
      </c>
      <c r="AL75" s="478">
        <f t="shared" si="28"/>
        <v>19.642204763440564</v>
      </c>
      <c r="AM75" s="478">
        <f t="shared" si="28"/>
        <v>18.646161942167073</v>
      </c>
      <c r="AN75" s="478">
        <f t="shared" si="28"/>
        <v>19.365337284665774</v>
      </c>
      <c r="AO75" s="478">
        <f t="shared" si="28"/>
        <v>17.857783892232767</v>
      </c>
      <c r="AP75" s="478">
        <f t="shared" si="28"/>
        <v>17.96084157008135</v>
      </c>
      <c r="AQ75" s="478">
        <f t="shared" si="28"/>
        <v>17.954084579200359</v>
      </c>
      <c r="AR75" s="478">
        <f t="shared" si="28"/>
        <v>17.954084579200359</v>
      </c>
      <c r="AS75" s="478">
        <f t="shared" si="28"/>
        <v>17.954084579200359</v>
      </c>
      <c r="AT75" s="478">
        <f t="shared" si="28"/>
        <v>16.041192437642632</v>
      </c>
      <c r="AU75" s="478">
        <f t="shared" si="29"/>
        <v>14.670911734239564</v>
      </c>
      <c r="AV75" s="478">
        <f t="shared" si="29"/>
        <v>14.31492496073035</v>
      </c>
      <c r="AW75" s="478">
        <f t="shared" si="29"/>
        <v>14.670625571008888</v>
      </c>
      <c r="AX75" s="478">
        <f t="shared" si="29"/>
        <v>12.868882610610733</v>
      </c>
      <c r="AY75" s="478">
        <f t="shared" si="29"/>
        <v>12.871192955855856</v>
      </c>
      <c r="AZ75" s="478">
        <f t="shared" si="29"/>
        <v>12.895451580929629</v>
      </c>
      <c r="BA75" s="478">
        <f t="shared" si="29"/>
        <v>11.124255153561366</v>
      </c>
      <c r="BB75" s="478">
        <f t="shared" si="29"/>
        <v>11.148513778635138</v>
      </c>
      <c r="BC75" s="478">
        <f t="shared" si="30"/>
        <v>11.148513778635138</v>
      </c>
      <c r="BD75" s="478">
        <f t="shared" si="30"/>
        <v>11.148513778635138</v>
      </c>
      <c r="BE75" s="478">
        <f t="shared" si="30"/>
        <v>9.9394483956830371</v>
      </c>
      <c r="BF75" s="478">
        <f t="shared" si="30"/>
        <v>5.4897641118897127</v>
      </c>
      <c r="BG75" s="478">
        <f t="shared" si="30"/>
        <v>5.5301951536793359</v>
      </c>
      <c r="BH75" s="478">
        <f t="shared" si="30"/>
        <v>3.7012441908165212</v>
      </c>
      <c r="BI75" s="478">
        <f t="shared" si="30"/>
        <v>2.1392897274188822</v>
      </c>
      <c r="BJ75" s="478">
        <f t="shared" si="30"/>
        <v>0.38657606201158601</v>
      </c>
      <c r="BK75" s="478">
        <f t="shared" si="30"/>
        <v>0.38657606201158601</v>
      </c>
      <c r="BL75" s="478">
        <f t="shared" si="30"/>
        <v>0.40274847872743574</v>
      </c>
      <c r="BM75" s="478">
        <f t="shared" si="30"/>
        <v>0.40274847872743574</v>
      </c>
      <c r="BN75" s="478">
        <f t="shared" si="30"/>
        <v>0.42700710380120993</v>
      </c>
      <c r="BO75" s="478">
        <f t="shared" si="30"/>
        <v>0.42700710380120993</v>
      </c>
      <c r="BP75" s="478">
        <f t="shared" si="30"/>
        <v>0.42700710380120993</v>
      </c>
      <c r="BQ75" s="478">
        <f t="shared" si="30"/>
        <v>0.42700710380120993</v>
      </c>
    </row>
    <row r="76" spans="1:69">
      <c r="A76" s="474" t="s">
        <v>1168</v>
      </c>
      <c r="B76" s="473">
        <v>68</v>
      </c>
      <c r="C76" s="473">
        <v>0</v>
      </c>
      <c r="D76" s="473">
        <v>0</v>
      </c>
      <c r="E76" s="473">
        <v>0</v>
      </c>
      <c r="F76" s="473">
        <v>0</v>
      </c>
      <c r="G76" s="473">
        <v>0</v>
      </c>
      <c r="H76" s="473">
        <v>0</v>
      </c>
      <c r="I76" s="473">
        <v>0</v>
      </c>
      <c r="J76" s="473">
        <v>0</v>
      </c>
      <c r="K76" s="473">
        <v>0</v>
      </c>
      <c r="L76" s="473">
        <v>0</v>
      </c>
      <c r="M76" s="473">
        <v>0</v>
      </c>
      <c r="N76" s="473">
        <v>0</v>
      </c>
      <c r="O76" s="473">
        <v>0</v>
      </c>
      <c r="P76" s="473">
        <v>0</v>
      </c>
      <c r="Q76" s="473">
        <v>0</v>
      </c>
      <c r="R76" s="473">
        <v>0</v>
      </c>
      <c r="S76" s="473">
        <v>0</v>
      </c>
      <c r="T76" s="473">
        <v>0</v>
      </c>
      <c r="U76" s="473">
        <v>0</v>
      </c>
      <c r="V76" s="473">
        <v>0</v>
      </c>
      <c r="W76" s="473">
        <v>0</v>
      </c>
      <c r="X76" s="473">
        <v>0</v>
      </c>
      <c r="Y76" s="473">
        <v>0</v>
      </c>
      <c r="Z76" s="473">
        <v>0</v>
      </c>
      <c r="AA76" s="473">
        <v>0</v>
      </c>
      <c r="AB76" s="473">
        <v>0</v>
      </c>
      <c r="AC76" s="473">
        <v>0</v>
      </c>
      <c r="AD76" s="473">
        <v>0</v>
      </c>
      <c r="AE76" s="473">
        <v>0</v>
      </c>
      <c r="AF76" s="473">
        <v>0</v>
      </c>
      <c r="AG76" s="473">
        <v>0</v>
      </c>
      <c r="AH76" s="473">
        <v>0</v>
      </c>
      <c r="AI76" s="473">
        <v>0</v>
      </c>
      <c r="AK76" s="478">
        <f t="shared" si="28"/>
        <v>0</v>
      </c>
      <c r="AL76" s="478">
        <f t="shared" si="28"/>
        <v>0</v>
      </c>
      <c r="AM76" s="478">
        <f t="shared" si="28"/>
        <v>0</v>
      </c>
      <c r="AN76" s="478">
        <f t="shared" si="28"/>
        <v>0</v>
      </c>
      <c r="AO76" s="478">
        <f t="shared" si="28"/>
        <v>0</v>
      </c>
      <c r="AP76" s="478">
        <f t="shared" si="28"/>
        <v>0</v>
      </c>
      <c r="AQ76" s="478">
        <f t="shared" si="28"/>
        <v>0</v>
      </c>
      <c r="AR76" s="478">
        <f t="shared" si="28"/>
        <v>0</v>
      </c>
      <c r="AS76" s="478">
        <f t="shared" si="28"/>
        <v>0</v>
      </c>
      <c r="AT76" s="478">
        <f t="shared" si="28"/>
        <v>0</v>
      </c>
      <c r="AU76" s="478">
        <f t="shared" si="29"/>
        <v>0</v>
      </c>
      <c r="AV76" s="478">
        <f t="shared" si="29"/>
        <v>0</v>
      </c>
      <c r="AW76" s="478">
        <f t="shared" si="29"/>
        <v>0</v>
      </c>
      <c r="AX76" s="478">
        <f t="shared" si="29"/>
        <v>0</v>
      </c>
      <c r="AY76" s="478">
        <f t="shared" si="29"/>
        <v>0</v>
      </c>
      <c r="AZ76" s="478">
        <f t="shared" si="29"/>
        <v>0</v>
      </c>
      <c r="BA76" s="478">
        <f t="shared" si="29"/>
        <v>0</v>
      </c>
      <c r="BB76" s="478">
        <f t="shared" si="29"/>
        <v>0</v>
      </c>
      <c r="BC76" s="478">
        <f t="shared" si="30"/>
        <v>0</v>
      </c>
      <c r="BD76" s="478">
        <f t="shared" si="30"/>
        <v>0</v>
      </c>
      <c r="BE76" s="478">
        <f t="shared" si="30"/>
        <v>0</v>
      </c>
      <c r="BF76" s="478">
        <f t="shared" si="30"/>
        <v>0</v>
      </c>
      <c r="BG76" s="478">
        <f t="shared" si="30"/>
        <v>0</v>
      </c>
      <c r="BH76" s="478">
        <f t="shared" si="30"/>
        <v>0</v>
      </c>
      <c r="BI76" s="478">
        <f t="shared" si="30"/>
        <v>0</v>
      </c>
      <c r="BJ76" s="478">
        <f t="shared" si="30"/>
        <v>0</v>
      </c>
      <c r="BK76" s="478">
        <f t="shared" si="30"/>
        <v>0</v>
      </c>
      <c r="BL76" s="478">
        <f t="shared" si="30"/>
        <v>0</v>
      </c>
      <c r="BM76" s="478">
        <f t="shared" si="30"/>
        <v>0</v>
      </c>
      <c r="BN76" s="478">
        <f t="shared" si="30"/>
        <v>0</v>
      </c>
      <c r="BO76" s="478">
        <f t="shared" si="30"/>
        <v>0</v>
      </c>
      <c r="BP76" s="478">
        <f t="shared" si="30"/>
        <v>0</v>
      </c>
      <c r="BQ76" s="478">
        <f t="shared" si="30"/>
        <v>0</v>
      </c>
    </row>
    <row r="77" spans="1:69">
      <c r="A77" s="474" t="s">
        <v>1169</v>
      </c>
      <c r="B77" s="473">
        <v>2230</v>
      </c>
      <c r="C77" s="473">
        <v>2306.3351039999998</v>
      </c>
      <c r="D77" s="473">
        <v>2263.4919359999999</v>
      </c>
      <c r="E77" s="473">
        <v>2122.1799839999999</v>
      </c>
      <c r="F77" s="473">
        <v>2232.1331999999998</v>
      </c>
      <c r="G77" s="473">
        <v>2058.5527199999997</v>
      </c>
      <c r="H77" s="473">
        <v>2008.8599601611968</v>
      </c>
      <c r="I77" s="473">
        <v>2052.4569876667006</v>
      </c>
      <c r="J77" s="473">
        <v>2052.4569876667006</v>
      </c>
      <c r="K77" s="473">
        <v>2052.4569876667006</v>
      </c>
      <c r="L77" s="473">
        <v>1913.0100354777599</v>
      </c>
      <c r="M77" s="473">
        <v>1950.2228107956107</v>
      </c>
      <c r="N77" s="473">
        <v>1954.9828807724955</v>
      </c>
      <c r="O77" s="473">
        <v>2104.629970078618</v>
      </c>
      <c r="P77" s="473">
        <v>2114.6548707890629</v>
      </c>
      <c r="Q77" s="473">
        <v>2181.7876707890628</v>
      </c>
      <c r="R77" s="473">
        <v>2398.0477524217158</v>
      </c>
      <c r="S77" s="473">
        <v>2268.9302040986227</v>
      </c>
      <c r="T77" s="473">
        <v>2485.1902857312757</v>
      </c>
      <c r="U77" s="473">
        <v>2485.1902857312757</v>
      </c>
      <c r="V77" s="473">
        <v>2485.1902857312757</v>
      </c>
      <c r="W77" s="473">
        <v>2497.4978117414707</v>
      </c>
      <c r="X77" s="473">
        <v>2413.1816991328742</v>
      </c>
      <c r="Y77" s="473">
        <v>2773.6151685206291</v>
      </c>
      <c r="Z77" s="473">
        <v>3069.2707305634563</v>
      </c>
      <c r="AA77" s="473">
        <v>3031.6989103185583</v>
      </c>
      <c r="AB77" s="473">
        <v>3113.8875497505669</v>
      </c>
      <c r="AC77" s="473">
        <v>3113.8875497505669</v>
      </c>
      <c r="AD77" s="473">
        <v>3258.0609375056692</v>
      </c>
      <c r="AE77" s="473">
        <v>3258.0609375056692</v>
      </c>
      <c r="AF77" s="473">
        <v>3474.3210191383218</v>
      </c>
      <c r="AG77" s="473">
        <v>3474.3210191383218</v>
      </c>
      <c r="AH77" s="473">
        <v>3474.3210191383218</v>
      </c>
      <c r="AI77" s="473">
        <v>3474.3210191383218</v>
      </c>
      <c r="AK77" s="478">
        <f t="shared" si="28"/>
        <v>2.306335104</v>
      </c>
      <c r="AL77" s="478">
        <f t="shared" si="28"/>
        <v>2.2634919359999999</v>
      </c>
      <c r="AM77" s="478">
        <f t="shared" si="28"/>
        <v>2.1221799839999997</v>
      </c>
      <c r="AN77" s="478">
        <f t="shared" si="28"/>
        <v>2.2321331999999998</v>
      </c>
      <c r="AO77" s="478">
        <f t="shared" si="28"/>
        <v>2.0585527199999998</v>
      </c>
      <c r="AP77" s="478">
        <f t="shared" si="28"/>
        <v>2.0088599601611969</v>
      </c>
      <c r="AQ77" s="478">
        <f t="shared" si="28"/>
        <v>2.0524569876667007</v>
      </c>
      <c r="AR77" s="478">
        <f t="shared" si="28"/>
        <v>2.0524569876667007</v>
      </c>
      <c r="AS77" s="478">
        <f t="shared" si="28"/>
        <v>2.0524569876667007</v>
      </c>
      <c r="AT77" s="478">
        <f t="shared" si="28"/>
        <v>1.9130100354777599</v>
      </c>
      <c r="AU77" s="478">
        <f t="shared" si="29"/>
        <v>1.9502228107956108</v>
      </c>
      <c r="AV77" s="478">
        <f t="shared" si="29"/>
        <v>1.9549828807724956</v>
      </c>
      <c r="AW77" s="478">
        <f t="shared" si="29"/>
        <v>2.104629970078618</v>
      </c>
      <c r="AX77" s="478">
        <f t="shared" si="29"/>
        <v>2.1146548707890629</v>
      </c>
      <c r="AY77" s="478">
        <f t="shared" si="29"/>
        <v>2.1817876707890629</v>
      </c>
      <c r="AZ77" s="478">
        <f t="shared" si="29"/>
        <v>2.3980477524217156</v>
      </c>
      <c r="BA77" s="478">
        <f t="shared" si="29"/>
        <v>2.2689302040986226</v>
      </c>
      <c r="BB77" s="478">
        <f t="shared" si="29"/>
        <v>2.4851902857312758</v>
      </c>
      <c r="BC77" s="478">
        <f t="shared" si="30"/>
        <v>2.4851902857312758</v>
      </c>
      <c r="BD77" s="478">
        <f t="shared" si="30"/>
        <v>2.4851902857312758</v>
      </c>
      <c r="BE77" s="478">
        <f t="shared" si="30"/>
        <v>2.4974978117414706</v>
      </c>
      <c r="BF77" s="478">
        <f t="shared" si="30"/>
        <v>2.4131816991328741</v>
      </c>
      <c r="BG77" s="478">
        <f t="shared" si="30"/>
        <v>2.7736151685206289</v>
      </c>
      <c r="BH77" s="478">
        <f t="shared" si="30"/>
        <v>3.0692707305634563</v>
      </c>
      <c r="BI77" s="478">
        <f t="shared" si="30"/>
        <v>3.0316989103185583</v>
      </c>
      <c r="BJ77" s="478">
        <f t="shared" si="30"/>
        <v>3.1138875497505669</v>
      </c>
      <c r="BK77" s="478">
        <f t="shared" si="30"/>
        <v>3.1138875497505669</v>
      </c>
      <c r="BL77" s="478">
        <f t="shared" si="30"/>
        <v>3.2580609375056691</v>
      </c>
      <c r="BM77" s="478">
        <f t="shared" si="30"/>
        <v>3.2580609375056691</v>
      </c>
      <c r="BN77" s="478">
        <f t="shared" si="30"/>
        <v>3.4743210191383218</v>
      </c>
      <c r="BO77" s="478">
        <f t="shared" si="30"/>
        <v>3.4743210191383218</v>
      </c>
      <c r="BP77" s="478">
        <f t="shared" si="30"/>
        <v>3.4743210191383218</v>
      </c>
      <c r="BQ77" s="478">
        <f t="shared" si="30"/>
        <v>3.4743210191383218</v>
      </c>
    </row>
    <row r="78" spans="1:69">
      <c r="A78" s="474" t="s">
        <v>1170</v>
      </c>
      <c r="B78" s="473">
        <v>2297</v>
      </c>
      <c r="C78" s="473">
        <v>2451.3263139098949</v>
      </c>
      <c r="D78" s="473">
        <v>2390.7075633616842</v>
      </c>
      <c r="E78" s="473">
        <v>2234.8024950458948</v>
      </c>
      <c r="F78" s="473">
        <v>2357.7233353743159</v>
      </c>
      <c r="G78" s="473">
        <v>2174.4232039839999</v>
      </c>
      <c r="H78" s="473">
        <v>2106.5036677633971</v>
      </c>
      <c r="I78" s="473">
        <v>2163.674964159648</v>
      </c>
      <c r="J78" s="473">
        <v>2163.674964159648</v>
      </c>
      <c r="K78" s="473">
        <v>2163.674964159648</v>
      </c>
      <c r="L78" s="473">
        <v>2036.6923297543722</v>
      </c>
      <c r="M78" s="473">
        <v>2160.7779189639032</v>
      </c>
      <c r="N78" s="473">
        <v>2181.5942308496683</v>
      </c>
      <c r="O78" s="473">
        <v>2402.8958364917735</v>
      </c>
      <c r="P78" s="473">
        <v>2516.2189192867913</v>
      </c>
      <c r="Q78" s="473">
        <v>2626.7062949499486</v>
      </c>
      <c r="R78" s="473">
        <v>2867.2057584446852</v>
      </c>
      <c r="S78" s="473">
        <v>2749.6292451064674</v>
      </c>
      <c r="T78" s="473">
        <v>3750.236607352766</v>
      </c>
      <c r="U78" s="473">
        <v>3750.236607352766</v>
      </c>
      <c r="V78" s="473">
        <v>3750.236607352766</v>
      </c>
      <c r="W78" s="473">
        <v>3746.8845601440958</v>
      </c>
      <c r="X78" s="473">
        <v>3536.8734317063854</v>
      </c>
      <c r="Y78" s="473">
        <v>3937.7058708642799</v>
      </c>
      <c r="Z78" s="473">
        <v>4156.8985498744778</v>
      </c>
      <c r="AA78" s="473">
        <v>3993.1139578744778</v>
      </c>
      <c r="AB78" s="473">
        <v>4016.9472828052499</v>
      </c>
      <c r="AC78" s="473">
        <v>4016.9472828052499</v>
      </c>
      <c r="AD78" s="473">
        <v>4177.2802584684086</v>
      </c>
      <c r="AE78" s="473">
        <v>4177.2802584684086</v>
      </c>
      <c r="AF78" s="473">
        <v>4417.7797219631457</v>
      </c>
      <c r="AG78" s="473">
        <v>4417.7797219631457</v>
      </c>
      <c r="AH78" s="473">
        <v>4417.7797219631457</v>
      </c>
      <c r="AI78" s="473">
        <v>4417.7797219631457</v>
      </c>
      <c r="AK78" s="478">
        <f t="shared" si="28"/>
        <v>2.4513263139098949</v>
      </c>
      <c r="AL78" s="478">
        <f t="shared" si="28"/>
        <v>2.3907075633616843</v>
      </c>
      <c r="AM78" s="478">
        <f t="shared" si="28"/>
        <v>2.2348024950458947</v>
      </c>
      <c r="AN78" s="478">
        <f t="shared" si="28"/>
        <v>2.3577233353743159</v>
      </c>
      <c r="AO78" s="478">
        <f t="shared" si="28"/>
        <v>2.1744232039839999</v>
      </c>
      <c r="AP78" s="478">
        <f t="shared" si="28"/>
        <v>2.106503667763397</v>
      </c>
      <c r="AQ78" s="478">
        <f t="shared" si="28"/>
        <v>2.163674964159648</v>
      </c>
      <c r="AR78" s="478">
        <f t="shared" si="28"/>
        <v>2.163674964159648</v>
      </c>
      <c r="AS78" s="478">
        <f t="shared" si="28"/>
        <v>2.163674964159648</v>
      </c>
      <c r="AT78" s="478">
        <f t="shared" si="28"/>
        <v>2.0366923297543722</v>
      </c>
      <c r="AU78" s="478">
        <f t="shared" si="29"/>
        <v>2.1607779189639031</v>
      </c>
      <c r="AV78" s="478">
        <f t="shared" si="29"/>
        <v>2.1815942308496683</v>
      </c>
      <c r="AW78" s="478">
        <f t="shared" si="29"/>
        <v>2.4028958364917736</v>
      </c>
      <c r="AX78" s="478">
        <f t="shared" si="29"/>
        <v>2.5162189192867914</v>
      </c>
      <c r="AY78" s="478">
        <f t="shared" si="29"/>
        <v>2.6267062949499485</v>
      </c>
      <c r="AZ78" s="478">
        <f t="shared" si="29"/>
        <v>2.8672057584446851</v>
      </c>
      <c r="BA78" s="478">
        <f t="shared" si="29"/>
        <v>2.7496292451064672</v>
      </c>
      <c r="BB78" s="478">
        <f t="shared" si="29"/>
        <v>3.750236607352766</v>
      </c>
      <c r="BC78" s="478">
        <f t="shared" si="30"/>
        <v>3.750236607352766</v>
      </c>
      <c r="BD78" s="478">
        <f t="shared" si="30"/>
        <v>3.750236607352766</v>
      </c>
      <c r="BE78" s="478">
        <f t="shared" si="30"/>
        <v>3.7468845601440957</v>
      </c>
      <c r="BF78" s="478">
        <f t="shared" si="30"/>
        <v>3.5368734317063852</v>
      </c>
      <c r="BG78" s="478">
        <f t="shared" si="30"/>
        <v>3.93770587086428</v>
      </c>
      <c r="BH78" s="478">
        <f t="shared" si="30"/>
        <v>4.1568985498744775</v>
      </c>
      <c r="BI78" s="478">
        <f t="shared" si="30"/>
        <v>3.9931139578744776</v>
      </c>
      <c r="BJ78" s="478">
        <f t="shared" si="30"/>
        <v>4.0169472828052495</v>
      </c>
      <c r="BK78" s="478">
        <f t="shared" si="30"/>
        <v>4.0169472828052495</v>
      </c>
      <c r="BL78" s="478">
        <f t="shared" si="30"/>
        <v>4.177280258468409</v>
      </c>
      <c r="BM78" s="478">
        <f t="shared" si="30"/>
        <v>4.177280258468409</v>
      </c>
      <c r="BN78" s="478">
        <f t="shared" si="30"/>
        <v>4.4177797219631456</v>
      </c>
      <c r="BO78" s="478">
        <f t="shared" si="30"/>
        <v>4.4177797219631456</v>
      </c>
      <c r="BP78" s="478">
        <f t="shared" si="30"/>
        <v>4.4177797219631456</v>
      </c>
      <c r="BQ78" s="478">
        <f t="shared" si="30"/>
        <v>4.4177797219631456</v>
      </c>
    </row>
    <row r="79" spans="1:69">
      <c r="A79" s="475" t="s">
        <v>1171</v>
      </c>
      <c r="B79" s="476">
        <v>0</v>
      </c>
      <c r="C79" s="476">
        <v>0</v>
      </c>
      <c r="D79" s="476">
        <v>0</v>
      </c>
      <c r="E79" s="476">
        <v>0</v>
      </c>
      <c r="F79" s="476">
        <v>0</v>
      </c>
      <c r="G79" s="476">
        <v>0</v>
      </c>
      <c r="H79" s="476">
        <v>0</v>
      </c>
      <c r="I79" s="476">
        <v>0</v>
      </c>
      <c r="J79" s="476">
        <v>0</v>
      </c>
      <c r="K79" s="476">
        <v>0</v>
      </c>
      <c r="L79" s="476">
        <v>0</v>
      </c>
      <c r="M79" s="476">
        <v>0</v>
      </c>
      <c r="N79" s="476">
        <v>0</v>
      </c>
      <c r="O79" s="476">
        <v>0</v>
      </c>
      <c r="P79" s="476">
        <v>0</v>
      </c>
      <c r="Q79" s="476">
        <v>0</v>
      </c>
      <c r="R79" s="476">
        <v>0</v>
      </c>
      <c r="S79" s="476">
        <v>0</v>
      </c>
      <c r="T79" s="476">
        <v>0</v>
      </c>
      <c r="U79" s="476">
        <v>0</v>
      </c>
      <c r="V79" s="476">
        <v>0</v>
      </c>
      <c r="W79" s="476">
        <v>0</v>
      </c>
      <c r="X79" s="476">
        <v>0</v>
      </c>
      <c r="Y79" s="476">
        <v>0</v>
      </c>
      <c r="Z79" s="476">
        <v>0</v>
      </c>
      <c r="AA79" s="476">
        <v>0</v>
      </c>
      <c r="AB79" s="476">
        <v>0</v>
      </c>
      <c r="AC79" s="476">
        <v>0</v>
      </c>
      <c r="AD79" s="476">
        <v>0</v>
      </c>
      <c r="AE79" s="476">
        <v>0</v>
      </c>
      <c r="AF79" s="476">
        <v>0</v>
      </c>
      <c r="AG79" s="476">
        <v>0</v>
      </c>
      <c r="AH79" s="476">
        <v>0</v>
      </c>
      <c r="AI79" s="476">
        <v>0</v>
      </c>
      <c r="AK79" s="476">
        <f t="shared" si="28"/>
        <v>0</v>
      </c>
      <c r="AL79" s="476">
        <f t="shared" si="28"/>
        <v>0</v>
      </c>
      <c r="AM79" s="476">
        <f t="shared" si="28"/>
        <v>0</v>
      </c>
      <c r="AN79" s="476">
        <f t="shared" si="28"/>
        <v>0</v>
      </c>
      <c r="AO79" s="476">
        <f t="shared" si="28"/>
        <v>0</v>
      </c>
      <c r="AP79" s="476">
        <f t="shared" si="28"/>
        <v>0</v>
      </c>
      <c r="AQ79" s="476">
        <f t="shared" si="28"/>
        <v>0</v>
      </c>
      <c r="AR79" s="476">
        <f t="shared" si="28"/>
        <v>0</v>
      </c>
      <c r="AS79" s="476">
        <f t="shared" si="28"/>
        <v>0</v>
      </c>
      <c r="AT79" s="476">
        <f t="shared" si="28"/>
        <v>0</v>
      </c>
      <c r="AU79" s="476">
        <f t="shared" si="29"/>
        <v>0</v>
      </c>
      <c r="AV79" s="476">
        <f t="shared" si="29"/>
        <v>0</v>
      </c>
      <c r="AW79" s="476">
        <f t="shared" si="29"/>
        <v>0</v>
      </c>
      <c r="AX79" s="476">
        <f t="shared" si="29"/>
        <v>0</v>
      </c>
      <c r="AY79" s="476">
        <f t="shared" si="29"/>
        <v>0</v>
      </c>
      <c r="AZ79" s="476">
        <f t="shared" si="29"/>
        <v>0</v>
      </c>
      <c r="BA79" s="476">
        <f t="shared" si="29"/>
        <v>0</v>
      </c>
      <c r="BB79" s="476">
        <f t="shared" si="29"/>
        <v>0</v>
      </c>
      <c r="BC79" s="476">
        <f t="shared" si="30"/>
        <v>0</v>
      </c>
      <c r="BD79" s="476">
        <f t="shared" si="30"/>
        <v>0</v>
      </c>
      <c r="BE79" s="476">
        <f t="shared" si="30"/>
        <v>0</v>
      </c>
      <c r="BF79" s="476">
        <f t="shared" si="30"/>
        <v>0</v>
      </c>
      <c r="BG79" s="476">
        <f t="shared" si="30"/>
        <v>0</v>
      </c>
      <c r="BH79" s="476">
        <f t="shared" si="30"/>
        <v>0</v>
      </c>
      <c r="BI79" s="476">
        <f t="shared" si="30"/>
        <v>0</v>
      </c>
      <c r="BJ79" s="476">
        <f t="shared" si="30"/>
        <v>0</v>
      </c>
      <c r="BK79" s="476">
        <f t="shared" si="30"/>
        <v>0</v>
      </c>
      <c r="BL79" s="476">
        <f t="shared" si="30"/>
        <v>0</v>
      </c>
      <c r="BM79" s="476">
        <f t="shared" si="30"/>
        <v>0</v>
      </c>
      <c r="BN79" s="476">
        <f t="shared" si="30"/>
        <v>0</v>
      </c>
      <c r="BO79" s="476">
        <f t="shared" si="30"/>
        <v>0</v>
      </c>
      <c r="BP79" s="476">
        <f t="shared" si="30"/>
        <v>0</v>
      </c>
      <c r="BQ79" s="476">
        <f t="shared" si="30"/>
        <v>0</v>
      </c>
    </row>
    <row r="80" spans="1:69">
      <c r="A80" s="477" t="s">
        <v>1172</v>
      </c>
      <c r="B80" s="478"/>
      <c r="C80" s="478"/>
      <c r="D80" s="478"/>
      <c r="E80" s="478"/>
      <c r="F80" s="478"/>
      <c r="G80" s="478"/>
      <c r="H80" s="478"/>
      <c r="I80" s="478"/>
      <c r="J80" s="478"/>
      <c r="K80" s="478"/>
      <c r="L80" s="478"/>
      <c r="M80" s="478"/>
      <c r="N80" s="478"/>
      <c r="O80" s="478"/>
      <c r="P80" s="478"/>
      <c r="Q80" s="478"/>
      <c r="R80" s="478"/>
      <c r="S80" s="478"/>
      <c r="T80" s="478"/>
      <c r="AW80" s="150"/>
      <c r="AX80" s="150"/>
    </row>
    <row r="82" spans="1:59">
      <c r="L82" s="58"/>
      <c r="M82" s="58"/>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row>
    <row r="83" spans="1:59">
      <c r="A83" s="435" t="s">
        <v>860</v>
      </c>
      <c r="L83" s="58"/>
      <c r="M83" s="58"/>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row>
    <row r="84" spans="1:59">
      <c r="A84" s="492" t="s">
        <v>877</v>
      </c>
      <c r="B84" s="493"/>
      <c r="C84" s="493"/>
      <c r="D84" s="493"/>
      <c r="E84" s="493"/>
      <c r="F84" s="493"/>
      <c r="G84" s="493"/>
      <c r="H84" s="493"/>
      <c r="I84" s="493"/>
      <c r="J84" s="493"/>
      <c r="K84" s="493"/>
      <c r="L84" s="493"/>
      <c r="M84" s="58"/>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row>
    <row r="85" spans="1:59">
      <c r="A85" s="499"/>
      <c r="B85" s="499"/>
      <c r="C85" s="499"/>
      <c r="D85" s="499"/>
      <c r="E85" s="499"/>
      <c r="F85" s="499"/>
      <c r="G85" s="499"/>
      <c r="H85" s="499"/>
      <c r="I85" s="499"/>
      <c r="J85" s="499"/>
      <c r="K85" s="499"/>
      <c r="L85" s="499"/>
      <c r="M85" s="58"/>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row>
    <row r="86" spans="1:59">
      <c r="A86" s="31"/>
      <c r="B86" s="32"/>
      <c r="C86" s="32"/>
      <c r="D86" s="32"/>
      <c r="E86" s="32"/>
      <c r="F86" s="32"/>
      <c r="G86" s="32"/>
      <c r="H86" s="494" t="s">
        <v>30</v>
      </c>
      <c r="I86" s="494"/>
      <c r="J86" s="33"/>
      <c r="K86" s="494" t="s">
        <v>31</v>
      </c>
      <c r="L86" s="494"/>
      <c r="M86" s="58"/>
      <c r="N86" s="394" t="s">
        <v>741</v>
      </c>
      <c r="O86" s="393" t="s">
        <v>742</v>
      </c>
      <c r="P86" s="393" t="s">
        <v>743</v>
      </c>
      <c r="Q86" s="393" t="s">
        <v>744</v>
      </c>
      <c r="R86" s="393" t="s">
        <v>745</v>
      </c>
      <c r="S86" s="393" t="s">
        <v>746</v>
      </c>
      <c r="T86" s="393" t="s">
        <v>747</v>
      </c>
      <c r="U86" s="393" t="s">
        <v>748</v>
      </c>
      <c r="V86" s="393" t="s">
        <v>749</v>
      </c>
      <c r="W86" s="393" t="s">
        <v>750</v>
      </c>
      <c r="X86" s="393" t="s">
        <v>751</v>
      </c>
      <c r="Y86" s="393" t="s">
        <v>752</v>
      </c>
      <c r="Z86" s="393" t="s">
        <v>753</v>
      </c>
      <c r="AA86" s="393" t="s">
        <v>754</v>
      </c>
      <c r="AB86" s="393" t="s">
        <v>755</v>
      </c>
      <c r="AC86" s="393" t="s">
        <v>756</v>
      </c>
      <c r="AD86" s="393" t="s">
        <v>757</v>
      </c>
      <c r="AE86" s="393" t="s">
        <v>758</v>
      </c>
      <c r="AF86" s="393" t="s">
        <v>759</v>
      </c>
      <c r="AG86" s="393" t="s">
        <v>760</v>
      </c>
      <c r="AH86" s="393" t="s">
        <v>761</v>
      </c>
      <c r="AI86" s="393" t="s">
        <v>762</v>
      </c>
      <c r="AJ86" s="393" t="s">
        <v>763</v>
      </c>
      <c r="AK86" s="393" t="s">
        <v>764</v>
      </c>
      <c r="AL86" s="393" t="s">
        <v>765</v>
      </c>
      <c r="AM86" s="393" t="s">
        <v>766</v>
      </c>
      <c r="AN86" s="393" t="s">
        <v>767</v>
      </c>
      <c r="AO86" s="393" t="s">
        <v>768</v>
      </c>
      <c r="AP86" s="393" t="s">
        <v>769</v>
      </c>
      <c r="AQ86" s="393" t="s">
        <v>770</v>
      </c>
      <c r="AR86" s="393" t="s">
        <v>771</v>
      </c>
      <c r="AS86" s="393" t="s">
        <v>772</v>
      </c>
      <c r="AT86" s="393" t="s">
        <v>773</v>
      </c>
      <c r="AU86" s="393" t="s">
        <v>774</v>
      </c>
      <c r="AV86" s="393" t="s">
        <v>775</v>
      </c>
      <c r="AW86" s="393" t="s">
        <v>776</v>
      </c>
      <c r="AX86" s="393" t="s">
        <v>777</v>
      </c>
      <c r="AY86" s="393" t="s">
        <v>778</v>
      </c>
      <c r="AZ86" s="393" t="s">
        <v>779</v>
      </c>
      <c r="BA86" s="393" t="s">
        <v>780</v>
      </c>
      <c r="BB86" s="393" t="s">
        <v>781</v>
      </c>
      <c r="BC86" s="393" t="s">
        <v>782</v>
      </c>
      <c r="BD86" s="393" t="s">
        <v>783</v>
      </c>
      <c r="BE86" s="393" t="s">
        <v>784</v>
      </c>
      <c r="BF86" s="393" t="s">
        <v>785</v>
      </c>
      <c r="BG86" s="393" t="s">
        <v>786</v>
      </c>
    </row>
    <row r="87" spans="1:59">
      <c r="A87" s="31"/>
      <c r="B87" s="34">
        <v>2000</v>
      </c>
      <c r="C87" s="34">
        <v>2018</v>
      </c>
      <c r="D87" s="34">
        <v>2025</v>
      </c>
      <c r="E87" s="34">
        <v>2030</v>
      </c>
      <c r="F87" s="34">
        <v>2035</v>
      </c>
      <c r="G87" s="34">
        <v>2040</v>
      </c>
      <c r="H87" s="35">
        <v>2018</v>
      </c>
      <c r="I87" s="35">
        <v>2040</v>
      </c>
      <c r="J87" s="36"/>
      <c r="K87" s="35" t="s">
        <v>32</v>
      </c>
      <c r="L87" s="35" t="s">
        <v>33</v>
      </c>
      <c r="M87" s="58"/>
      <c r="N87" s="395" t="s">
        <v>466</v>
      </c>
      <c r="O87" s="177">
        <v>12570</v>
      </c>
      <c r="P87" s="177">
        <v>11319</v>
      </c>
      <c r="Q87" s="177">
        <v>11649</v>
      </c>
      <c r="R87" s="177">
        <v>11836</v>
      </c>
      <c r="S87" s="177">
        <v>12180</v>
      </c>
      <c r="T87" s="177">
        <v>11778</v>
      </c>
      <c r="U87" s="177">
        <v>12151</v>
      </c>
      <c r="V87" s="177">
        <v>12011</v>
      </c>
      <c r="W87" s="177">
        <v>11705</v>
      </c>
      <c r="X87" s="177">
        <v>11850</v>
      </c>
      <c r="Y87" s="177">
        <v>11829</v>
      </c>
      <c r="Z87" s="177">
        <v>12618</v>
      </c>
      <c r="AA87" s="177">
        <v>12540</v>
      </c>
      <c r="AB87" s="177">
        <v>11375</v>
      </c>
      <c r="AC87" s="177">
        <v>11838</v>
      </c>
      <c r="AD87" s="177">
        <v>11610</v>
      </c>
      <c r="AE87" s="177">
        <v>11766</v>
      </c>
      <c r="AF87" s="177">
        <v>11260</v>
      </c>
      <c r="AG87" s="177">
        <v>12291</v>
      </c>
      <c r="AH87" s="177">
        <v>12182</v>
      </c>
      <c r="AI87" s="177">
        <v>11635</v>
      </c>
      <c r="AJ87" s="177">
        <v>11668</v>
      </c>
      <c r="AK87" s="177">
        <v>12062</v>
      </c>
      <c r="AL87" s="177">
        <v>12675</v>
      </c>
      <c r="AM87" s="177">
        <v>12591</v>
      </c>
      <c r="AN87" s="177">
        <v>11328</v>
      </c>
      <c r="AO87" s="177">
        <v>11755</v>
      </c>
      <c r="AP87" s="177">
        <v>11079</v>
      </c>
      <c r="AQ87" s="177">
        <v>11286</v>
      </c>
      <c r="AR87" s="177">
        <v>11048</v>
      </c>
      <c r="AS87" s="177">
        <v>11512</v>
      </c>
      <c r="AT87" s="177">
        <v>11500</v>
      </c>
      <c r="AU87" s="177">
        <v>11560</v>
      </c>
      <c r="AV87" s="177">
        <v>11248</v>
      </c>
      <c r="AW87" s="177">
        <v>10922</v>
      </c>
      <c r="AX87" s="177">
        <v>12317</v>
      </c>
      <c r="AY87" s="177">
        <v>12184</v>
      </c>
      <c r="AZ87" s="177">
        <v>11336</v>
      </c>
      <c r="BA87" s="177">
        <v>12498</v>
      </c>
      <c r="BB87" s="177">
        <v>12006</v>
      </c>
      <c r="BC87" s="177">
        <v>12189</v>
      </c>
      <c r="BD87" s="177">
        <v>11928</v>
      </c>
      <c r="BE87" s="177">
        <v>12654</v>
      </c>
      <c r="BF87" s="177">
        <v>12626</v>
      </c>
      <c r="BG87" s="177">
        <v>12531</v>
      </c>
    </row>
    <row r="88" spans="1:59">
      <c r="A88" s="37" t="s">
        <v>34</v>
      </c>
      <c r="B88" s="38"/>
      <c r="C88" s="38"/>
      <c r="D88" s="39"/>
      <c r="E88" s="39"/>
      <c r="F88" s="39"/>
      <c r="G88" s="39"/>
      <c r="H88" s="40"/>
      <c r="I88" s="40"/>
      <c r="J88" s="41"/>
      <c r="K88" s="40"/>
      <c r="L88" s="40"/>
      <c r="M88" s="58"/>
      <c r="N88" s="395" t="s">
        <v>35</v>
      </c>
      <c r="O88" s="177">
        <v>2722</v>
      </c>
      <c r="P88" s="177">
        <v>2441</v>
      </c>
      <c r="Q88" s="177">
        <v>2589</v>
      </c>
      <c r="R88" s="177">
        <v>2626</v>
      </c>
      <c r="S88" s="177">
        <v>2760</v>
      </c>
      <c r="T88" s="177">
        <v>2739</v>
      </c>
      <c r="U88" s="177">
        <v>2729</v>
      </c>
      <c r="V88" s="177">
        <v>2728</v>
      </c>
      <c r="W88" s="177">
        <v>2485</v>
      </c>
      <c r="X88" s="177">
        <v>2691</v>
      </c>
      <c r="Y88" s="177">
        <v>2751</v>
      </c>
      <c r="Z88" s="177">
        <v>2786</v>
      </c>
      <c r="AA88" s="177">
        <v>2602</v>
      </c>
      <c r="AB88" s="177">
        <v>2589</v>
      </c>
      <c r="AC88" s="177">
        <v>2720</v>
      </c>
      <c r="AD88" s="177">
        <v>2654</v>
      </c>
      <c r="AE88" s="177">
        <v>2694</v>
      </c>
      <c r="AF88" s="177">
        <v>2643</v>
      </c>
      <c r="AG88" s="177">
        <v>2656</v>
      </c>
      <c r="AH88" s="177">
        <v>2745</v>
      </c>
      <c r="AI88" s="177">
        <v>2419</v>
      </c>
      <c r="AJ88" s="177">
        <v>2718</v>
      </c>
      <c r="AK88" s="177">
        <v>2640</v>
      </c>
      <c r="AL88" s="177">
        <v>2672</v>
      </c>
      <c r="AM88" s="177">
        <v>2645</v>
      </c>
      <c r="AN88" s="177">
        <v>2323</v>
      </c>
      <c r="AO88" s="177">
        <v>2558</v>
      </c>
      <c r="AP88" s="177">
        <v>2382</v>
      </c>
      <c r="AQ88" s="177">
        <v>2280</v>
      </c>
      <c r="AR88" s="177">
        <v>2374</v>
      </c>
      <c r="AS88" s="177">
        <v>2555</v>
      </c>
      <c r="AT88" s="177">
        <v>2597</v>
      </c>
      <c r="AU88" s="177">
        <v>2605</v>
      </c>
      <c r="AV88" s="177">
        <v>2597</v>
      </c>
      <c r="AW88" s="177">
        <v>2494</v>
      </c>
      <c r="AX88" s="177">
        <v>2808</v>
      </c>
      <c r="AY88" s="177">
        <v>2683</v>
      </c>
      <c r="AZ88" s="177">
        <v>2347</v>
      </c>
      <c r="BA88" s="177">
        <v>2784</v>
      </c>
      <c r="BB88" s="177">
        <v>2552</v>
      </c>
      <c r="BC88" s="177">
        <v>2702</v>
      </c>
      <c r="BD88" s="177">
        <v>2472</v>
      </c>
      <c r="BE88" s="177">
        <v>2688</v>
      </c>
      <c r="BF88" s="177">
        <v>2747</v>
      </c>
      <c r="BG88" s="177">
        <v>2650</v>
      </c>
    </row>
    <row r="89" spans="1:59">
      <c r="A89" s="42" t="s">
        <v>878</v>
      </c>
      <c r="B89" s="43">
        <v>35.962000000000003</v>
      </c>
      <c r="C89" s="43">
        <v>71.519000000000005</v>
      </c>
      <c r="D89" s="44">
        <v>81.052000000000007</v>
      </c>
      <c r="E89" s="44">
        <v>84.32</v>
      </c>
      <c r="F89" s="44">
        <v>86.070999999999998</v>
      </c>
      <c r="G89" s="44">
        <v>87.108999999999995</v>
      </c>
      <c r="H89" s="45">
        <v>100</v>
      </c>
      <c r="I89" s="45">
        <v>100</v>
      </c>
      <c r="J89" s="46"/>
      <c r="K89" s="47">
        <v>3.89</v>
      </c>
      <c r="L89" s="47">
        <v>0.9</v>
      </c>
      <c r="M89" s="58"/>
      <c r="N89" s="395" t="s">
        <v>36</v>
      </c>
      <c r="O89" s="177">
        <v>6061</v>
      </c>
      <c r="P89" s="177">
        <v>5444</v>
      </c>
      <c r="Q89" s="177">
        <v>5613</v>
      </c>
      <c r="R89" s="177">
        <v>5829</v>
      </c>
      <c r="S89" s="177">
        <v>6032</v>
      </c>
      <c r="T89" s="177">
        <v>5656</v>
      </c>
      <c r="U89" s="177">
        <v>5906</v>
      </c>
      <c r="V89" s="177">
        <v>5742</v>
      </c>
      <c r="W89" s="177">
        <v>5840</v>
      </c>
      <c r="X89" s="177">
        <v>5673</v>
      </c>
      <c r="Y89" s="177">
        <v>5458</v>
      </c>
      <c r="Z89" s="177">
        <v>6039</v>
      </c>
      <c r="AA89" s="177">
        <v>6090</v>
      </c>
      <c r="AB89" s="177">
        <v>5431</v>
      </c>
      <c r="AC89" s="177">
        <v>5536</v>
      </c>
      <c r="AD89" s="177">
        <v>5416</v>
      </c>
      <c r="AE89" s="177">
        <v>5634</v>
      </c>
      <c r="AF89" s="177">
        <v>5244</v>
      </c>
      <c r="AG89" s="177">
        <v>6166</v>
      </c>
      <c r="AH89" s="177">
        <v>5932</v>
      </c>
      <c r="AI89" s="177">
        <v>5918</v>
      </c>
      <c r="AJ89" s="177">
        <v>5562</v>
      </c>
      <c r="AK89" s="177">
        <v>5942</v>
      </c>
      <c r="AL89" s="177">
        <v>6344</v>
      </c>
      <c r="AM89" s="177">
        <v>6249</v>
      </c>
      <c r="AN89" s="177">
        <v>5462</v>
      </c>
      <c r="AO89" s="177">
        <v>5583</v>
      </c>
      <c r="AP89" s="177">
        <v>5342</v>
      </c>
      <c r="AQ89" s="177">
        <v>5871</v>
      </c>
      <c r="AR89" s="177">
        <v>5492</v>
      </c>
      <c r="AS89" s="177">
        <v>5611</v>
      </c>
      <c r="AT89" s="177">
        <v>5553</v>
      </c>
      <c r="AU89" s="177">
        <v>5476</v>
      </c>
      <c r="AV89" s="177">
        <v>5309</v>
      </c>
      <c r="AW89" s="177">
        <v>4893</v>
      </c>
      <c r="AX89" s="177">
        <v>5644</v>
      </c>
      <c r="AY89" s="177">
        <v>5622</v>
      </c>
      <c r="AZ89" s="177">
        <v>5520</v>
      </c>
      <c r="BA89" s="177">
        <v>6117</v>
      </c>
      <c r="BB89" s="177">
        <v>5926</v>
      </c>
      <c r="BC89" s="177">
        <v>5984</v>
      </c>
      <c r="BD89" s="177">
        <v>5982</v>
      </c>
      <c r="BE89" s="177">
        <v>6304</v>
      </c>
      <c r="BF89" s="177">
        <v>6332</v>
      </c>
      <c r="BG89" s="177">
        <v>6410</v>
      </c>
    </row>
    <row r="90" spans="1:59">
      <c r="A90" s="48" t="s">
        <v>35</v>
      </c>
      <c r="B90" s="43">
        <v>0.27300000000000002</v>
      </c>
      <c r="C90" s="43">
        <v>0.219</v>
      </c>
      <c r="D90" s="44">
        <v>0.26</v>
      </c>
      <c r="E90" s="44">
        <v>0.28599999999999998</v>
      </c>
      <c r="F90" s="44">
        <v>0.29899999999999999</v>
      </c>
      <c r="G90" s="44">
        <v>0.30299999999999999</v>
      </c>
      <c r="H90" s="45">
        <v>0.31</v>
      </c>
      <c r="I90" s="45">
        <v>0.35</v>
      </c>
      <c r="J90" s="46"/>
      <c r="K90" s="47">
        <v>-1.21</v>
      </c>
      <c r="L90" s="47">
        <v>1.49</v>
      </c>
      <c r="M90" s="58"/>
      <c r="N90" s="395" t="s">
        <v>147</v>
      </c>
      <c r="O90" s="177">
        <v>138</v>
      </c>
      <c r="P90" s="177">
        <v>121</v>
      </c>
      <c r="Q90" s="177">
        <v>120</v>
      </c>
      <c r="R90" s="177">
        <v>92</v>
      </c>
      <c r="S90" s="177">
        <v>132</v>
      </c>
      <c r="T90" s="177">
        <v>180</v>
      </c>
      <c r="U90" s="177">
        <v>206</v>
      </c>
      <c r="V90" s="177">
        <v>210</v>
      </c>
      <c r="W90" s="177">
        <v>178</v>
      </c>
      <c r="X90" s="177">
        <v>206</v>
      </c>
      <c r="Y90" s="177">
        <v>229</v>
      </c>
      <c r="Z90" s="177">
        <v>226</v>
      </c>
      <c r="AA90" s="177">
        <v>234</v>
      </c>
      <c r="AB90" s="177">
        <v>219</v>
      </c>
      <c r="AC90" s="177">
        <v>196</v>
      </c>
      <c r="AD90" s="177">
        <v>227</v>
      </c>
      <c r="AE90" s="177">
        <v>199</v>
      </c>
      <c r="AF90" s="177">
        <v>237</v>
      </c>
      <c r="AG90" s="177">
        <v>274</v>
      </c>
      <c r="AH90" s="177">
        <v>286</v>
      </c>
      <c r="AI90" s="177">
        <v>242</v>
      </c>
      <c r="AJ90" s="177">
        <v>249</v>
      </c>
      <c r="AK90" s="177">
        <v>260</v>
      </c>
      <c r="AL90" s="177">
        <v>288</v>
      </c>
      <c r="AM90" s="177">
        <v>282</v>
      </c>
      <c r="AN90" s="177">
        <v>284</v>
      </c>
      <c r="AO90" s="177">
        <v>286</v>
      </c>
      <c r="AP90" s="177">
        <v>268</v>
      </c>
      <c r="AQ90" s="177">
        <v>273</v>
      </c>
      <c r="AR90" s="177">
        <v>302</v>
      </c>
      <c r="AS90" s="177">
        <v>318</v>
      </c>
      <c r="AT90" s="177">
        <v>327</v>
      </c>
      <c r="AU90" s="177">
        <v>304</v>
      </c>
      <c r="AV90" s="177">
        <v>314</v>
      </c>
      <c r="AW90" s="177">
        <v>309</v>
      </c>
      <c r="AX90" s="177">
        <v>334</v>
      </c>
      <c r="AY90" s="177">
        <v>266</v>
      </c>
      <c r="AZ90" s="177">
        <v>236</v>
      </c>
      <c r="BA90" s="177">
        <v>272</v>
      </c>
      <c r="BB90" s="177">
        <v>288</v>
      </c>
      <c r="BC90" s="177">
        <v>285</v>
      </c>
      <c r="BD90" s="177">
        <v>313</v>
      </c>
      <c r="BE90" s="177">
        <v>347</v>
      </c>
      <c r="BF90" s="177">
        <v>323</v>
      </c>
      <c r="BG90" s="177">
        <v>279</v>
      </c>
    </row>
    <row r="91" spans="1:59">
      <c r="A91" s="48" t="s">
        <v>36</v>
      </c>
      <c r="B91" s="43">
        <v>33.057000000000002</v>
      </c>
      <c r="C91" s="43">
        <v>62.287999999999997</v>
      </c>
      <c r="D91" s="44">
        <v>69.561999999999998</v>
      </c>
      <c r="E91" s="44">
        <v>71.578999999999994</v>
      </c>
      <c r="F91" s="44">
        <v>72.447999999999993</v>
      </c>
      <c r="G91" s="44">
        <v>72.816000000000003</v>
      </c>
      <c r="H91" s="45">
        <v>87.09</v>
      </c>
      <c r="I91" s="45">
        <v>83.59</v>
      </c>
      <c r="J91" s="46"/>
      <c r="K91" s="47">
        <v>3.58</v>
      </c>
      <c r="L91" s="47">
        <v>0.71</v>
      </c>
      <c r="M91" s="58"/>
      <c r="N91" s="395" t="s">
        <v>84</v>
      </c>
      <c r="O91" s="177">
        <v>938</v>
      </c>
      <c r="P91" s="177">
        <v>800</v>
      </c>
      <c r="Q91" s="177">
        <v>776</v>
      </c>
      <c r="R91" s="177">
        <v>718</v>
      </c>
      <c r="S91" s="177">
        <v>701</v>
      </c>
      <c r="T91" s="177">
        <v>678</v>
      </c>
      <c r="U91" s="177">
        <v>674</v>
      </c>
      <c r="V91" s="177">
        <v>650</v>
      </c>
      <c r="W91" s="177">
        <v>647</v>
      </c>
      <c r="X91" s="177">
        <v>751</v>
      </c>
      <c r="Y91" s="177">
        <v>803</v>
      </c>
      <c r="Z91" s="177">
        <v>892</v>
      </c>
      <c r="AA91" s="177">
        <v>880</v>
      </c>
      <c r="AB91" s="177">
        <v>725</v>
      </c>
      <c r="AC91" s="177">
        <v>795</v>
      </c>
      <c r="AD91" s="177">
        <v>772</v>
      </c>
      <c r="AE91" s="177">
        <v>712</v>
      </c>
      <c r="AF91" s="177">
        <v>664</v>
      </c>
      <c r="AG91" s="177">
        <v>632</v>
      </c>
      <c r="AH91" s="177">
        <v>576</v>
      </c>
      <c r="AI91" s="177">
        <v>583</v>
      </c>
      <c r="AJ91" s="177">
        <v>668</v>
      </c>
      <c r="AK91" s="177">
        <v>738</v>
      </c>
      <c r="AL91" s="177">
        <v>796</v>
      </c>
      <c r="AM91" s="177">
        <v>780</v>
      </c>
      <c r="AN91" s="177">
        <v>744</v>
      </c>
      <c r="AO91" s="177">
        <v>741</v>
      </c>
      <c r="AP91" s="177">
        <v>643</v>
      </c>
      <c r="AQ91" s="177">
        <v>541</v>
      </c>
      <c r="AR91" s="177">
        <v>525</v>
      </c>
      <c r="AS91" s="177">
        <v>538</v>
      </c>
      <c r="AT91" s="177">
        <v>512</v>
      </c>
      <c r="AU91" s="177">
        <v>593</v>
      </c>
      <c r="AV91" s="177">
        <v>633</v>
      </c>
      <c r="AW91" s="177">
        <v>706</v>
      </c>
      <c r="AX91" s="177">
        <v>857</v>
      </c>
      <c r="AY91" s="177">
        <v>935</v>
      </c>
      <c r="AZ91" s="177">
        <v>801</v>
      </c>
      <c r="BA91" s="177">
        <v>743</v>
      </c>
      <c r="BB91" s="177">
        <v>690</v>
      </c>
      <c r="BC91" s="177">
        <v>668</v>
      </c>
      <c r="BD91" s="177">
        <v>638</v>
      </c>
      <c r="BE91" s="177">
        <v>635</v>
      </c>
      <c r="BF91" s="177">
        <v>613</v>
      </c>
      <c r="BG91" s="177">
        <v>619</v>
      </c>
    </row>
    <row r="92" spans="1:59">
      <c r="A92" s="48" t="s">
        <v>827</v>
      </c>
      <c r="B92" s="43">
        <v>0.31900000000000001</v>
      </c>
      <c r="C92" s="43">
        <v>3.653</v>
      </c>
      <c r="D92" s="44">
        <v>4.5960000000000001</v>
      </c>
      <c r="E92" s="44">
        <v>5.1059999999999999</v>
      </c>
      <c r="F92" s="44">
        <v>5.3440000000000003</v>
      </c>
      <c r="G92" s="44">
        <v>5.4160000000000004</v>
      </c>
      <c r="H92" s="45">
        <v>5.1100000000000003</v>
      </c>
      <c r="I92" s="45">
        <v>6.22</v>
      </c>
      <c r="J92" s="46"/>
      <c r="K92" s="47">
        <v>14.5</v>
      </c>
      <c r="L92" s="47">
        <v>1.81</v>
      </c>
      <c r="M92" s="58"/>
      <c r="N92" s="395" t="s">
        <v>481</v>
      </c>
      <c r="O92" s="177">
        <v>2126</v>
      </c>
      <c r="P92" s="177">
        <v>1972</v>
      </c>
      <c r="Q92" s="177">
        <v>2002</v>
      </c>
      <c r="R92" s="177">
        <v>2019</v>
      </c>
      <c r="S92" s="177">
        <v>2005</v>
      </c>
      <c r="T92" s="177">
        <v>1982</v>
      </c>
      <c r="U92" s="177">
        <v>2069</v>
      </c>
      <c r="V92" s="177">
        <v>2105</v>
      </c>
      <c r="W92" s="177">
        <v>2005</v>
      </c>
      <c r="X92" s="177">
        <v>1985</v>
      </c>
      <c r="Y92" s="177">
        <v>2031</v>
      </c>
      <c r="Z92" s="177">
        <v>2098</v>
      </c>
      <c r="AA92" s="177">
        <v>2159</v>
      </c>
      <c r="AB92" s="177">
        <v>1903</v>
      </c>
      <c r="AC92" s="177">
        <v>2046</v>
      </c>
      <c r="AD92" s="177">
        <v>2005</v>
      </c>
      <c r="AE92" s="177">
        <v>1995</v>
      </c>
      <c r="AF92" s="177">
        <v>1951</v>
      </c>
      <c r="AG92" s="177">
        <v>2022</v>
      </c>
      <c r="AH92" s="177">
        <v>2086</v>
      </c>
      <c r="AI92" s="177">
        <v>1952</v>
      </c>
      <c r="AJ92" s="177">
        <v>1951</v>
      </c>
      <c r="AK92" s="177">
        <v>1958</v>
      </c>
      <c r="AL92" s="177">
        <v>2032</v>
      </c>
      <c r="AM92" s="177">
        <v>2045</v>
      </c>
      <c r="AN92" s="177">
        <v>1951</v>
      </c>
      <c r="AO92" s="177">
        <v>2006</v>
      </c>
      <c r="AP92" s="177">
        <v>1896</v>
      </c>
      <c r="AQ92" s="177">
        <v>1800</v>
      </c>
      <c r="AR92" s="177">
        <v>1827</v>
      </c>
      <c r="AS92" s="177">
        <v>1930</v>
      </c>
      <c r="AT92" s="177">
        <v>1948</v>
      </c>
      <c r="AU92" s="177">
        <v>2002</v>
      </c>
      <c r="AV92" s="177">
        <v>1857</v>
      </c>
      <c r="AW92" s="177">
        <v>1954</v>
      </c>
      <c r="AX92" s="177">
        <v>2073</v>
      </c>
      <c r="AY92" s="177">
        <v>2112</v>
      </c>
      <c r="AZ92" s="177">
        <v>1928</v>
      </c>
      <c r="BA92" s="177">
        <v>2016</v>
      </c>
      <c r="BB92" s="177">
        <v>1975</v>
      </c>
      <c r="BC92" s="177">
        <v>1976</v>
      </c>
      <c r="BD92" s="177">
        <v>1978</v>
      </c>
      <c r="BE92" s="177">
        <v>2102</v>
      </c>
      <c r="BF92" s="177">
        <v>2054</v>
      </c>
      <c r="BG92" s="177">
        <v>2039</v>
      </c>
    </row>
    <row r="93" spans="1:59">
      <c r="A93" s="48" t="s">
        <v>37</v>
      </c>
      <c r="B93" s="43">
        <v>2.3130000000000002</v>
      </c>
      <c r="C93" s="43">
        <v>5.359</v>
      </c>
      <c r="D93" s="44">
        <v>6.633</v>
      </c>
      <c r="E93" s="44">
        <v>7.3479999999999999</v>
      </c>
      <c r="F93" s="44">
        <v>7.98</v>
      </c>
      <c r="G93" s="44">
        <v>8.5749999999999993</v>
      </c>
      <c r="H93" s="45">
        <v>7.49</v>
      </c>
      <c r="I93" s="45">
        <v>9.84</v>
      </c>
      <c r="J93" s="46"/>
      <c r="K93" s="47">
        <v>4.78</v>
      </c>
      <c r="L93" s="47">
        <v>2.16</v>
      </c>
      <c r="M93" s="58"/>
      <c r="N93" s="396" t="s">
        <v>787</v>
      </c>
      <c r="O93" s="177">
        <v>583</v>
      </c>
      <c r="P93" s="177">
        <v>541</v>
      </c>
      <c r="Q93" s="177">
        <v>549</v>
      </c>
      <c r="R93" s="177">
        <v>554</v>
      </c>
      <c r="S93" s="177">
        <v>550</v>
      </c>
      <c r="T93" s="177">
        <v>544</v>
      </c>
      <c r="U93" s="177">
        <v>567</v>
      </c>
      <c r="V93" s="177">
        <v>577</v>
      </c>
      <c r="W93" s="177">
        <v>550</v>
      </c>
      <c r="X93" s="177">
        <v>544</v>
      </c>
      <c r="Y93" s="177">
        <v>557</v>
      </c>
      <c r="Z93" s="177">
        <v>576</v>
      </c>
      <c r="AA93" s="177">
        <v>577</v>
      </c>
      <c r="AB93" s="177">
        <v>508</v>
      </c>
      <c r="AC93" s="177">
        <v>546</v>
      </c>
      <c r="AD93" s="177">
        <v>536</v>
      </c>
      <c r="AE93" s="177">
        <v>533</v>
      </c>
      <c r="AF93" s="177">
        <v>521</v>
      </c>
      <c r="AG93" s="177">
        <v>540</v>
      </c>
      <c r="AH93" s="177">
        <v>557</v>
      </c>
      <c r="AI93" s="177">
        <v>521</v>
      </c>
      <c r="AJ93" s="177">
        <v>521</v>
      </c>
      <c r="AK93" s="177">
        <v>523</v>
      </c>
      <c r="AL93" s="177">
        <v>543</v>
      </c>
      <c r="AM93" s="177">
        <v>592</v>
      </c>
      <c r="AN93" s="177">
        <v>565</v>
      </c>
      <c r="AO93" s="177">
        <v>581</v>
      </c>
      <c r="AP93" s="177">
        <v>549</v>
      </c>
      <c r="AQ93" s="177">
        <v>521</v>
      </c>
      <c r="AR93" s="177">
        <v>529</v>
      </c>
      <c r="AS93" s="177">
        <v>559</v>
      </c>
      <c r="AT93" s="177">
        <v>564</v>
      </c>
      <c r="AU93" s="177">
        <v>580</v>
      </c>
      <c r="AV93" s="177">
        <v>538</v>
      </c>
      <c r="AW93" s="177">
        <v>566</v>
      </c>
      <c r="AX93" s="177">
        <v>600</v>
      </c>
      <c r="AY93" s="177">
        <v>567</v>
      </c>
      <c r="AZ93" s="177">
        <v>505</v>
      </c>
      <c r="BA93" s="177">
        <v>566</v>
      </c>
      <c r="BB93" s="177">
        <v>576</v>
      </c>
      <c r="BC93" s="177">
        <v>574</v>
      </c>
      <c r="BD93" s="177">
        <v>545</v>
      </c>
      <c r="BE93" s="177">
        <v>579</v>
      </c>
      <c r="BF93" s="177">
        <v>558</v>
      </c>
      <c r="BG93" s="177">
        <v>534</v>
      </c>
    </row>
    <row r="94" spans="1:59">
      <c r="A94" s="49" t="s">
        <v>828</v>
      </c>
      <c r="B94" s="43">
        <v>0</v>
      </c>
      <c r="C94" s="43">
        <v>0</v>
      </c>
      <c r="D94" s="44">
        <v>0</v>
      </c>
      <c r="E94" s="44">
        <v>0</v>
      </c>
      <c r="F94" s="44">
        <v>0</v>
      </c>
      <c r="G94" s="44">
        <v>0</v>
      </c>
      <c r="H94" s="45">
        <v>0</v>
      </c>
      <c r="I94" s="45">
        <v>0</v>
      </c>
      <c r="J94" s="46"/>
      <c r="K94" s="47" t="s">
        <v>38</v>
      </c>
      <c r="L94" s="47" t="s">
        <v>38</v>
      </c>
      <c r="M94" s="58"/>
      <c r="N94" s="175"/>
      <c r="O94" s="175"/>
      <c r="P94" s="175"/>
      <c r="Q94" s="175"/>
      <c r="R94" s="175"/>
      <c r="S94" s="175"/>
      <c r="T94" s="175"/>
      <c r="U94" s="175"/>
      <c r="V94" s="175"/>
      <c r="W94" s="175"/>
      <c r="X94" s="175"/>
      <c r="Y94" s="175"/>
      <c r="Z94" s="175"/>
      <c r="AA94" s="175"/>
      <c r="AB94" s="175"/>
      <c r="AC94" s="175"/>
      <c r="AD94" s="175"/>
      <c r="AE94" s="175"/>
      <c r="AF94" s="175"/>
      <c r="AG94" s="175"/>
      <c r="AH94" s="175"/>
      <c r="AI94" s="175"/>
      <c r="AJ94" s="175"/>
      <c r="AK94" s="175"/>
      <c r="AL94" s="175"/>
      <c r="AM94" s="175"/>
      <c r="AN94" s="175"/>
      <c r="AO94" s="175"/>
      <c r="AP94" s="175"/>
      <c r="AQ94" s="175"/>
      <c r="AR94" s="175"/>
      <c r="AS94" s="175"/>
      <c r="AT94" s="175"/>
      <c r="AU94" s="175"/>
      <c r="AV94" s="175"/>
      <c r="AW94" s="175"/>
      <c r="AX94" s="175"/>
      <c r="AY94" s="175"/>
      <c r="AZ94" s="175"/>
      <c r="BA94" s="175"/>
      <c r="BB94" s="175"/>
      <c r="BC94" s="175"/>
      <c r="BD94" s="175"/>
      <c r="BE94" s="175"/>
      <c r="BF94" s="175"/>
      <c r="BG94" s="175"/>
    </row>
    <row r="95" spans="1:59">
      <c r="A95" s="50"/>
      <c r="B95" s="51"/>
      <c r="C95" s="51"/>
      <c r="D95" s="52"/>
      <c r="E95" s="52"/>
      <c r="F95" s="52"/>
      <c r="G95" s="52"/>
      <c r="H95" s="53"/>
      <c r="I95" s="53"/>
      <c r="J95" s="53"/>
      <c r="K95" s="54"/>
      <c r="L95" s="54"/>
      <c r="M95" s="58"/>
      <c r="N95" s="175"/>
      <c r="O95" s="397">
        <v>2018</v>
      </c>
      <c r="P95" s="397">
        <v>2019</v>
      </c>
      <c r="Q95" s="397">
        <v>2020</v>
      </c>
      <c r="R95" s="175"/>
      <c r="S95" s="175"/>
      <c r="T95" s="175"/>
      <c r="U95" s="175"/>
      <c r="V95" s="175"/>
      <c r="W95" s="175"/>
      <c r="X95" s="175"/>
      <c r="Y95" s="175"/>
      <c r="Z95" s="175"/>
      <c r="AA95" s="175"/>
      <c r="AB95" s="175"/>
      <c r="AC95" s="175"/>
      <c r="AD95" s="175"/>
      <c r="AE95" s="175"/>
      <c r="AF95" s="175"/>
      <c r="AG95" s="175"/>
      <c r="AH95" s="175"/>
      <c r="AI95" s="175"/>
      <c r="AJ95" s="175"/>
      <c r="AK95" s="175"/>
      <c r="AL95" s="175"/>
      <c r="AM95" s="175"/>
      <c r="AN95" s="175"/>
      <c r="AO95" s="175"/>
      <c r="AP95" s="175"/>
      <c r="AQ95" s="175"/>
      <c r="AR95" s="175"/>
      <c r="AS95" s="175"/>
      <c r="AT95" s="175"/>
      <c r="AU95" s="175"/>
      <c r="AV95" s="175"/>
      <c r="AW95" s="175"/>
      <c r="AX95" s="175"/>
      <c r="AY95" s="175"/>
      <c r="AZ95" s="175"/>
      <c r="BA95" s="175"/>
      <c r="BB95" s="175"/>
      <c r="BC95" s="175"/>
      <c r="BD95" s="175"/>
      <c r="BE95" s="175"/>
      <c r="BF95" s="175"/>
      <c r="BG95" s="175"/>
    </row>
    <row r="96" spans="1:59">
      <c r="A96" s="42" t="s">
        <v>879</v>
      </c>
      <c r="B96" s="43">
        <v>5.6890000000000001</v>
      </c>
      <c r="C96" s="43">
        <v>4.3209999999999997</v>
      </c>
      <c r="D96" s="44">
        <v>4.5039999999999996</v>
      </c>
      <c r="E96" s="44">
        <v>4.4960000000000004</v>
      </c>
      <c r="F96" s="44">
        <v>4.4539999999999997</v>
      </c>
      <c r="G96" s="44">
        <v>4.43</v>
      </c>
      <c r="H96" s="45">
        <v>100</v>
      </c>
      <c r="I96" s="45">
        <v>100</v>
      </c>
      <c r="J96" s="46"/>
      <c r="K96" s="47">
        <v>-1.52</v>
      </c>
      <c r="L96" s="47">
        <v>0.11</v>
      </c>
      <c r="M96" s="58"/>
      <c r="N96" s="395" t="s">
        <v>466</v>
      </c>
      <c r="O96" s="398">
        <f t="shared" ref="O96:O102" si="31">SUM(O87:Z87)</f>
        <v>143496</v>
      </c>
      <c r="P96" s="398">
        <f t="shared" ref="P96:P102" si="32">SUM(AA87:AL87)</f>
        <v>142902</v>
      </c>
      <c r="Q96" s="398">
        <f>SUM(AM87:AX87)</f>
        <v>138146</v>
      </c>
      <c r="R96" s="175"/>
      <c r="S96" s="175"/>
      <c r="T96" s="175"/>
      <c r="U96" s="175">
        <v>2837044297264080</v>
      </c>
      <c r="V96" s="175"/>
      <c r="W96" s="175"/>
      <c r="X96" s="175"/>
      <c r="Y96" s="175"/>
      <c r="Z96" s="175"/>
      <c r="AA96" s="175"/>
      <c r="AB96" s="175"/>
      <c r="AC96" s="175"/>
      <c r="AD96" s="175"/>
      <c r="AE96" s="175"/>
      <c r="AF96" s="175"/>
      <c r="AG96" s="175"/>
      <c r="AH96" s="175"/>
      <c r="AI96" s="175"/>
      <c r="AJ96" s="175"/>
      <c r="AK96" s="175"/>
      <c r="AL96" s="175"/>
      <c r="AM96" s="175"/>
      <c r="AN96" s="175"/>
      <c r="AO96" s="175"/>
      <c r="AP96" s="175"/>
      <c r="AQ96" s="175"/>
      <c r="AR96" s="175"/>
      <c r="AS96" s="175"/>
      <c r="AT96" s="175"/>
      <c r="AU96" s="175"/>
      <c r="AV96" s="175"/>
      <c r="AW96" s="175"/>
      <c r="AX96" s="175"/>
      <c r="AY96" s="175"/>
      <c r="AZ96" s="175"/>
      <c r="BA96" s="175"/>
      <c r="BB96" s="175"/>
      <c r="BC96" s="175"/>
      <c r="BD96" s="175"/>
      <c r="BE96" s="175"/>
      <c r="BF96" s="175"/>
      <c r="BG96" s="175"/>
    </row>
    <row r="97" spans="1:59">
      <c r="A97" s="48" t="s">
        <v>35</v>
      </c>
      <c r="B97" s="43">
        <v>3.5289999999999999</v>
      </c>
      <c r="C97" s="43">
        <v>2.1960000000000002</v>
      </c>
      <c r="D97" s="44">
        <v>2.1640000000000001</v>
      </c>
      <c r="E97" s="44">
        <v>2.081</v>
      </c>
      <c r="F97" s="44">
        <v>1.9930000000000001</v>
      </c>
      <c r="G97" s="44">
        <v>1.92</v>
      </c>
      <c r="H97" s="45">
        <v>50.81</v>
      </c>
      <c r="I97" s="45">
        <v>43.35</v>
      </c>
      <c r="J97" s="46"/>
      <c r="K97" s="47">
        <v>-2.6</v>
      </c>
      <c r="L97" s="47">
        <v>-0.61</v>
      </c>
      <c r="M97" s="58"/>
      <c r="N97" s="395" t="s">
        <v>35</v>
      </c>
      <c r="O97" s="398">
        <f>SUM(O88:Z88)</f>
        <v>32047</v>
      </c>
      <c r="P97" s="398">
        <f t="shared" si="32"/>
        <v>31752</v>
      </c>
      <c r="Q97" s="398">
        <f>SUM(AM88:AX88)</f>
        <v>30218</v>
      </c>
      <c r="R97" s="175"/>
      <c r="S97" s="175"/>
      <c r="T97" s="175"/>
      <c r="U97" s="175">
        <v>8189147173063.1895</v>
      </c>
      <c r="V97" s="175"/>
      <c r="W97" s="175"/>
      <c r="X97" s="175"/>
      <c r="Y97" s="175"/>
      <c r="Z97" s="175"/>
      <c r="AA97" s="175"/>
      <c r="AB97" s="175"/>
      <c r="AC97" s="175"/>
      <c r="AD97" s="175"/>
      <c r="AE97" s="175"/>
      <c r="AF97" s="175"/>
      <c r="AG97" s="175"/>
      <c r="AH97" s="175"/>
      <c r="AI97" s="175"/>
      <c r="AJ97" s="175"/>
      <c r="AK97" s="175"/>
      <c r="AL97" s="175"/>
      <c r="AM97" s="175"/>
      <c r="AN97" s="175"/>
      <c r="AO97" s="175"/>
      <c r="AP97" s="175"/>
      <c r="AQ97" s="175"/>
      <c r="AR97" s="175"/>
      <c r="AS97" s="175"/>
      <c r="AT97" s="175"/>
      <c r="AU97" s="175"/>
      <c r="AV97" s="175"/>
      <c r="AW97" s="175"/>
      <c r="AX97" s="175"/>
      <c r="AY97" s="175"/>
      <c r="AZ97" s="175"/>
      <c r="BA97" s="175"/>
      <c r="BB97" s="175"/>
      <c r="BC97" s="175"/>
      <c r="BD97" s="175"/>
      <c r="BE97" s="175"/>
      <c r="BF97" s="175"/>
      <c r="BG97" s="175"/>
    </row>
    <row r="98" spans="1:59">
      <c r="A98" s="48" t="s">
        <v>36</v>
      </c>
      <c r="B98" s="43">
        <v>1.1359999999999999</v>
      </c>
      <c r="C98" s="43">
        <v>0.53400000000000003</v>
      </c>
      <c r="D98" s="44">
        <v>0.54900000000000004</v>
      </c>
      <c r="E98" s="44">
        <v>0.54800000000000004</v>
      </c>
      <c r="F98" s="44">
        <v>0.54200000000000004</v>
      </c>
      <c r="G98" s="44">
        <v>0.54200000000000004</v>
      </c>
      <c r="H98" s="45">
        <v>12.36</v>
      </c>
      <c r="I98" s="45">
        <v>12.23</v>
      </c>
      <c r="J98" s="46"/>
      <c r="K98" s="47">
        <v>-4.1100000000000003</v>
      </c>
      <c r="L98" s="47">
        <v>7.0000000000000007E-2</v>
      </c>
      <c r="M98" s="58"/>
      <c r="N98" s="395" t="s">
        <v>36</v>
      </c>
      <c r="O98" s="398">
        <f t="shared" si="31"/>
        <v>69293</v>
      </c>
      <c r="P98" s="398">
        <f t="shared" si="32"/>
        <v>69215</v>
      </c>
      <c r="Q98" s="398">
        <f t="shared" ref="Q98:Q102" si="33">SUM(AM89:AX89)</f>
        <v>66485</v>
      </c>
      <c r="R98" s="175"/>
      <c r="S98" s="175"/>
      <c r="T98" s="175"/>
      <c r="U98" s="175">
        <v>2370035875705593.5</v>
      </c>
      <c r="V98" s="175"/>
      <c r="W98" s="175"/>
      <c r="X98" s="175"/>
      <c r="Y98" s="175"/>
      <c r="Z98" s="175"/>
      <c r="AA98" s="175"/>
      <c r="AB98" s="175"/>
      <c r="AC98" s="175"/>
      <c r="AD98" s="175"/>
      <c r="AE98" s="175"/>
      <c r="AF98" s="175"/>
      <c r="AG98" s="175"/>
      <c r="AH98" s="175"/>
      <c r="AI98" s="175"/>
      <c r="AJ98" s="175"/>
      <c r="AK98" s="175"/>
      <c r="AL98" s="175"/>
      <c r="AM98" s="175"/>
      <c r="AN98" s="175"/>
      <c r="AO98" s="175"/>
      <c r="AP98" s="175"/>
      <c r="AQ98" s="175"/>
      <c r="AR98" s="175"/>
      <c r="AS98" s="175"/>
      <c r="AT98" s="175"/>
      <c r="AU98" s="175"/>
      <c r="AV98" s="175"/>
      <c r="AW98" s="175"/>
      <c r="AX98" s="175"/>
      <c r="AY98" s="175"/>
      <c r="AZ98" s="175"/>
      <c r="BA98" s="175"/>
      <c r="BB98" s="175"/>
      <c r="BC98" s="175"/>
      <c r="BD98" s="175"/>
      <c r="BE98" s="175"/>
      <c r="BF98" s="175"/>
      <c r="BG98" s="175"/>
    </row>
    <row r="99" spans="1:59">
      <c r="A99" s="48" t="s">
        <v>827</v>
      </c>
      <c r="B99" s="43">
        <v>0.252</v>
      </c>
      <c r="C99" s="43">
        <v>0.54700000000000004</v>
      </c>
      <c r="D99" s="44">
        <v>0.63300000000000001</v>
      </c>
      <c r="E99" s="44">
        <v>0.66500000000000004</v>
      </c>
      <c r="F99" s="44">
        <v>0.68300000000000005</v>
      </c>
      <c r="G99" s="44">
        <v>0.69099999999999995</v>
      </c>
      <c r="H99" s="45">
        <v>12.66</v>
      </c>
      <c r="I99" s="45">
        <v>15.61</v>
      </c>
      <c r="J99" s="46"/>
      <c r="K99" s="47">
        <v>4.41</v>
      </c>
      <c r="L99" s="47">
        <v>1.07</v>
      </c>
      <c r="M99" s="58"/>
      <c r="N99" s="395" t="s">
        <v>147</v>
      </c>
      <c r="O99" s="398">
        <f t="shared" si="31"/>
        <v>2038</v>
      </c>
      <c r="P99" s="398">
        <f t="shared" si="32"/>
        <v>2911</v>
      </c>
      <c r="Q99" s="398">
        <f t="shared" si="33"/>
        <v>3601</v>
      </c>
      <c r="R99" s="175"/>
      <c r="S99" s="175"/>
      <c r="T99" s="175"/>
      <c r="U99" s="175">
        <v>255967507075801.97</v>
      </c>
      <c r="V99" s="175"/>
      <c r="W99" s="175"/>
      <c r="X99" s="175"/>
      <c r="Y99" s="175"/>
      <c r="Z99" s="175"/>
      <c r="AA99" s="175"/>
      <c r="AB99" s="175"/>
      <c r="AC99" s="175"/>
      <c r="AD99" s="175"/>
      <c r="AE99" s="175"/>
      <c r="AF99" s="175"/>
      <c r="AG99" s="175"/>
      <c r="AH99" s="175"/>
      <c r="AI99" s="175"/>
      <c r="AJ99" s="175"/>
      <c r="AK99" s="175"/>
      <c r="AL99" s="175"/>
      <c r="AM99" s="175"/>
      <c r="AN99" s="175"/>
      <c r="AO99" s="175"/>
      <c r="AP99" s="175"/>
      <c r="AQ99" s="175"/>
      <c r="AR99" s="175"/>
      <c r="AS99" s="175"/>
      <c r="AT99" s="175"/>
      <c r="AU99" s="175"/>
      <c r="AV99" s="175"/>
      <c r="AW99" s="175"/>
      <c r="AX99" s="175"/>
      <c r="AY99" s="175"/>
      <c r="AZ99" s="175"/>
      <c r="BA99" s="175"/>
      <c r="BB99" s="175"/>
      <c r="BC99" s="175"/>
      <c r="BD99" s="175"/>
      <c r="BE99" s="175"/>
      <c r="BF99" s="175"/>
      <c r="BG99" s="175"/>
    </row>
    <row r="100" spans="1:59">
      <c r="A100" s="48" t="s">
        <v>37</v>
      </c>
      <c r="B100" s="43">
        <v>0.77200000000000002</v>
      </c>
      <c r="C100" s="43">
        <v>1.0449999999999999</v>
      </c>
      <c r="D100" s="44">
        <v>1.157</v>
      </c>
      <c r="E100" s="44">
        <v>1.2010000000000001</v>
      </c>
      <c r="F100" s="44">
        <v>1.2370000000000001</v>
      </c>
      <c r="G100" s="44">
        <v>1.276</v>
      </c>
      <c r="H100" s="45">
        <v>24.17</v>
      </c>
      <c r="I100" s="45">
        <v>28.81</v>
      </c>
      <c r="J100" s="46"/>
      <c r="K100" s="47">
        <v>1.69</v>
      </c>
      <c r="L100" s="47">
        <v>0.92</v>
      </c>
      <c r="M100" s="58"/>
      <c r="N100" s="395" t="s">
        <v>84</v>
      </c>
      <c r="O100" s="398">
        <f t="shared" si="31"/>
        <v>9028</v>
      </c>
      <c r="P100" s="398">
        <f t="shared" si="32"/>
        <v>8541</v>
      </c>
      <c r="Q100" s="398">
        <f t="shared" si="33"/>
        <v>7813</v>
      </c>
      <c r="R100" s="175"/>
      <c r="S100" s="175"/>
      <c r="T100" s="175"/>
      <c r="U100" s="175">
        <v>202851767309621.31</v>
      </c>
      <c r="V100" s="175"/>
      <c r="W100" s="175"/>
      <c r="X100" s="175"/>
      <c r="Y100" s="175"/>
      <c r="Z100" s="175"/>
      <c r="AA100" s="175"/>
      <c r="AB100" s="175"/>
      <c r="AC100" s="175"/>
      <c r="AD100" s="175"/>
      <c r="AE100" s="175"/>
      <c r="AF100" s="175"/>
      <c r="AG100" s="175"/>
      <c r="AH100" s="175"/>
      <c r="AI100" s="175"/>
      <c r="AJ100" s="175"/>
      <c r="AK100" s="175"/>
      <c r="AL100" s="175"/>
      <c r="AM100" s="175"/>
      <c r="AN100" s="175"/>
      <c r="AO100" s="175"/>
      <c r="AP100" s="175"/>
      <c r="AQ100" s="175"/>
      <c r="AR100" s="175"/>
      <c r="AS100" s="175"/>
      <c r="AT100" s="175"/>
      <c r="AU100" s="175"/>
      <c r="AV100" s="175"/>
      <c r="AW100" s="175"/>
      <c r="AX100" s="175"/>
      <c r="AY100" s="175"/>
      <c r="AZ100" s="175"/>
      <c r="BA100" s="175"/>
      <c r="BB100" s="175"/>
      <c r="BC100" s="175"/>
      <c r="BD100" s="175"/>
      <c r="BE100" s="175"/>
      <c r="BF100" s="175"/>
      <c r="BG100" s="175"/>
    </row>
    <row r="101" spans="1:59">
      <c r="A101" s="49" t="s">
        <v>828</v>
      </c>
      <c r="B101" s="43">
        <v>0</v>
      </c>
      <c r="C101" s="43">
        <v>0</v>
      </c>
      <c r="D101" s="44">
        <v>0</v>
      </c>
      <c r="E101" s="44">
        <v>0</v>
      </c>
      <c r="F101" s="44">
        <v>0</v>
      </c>
      <c r="G101" s="44">
        <v>0</v>
      </c>
      <c r="H101" s="45">
        <v>0</v>
      </c>
      <c r="I101" s="45">
        <v>0</v>
      </c>
      <c r="J101" s="46"/>
      <c r="K101" s="47" t="s">
        <v>38</v>
      </c>
      <c r="L101" s="47" t="s">
        <v>38</v>
      </c>
      <c r="M101" s="58"/>
      <c r="N101" s="395" t="s">
        <v>481</v>
      </c>
      <c r="O101" s="398">
        <f t="shared" si="31"/>
        <v>24399</v>
      </c>
      <c r="P101" s="398">
        <f t="shared" si="32"/>
        <v>24060</v>
      </c>
      <c r="Q101" s="398">
        <f t="shared" si="33"/>
        <v>23289</v>
      </c>
      <c r="R101" s="175"/>
      <c r="S101" s="175"/>
      <c r="T101" s="175"/>
      <c r="U101" s="175">
        <v>0</v>
      </c>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175"/>
      <c r="AQ101" s="175"/>
      <c r="AR101" s="175"/>
      <c r="AS101" s="175"/>
      <c r="AT101" s="175"/>
      <c r="AU101" s="175"/>
      <c r="AV101" s="175"/>
      <c r="AW101" s="175"/>
      <c r="AX101" s="175"/>
      <c r="AY101" s="175"/>
      <c r="AZ101" s="175"/>
      <c r="BA101" s="175"/>
      <c r="BB101" s="175"/>
      <c r="BC101" s="175"/>
      <c r="BD101" s="175"/>
      <c r="BE101" s="175"/>
      <c r="BF101" s="175"/>
      <c r="BG101" s="175"/>
    </row>
    <row r="102" spans="1:59">
      <c r="A102" s="50"/>
      <c r="B102" s="51"/>
      <c r="C102" s="51"/>
      <c r="D102" s="52"/>
      <c r="E102" s="52"/>
      <c r="F102" s="52"/>
      <c r="G102" s="52"/>
      <c r="H102" s="53"/>
      <c r="I102" s="53"/>
      <c r="J102" s="53"/>
      <c r="K102" s="54"/>
      <c r="L102" s="54"/>
      <c r="M102" s="58"/>
      <c r="N102" s="396" t="s">
        <v>787</v>
      </c>
      <c r="O102" s="398">
        <f t="shared" si="31"/>
        <v>6692</v>
      </c>
      <c r="P102" s="398">
        <f t="shared" si="32"/>
        <v>6426</v>
      </c>
      <c r="Q102" s="398">
        <f t="shared" si="33"/>
        <v>6744</v>
      </c>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c r="AO102" s="175"/>
      <c r="AP102" s="175"/>
      <c r="AQ102" s="175"/>
      <c r="AR102" s="175"/>
      <c r="AS102" s="175"/>
      <c r="AT102" s="175"/>
      <c r="AU102" s="175"/>
      <c r="AV102" s="175"/>
      <c r="AW102" s="175"/>
      <c r="AX102" s="175"/>
      <c r="AY102" s="175"/>
      <c r="AZ102" s="175"/>
      <c r="BA102" s="175"/>
      <c r="BB102" s="175"/>
      <c r="BC102" s="175"/>
      <c r="BD102" s="175"/>
      <c r="BE102" s="175"/>
      <c r="BF102" s="175"/>
      <c r="BG102" s="175"/>
    </row>
    <row r="103" spans="1:59">
      <c r="A103" s="42" t="s">
        <v>351</v>
      </c>
      <c r="B103" s="43">
        <v>16.564568901312239</v>
      </c>
      <c r="C103" s="43">
        <v>30.283731101226309</v>
      </c>
      <c r="D103" s="44">
        <v>34.201999999999998</v>
      </c>
      <c r="E103" s="44">
        <v>35.317</v>
      </c>
      <c r="F103" s="44">
        <v>35.113</v>
      </c>
      <c r="G103" s="44">
        <v>34.177</v>
      </c>
      <c r="H103" s="45">
        <v>100</v>
      </c>
      <c r="I103" s="45">
        <v>100</v>
      </c>
      <c r="J103" s="46"/>
      <c r="K103" s="47">
        <v>3.41</v>
      </c>
      <c r="L103" s="47">
        <v>0.55000000000000004</v>
      </c>
      <c r="M103" s="58"/>
      <c r="N103" s="175"/>
      <c r="O103" s="175"/>
      <c r="P103" s="175"/>
      <c r="Q103" s="175"/>
      <c r="R103" s="175"/>
      <c r="S103" s="175"/>
      <c r="T103" s="175"/>
      <c r="U103" s="175">
        <v>180318803281272.25</v>
      </c>
      <c r="V103" s="175"/>
      <c r="W103" s="175"/>
      <c r="X103" s="175"/>
      <c r="Y103" s="175"/>
      <c r="Z103" s="175"/>
      <c r="AA103" s="175"/>
      <c r="AB103" s="175"/>
      <c r="AC103" s="175"/>
      <c r="AD103" s="175"/>
      <c r="AE103" s="175"/>
      <c r="AF103" s="175"/>
      <c r="AG103" s="175"/>
      <c r="AH103" s="175"/>
      <c r="AI103" s="175"/>
      <c r="AJ103" s="175"/>
      <c r="AK103" s="175"/>
      <c r="AL103" s="175"/>
      <c r="AM103" s="175"/>
      <c r="AN103" s="175"/>
      <c r="AO103" s="175"/>
      <c r="AP103" s="175"/>
      <c r="AQ103" s="175"/>
      <c r="AR103" s="175"/>
      <c r="AS103" s="175"/>
      <c r="AT103" s="175"/>
      <c r="AU103" s="175"/>
      <c r="AV103" s="175"/>
      <c r="AW103" s="175"/>
      <c r="AX103" s="175"/>
      <c r="AY103" s="175"/>
      <c r="AZ103" s="175"/>
      <c r="BA103" s="175"/>
      <c r="BB103" s="175"/>
      <c r="BC103" s="175"/>
      <c r="BD103" s="175"/>
      <c r="BE103" s="175"/>
      <c r="BF103" s="175"/>
      <c r="BG103" s="175"/>
    </row>
    <row r="104" spans="1:59">
      <c r="A104" s="48" t="s">
        <v>35</v>
      </c>
      <c r="B104" s="43">
        <v>13.275017250026536</v>
      </c>
      <c r="C104" s="43">
        <v>25.562886985760269</v>
      </c>
      <c r="D104" s="44">
        <v>29.731999999999999</v>
      </c>
      <c r="E104" s="44">
        <v>30.861999999999998</v>
      </c>
      <c r="F104" s="44">
        <v>30.614999999999998</v>
      </c>
      <c r="G104" s="44">
        <v>29.635000000000002</v>
      </c>
      <c r="H104" s="45">
        <v>84.41</v>
      </c>
      <c r="I104" s="45">
        <v>86.71</v>
      </c>
      <c r="J104" s="41"/>
      <c r="K104" s="47">
        <v>3.71</v>
      </c>
      <c r="L104" s="47">
        <v>0.67</v>
      </c>
      <c r="M104" s="58"/>
      <c r="N104" s="395" t="s">
        <v>466</v>
      </c>
      <c r="O104" s="175"/>
      <c r="P104" s="399">
        <f>(P96-O96)/O96</f>
        <v>-4.1394882087305573E-3</v>
      </c>
      <c r="Q104" s="399">
        <f t="shared" ref="Q104:Q110" si="34">(Q96-P96)/P96</f>
        <v>-3.3281549593427662E-2</v>
      </c>
      <c r="R104" s="175"/>
      <c r="S104" s="175"/>
      <c r="T104" s="175"/>
      <c r="U104" s="175">
        <v>82115831927154.172</v>
      </c>
      <c r="V104" s="175"/>
      <c r="W104" s="175"/>
      <c r="X104" s="175"/>
      <c r="Y104" s="175"/>
      <c r="Z104" s="175"/>
      <c r="AA104" s="175"/>
      <c r="AB104" s="175"/>
      <c r="AC104" s="175"/>
      <c r="AD104" s="175"/>
      <c r="AE104" s="175"/>
      <c r="AF104" s="175"/>
      <c r="AG104" s="175"/>
      <c r="AH104" s="175"/>
      <c r="AI104" s="175"/>
      <c r="AJ104" s="175"/>
      <c r="AK104" s="175"/>
      <c r="AL104" s="175"/>
      <c r="AM104" s="175"/>
      <c r="AN104" s="175"/>
      <c r="AO104" s="175"/>
      <c r="AP104" s="175"/>
      <c r="AQ104" s="175"/>
      <c r="AR104" s="175"/>
      <c r="AS104" s="175"/>
      <c r="AT104" s="175"/>
      <c r="AU104" s="175"/>
      <c r="AV104" s="175"/>
      <c r="AW104" s="175"/>
      <c r="AX104" s="175"/>
      <c r="AY104" s="175"/>
      <c r="AZ104" s="175"/>
      <c r="BA104" s="175"/>
      <c r="BB104" s="175"/>
      <c r="BC104" s="175"/>
      <c r="BD104" s="175"/>
      <c r="BE104" s="175"/>
      <c r="BF104" s="175"/>
      <c r="BG104" s="175"/>
    </row>
    <row r="105" spans="1:59">
      <c r="A105" s="48" t="s">
        <v>36</v>
      </c>
      <c r="B105" s="43">
        <v>0.92281653717970269</v>
      </c>
      <c r="C105" s="43">
        <v>6.8318916203372868E-2</v>
      </c>
      <c r="D105" s="44">
        <v>5.8000000000000003E-2</v>
      </c>
      <c r="E105" s="44">
        <v>5.7000000000000002E-2</v>
      </c>
      <c r="F105" s="44">
        <v>5.5E-2</v>
      </c>
      <c r="G105" s="44">
        <v>5.1999999999999998E-2</v>
      </c>
      <c r="H105" s="45">
        <v>0.23</v>
      </c>
      <c r="I105" s="45">
        <v>0.15</v>
      </c>
      <c r="J105" s="41"/>
      <c r="K105" s="47">
        <v>-13.47</v>
      </c>
      <c r="L105" s="47">
        <v>-1.19</v>
      </c>
      <c r="M105" s="58"/>
      <c r="N105" s="395" t="s">
        <v>35</v>
      </c>
      <c r="O105" s="175"/>
      <c r="P105" s="399">
        <f t="shared" ref="P105:P110" si="35">(P97-O97)/O97</f>
        <v>-9.2052298187037789E-3</v>
      </c>
      <c r="Q105" s="399">
        <f t="shared" si="34"/>
        <v>-4.831191735953641E-2</v>
      </c>
      <c r="R105" s="175"/>
      <c r="S105" s="175"/>
      <c r="T105" s="175"/>
      <c r="U105" s="175">
        <v>20318506897424.656</v>
      </c>
      <c r="V105" s="175"/>
      <c r="W105" s="175"/>
      <c r="X105" s="175"/>
      <c r="Y105" s="175"/>
      <c r="Z105" s="175"/>
      <c r="AA105" s="175"/>
      <c r="AB105" s="175"/>
      <c r="AC105" s="175"/>
      <c r="AD105" s="175"/>
      <c r="AE105" s="175"/>
      <c r="AF105" s="175"/>
      <c r="AG105" s="175"/>
      <c r="AH105" s="175"/>
      <c r="AI105" s="175"/>
      <c r="AJ105" s="175"/>
      <c r="AK105" s="175"/>
      <c r="AL105" s="175"/>
      <c r="AM105" s="175"/>
      <c r="AN105" s="175"/>
      <c r="AO105" s="175"/>
      <c r="AP105" s="175"/>
      <c r="AQ105" s="175"/>
      <c r="AR105" s="175"/>
      <c r="AS105" s="175"/>
      <c r="AT105" s="175"/>
      <c r="AU105" s="175"/>
      <c r="AV105" s="175"/>
      <c r="AW105" s="175"/>
      <c r="AX105" s="175"/>
      <c r="AY105" s="175"/>
      <c r="AZ105" s="175"/>
      <c r="BA105" s="175"/>
      <c r="BB105" s="175"/>
      <c r="BC105" s="175"/>
      <c r="BD105" s="175"/>
      <c r="BE105" s="175"/>
      <c r="BF105" s="175"/>
      <c r="BG105" s="175"/>
    </row>
    <row r="106" spans="1:59">
      <c r="A106" s="48" t="s">
        <v>827</v>
      </c>
      <c r="B106" s="43">
        <v>0.64701865000000003</v>
      </c>
      <c r="C106" s="43">
        <v>1.6552676211186672</v>
      </c>
      <c r="D106" s="44">
        <v>1.786</v>
      </c>
      <c r="E106" s="44">
        <v>1.8540000000000001</v>
      </c>
      <c r="F106" s="44">
        <v>1.9330000000000001</v>
      </c>
      <c r="G106" s="44">
        <v>1.998</v>
      </c>
      <c r="H106" s="45">
        <v>5.47</v>
      </c>
      <c r="I106" s="45">
        <v>5.84</v>
      </c>
      <c r="J106" s="41"/>
      <c r="K106" s="47">
        <v>5.36</v>
      </c>
      <c r="L106" s="47">
        <v>0.86</v>
      </c>
      <c r="M106" s="58"/>
      <c r="N106" s="395" t="s">
        <v>36</v>
      </c>
      <c r="O106" s="175"/>
      <c r="P106" s="399">
        <f t="shared" si="35"/>
        <v>-1.1256548280490094E-3</v>
      </c>
      <c r="Q106" s="399">
        <f t="shared" si="34"/>
        <v>-3.9442317416744928E-2</v>
      </c>
      <c r="R106" s="175"/>
      <c r="S106" s="175"/>
      <c r="T106" s="175"/>
      <c r="U106" s="175">
        <v>38328559094022.359</v>
      </c>
      <c r="V106" s="175"/>
      <c r="W106" s="175"/>
      <c r="X106" s="175"/>
      <c r="Y106" s="175"/>
      <c r="Z106" s="175"/>
      <c r="AA106" s="175"/>
      <c r="AB106" s="175"/>
      <c r="AC106" s="175"/>
      <c r="AD106" s="175"/>
      <c r="AE106" s="175"/>
      <c r="AF106" s="175"/>
      <c r="AG106" s="175"/>
      <c r="AH106" s="175"/>
      <c r="AI106" s="175"/>
      <c r="AJ106" s="175"/>
      <c r="AK106" s="175"/>
      <c r="AL106" s="175"/>
      <c r="AM106" s="175"/>
      <c r="AN106" s="175"/>
      <c r="AO106" s="175"/>
      <c r="AP106" s="175"/>
      <c r="AQ106" s="175"/>
      <c r="AR106" s="175"/>
      <c r="AS106" s="175"/>
      <c r="AT106" s="175"/>
      <c r="AU106" s="175"/>
      <c r="AV106" s="175"/>
      <c r="AW106" s="175"/>
      <c r="AX106" s="175"/>
      <c r="AY106" s="175"/>
      <c r="AZ106" s="175"/>
      <c r="BA106" s="175"/>
      <c r="BB106" s="175"/>
      <c r="BC106" s="175"/>
      <c r="BD106" s="175"/>
      <c r="BE106" s="175"/>
      <c r="BF106" s="175"/>
      <c r="BG106" s="175"/>
    </row>
    <row r="107" spans="1:59">
      <c r="A107" s="48" t="s">
        <v>37</v>
      </c>
      <c r="B107" s="43">
        <v>1.7197164641059999</v>
      </c>
      <c r="C107" s="43">
        <v>2.9972575781439996</v>
      </c>
      <c r="D107" s="44">
        <v>2.625</v>
      </c>
      <c r="E107" s="44">
        <v>2.5449999999999999</v>
      </c>
      <c r="F107" s="44">
        <v>2.5099999999999998</v>
      </c>
      <c r="G107" s="44">
        <v>2.492</v>
      </c>
      <c r="H107" s="45">
        <v>9.9</v>
      </c>
      <c r="I107" s="45">
        <v>7.29</v>
      </c>
      <c r="J107" s="41"/>
      <c r="K107" s="47">
        <v>3.13</v>
      </c>
      <c r="L107" s="47">
        <v>-0.84</v>
      </c>
      <c r="M107" s="58"/>
      <c r="N107" s="395" t="s">
        <v>147</v>
      </c>
      <c r="O107" s="175"/>
      <c r="P107" s="399">
        <f t="shared" si="35"/>
        <v>0.42836113837095191</v>
      </c>
      <c r="Q107" s="399">
        <f t="shared" si="34"/>
        <v>0.23703194778426656</v>
      </c>
      <c r="R107" s="175"/>
      <c r="S107" s="175"/>
      <c r="T107" s="175"/>
      <c r="U107" s="175">
        <v>39555905362671.078</v>
      </c>
      <c r="V107" s="175"/>
      <c r="W107" s="175"/>
      <c r="X107" s="175"/>
      <c r="Y107" s="175"/>
      <c r="Z107" s="175"/>
      <c r="AA107" s="175"/>
      <c r="AB107" s="175"/>
      <c r="AC107" s="175"/>
      <c r="AD107" s="175"/>
      <c r="AE107" s="175"/>
      <c r="AF107" s="175"/>
      <c r="AG107" s="175"/>
      <c r="AH107" s="175"/>
      <c r="AI107" s="175"/>
      <c r="AJ107" s="175"/>
      <c r="AK107" s="175"/>
      <c r="AL107" s="175"/>
      <c r="AM107" s="175"/>
      <c r="AN107" s="175"/>
      <c r="AO107" s="175"/>
      <c r="AP107" s="175"/>
      <c r="AQ107" s="175"/>
      <c r="AR107" s="175"/>
      <c r="AS107" s="175"/>
      <c r="AT107" s="175"/>
      <c r="AU107" s="175"/>
      <c r="AV107" s="175"/>
      <c r="AW107" s="175"/>
      <c r="AX107" s="175"/>
      <c r="AY107" s="175"/>
      <c r="AZ107" s="175"/>
      <c r="BA107" s="175"/>
      <c r="BB107" s="175"/>
      <c r="BC107" s="175"/>
      <c r="BD107" s="175"/>
      <c r="BE107" s="175"/>
      <c r="BF107" s="175"/>
      <c r="BG107" s="175"/>
    </row>
    <row r="108" spans="1:59">
      <c r="A108" s="49" t="s">
        <v>828</v>
      </c>
      <c r="B108" s="56">
        <v>0</v>
      </c>
      <c r="C108" s="56">
        <v>0</v>
      </c>
      <c r="D108" s="44">
        <v>0</v>
      </c>
      <c r="E108" s="44">
        <v>0</v>
      </c>
      <c r="F108" s="44">
        <v>0</v>
      </c>
      <c r="G108" s="44">
        <v>0</v>
      </c>
      <c r="H108" s="45">
        <v>0</v>
      </c>
      <c r="I108" s="45">
        <v>0</v>
      </c>
      <c r="J108" s="57"/>
      <c r="K108" s="47" t="s">
        <v>38</v>
      </c>
      <c r="L108" s="47" t="s">
        <v>38</v>
      </c>
      <c r="M108" s="58"/>
      <c r="N108" s="395" t="s">
        <v>84</v>
      </c>
      <c r="O108" s="175"/>
      <c r="P108" s="399">
        <f t="shared" si="35"/>
        <v>-5.3943287549844926E-2</v>
      </c>
      <c r="Q108" s="399">
        <f t="shared" si="34"/>
        <v>-8.5235920852359204E-2</v>
      </c>
      <c r="R108" s="175"/>
      <c r="S108" s="175"/>
      <c r="T108" s="175"/>
      <c r="U108" s="175">
        <v>0</v>
      </c>
      <c r="V108" s="175"/>
      <c r="W108" s="175"/>
      <c r="X108" s="175"/>
      <c r="Y108" s="175"/>
      <c r="Z108" s="175"/>
      <c r="AA108" s="175"/>
      <c r="AB108" s="175"/>
      <c r="AC108" s="175"/>
      <c r="AD108" s="175"/>
      <c r="AE108" s="175"/>
      <c r="AF108" s="175"/>
      <c r="AG108" s="175"/>
      <c r="AH108" s="175"/>
      <c r="AI108" s="175"/>
      <c r="AJ108" s="175"/>
      <c r="AK108" s="175"/>
      <c r="AL108" s="175"/>
      <c r="AM108" s="175"/>
      <c r="AN108" s="175"/>
      <c r="AO108" s="175"/>
      <c r="AP108" s="175"/>
      <c r="AQ108" s="175"/>
      <c r="AR108" s="175"/>
      <c r="AS108" s="175"/>
      <c r="AT108" s="175"/>
      <c r="AU108" s="175"/>
      <c r="AV108" s="175"/>
      <c r="AW108" s="175"/>
      <c r="AX108" s="175"/>
      <c r="AY108" s="175"/>
      <c r="AZ108" s="175"/>
      <c r="BA108" s="175"/>
      <c r="BB108" s="175"/>
      <c r="BC108" s="175"/>
      <c r="BD108" s="175"/>
      <c r="BE108" s="175"/>
      <c r="BF108" s="175"/>
      <c r="BG108" s="175"/>
    </row>
    <row r="109" spans="1:59">
      <c r="A109" s="50"/>
      <c r="B109" s="51"/>
      <c r="C109" s="51"/>
      <c r="D109" s="52"/>
      <c r="E109" s="52"/>
      <c r="F109" s="52"/>
      <c r="G109" s="52"/>
      <c r="H109" s="53"/>
      <c r="I109" s="53"/>
      <c r="J109" s="53"/>
      <c r="K109" s="54"/>
      <c r="L109" s="54"/>
      <c r="M109" s="58"/>
      <c r="N109" s="395" t="s">
        <v>481</v>
      </c>
      <c r="O109" s="175"/>
      <c r="P109" s="399">
        <f t="shared" si="35"/>
        <v>-1.3894012049674167E-2</v>
      </c>
      <c r="Q109" s="399">
        <f t="shared" si="34"/>
        <v>-3.2044887780548627E-2</v>
      </c>
      <c r="R109" s="175"/>
      <c r="S109" s="175"/>
      <c r="T109" s="175"/>
      <c r="U109" s="175"/>
      <c r="V109" s="175"/>
      <c r="W109" s="175"/>
      <c r="X109" s="175"/>
      <c r="Y109" s="175"/>
      <c r="Z109" s="175"/>
      <c r="AA109" s="175"/>
      <c r="AB109" s="175"/>
      <c r="AC109" s="175"/>
      <c r="AD109" s="175"/>
      <c r="AE109" s="175"/>
      <c r="AF109" s="175"/>
      <c r="AG109" s="175"/>
      <c r="AH109" s="175"/>
      <c r="AI109" s="175"/>
      <c r="AJ109" s="175"/>
      <c r="AK109" s="175"/>
      <c r="AL109" s="175"/>
      <c r="AM109" s="175"/>
      <c r="AN109" s="175"/>
      <c r="AO109" s="175"/>
      <c r="AP109" s="175"/>
      <c r="AQ109" s="175"/>
      <c r="AR109" s="175"/>
      <c r="AS109" s="175"/>
      <c r="AT109" s="175"/>
      <c r="AU109" s="175"/>
      <c r="AV109" s="175"/>
      <c r="AW109" s="175"/>
      <c r="AX109" s="175"/>
      <c r="AY109" s="175"/>
      <c r="AZ109" s="175"/>
      <c r="BA109" s="175"/>
      <c r="BB109" s="175"/>
      <c r="BC109" s="175"/>
      <c r="BD109" s="175"/>
      <c r="BE109" s="175"/>
      <c r="BF109" s="175"/>
      <c r="BG109" s="175"/>
    </row>
    <row r="110" spans="1:59">
      <c r="A110" s="42" t="s">
        <v>880</v>
      </c>
      <c r="B110" s="43">
        <v>5.1077679549385184</v>
      </c>
      <c r="C110" s="43">
        <v>11.424090483035839</v>
      </c>
      <c r="D110" s="44">
        <v>13.128</v>
      </c>
      <c r="E110" s="44">
        <v>14.29</v>
      </c>
      <c r="F110" s="44">
        <v>15.276999999999999</v>
      </c>
      <c r="G110" s="44">
        <v>16.297999999999998</v>
      </c>
      <c r="H110" s="45">
        <v>100</v>
      </c>
      <c r="I110" s="45">
        <v>100</v>
      </c>
      <c r="J110" s="46"/>
      <c r="K110" s="47">
        <v>4.57</v>
      </c>
      <c r="L110" s="47">
        <v>1.63</v>
      </c>
      <c r="M110" s="58"/>
      <c r="N110" s="396" t="s">
        <v>787</v>
      </c>
      <c r="O110" s="175"/>
      <c r="P110" s="399">
        <f t="shared" si="35"/>
        <v>-3.9748953974895397E-2</v>
      </c>
      <c r="Q110" s="399">
        <f t="shared" si="34"/>
        <v>4.9486461251167131E-2</v>
      </c>
      <c r="R110" s="175"/>
      <c r="S110" s="175"/>
      <c r="T110" s="175"/>
      <c r="U110" s="175">
        <v>1187921133284383.3</v>
      </c>
      <c r="V110" s="175"/>
      <c r="W110" s="175"/>
      <c r="X110" s="175"/>
      <c r="Y110" s="175"/>
      <c r="Z110" s="175"/>
      <c r="AA110" s="175"/>
      <c r="AB110" s="175"/>
      <c r="AC110" s="175"/>
      <c r="AD110" s="175"/>
      <c r="AE110" s="175"/>
      <c r="AF110" s="175"/>
      <c r="AG110" s="175"/>
      <c r="AH110" s="175"/>
      <c r="AI110" s="175"/>
      <c r="AJ110" s="175"/>
      <c r="AK110" s="175"/>
      <c r="AL110" s="175"/>
      <c r="AM110" s="175"/>
      <c r="AN110" s="175"/>
      <c r="AO110" s="175"/>
      <c r="AP110" s="175"/>
      <c r="AQ110" s="175"/>
      <c r="AR110" s="175"/>
      <c r="AS110" s="175"/>
      <c r="AT110" s="175"/>
      <c r="AU110" s="175"/>
      <c r="AV110" s="175"/>
      <c r="AW110" s="175"/>
      <c r="AX110" s="175"/>
      <c r="AY110" s="175"/>
      <c r="AZ110" s="175"/>
      <c r="BA110" s="175"/>
      <c r="BB110" s="175"/>
      <c r="BC110" s="175"/>
      <c r="BD110" s="175"/>
      <c r="BE110" s="175"/>
      <c r="BF110" s="175"/>
      <c r="BG110" s="175"/>
    </row>
    <row r="111" spans="1:59">
      <c r="A111" s="48" t="s">
        <v>35</v>
      </c>
      <c r="B111" s="43">
        <v>0</v>
      </c>
      <c r="C111" s="43">
        <v>0</v>
      </c>
      <c r="D111" s="44">
        <v>0</v>
      </c>
      <c r="E111" s="44">
        <v>0</v>
      </c>
      <c r="F111" s="44">
        <v>0</v>
      </c>
      <c r="G111" s="44">
        <v>0</v>
      </c>
      <c r="H111" s="45">
        <v>0</v>
      </c>
      <c r="I111" s="45">
        <v>0</v>
      </c>
      <c r="J111" s="41"/>
      <c r="K111" s="47" t="s">
        <v>38</v>
      </c>
      <c r="L111" s="47" t="s">
        <v>38</v>
      </c>
      <c r="M111" s="58"/>
      <c r="N111" s="175"/>
      <c r="O111" s="175"/>
      <c r="P111" s="175"/>
      <c r="Q111" s="175"/>
      <c r="R111" s="175"/>
      <c r="S111" s="175"/>
      <c r="T111" s="175"/>
      <c r="U111" s="175">
        <v>955882391300330.88</v>
      </c>
      <c r="V111" s="175"/>
      <c r="W111" s="175"/>
      <c r="X111" s="175"/>
      <c r="Y111" s="175"/>
      <c r="Z111" s="175"/>
      <c r="AA111" s="175"/>
      <c r="AB111" s="175"/>
      <c r="AC111" s="175"/>
      <c r="AD111" s="175"/>
      <c r="AE111" s="175"/>
      <c r="AF111" s="175"/>
      <c r="AG111" s="175"/>
      <c r="AH111" s="175"/>
      <c r="AI111" s="175"/>
      <c r="AJ111" s="175"/>
      <c r="AK111" s="175"/>
      <c r="AL111" s="175"/>
      <c r="AM111" s="175"/>
      <c r="AN111" s="175"/>
      <c r="AO111" s="175"/>
      <c r="AP111" s="175"/>
      <c r="AQ111" s="175"/>
      <c r="AR111" s="175"/>
      <c r="AS111" s="175"/>
      <c r="AT111" s="175"/>
      <c r="AU111" s="175"/>
      <c r="AV111" s="175"/>
      <c r="AW111" s="175"/>
      <c r="AX111" s="175"/>
      <c r="AY111" s="175"/>
      <c r="AZ111" s="175"/>
      <c r="BA111" s="175"/>
      <c r="BB111" s="175"/>
      <c r="BC111" s="175"/>
      <c r="BD111" s="175"/>
      <c r="BE111" s="175"/>
      <c r="BF111" s="175"/>
      <c r="BG111" s="175"/>
    </row>
    <row r="112" spans="1:59">
      <c r="A112" s="48" t="s">
        <v>36</v>
      </c>
      <c r="B112" s="43">
        <v>1.5485365429385192</v>
      </c>
      <c r="C112" s="43">
        <v>0.28404264420545788</v>
      </c>
      <c r="D112" s="44">
        <v>0.27200000000000002</v>
      </c>
      <c r="E112" s="44">
        <v>0.24299999999999999</v>
      </c>
      <c r="F112" s="44">
        <v>0.217</v>
      </c>
      <c r="G112" s="44">
        <v>0.19</v>
      </c>
      <c r="H112" s="45">
        <v>2.4900000000000002</v>
      </c>
      <c r="I112" s="45">
        <v>1.17</v>
      </c>
      <c r="J112" s="41"/>
      <c r="K112" s="47">
        <v>-8.99</v>
      </c>
      <c r="L112" s="47">
        <v>-1.8</v>
      </c>
      <c r="M112" s="58"/>
      <c r="N112" s="395" t="s">
        <v>466</v>
      </c>
      <c r="O112" s="175"/>
      <c r="P112" s="400">
        <f>P104+1</f>
        <v>0.99586051179126944</v>
      </c>
      <c r="Q112" s="400">
        <f t="shared" ref="Q112:Q118" si="36">Q104+1</f>
        <v>0.96671845040657234</v>
      </c>
      <c r="R112" s="175"/>
      <c r="S112" s="175"/>
      <c r="T112" s="175"/>
      <c r="U112" s="175">
        <v>2599510056372.3008</v>
      </c>
      <c r="V112" s="175"/>
      <c r="W112" s="175"/>
      <c r="X112" s="175"/>
      <c r="Y112" s="175"/>
      <c r="Z112" s="175"/>
      <c r="AA112" s="175"/>
      <c r="AB112" s="175"/>
      <c r="AC112" s="175"/>
      <c r="AD112" s="175"/>
      <c r="AE112" s="175"/>
      <c r="AF112" s="175"/>
      <c r="AG112" s="175"/>
      <c r="AH112" s="175"/>
      <c r="AI112" s="175"/>
      <c r="AJ112" s="175"/>
      <c r="AK112" s="175"/>
      <c r="AL112" s="175"/>
      <c r="AM112" s="175"/>
      <c r="AN112" s="175"/>
      <c r="AO112" s="175"/>
      <c r="AP112" s="175"/>
      <c r="AQ112" s="175"/>
      <c r="AR112" s="175"/>
      <c r="AS112" s="175"/>
      <c r="AT112" s="175"/>
      <c r="AU112" s="175"/>
      <c r="AV112" s="175"/>
      <c r="AW112" s="175"/>
      <c r="AX112" s="175"/>
      <c r="AY112" s="175"/>
      <c r="AZ112" s="175"/>
      <c r="BA112" s="175"/>
      <c r="BB112" s="175"/>
      <c r="BC112" s="175"/>
      <c r="BD112" s="175"/>
      <c r="BE112" s="175"/>
      <c r="BF112" s="175"/>
      <c r="BG112" s="175"/>
    </row>
    <row r="113" spans="1:59">
      <c r="A113" s="48" t="s">
        <v>827</v>
      </c>
      <c r="B113" s="43">
        <v>0.72147075000000016</v>
      </c>
      <c r="C113" s="43">
        <v>1.9667732148303811</v>
      </c>
      <c r="D113" s="44">
        <v>2.1080000000000001</v>
      </c>
      <c r="E113" s="44">
        <v>2.3250000000000002</v>
      </c>
      <c r="F113" s="44">
        <v>2.524</v>
      </c>
      <c r="G113" s="44">
        <v>2.7330000000000001</v>
      </c>
      <c r="H113" s="45">
        <v>17.22</v>
      </c>
      <c r="I113" s="45">
        <v>16.77</v>
      </c>
      <c r="J113" s="41"/>
      <c r="K113" s="47">
        <v>5.73</v>
      </c>
      <c r="L113" s="47">
        <v>1.51</v>
      </c>
      <c r="N113" s="395" t="s">
        <v>35</v>
      </c>
      <c r="O113" s="175"/>
      <c r="P113" s="400">
        <f t="shared" ref="P113:P118" si="37">P105+1</f>
        <v>0.99079477018129625</v>
      </c>
      <c r="Q113" s="400">
        <f t="shared" si="36"/>
        <v>0.95168808264046356</v>
      </c>
      <c r="R113" s="175"/>
      <c r="S113" s="175"/>
      <c r="T113" s="175"/>
      <c r="U113" s="175">
        <v>115985416512739.75</v>
      </c>
      <c r="V113" s="175"/>
      <c r="W113" s="175"/>
      <c r="X113" s="175"/>
      <c r="Y113" s="175"/>
      <c r="Z113" s="175"/>
      <c r="AA113" s="175"/>
      <c r="AB113" s="175"/>
      <c r="AC113" s="175"/>
      <c r="AD113" s="175"/>
      <c r="AE113" s="175"/>
      <c r="AF113" s="175"/>
      <c r="AG113" s="175"/>
      <c r="AH113" s="175"/>
      <c r="AI113" s="175"/>
      <c r="AJ113" s="175"/>
      <c r="AK113" s="175"/>
      <c r="AL113" s="175"/>
      <c r="AM113" s="175"/>
      <c r="AN113" s="175"/>
      <c r="AO113" s="175"/>
      <c r="AP113" s="175"/>
      <c r="AQ113" s="175"/>
      <c r="AR113" s="175"/>
      <c r="AS113" s="175"/>
      <c r="AT113" s="175"/>
      <c r="AU113" s="175"/>
      <c r="AV113" s="175"/>
      <c r="AW113" s="175"/>
      <c r="AX113" s="175"/>
      <c r="AY113" s="175"/>
      <c r="AZ113" s="175"/>
      <c r="BA113" s="175"/>
      <c r="BB113" s="175"/>
      <c r="BC113" s="175"/>
      <c r="BD113" s="175"/>
      <c r="BE113" s="175"/>
      <c r="BF113" s="175"/>
      <c r="BG113" s="175"/>
    </row>
    <row r="114" spans="1:59">
      <c r="A114" s="48" t="s">
        <v>37</v>
      </c>
      <c r="B114" s="43">
        <v>2.8377606619999991</v>
      </c>
      <c r="C114" s="43">
        <v>9.1732746239999994</v>
      </c>
      <c r="D114" s="44">
        <v>10.747</v>
      </c>
      <c r="E114" s="44">
        <v>11.722</v>
      </c>
      <c r="F114" s="44">
        <v>12.536</v>
      </c>
      <c r="G114" s="44">
        <v>13.374000000000001</v>
      </c>
      <c r="H114" s="45">
        <v>80.3</v>
      </c>
      <c r="I114" s="45">
        <v>82.06</v>
      </c>
      <c r="J114" s="41"/>
      <c r="K114" s="47">
        <v>6.74</v>
      </c>
      <c r="L114" s="47">
        <v>1.73</v>
      </c>
      <c r="N114" s="395" t="s">
        <v>36</v>
      </c>
      <c r="O114" s="175"/>
      <c r="P114" s="400">
        <f t="shared" si="37"/>
        <v>0.99887434517195095</v>
      </c>
      <c r="Q114" s="400">
        <f t="shared" si="36"/>
        <v>0.96055768258325502</v>
      </c>
      <c r="R114" s="175"/>
      <c r="S114" s="175"/>
      <c r="T114" s="175"/>
      <c r="U114" s="175">
        <v>113453815414940.44</v>
      </c>
      <c r="V114" s="175"/>
      <c r="W114" s="175"/>
      <c r="X114" s="175"/>
      <c r="Y114" s="175"/>
      <c r="Z114" s="175"/>
      <c r="AA114" s="175"/>
      <c r="AB114" s="175"/>
      <c r="AC114" s="175"/>
      <c r="AD114" s="175"/>
      <c r="AE114" s="175"/>
      <c r="AF114" s="175"/>
      <c r="AG114" s="175"/>
      <c r="AH114" s="175"/>
      <c r="AI114" s="175"/>
      <c r="AJ114" s="175"/>
      <c r="AK114" s="175"/>
      <c r="AL114" s="175"/>
      <c r="AM114" s="175"/>
      <c r="AN114" s="175"/>
      <c r="AO114" s="175"/>
      <c r="AP114" s="175"/>
      <c r="AQ114" s="175"/>
      <c r="AR114" s="175"/>
      <c r="AS114" s="175"/>
      <c r="AT114" s="175"/>
      <c r="AU114" s="175"/>
      <c r="AV114" s="175"/>
      <c r="AW114" s="175"/>
      <c r="AX114" s="175"/>
      <c r="AY114" s="175"/>
      <c r="AZ114" s="175"/>
      <c r="BA114" s="175"/>
      <c r="BB114" s="175"/>
      <c r="BC114" s="175"/>
      <c r="BD114" s="175"/>
      <c r="BE114" s="175"/>
      <c r="BF114" s="175"/>
      <c r="BG114" s="175"/>
    </row>
    <row r="115" spans="1:59" ht="17.25" thickBot="1">
      <c r="A115" s="49" t="s">
        <v>828</v>
      </c>
      <c r="B115" s="56">
        <v>0</v>
      </c>
      <c r="C115" s="56">
        <v>0</v>
      </c>
      <c r="D115" s="44">
        <v>0</v>
      </c>
      <c r="E115" s="44">
        <v>0</v>
      </c>
      <c r="F115" s="44">
        <v>0</v>
      </c>
      <c r="G115" s="44">
        <v>0</v>
      </c>
      <c r="H115" s="45">
        <v>0</v>
      </c>
      <c r="I115" s="45">
        <v>0</v>
      </c>
      <c r="J115" s="57"/>
      <c r="K115" s="47" t="s">
        <v>38</v>
      </c>
      <c r="L115" s="47" t="s">
        <v>38</v>
      </c>
      <c r="N115" s="395" t="s">
        <v>147</v>
      </c>
      <c r="O115" s="175"/>
      <c r="P115" s="400">
        <f t="shared" si="37"/>
        <v>1.4283611383709518</v>
      </c>
      <c r="Q115" s="400">
        <f t="shared" si="36"/>
        <v>1.2370319477842666</v>
      </c>
      <c r="R115" s="175"/>
      <c r="S115" s="175"/>
      <c r="T115" s="175"/>
      <c r="U115" s="175">
        <v>0</v>
      </c>
      <c r="V115" s="175"/>
      <c r="W115" s="175"/>
      <c r="X115" s="175"/>
      <c r="Y115" s="175"/>
      <c r="Z115" s="175"/>
      <c r="AA115" s="175"/>
      <c r="AB115" s="175"/>
      <c r="AC115" s="175"/>
      <c r="AD115" s="175"/>
      <c r="AE115" s="175"/>
      <c r="AF115" s="175"/>
      <c r="AG115" s="175"/>
      <c r="AH115" s="175"/>
      <c r="AI115" s="175"/>
      <c r="AJ115" s="175"/>
      <c r="AK115" s="175"/>
      <c r="AL115" s="175"/>
      <c r="AM115" s="175"/>
      <c r="AN115" s="175"/>
      <c r="AO115" s="175"/>
      <c r="AP115" s="175"/>
      <c r="AQ115" s="175"/>
      <c r="AR115" s="175"/>
      <c r="AS115" s="175"/>
      <c r="AT115" s="175"/>
      <c r="AU115" s="175"/>
      <c r="AV115" s="175"/>
      <c r="AW115" s="175"/>
      <c r="AX115" s="175"/>
      <c r="AY115" s="175"/>
      <c r="AZ115" s="175"/>
      <c r="BA115" s="175"/>
      <c r="BB115" s="175"/>
      <c r="BC115" s="175"/>
      <c r="BD115" s="175"/>
      <c r="BE115" s="175"/>
      <c r="BF115" s="175"/>
      <c r="BG115" s="175"/>
    </row>
    <row r="116" spans="1:59">
      <c r="A116" s="495" t="s">
        <v>39</v>
      </c>
      <c r="B116" s="496"/>
      <c r="C116" s="496"/>
      <c r="D116" s="496"/>
      <c r="E116" s="496"/>
      <c r="F116" s="496"/>
      <c r="G116" s="496"/>
      <c r="H116" s="496"/>
      <c r="I116" s="496"/>
      <c r="J116" s="496"/>
      <c r="K116" s="496"/>
      <c r="L116" s="496"/>
      <c r="N116" s="395" t="s">
        <v>84</v>
      </c>
      <c r="O116" s="175"/>
      <c r="P116" s="400">
        <f t="shared" si="37"/>
        <v>0.9460567124501551</v>
      </c>
      <c r="Q116" s="400">
        <f t="shared" si="36"/>
        <v>0.9147640791476408</v>
      </c>
      <c r="R116" s="175"/>
      <c r="S116" s="175"/>
      <c r="T116" s="175"/>
      <c r="U116" s="175"/>
      <c r="V116" s="175"/>
      <c r="W116" s="175"/>
      <c r="X116" s="175"/>
      <c r="Y116" s="175"/>
      <c r="Z116" s="175"/>
      <c r="AA116" s="175"/>
      <c r="AB116" s="175"/>
      <c r="AC116" s="175"/>
      <c r="AD116" s="175"/>
      <c r="AE116" s="175"/>
      <c r="AF116" s="175"/>
      <c r="AG116" s="175"/>
      <c r="AH116" s="175"/>
      <c r="AI116" s="175"/>
      <c r="AJ116" s="175"/>
      <c r="AK116" s="175"/>
      <c r="AL116" s="175"/>
      <c r="AM116" s="175"/>
      <c r="AN116" s="175"/>
      <c r="AO116" s="175"/>
      <c r="AP116" s="175"/>
      <c r="AQ116" s="175"/>
      <c r="AR116" s="175"/>
      <c r="AS116" s="175"/>
      <c r="AT116" s="175"/>
      <c r="AU116" s="175"/>
      <c r="AV116" s="175"/>
      <c r="AW116" s="175"/>
      <c r="AX116" s="175"/>
      <c r="AY116" s="175"/>
      <c r="AZ116" s="175"/>
      <c r="BA116" s="175"/>
      <c r="BB116" s="175"/>
      <c r="BC116" s="175"/>
      <c r="BD116" s="175"/>
      <c r="BE116" s="175"/>
      <c r="BF116" s="175"/>
      <c r="BG116" s="175"/>
    </row>
    <row r="117" spans="1:59">
      <c r="H117" s="58"/>
      <c r="I117" s="58"/>
      <c r="J117" s="59"/>
      <c r="K117" s="58"/>
      <c r="L117" s="58"/>
      <c r="N117" s="395" t="s">
        <v>481</v>
      </c>
      <c r="O117" s="175"/>
      <c r="P117" s="400">
        <f t="shared" si="37"/>
        <v>0.98610598795032578</v>
      </c>
      <c r="Q117" s="400">
        <f t="shared" si="36"/>
        <v>0.96795511221945141</v>
      </c>
      <c r="R117" s="175"/>
      <c r="S117" s="175"/>
      <c r="T117" s="175"/>
      <c r="U117" s="175">
        <v>495852240569989.63</v>
      </c>
      <c r="V117" s="175"/>
      <c r="W117" s="175"/>
      <c r="X117" s="175"/>
      <c r="Y117" s="175"/>
      <c r="Z117" s="175"/>
      <c r="AA117" s="175"/>
      <c r="AB117" s="175"/>
      <c r="AC117" s="175"/>
      <c r="AD117" s="175"/>
      <c r="AE117" s="175"/>
      <c r="AF117" s="175"/>
      <c r="AG117" s="175"/>
      <c r="AH117" s="175"/>
      <c r="AI117" s="175"/>
      <c r="AJ117" s="175"/>
      <c r="AK117" s="175"/>
      <c r="AL117" s="175"/>
      <c r="AM117" s="175"/>
      <c r="AN117" s="175"/>
      <c r="AO117" s="175"/>
      <c r="AP117" s="175"/>
      <c r="AQ117" s="175"/>
      <c r="AR117" s="175"/>
      <c r="AS117" s="175"/>
      <c r="AT117" s="175"/>
      <c r="AU117" s="175"/>
      <c r="AV117" s="175"/>
      <c r="AW117" s="175"/>
      <c r="AX117" s="175"/>
      <c r="AY117" s="175"/>
      <c r="AZ117" s="175"/>
      <c r="BA117" s="175"/>
      <c r="BB117" s="175"/>
      <c r="BC117" s="175"/>
      <c r="BD117" s="175"/>
      <c r="BE117" s="175"/>
      <c r="BF117" s="175"/>
      <c r="BG117" s="175"/>
    </row>
    <row r="118" spans="1:59">
      <c r="H118" s="58"/>
      <c r="I118" s="58"/>
      <c r="J118" s="59"/>
      <c r="K118" s="58"/>
      <c r="L118" s="58"/>
      <c r="N118" s="396" t="s">
        <v>787</v>
      </c>
      <c r="O118" s="175"/>
      <c r="P118" s="400">
        <f t="shared" si="37"/>
        <v>0.96025104602510458</v>
      </c>
      <c r="Q118" s="400">
        <f t="shared" si="36"/>
        <v>1.0494864612511672</v>
      </c>
      <c r="R118" s="175"/>
      <c r="S118" s="175"/>
      <c r="T118" s="175"/>
      <c r="U118" s="175">
        <v>0</v>
      </c>
      <c r="V118" s="175"/>
      <c r="W118" s="175"/>
      <c r="X118" s="175"/>
      <c r="Y118" s="175"/>
      <c r="Z118" s="175"/>
      <c r="AA118" s="175"/>
      <c r="AB118" s="175"/>
      <c r="AC118" s="175"/>
      <c r="AD118" s="175"/>
      <c r="AE118" s="175"/>
      <c r="AF118" s="175"/>
      <c r="AG118" s="175"/>
      <c r="AH118" s="175"/>
      <c r="AI118" s="175"/>
      <c r="AJ118" s="175"/>
      <c r="AK118" s="175"/>
      <c r="AL118" s="175"/>
      <c r="AM118" s="175"/>
      <c r="AN118" s="175"/>
      <c r="AO118" s="175"/>
      <c r="AP118" s="175"/>
      <c r="AQ118" s="175"/>
      <c r="AR118" s="175"/>
      <c r="AS118" s="175"/>
      <c r="AT118" s="175"/>
      <c r="AU118" s="175"/>
      <c r="AV118" s="175"/>
      <c r="AW118" s="175"/>
      <c r="AX118" s="175"/>
      <c r="AY118" s="175"/>
      <c r="AZ118" s="175"/>
      <c r="BA118" s="175"/>
      <c r="BB118" s="175"/>
      <c r="BC118" s="175"/>
      <c r="BD118" s="175"/>
      <c r="BE118" s="175"/>
      <c r="BF118" s="175"/>
      <c r="BG118" s="175"/>
    </row>
    <row r="119" spans="1:59">
      <c r="H119" s="58"/>
      <c r="I119" s="58"/>
      <c r="J119" s="59"/>
      <c r="K119" s="58"/>
      <c r="L119" s="58"/>
      <c r="N119" s="58"/>
      <c r="O119" s="58"/>
      <c r="P119" s="58"/>
      <c r="Q119" s="58"/>
      <c r="R119" s="58"/>
      <c r="S119" s="58"/>
      <c r="T119" s="58"/>
      <c r="U119" s="58">
        <v>10807719897848.939</v>
      </c>
      <c r="V119" s="58"/>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row>
    <row r="120" spans="1:59">
      <c r="H120" s="58"/>
      <c r="I120" s="58"/>
      <c r="J120" s="59"/>
      <c r="K120" s="58"/>
      <c r="L120" s="58"/>
      <c r="N120" s="58"/>
      <c r="O120" s="58"/>
      <c r="P120" s="58"/>
      <c r="Q120" s="58"/>
      <c r="R120" s="58"/>
      <c r="S120" s="58"/>
      <c r="T120" s="58"/>
      <c r="U120" s="58">
        <v>137812766707800</v>
      </c>
      <c r="V120" s="58"/>
    </row>
    <row r="121" spans="1:59">
      <c r="H121" s="58"/>
      <c r="I121" s="58"/>
      <c r="J121" s="59"/>
      <c r="K121" s="58"/>
      <c r="L121" s="58"/>
      <c r="U121" s="150">
        <v>347231753964340.69</v>
      </c>
    </row>
    <row r="122" spans="1:59">
      <c r="H122" s="58"/>
      <c r="I122" s="58"/>
      <c r="J122" s="59"/>
      <c r="K122" s="58"/>
      <c r="L122" s="58"/>
      <c r="U122" s="150">
        <v>0</v>
      </c>
    </row>
    <row r="123" spans="1:59">
      <c r="H123" s="58"/>
      <c r="I123" s="58"/>
      <c r="J123" s="59"/>
      <c r="K123" s="58"/>
      <c r="L123" s="58"/>
    </row>
    <row r="124" spans="1:59">
      <c r="H124" s="58"/>
      <c r="I124" s="58"/>
      <c r="J124" s="59"/>
      <c r="K124" s="58"/>
      <c r="L124" s="58"/>
      <c r="U124" s="150">
        <v>1126254212281159.8</v>
      </c>
    </row>
    <row r="125" spans="1:59">
      <c r="H125" s="58"/>
      <c r="I125" s="58"/>
      <c r="J125" s="59"/>
      <c r="K125" s="58"/>
      <c r="L125" s="58"/>
      <c r="U125" s="150">
        <v>150101197456244.16</v>
      </c>
    </row>
    <row r="126" spans="1:59">
      <c r="H126" s="58"/>
      <c r="I126" s="58"/>
      <c r="J126" s="59"/>
      <c r="K126" s="58"/>
      <c r="L126" s="58"/>
      <c r="U126" s="150">
        <v>232850029671494.88</v>
      </c>
    </row>
    <row r="127" spans="1:59">
      <c r="H127" s="58"/>
      <c r="I127" s="58"/>
      <c r="J127" s="59"/>
      <c r="K127" s="58"/>
      <c r="L127" s="58"/>
      <c r="U127" s="150">
        <v>145883902834859.75</v>
      </c>
    </row>
    <row r="128" spans="1:59">
      <c r="H128" s="58"/>
      <c r="I128" s="58"/>
      <c r="J128" s="59"/>
      <c r="K128" s="58"/>
      <c r="L128" s="58"/>
      <c r="U128" s="150">
        <v>220470906220016.47</v>
      </c>
    </row>
    <row r="129" spans="8:21">
      <c r="H129" s="58"/>
      <c r="I129" s="58"/>
      <c r="J129" s="59"/>
      <c r="K129" s="58"/>
      <c r="L129" s="58"/>
      <c r="U129" s="150">
        <v>376948176098544.56</v>
      </c>
    </row>
    <row r="130" spans="8:21">
      <c r="H130" s="58"/>
      <c r="I130" s="58"/>
      <c r="J130" s="59"/>
      <c r="K130" s="58"/>
      <c r="L130" s="58"/>
    </row>
    <row r="131" spans="8:21">
      <c r="H131" s="58"/>
      <c r="I131" s="58"/>
      <c r="J131" s="59"/>
      <c r="K131" s="58"/>
      <c r="L131" s="58"/>
    </row>
    <row r="132" spans="8:21">
      <c r="H132" s="58"/>
      <c r="I132" s="58"/>
      <c r="J132" s="59"/>
      <c r="K132" s="58"/>
      <c r="L132" s="58"/>
    </row>
    <row r="133" spans="8:21">
      <c r="H133" s="58"/>
      <c r="I133" s="58"/>
      <c r="J133" s="59"/>
      <c r="K133" s="58"/>
      <c r="L133" s="58"/>
    </row>
  </sheetData>
  <mergeCells count="11">
    <mergeCell ref="A84:L84"/>
    <mergeCell ref="A85:L85"/>
    <mergeCell ref="H86:I86"/>
    <mergeCell ref="K86:L86"/>
    <mergeCell ref="A116:L116"/>
    <mergeCell ref="N57:AL57"/>
    <mergeCell ref="A4:L4"/>
    <mergeCell ref="A5:L5"/>
    <mergeCell ref="H6:I6"/>
    <mergeCell ref="K6:L6"/>
    <mergeCell ref="A57:L57"/>
  </mergeCells>
  <phoneticPr fontId="37"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A102A-BE48-4858-BDA4-536D110D4695}">
  <dimension ref="A1:AW41"/>
  <sheetViews>
    <sheetView workbookViewId="0">
      <selection activeCell="U6" sqref="U6"/>
    </sheetView>
  </sheetViews>
  <sheetFormatPr defaultColWidth="9.125" defaultRowHeight="16.5"/>
  <cols>
    <col min="1" max="1" width="20.625" style="210" customWidth="1"/>
    <col min="2" max="3" width="6.125" style="210" customWidth="1"/>
    <col min="4" max="4" width="6.125" style="210" customWidth="1" collapsed="1"/>
    <col min="5" max="7" width="6.125" style="210" customWidth="1"/>
    <col min="8" max="9" width="5.5" style="210" customWidth="1"/>
    <col min="10" max="10" width="0.625" style="211" customWidth="1"/>
    <col min="11" max="12" width="5.5" style="210" customWidth="1"/>
    <col min="13" max="13" width="4.375" style="30" customWidth="1"/>
    <col min="14" max="14" width="20.625" style="30" customWidth="1"/>
    <col min="15" max="48" width="6.125" style="150" customWidth="1"/>
    <col min="49" max="49" width="9.125" style="30"/>
    <col min="50" max="16384" width="9.125" style="210"/>
  </cols>
  <sheetData>
    <row r="1" spans="1:49" ht="30" customHeight="1">
      <c r="A1" s="505" t="s">
        <v>528</v>
      </c>
      <c r="B1" s="506"/>
      <c r="C1" s="506"/>
      <c r="D1" s="506"/>
      <c r="E1" s="506"/>
      <c r="F1" s="506"/>
      <c r="G1" s="506"/>
      <c r="H1" s="506"/>
      <c r="I1" s="506"/>
      <c r="J1" s="506"/>
      <c r="K1" s="506"/>
      <c r="L1" s="506"/>
      <c r="M1" s="159">
        <v>1</v>
      </c>
      <c r="N1" s="160" t="s">
        <v>40</v>
      </c>
      <c r="O1" s="161" t="s">
        <v>28</v>
      </c>
      <c r="Q1" s="162" t="s">
        <v>29</v>
      </c>
      <c r="S1" s="145"/>
      <c r="T1" s="145"/>
      <c r="U1" s="145"/>
      <c r="V1" s="145"/>
      <c r="X1" s="155"/>
      <c r="Y1" s="155"/>
      <c r="Z1" s="155"/>
      <c r="AA1" s="155"/>
      <c r="AB1" s="155"/>
      <c r="AC1" s="155"/>
      <c r="AD1" s="155"/>
      <c r="AE1" s="155"/>
      <c r="AF1" s="155"/>
      <c r="AG1" s="155"/>
      <c r="AH1" s="154"/>
      <c r="AI1" s="154"/>
      <c r="AJ1" s="154"/>
      <c r="AK1" s="154"/>
      <c r="AM1" s="155"/>
      <c r="AN1" s="155"/>
      <c r="AO1" s="155"/>
      <c r="AP1" s="155"/>
      <c r="AQ1" s="155"/>
      <c r="AR1" s="154"/>
      <c r="AS1" s="154"/>
      <c r="AT1" s="154"/>
      <c r="AU1" s="154"/>
    </row>
    <row r="2" spans="1:49">
      <c r="A2" s="507" t="s">
        <v>50</v>
      </c>
      <c r="B2" s="507"/>
      <c r="C2" s="507"/>
      <c r="D2" s="507"/>
      <c r="E2" s="507"/>
      <c r="F2" s="507"/>
      <c r="G2" s="507"/>
      <c r="H2" s="507"/>
      <c r="I2" s="507"/>
      <c r="J2" s="507"/>
      <c r="K2" s="507"/>
      <c r="L2" s="507"/>
      <c r="N2" s="153" t="s">
        <v>438</v>
      </c>
      <c r="O2" s="153"/>
      <c r="P2" s="153"/>
      <c r="Q2" s="153"/>
      <c r="R2" s="153"/>
      <c r="S2" s="153"/>
      <c r="T2" s="153"/>
      <c r="U2" s="153"/>
      <c r="V2" s="153"/>
      <c r="W2" s="153"/>
      <c r="X2" s="153"/>
      <c r="Y2" s="153"/>
      <c r="Z2" s="153"/>
      <c r="AA2" s="153"/>
      <c r="AB2" s="153"/>
      <c r="AC2" s="153"/>
      <c r="AD2" s="153"/>
      <c r="AE2" s="153"/>
      <c r="AF2" s="153"/>
      <c r="AG2" s="153"/>
      <c r="AH2" s="153"/>
      <c r="AI2" s="153"/>
      <c r="AJ2" s="153"/>
      <c r="AK2" s="153"/>
      <c r="AM2" s="153"/>
      <c r="AN2" s="153"/>
      <c r="AO2" s="153"/>
      <c r="AP2" s="153"/>
      <c r="AQ2" s="153"/>
      <c r="AR2" s="153"/>
      <c r="AS2" s="153"/>
      <c r="AT2" s="153"/>
      <c r="AU2" s="153"/>
    </row>
    <row r="3" spans="1:49" ht="15" customHeight="1">
      <c r="A3" s="31"/>
      <c r="B3" s="32"/>
      <c r="C3" s="32"/>
      <c r="D3" s="32"/>
      <c r="E3" s="32"/>
      <c r="F3" s="32"/>
      <c r="G3" s="32"/>
      <c r="H3" s="494" t="s">
        <v>30</v>
      </c>
      <c r="I3" s="494"/>
      <c r="J3" s="33"/>
      <c r="K3" s="494" t="s">
        <v>31</v>
      </c>
      <c r="L3" s="494"/>
      <c r="N3" s="31"/>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row>
    <row r="4" spans="1:49" ht="15" customHeight="1">
      <c r="A4" s="31"/>
      <c r="B4" s="34">
        <v>2000</v>
      </c>
      <c r="C4" s="34">
        <v>2018</v>
      </c>
      <c r="D4" s="34">
        <v>2025</v>
      </c>
      <c r="E4" s="34">
        <v>2030</v>
      </c>
      <c r="F4" s="34">
        <v>2035</v>
      </c>
      <c r="G4" s="34">
        <v>2040</v>
      </c>
      <c r="H4" s="35">
        <v>2018</v>
      </c>
      <c r="I4" s="35">
        <v>2040</v>
      </c>
      <c r="J4" s="36"/>
      <c r="K4" s="35" t="s">
        <v>32</v>
      </c>
      <c r="L4" s="35" t="s">
        <v>33</v>
      </c>
      <c r="N4" s="31"/>
      <c r="O4" s="144">
        <v>2000</v>
      </c>
      <c r="P4" s="144">
        <v>2018</v>
      </c>
      <c r="Q4" s="144">
        <v>2019</v>
      </c>
      <c r="R4" s="156">
        <v>2020</v>
      </c>
      <c r="S4" s="144">
        <v>2021</v>
      </c>
      <c r="T4" s="144">
        <v>2022</v>
      </c>
      <c r="U4" s="144">
        <v>2023</v>
      </c>
      <c r="V4" s="144">
        <v>2024</v>
      </c>
      <c r="W4" s="156">
        <v>2025</v>
      </c>
      <c r="X4" s="144">
        <v>2026</v>
      </c>
      <c r="Y4" s="144">
        <v>2027</v>
      </c>
      <c r="Z4" s="144">
        <v>2028</v>
      </c>
      <c r="AA4" s="144">
        <v>2029</v>
      </c>
      <c r="AB4" s="156">
        <v>2030</v>
      </c>
      <c r="AC4" s="144">
        <v>2031</v>
      </c>
      <c r="AD4" s="144">
        <v>2032</v>
      </c>
      <c r="AE4" s="144">
        <v>2033</v>
      </c>
      <c r="AF4" s="144">
        <v>2034</v>
      </c>
      <c r="AG4" s="156">
        <v>2035</v>
      </c>
      <c r="AH4" s="144">
        <v>2036</v>
      </c>
      <c r="AI4" s="144">
        <v>2037</v>
      </c>
      <c r="AJ4" s="144">
        <v>2038</v>
      </c>
      <c r="AK4" s="144">
        <v>2039</v>
      </c>
      <c r="AL4" s="156">
        <v>2040</v>
      </c>
      <c r="AM4" s="144">
        <v>2041</v>
      </c>
      <c r="AN4" s="144">
        <v>2042</v>
      </c>
      <c r="AO4" s="144">
        <v>2043</v>
      </c>
      <c r="AP4" s="144">
        <v>2044</v>
      </c>
      <c r="AQ4" s="156">
        <v>2045</v>
      </c>
      <c r="AR4" s="144">
        <v>2046</v>
      </c>
      <c r="AS4" s="144">
        <v>2047</v>
      </c>
      <c r="AT4" s="144">
        <v>2048</v>
      </c>
      <c r="AU4" s="144">
        <v>2049</v>
      </c>
      <c r="AV4" s="144">
        <v>2050</v>
      </c>
      <c r="AW4" s="170" t="s">
        <v>447</v>
      </c>
    </row>
    <row r="5" spans="1:49" ht="13.5" customHeight="1">
      <c r="A5" s="37" t="s">
        <v>529</v>
      </c>
      <c r="B5" s="67">
        <v>18.923999999999999</v>
      </c>
      <c r="C5" s="67">
        <v>53.462000000000003</v>
      </c>
      <c r="D5" s="68">
        <v>56.15</v>
      </c>
      <c r="E5" s="68">
        <v>61.253999999999998</v>
      </c>
      <c r="F5" s="68">
        <v>64.962000000000003</v>
      </c>
      <c r="G5" s="68">
        <v>71.137</v>
      </c>
      <c r="H5" s="39">
        <v>100.17</v>
      </c>
      <c r="I5" s="39">
        <v>100.16999999999999</v>
      </c>
      <c r="J5" s="74"/>
      <c r="K5" s="75">
        <v>5.94</v>
      </c>
      <c r="L5" s="75">
        <v>1.31</v>
      </c>
      <c r="N5" s="37" t="s">
        <v>529</v>
      </c>
      <c r="O5" s="149">
        <f>B28*$A$22</f>
        <v>750304164425200.13</v>
      </c>
      <c r="P5" s="149">
        <f>C5*$A$22</f>
        <v>2120124801189220.3</v>
      </c>
      <c r="Q5" s="151" cm="1">
        <f t="array" ref="Q5">TREND($P23:$Q23,$P$22:$Q$22,Q$4)</f>
        <v>2185469076397008</v>
      </c>
      <c r="R5" s="151" cm="1">
        <f t="array" ref="R5">TREND($P23:$Q23,$P$22:$Q$22,R$4)</f>
        <v>2250813351604816</v>
      </c>
      <c r="S5" s="151" cm="1">
        <f t="array" ref="S5">TREND($P23:$Q23,$P$22:$Q$22,S$4)</f>
        <v>2316157626812624</v>
      </c>
      <c r="T5" s="417">
        <f>C28*$A$22</f>
        <v>2387569372271860</v>
      </c>
      <c r="U5" s="151" cm="1">
        <f t="array" ref="U5">TREND($P29:$Q29,$P$28:$Q$28,U$4)</f>
        <v>2450891157395856</v>
      </c>
      <c r="V5" s="151" cm="1">
        <f t="array" ref="V5">TREND($P29:$Q29,$P$28:$Q$28,V$4)</f>
        <v>2514212942519840</v>
      </c>
      <c r="W5" s="151" cm="1">
        <f t="array" ref="W5">TREND($P29:$Q29,$P$28:$Q$28,W$4)</f>
        <v>2577534727643840</v>
      </c>
      <c r="X5" s="151" cm="1">
        <f t="array" ref="X5">TREND($P29:$Q29,$P$28:$Q$28,X$4)</f>
        <v>2640856512767824</v>
      </c>
      <c r="Y5" s="151" cm="1">
        <f t="array" ref="Y5">TREND($P29:$Q29,$P$28:$Q$28,Y$4)</f>
        <v>2704178297891824</v>
      </c>
      <c r="Z5" s="151" cm="1">
        <f t="array" ref="Z5">TREND($P29:$Q29,$P$28:$Q$28,Z$4)</f>
        <v>2767500083015808</v>
      </c>
      <c r="AA5" s="151" cm="1">
        <f t="array" ref="AA5">TREND($P29:$Q29,$P$28:$Q$28,AA$4)</f>
        <v>2830821868139808</v>
      </c>
      <c r="AB5" s="158">
        <f>D28*$A$22</f>
        <v>2894143653263800</v>
      </c>
      <c r="AC5" s="151" cm="1">
        <f t="array" ref="AC5">TREND($Q29:$R29,$Q$28:$R$28,AC$4)</f>
        <v>2946831502780464</v>
      </c>
      <c r="AD5" s="151" cm="1">
        <f t="array" ref="AD5">TREND($Q29:$R29,$Q$28:$R$28,AD$4)</f>
        <v>2999519352297136</v>
      </c>
      <c r="AE5" s="151" cm="1">
        <f t="array" ref="AE5">TREND($Q29:$R29,$Q$28:$R$28,AE$4)</f>
        <v>3052207201813808</v>
      </c>
      <c r="AF5" s="151" cm="1">
        <f t="array" ref="AF5">TREND($Q29:$R29,$Q$28:$R$28,AF$4)</f>
        <v>3104895051330464</v>
      </c>
      <c r="AG5" s="151" cm="1">
        <f t="array" ref="AG5">TREND($Q29:$R29,$Q$28:$R$28,AG$4)</f>
        <v>3157582900847136</v>
      </c>
      <c r="AH5" s="151" cm="1">
        <f t="array" ref="AH5">TREND($Q29:$R29,$Q$28:$R$28,AH$4)</f>
        <v>3210270750363808</v>
      </c>
      <c r="AI5" s="151" cm="1">
        <f t="array" ref="AI5">TREND($Q29:$R29,$Q$28:$R$28,AI$4)</f>
        <v>3262958599880464</v>
      </c>
      <c r="AJ5" s="151" cm="1">
        <f t="array" ref="AJ5">TREND($Q29:$R29,$Q$28:$R$28,AJ$4)</f>
        <v>3315646449397136</v>
      </c>
      <c r="AK5" s="151" cm="1">
        <f t="array" ref="AK5">TREND($Q29:$R29,$Q$28:$R$28,AK$4)</f>
        <v>3368334298913792</v>
      </c>
      <c r="AL5" s="158">
        <f>E28*$A$22</f>
        <v>3421022148430460</v>
      </c>
      <c r="AM5" s="151" cm="1">
        <f t="array" ref="AM5">TREND($R29:$S29,$R$28:$S$28,AM$4)</f>
        <v>3445010467091184</v>
      </c>
      <c r="AN5" s="151" cm="1">
        <f t="array" ref="AN5">TREND($R29:$S29,$R$28:$S$28,AN$4)</f>
        <v>3468998785751904</v>
      </c>
      <c r="AO5" s="151" cm="1">
        <f t="array" ref="AO5">TREND($R29:$S29,$R$28:$S$28,AO$4)</f>
        <v>3492987104412624</v>
      </c>
      <c r="AP5" s="151" cm="1">
        <f t="array" ref="AP5">TREND($R29:$S29,$R$28:$S$28,AP$4)</f>
        <v>3516975423073336</v>
      </c>
      <c r="AQ5" s="151" cm="1">
        <f t="array" ref="AQ5">TREND($R29:$S29,$R$28:$S$28,AQ$4)</f>
        <v>3540963741734056</v>
      </c>
      <c r="AR5" s="151" cm="1">
        <f t="array" ref="AR5">TREND($R29:$S29,$R$28:$S$28,AR$4)</f>
        <v>3564952060394776</v>
      </c>
      <c r="AS5" s="151" cm="1">
        <f t="array" ref="AS5">TREND($R29:$S29,$R$28:$S$28,AS$4)</f>
        <v>3588940379055496</v>
      </c>
      <c r="AT5" s="151" cm="1">
        <f t="array" ref="AT5">TREND($R29:$S29,$R$28:$S$28,AT$4)</f>
        <v>3612928697716216</v>
      </c>
      <c r="AU5" s="151" cm="1">
        <f t="array" ref="AU5">TREND($R29:$S29,$R$28:$S$28,AU$4)</f>
        <v>3636917016376936</v>
      </c>
      <c r="AV5" s="151">
        <f>F28*$A$22</f>
        <v>3660905335037650</v>
      </c>
      <c r="AW5" s="174">
        <f>(AV5/R5)^(1/30)-1</f>
        <v>1.6346120766915551E-2</v>
      </c>
    </row>
    <row r="6" spans="1:49" ht="13.5" customHeight="1">
      <c r="A6" s="42" t="s">
        <v>530</v>
      </c>
      <c r="B6" s="43">
        <v>6.7649999999999997</v>
      </c>
      <c r="C6" s="43">
        <v>27.69</v>
      </c>
      <c r="D6" s="44">
        <v>27.73</v>
      </c>
      <c r="E6" s="44">
        <v>31.283000000000001</v>
      </c>
      <c r="F6" s="44">
        <v>33.979999999999997</v>
      </c>
      <c r="G6" s="44">
        <v>39.469000000000001</v>
      </c>
      <c r="H6" s="45">
        <v>51.79</v>
      </c>
      <c r="I6" s="45">
        <v>55.48</v>
      </c>
      <c r="J6" s="46"/>
      <c r="K6" s="47">
        <v>8.14</v>
      </c>
      <c r="L6" s="47">
        <v>1.62</v>
      </c>
      <c r="N6" s="42" t="s">
        <v>530</v>
      </c>
      <c r="O6" s="149">
        <f>B29*$A$22</f>
        <v>244562673467770</v>
      </c>
      <c r="P6" s="149">
        <f t="shared" ref="P6:P7" si="0">C6*$A$22</f>
        <v>1098093145503900</v>
      </c>
      <c r="Q6" s="151" cm="1">
        <f t="array" ref="Q6">TREND($P24:$Q24,$P$22:$Q$22,Q$4)</f>
        <v>1135404405145296</v>
      </c>
      <c r="R6" s="151" cm="1">
        <f t="array" ref="R6">TREND($P24:$Q24,$P$22:$Q$22,R$4)</f>
        <v>1172715664786672</v>
      </c>
      <c r="S6" s="151" cm="1">
        <f t="array" ref="S6">TREND($P24:$Q24,$P$22:$Q$22,S$4)</f>
        <v>1210026924428048</v>
      </c>
      <c r="T6" s="417">
        <f>C29*$A$22</f>
        <v>1229118777600140</v>
      </c>
      <c r="U6" s="151" cm="1">
        <f t="array" ref="U6">TREND($P30:$Q30,$P$28:$Q$28,U$4)</f>
        <v>1272503172731296</v>
      </c>
      <c r="V6" s="151" cm="1">
        <f t="array" ref="V6">TREND($P30:$Q30,$P$28:$Q$28,V$4)</f>
        <v>1315887567862432</v>
      </c>
      <c r="W6" s="151" cm="1">
        <f t="array" ref="W6">TREND($P30:$Q30,$P$28:$Q$28,W$4)</f>
        <v>1359271962993568</v>
      </c>
      <c r="X6" s="151" cm="1">
        <f t="array" ref="X6">TREND($P30:$Q30,$P$28:$Q$28,X$4)</f>
        <v>1402656358124704</v>
      </c>
      <c r="Y6" s="151" cm="1">
        <f t="array" ref="Y6">TREND($P30:$Q30,$P$28:$Q$28,Y$4)</f>
        <v>1446040753255856</v>
      </c>
      <c r="Z6" s="151" cm="1">
        <f t="array" ref="Z6">TREND($P30:$Q30,$P$28:$Q$28,Z$4)</f>
        <v>1489425148386992</v>
      </c>
      <c r="AA6" s="151" cm="1">
        <f t="array" ref="AA6">TREND($P30:$Q30,$P$28:$Q$28,AA$4)</f>
        <v>1532809543518128</v>
      </c>
      <c r="AB6" s="158">
        <f>D29*$A$22</f>
        <v>1576193938649260</v>
      </c>
      <c r="AC6" s="151" cm="1">
        <f t="array" ref="AC6">TREND($Q30:$R30,$Q$28:$R$28,AC$4)</f>
        <v>1622663622574912</v>
      </c>
      <c r="AD6" s="151" cm="1">
        <f t="array" ref="AD6">TREND($Q30:$R30,$Q$28:$R$28,AD$4)</f>
        <v>1669133306500576</v>
      </c>
      <c r="AE6" s="151" cm="1">
        <f t="array" ref="AE6">TREND($Q30:$R30,$Q$28:$R$28,AE$4)</f>
        <v>1715602990426240</v>
      </c>
      <c r="AF6" s="151" cm="1">
        <f t="array" ref="AF6">TREND($Q30:$R30,$Q$28:$R$28,AF$4)</f>
        <v>1762072674351888</v>
      </c>
      <c r="AG6" s="151" cm="1">
        <f t="array" ref="AG6">TREND($Q30:$R30,$Q$28:$R$28,AG$4)</f>
        <v>1808542358277552</v>
      </c>
      <c r="AH6" s="151" cm="1">
        <f t="array" ref="AH6">TREND($Q30:$R30,$Q$28:$R$28,AH$4)</f>
        <v>1855012042203216</v>
      </c>
      <c r="AI6" s="151" cm="1">
        <f t="array" ref="AI6">TREND($Q30:$R30,$Q$28:$R$28,AI$4)</f>
        <v>1901481726128864</v>
      </c>
      <c r="AJ6" s="151" cm="1">
        <f t="array" ref="AJ6">TREND($Q30:$R30,$Q$28:$R$28,AJ$4)</f>
        <v>1947951410054528</v>
      </c>
      <c r="AK6" s="151" cm="1">
        <f t="array" ref="AK6">TREND($Q30:$R30,$Q$28:$R$28,AK$4)</f>
        <v>1994421093980176</v>
      </c>
      <c r="AL6" s="158">
        <f>E29*$A$22</f>
        <v>2040890777905840</v>
      </c>
      <c r="AM6" s="151" cm="1">
        <f t="array" ref="AM6">TREND($R30:$S30,$R$28:$S$28,AM$4)</f>
        <v>2069102531741576</v>
      </c>
      <c r="AN6" s="151" cm="1">
        <f t="array" ref="AN6">TREND($R30:$S30,$R$28:$S$28,AN$4)</f>
        <v>2097314285577312</v>
      </c>
      <c r="AO6" s="151" cm="1">
        <f t="array" ref="AO6">TREND($R30:$S30,$R$28:$S$28,AO$4)</f>
        <v>2125526039413040</v>
      </c>
      <c r="AP6" s="151" cm="1">
        <f t="array" ref="AP6">TREND($R30:$S30,$R$28:$S$28,AP$4)</f>
        <v>2153737793248776</v>
      </c>
      <c r="AQ6" s="151" cm="1">
        <f t="array" ref="AQ6">TREND($R30:$S30,$R$28:$S$28,AQ$4)</f>
        <v>2181949547084512</v>
      </c>
      <c r="AR6" s="151" cm="1">
        <f t="array" ref="AR6">TREND($R30:$S30,$R$28:$S$28,AR$4)</f>
        <v>2210161300920248</v>
      </c>
      <c r="AS6" s="151" cm="1">
        <f t="array" ref="AS6">TREND($R30:$S30,$R$28:$S$28,AS$4)</f>
        <v>2238373054755976</v>
      </c>
      <c r="AT6" s="151" cm="1">
        <f t="array" ref="AT6">TREND($R30:$S30,$R$28:$S$28,AT$4)</f>
        <v>2266584808591712</v>
      </c>
      <c r="AU6" s="151" cm="1">
        <f t="array" ref="AU6">TREND($R30:$S30,$R$28:$S$28,AU$4)</f>
        <v>2294796562427448</v>
      </c>
      <c r="AV6" s="151">
        <f>F29*$A$22</f>
        <v>2323008316263180</v>
      </c>
      <c r="AW6" s="174"/>
    </row>
    <row r="7" spans="1:49" ht="13.5" customHeight="1">
      <c r="A7" s="42" t="s">
        <v>531</v>
      </c>
      <c r="B7" s="43">
        <v>12.561</v>
      </c>
      <c r="C7" s="43">
        <v>25.864999999999998</v>
      </c>
      <c r="D7" s="44">
        <v>28.533999999999999</v>
      </c>
      <c r="E7" s="44">
        <v>30.09</v>
      </c>
      <c r="F7" s="44">
        <v>31.105</v>
      </c>
      <c r="G7" s="44">
        <v>31.792999999999999</v>
      </c>
      <c r="H7" s="45">
        <v>48.38</v>
      </c>
      <c r="I7" s="45">
        <v>44.69</v>
      </c>
      <c r="J7" s="46"/>
      <c r="K7" s="47">
        <v>4.09</v>
      </c>
      <c r="L7" s="47">
        <v>0.94</v>
      </c>
      <c r="N7" s="42" t="s">
        <v>531</v>
      </c>
      <c r="O7" s="152">
        <f>B30*$A$22</f>
        <v>504313850898270</v>
      </c>
      <c r="P7" s="152">
        <f t="shared" si="0"/>
        <v>1025719725838150</v>
      </c>
      <c r="Q7" s="163" cm="1">
        <f t="array" ref="Q7">TREND($P25:$Q25,$P$22:$Q$22,Q$4)</f>
        <v>1032612904576176</v>
      </c>
      <c r="R7" s="163" cm="1">
        <f t="array" ref="R7">TREND($P25:$Q25,$P$22:$Q$22,R$4)</f>
        <v>1039506083314204</v>
      </c>
      <c r="S7" s="163" cm="1">
        <f t="array" ref="S7">TREND($P25:$Q25,$P$22:$Q$22,S$4)</f>
        <v>1046399262052232</v>
      </c>
      <c r="T7" s="428">
        <f>C30*$A$22</f>
        <v>1033611402831840</v>
      </c>
      <c r="U7" s="163" cm="1">
        <f t="array" ref="U7">TREND($P31:$Q31,$P$28:$Q$28,U$4)</f>
        <v>1047064927556008</v>
      </c>
      <c r="V7" s="163" cm="1">
        <f t="array" ref="V7">TREND($P31:$Q31,$P$28:$Q$28,V$4)</f>
        <v>1060518452280176</v>
      </c>
      <c r="W7" s="163" cm="1">
        <f t="array" ref="W7">TREND($P31:$Q31,$P$28:$Q$28,W$4)</f>
        <v>1073971977004344</v>
      </c>
      <c r="X7" s="163" cm="1">
        <f t="array" ref="X7">TREND($P31:$Q31,$P$28:$Q$28,X$4)</f>
        <v>1087425501728512</v>
      </c>
      <c r="Y7" s="163" cm="1">
        <f t="array" ref="Y7">TREND($P31:$Q31,$P$28:$Q$28,Y$4)</f>
        <v>1100879026452680</v>
      </c>
      <c r="Z7" s="163" cm="1">
        <f t="array" ref="Z7">TREND($P31:$Q31,$P$28:$Q$28,Z$4)</f>
        <v>1114332551176844</v>
      </c>
      <c r="AA7" s="163" cm="1">
        <f t="array" ref="AA7">TREND($P31:$Q31,$P$28:$Q$28,AA$4)</f>
        <v>1127786075901012</v>
      </c>
      <c r="AB7" s="430">
        <f>D30*$A$22</f>
        <v>1141239600625180</v>
      </c>
      <c r="AC7" s="163" cm="1">
        <f t="array" ref="AC7">TREND($Q31:$R31,$Q$28:$R$28,AC$4)</f>
        <v>1148679191600136</v>
      </c>
      <c r="AD7" s="163" cm="1">
        <f t="array" ref="AD7">TREND($Q31:$R31,$Q$28:$R$28,AD$4)</f>
        <v>1156118782575092</v>
      </c>
      <c r="AE7" s="163" cm="1">
        <f t="array" ref="AE7">TREND($Q31:$R31,$Q$28:$R$28,AE$4)</f>
        <v>1163558373550048</v>
      </c>
      <c r="AF7" s="163" cm="1">
        <f t="array" ref="AF7">TREND($Q31:$R31,$Q$28:$R$28,AF$4)</f>
        <v>1170997964525004</v>
      </c>
      <c r="AG7" s="163" cm="1">
        <f t="array" ref="AG7">TREND($Q31:$R31,$Q$28:$R$28,AG$4)</f>
        <v>1178437555499960</v>
      </c>
      <c r="AH7" s="163" cm="1">
        <f t="array" ref="AH7">TREND($Q31:$R31,$Q$28:$R$28,AH$4)</f>
        <v>1185877146474916</v>
      </c>
      <c r="AI7" s="163" cm="1">
        <f t="array" ref="AI7">TREND($Q31:$R31,$Q$28:$R$28,AI$4)</f>
        <v>1193316737449872</v>
      </c>
      <c r="AJ7" s="163" cm="1">
        <f t="array" ref="AJ7">TREND($Q31:$R31,$Q$28:$R$28,AJ$4)</f>
        <v>1200756328424828</v>
      </c>
      <c r="AK7" s="163" cm="1">
        <f t="array" ref="AK7">TREND($Q31:$R31,$Q$28:$R$28,AK$4)</f>
        <v>1208195919399784</v>
      </c>
      <c r="AL7" s="164">
        <f>E30*$A$22</f>
        <v>1215635510374740</v>
      </c>
      <c r="AM7" s="163" cm="1">
        <f t="array" ref="AM7">TREND($R31:$S31,$R$28:$S$28,AM$4)</f>
        <v>1214009586974030</v>
      </c>
      <c r="AN7" s="163" cm="1">
        <f t="array" ref="AN7">TREND($R31:$S31,$R$28:$S$28,AN$4)</f>
        <v>1212383663573320</v>
      </c>
      <c r="AO7" s="163" cm="1">
        <f t="array" ref="AO7">TREND($R31:$S31,$R$28:$S$28,AO$4)</f>
        <v>1210757740172610</v>
      </c>
      <c r="AP7" s="163" cm="1">
        <f t="array" ref="AP7">TREND($R31:$S31,$R$28:$S$28,AP$4)</f>
        <v>1209131816771900</v>
      </c>
      <c r="AQ7" s="163" cm="1">
        <f t="array" ref="AQ7">TREND($R31:$S31,$R$28:$S$28,AQ$4)</f>
        <v>1207505893371190</v>
      </c>
      <c r="AR7" s="163" cm="1">
        <f t="array" ref="AR7">TREND($R31:$S31,$R$28:$S$28,AR$4)</f>
        <v>1205879969970480</v>
      </c>
      <c r="AS7" s="163" cm="1">
        <f t="array" ref="AS7">TREND($R31:$S31,$R$28:$S$28,AS$4)</f>
        <v>1204254046569770</v>
      </c>
      <c r="AT7" s="163" cm="1">
        <f t="array" ref="AT7">TREND($R31:$S31,$R$28:$S$28,AT$4)</f>
        <v>1202628123169060</v>
      </c>
      <c r="AU7" s="163" cm="1">
        <f t="array" ref="AU7">TREND($R31:$S31,$R$28:$S$28,AU$4)</f>
        <v>1201002199768350</v>
      </c>
      <c r="AV7" s="163">
        <f>F30*$A$22</f>
        <v>1199376276367640</v>
      </c>
      <c r="AW7" s="171"/>
    </row>
    <row r="8" spans="1:49" s="211" customFormat="1" ht="3" customHeight="1">
      <c r="A8" s="50"/>
      <c r="B8" s="51"/>
      <c r="C8" s="51"/>
      <c r="D8" s="52"/>
      <c r="E8" s="52"/>
      <c r="F8" s="52"/>
      <c r="G8" s="52"/>
      <c r="H8" s="52"/>
      <c r="I8" s="52"/>
      <c r="J8" s="54"/>
      <c r="K8" s="54"/>
      <c r="L8" s="54"/>
      <c r="M8" s="30"/>
      <c r="N8" s="50"/>
      <c r="O8" s="149"/>
      <c r="P8" s="149"/>
      <c r="R8" s="151"/>
      <c r="S8" s="151"/>
      <c r="T8" s="417"/>
      <c r="U8" s="151"/>
      <c r="V8" s="151"/>
      <c r="W8" s="158"/>
      <c r="X8" s="151"/>
      <c r="Y8" s="151"/>
      <c r="Z8" s="151"/>
      <c r="AA8" s="151"/>
      <c r="AB8" s="158"/>
      <c r="AC8" s="151"/>
      <c r="AD8" s="151"/>
      <c r="AE8" s="151"/>
      <c r="AF8" s="151"/>
      <c r="AG8" s="158"/>
      <c r="AH8" s="151"/>
      <c r="AI8" s="151"/>
      <c r="AJ8" s="151"/>
      <c r="AK8" s="151"/>
      <c r="AL8" s="158"/>
      <c r="AM8" s="151"/>
      <c r="AN8" s="151"/>
      <c r="AO8" s="151"/>
      <c r="AP8" s="151"/>
      <c r="AQ8" s="151"/>
      <c r="AR8" s="151"/>
      <c r="AS8" s="151"/>
      <c r="AT8" s="151"/>
      <c r="AU8" s="151"/>
      <c r="AV8" s="151"/>
      <c r="AW8" s="171"/>
    </row>
    <row r="9" spans="1:49" ht="13.5" customHeight="1">
      <c r="A9" s="37" t="s">
        <v>532</v>
      </c>
      <c r="B9" s="67"/>
      <c r="C9" s="67"/>
      <c r="D9" s="68"/>
      <c r="E9" s="68"/>
      <c r="F9" s="68"/>
      <c r="G9" s="68"/>
      <c r="H9" s="60"/>
      <c r="I9" s="60"/>
      <c r="J9" s="46"/>
      <c r="K9" s="60"/>
      <c r="L9" s="60"/>
      <c r="N9" s="37" t="s">
        <v>539</v>
      </c>
      <c r="O9" s="149"/>
      <c r="P9" s="149"/>
      <c r="Q9" s="217">
        <f>Q5/P5-1</f>
        <v>3.0820956941371991E-2</v>
      </c>
      <c r="R9" s="217">
        <f t="shared" ref="R9:AV9" si="1">R5/Q5-1</f>
        <v>2.9899427959664937E-2</v>
      </c>
      <c r="S9" s="217">
        <f t="shared" si="1"/>
        <v>2.9031405541120492E-2</v>
      </c>
      <c r="T9" s="429">
        <f>T5/S5-1</f>
        <v>3.0831988562673551E-2</v>
      </c>
      <c r="U9" s="217">
        <f t="shared" si="1"/>
        <v>2.6521443045545157E-2</v>
      </c>
      <c r="V9" s="217">
        <f t="shared" si="1"/>
        <v>2.5836228970390174E-2</v>
      </c>
      <c r="W9" s="217">
        <f t="shared" si="1"/>
        <v>2.5185529854339528E-2</v>
      </c>
      <c r="X9" s="217">
        <f t="shared" si="1"/>
        <v>2.4566801930877347E-2</v>
      </c>
      <c r="Y9" s="217">
        <f t="shared" si="1"/>
        <v>2.3977745408679585E-2</v>
      </c>
      <c r="Z9" s="217">
        <f t="shared" si="1"/>
        <v>2.3416275906566364E-2</v>
      </c>
      <c r="AA9" s="217">
        <f t="shared" si="1"/>
        <v>2.2880499810137955E-2</v>
      </c>
      <c r="AB9" s="217">
        <f t="shared" si="1"/>
        <v>2.2368692935667456E-2</v>
      </c>
      <c r="AC9" s="217">
        <f t="shared" si="1"/>
        <v>1.8204987667853612E-2</v>
      </c>
      <c r="AD9" s="217">
        <f t="shared" si="1"/>
        <v>1.7879491741200182E-2</v>
      </c>
      <c r="AE9" s="217">
        <f t="shared" si="1"/>
        <v>1.7565430766873336E-2</v>
      </c>
      <c r="AF9" s="217">
        <f t="shared" si="1"/>
        <v>1.7262212567136892E-2</v>
      </c>
      <c r="AG9" s="217">
        <f t="shared" si="1"/>
        <v>1.6969285159604608E-2</v>
      </c>
      <c r="AH9" s="217">
        <f t="shared" si="1"/>
        <v>1.6686133403666537E-2</v>
      </c>
      <c r="AI9" s="217">
        <f t="shared" si="1"/>
        <v>1.641227597724737E-2</v>
      </c>
      <c r="AJ9" s="217">
        <f t="shared" si="1"/>
        <v>1.61472626464223E-2</v>
      </c>
      <c r="AK9" s="217">
        <f t="shared" si="1"/>
        <v>1.5890671795310451E-2</v>
      </c>
      <c r="AL9" s="217">
        <f t="shared" si="1"/>
        <v>1.5642108187913006E-2</v>
      </c>
      <c r="AM9" s="217">
        <f t="shared" si="1"/>
        <v>7.0120325504847703E-3</v>
      </c>
      <c r="AN9" s="217">
        <f t="shared" si="1"/>
        <v>6.9632063211042539E-3</v>
      </c>
      <c r="AO9" s="217">
        <f t="shared" si="1"/>
        <v>6.9150553638837042E-3</v>
      </c>
      <c r="AP9" s="217">
        <f t="shared" si="1"/>
        <v>6.8675657663916923E-3</v>
      </c>
      <c r="AQ9" s="217">
        <f t="shared" si="1"/>
        <v>6.8207239957787102E-3</v>
      </c>
      <c r="AR9" s="217">
        <f t="shared" si="1"/>
        <v>6.7745168858952542E-3</v>
      </c>
      <c r="AS9" s="217">
        <f t="shared" si="1"/>
        <v>6.7289316249776743E-3</v>
      </c>
      <c r="AT9" s="217">
        <f t="shared" si="1"/>
        <v>6.6839557437934349E-3</v>
      </c>
      <c r="AU9" s="217">
        <f t="shared" si="1"/>
        <v>6.6395771042708773E-3</v>
      </c>
      <c r="AV9" s="217">
        <f t="shared" si="1"/>
        <v>6.5957838885779552E-3</v>
      </c>
      <c r="AW9" s="171"/>
    </row>
    <row r="10" spans="1:49" ht="13.5" customHeight="1">
      <c r="A10" s="42" t="s">
        <v>147</v>
      </c>
      <c r="B10" s="43">
        <v>5.6529999999999996</v>
      </c>
      <c r="C10" s="43">
        <v>27.195</v>
      </c>
      <c r="D10" s="44">
        <v>27.298999999999999</v>
      </c>
      <c r="E10" s="44">
        <v>30.882000000000001</v>
      </c>
      <c r="F10" s="44">
        <v>33.612000000000002</v>
      </c>
      <c r="G10" s="44">
        <v>39.131</v>
      </c>
      <c r="H10" s="45">
        <v>50.87</v>
      </c>
      <c r="I10" s="45">
        <v>55.01</v>
      </c>
      <c r="J10" s="46"/>
      <c r="K10" s="47">
        <v>9.1199999999999992</v>
      </c>
      <c r="L10" s="47">
        <v>1.67</v>
      </c>
      <c r="N10" s="42"/>
      <c r="O10" s="220"/>
      <c r="P10" s="220"/>
      <c r="Q10" s="151"/>
      <c r="R10" s="151"/>
      <c r="S10" s="151"/>
      <c r="T10" s="151"/>
      <c r="U10" s="151"/>
      <c r="V10" s="151"/>
      <c r="W10" s="151"/>
      <c r="X10" s="151"/>
      <c r="Y10" s="151"/>
      <c r="Z10" s="151"/>
      <c r="AA10" s="151"/>
      <c r="AB10" s="151"/>
      <c r="AC10" s="151"/>
      <c r="AD10" s="151"/>
      <c r="AE10" s="151"/>
      <c r="AF10" s="151"/>
      <c r="AG10" s="151"/>
      <c r="AH10" s="151"/>
      <c r="AI10" s="151"/>
      <c r="AJ10" s="151"/>
      <c r="AK10" s="151"/>
      <c r="AL10" s="151"/>
      <c r="AM10" s="151"/>
      <c r="AN10" s="151"/>
      <c r="AO10" s="151"/>
      <c r="AP10" s="151"/>
      <c r="AQ10" s="151"/>
      <c r="AR10" s="151"/>
      <c r="AS10" s="151"/>
      <c r="AT10" s="151"/>
      <c r="AU10" s="151"/>
      <c r="AV10" s="151"/>
      <c r="AW10" s="171"/>
    </row>
    <row r="11" spans="1:49" ht="13.5" customHeight="1">
      <c r="A11" s="42" t="s">
        <v>84</v>
      </c>
      <c r="B11" s="43">
        <v>13.058999999999999</v>
      </c>
      <c r="C11" s="43">
        <v>26.027999999999999</v>
      </c>
      <c r="D11" s="44">
        <v>28.568999999999999</v>
      </c>
      <c r="E11" s="44">
        <v>30.076000000000001</v>
      </c>
      <c r="F11" s="44">
        <v>31.044</v>
      </c>
      <c r="G11" s="44">
        <v>31.693000000000001</v>
      </c>
      <c r="H11" s="45">
        <v>48.69</v>
      </c>
      <c r="I11" s="45">
        <v>44.55</v>
      </c>
      <c r="J11" s="46"/>
      <c r="K11" s="47">
        <v>3.91</v>
      </c>
      <c r="L11" s="47">
        <v>0.9</v>
      </c>
      <c r="N11" s="42"/>
      <c r="O11" s="220"/>
      <c r="P11" s="220"/>
      <c r="Q11" s="151"/>
      <c r="R11" s="151"/>
      <c r="S11" s="151"/>
      <c r="T11" s="151"/>
      <c r="U11" s="151"/>
      <c r="V11" s="151"/>
      <c r="W11" s="151"/>
      <c r="X11" s="151"/>
      <c r="Y11" s="151"/>
      <c r="Z11" s="151"/>
      <c r="AA11" s="151"/>
      <c r="AB11" s="151"/>
      <c r="AC11" s="151"/>
      <c r="AD11" s="151"/>
      <c r="AE11" s="151"/>
      <c r="AF11" s="151"/>
      <c r="AG11" s="151"/>
      <c r="AH11" s="151"/>
      <c r="AI11" s="151"/>
      <c r="AJ11" s="151"/>
      <c r="AK11" s="151"/>
      <c r="AL11" s="151"/>
      <c r="AM11" s="151"/>
      <c r="AN11" s="151"/>
      <c r="AO11" s="151"/>
      <c r="AP11" s="151"/>
      <c r="AQ11" s="151"/>
      <c r="AR11" s="151"/>
      <c r="AS11" s="151"/>
      <c r="AT11" s="151"/>
      <c r="AU11" s="151"/>
      <c r="AV11" s="151"/>
      <c r="AW11" s="171"/>
    </row>
    <row r="12" spans="1:49" s="211" customFormat="1" ht="3" customHeight="1">
      <c r="A12" s="50"/>
      <c r="B12" s="51"/>
      <c r="C12" s="51"/>
      <c r="D12" s="52"/>
      <c r="E12" s="52"/>
      <c r="F12" s="52"/>
      <c r="G12" s="52"/>
      <c r="H12" s="52"/>
      <c r="I12" s="52"/>
      <c r="J12" s="54"/>
      <c r="K12" s="54"/>
      <c r="L12" s="54"/>
      <c r="M12" s="55"/>
      <c r="N12" s="218"/>
      <c r="O12" s="220"/>
      <c r="P12" s="220"/>
      <c r="Q12" s="151"/>
      <c r="R12" s="151"/>
      <c r="S12" s="151"/>
      <c r="T12" s="151"/>
      <c r="U12" s="151"/>
      <c r="V12" s="151"/>
      <c r="W12" s="219"/>
      <c r="X12" s="151"/>
      <c r="Y12" s="151"/>
      <c r="Z12" s="151"/>
      <c r="AA12" s="151"/>
      <c r="AB12" s="219"/>
      <c r="AC12" s="151"/>
      <c r="AD12" s="151"/>
      <c r="AE12" s="151"/>
      <c r="AF12" s="151"/>
      <c r="AG12" s="219"/>
      <c r="AH12" s="151"/>
      <c r="AI12" s="151"/>
      <c r="AJ12" s="151"/>
      <c r="AK12" s="151"/>
      <c r="AL12" s="219"/>
      <c r="AM12" s="151"/>
      <c r="AN12" s="151"/>
      <c r="AO12" s="151"/>
      <c r="AP12" s="151"/>
      <c r="AQ12" s="151"/>
      <c r="AR12" s="151"/>
      <c r="AS12" s="151"/>
      <c r="AT12" s="151"/>
      <c r="AU12" s="151"/>
      <c r="AV12" s="151"/>
      <c r="AW12" s="171"/>
    </row>
    <row r="13" spans="1:49" ht="13.5" customHeight="1">
      <c r="A13" s="37" t="s">
        <v>533</v>
      </c>
      <c r="B13" s="67"/>
      <c r="C13" s="67"/>
      <c r="D13" s="68"/>
      <c r="E13" s="68"/>
      <c r="F13" s="68"/>
      <c r="G13" s="68"/>
      <c r="H13" s="39"/>
      <c r="I13" s="39"/>
      <c r="J13" s="74"/>
      <c r="K13" s="75"/>
      <c r="L13" s="75"/>
      <c r="N13" s="37"/>
      <c r="O13" s="220"/>
      <c r="P13" s="220"/>
      <c r="Q13" s="151"/>
      <c r="R13" s="151"/>
      <c r="S13" s="151"/>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151"/>
      <c r="AS13" s="151"/>
      <c r="AT13" s="151"/>
      <c r="AU13" s="151"/>
      <c r="AV13" s="151"/>
      <c r="AW13" s="174"/>
    </row>
    <row r="14" spans="1:49" ht="13.5" customHeight="1">
      <c r="A14" s="42" t="s">
        <v>534</v>
      </c>
      <c r="B14" s="43">
        <v>5.7679999999999998</v>
      </c>
      <c r="C14" s="43">
        <v>23.937000000000001</v>
      </c>
      <c r="D14" s="44">
        <v>24.091000000000001</v>
      </c>
      <c r="E14" s="44">
        <v>27.452999999999999</v>
      </c>
      <c r="F14" s="44">
        <v>30.027999999999999</v>
      </c>
      <c r="G14" s="44">
        <v>35.454999999999998</v>
      </c>
      <c r="H14" s="45">
        <v>44.77</v>
      </c>
      <c r="I14" s="45">
        <v>49.84</v>
      </c>
      <c r="J14" s="46"/>
      <c r="K14" s="47">
        <v>8.23</v>
      </c>
      <c r="L14" s="47">
        <v>1.8</v>
      </c>
      <c r="N14" s="42"/>
      <c r="O14" s="220"/>
      <c r="P14" s="220"/>
      <c r="Q14" s="151"/>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151"/>
      <c r="AT14" s="151"/>
      <c r="AU14" s="151"/>
      <c r="AV14" s="151"/>
      <c r="AW14" s="171"/>
    </row>
    <row r="15" spans="1:49" ht="13.5" customHeight="1">
      <c r="A15" s="42" t="s">
        <v>535</v>
      </c>
      <c r="B15" s="43">
        <v>0.55600000000000005</v>
      </c>
      <c r="C15" s="43">
        <v>3.5569999999999999</v>
      </c>
      <c r="D15" s="44">
        <v>3.4049999999999998</v>
      </c>
      <c r="E15" s="44">
        <v>3.585</v>
      </c>
      <c r="F15" s="44">
        <v>3.698</v>
      </c>
      <c r="G15" s="44">
        <v>3.7549999999999999</v>
      </c>
      <c r="H15" s="45">
        <v>6.65</v>
      </c>
      <c r="I15" s="45">
        <v>5.28</v>
      </c>
      <c r="J15" s="46"/>
      <c r="K15" s="47">
        <v>10.86</v>
      </c>
      <c r="L15" s="47">
        <v>0.25</v>
      </c>
      <c r="N15" s="42"/>
      <c r="O15" s="220"/>
      <c r="P15" s="220"/>
      <c r="Q15" s="151"/>
      <c r="R15" s="151"/>
      <c r="S15" s="151"/>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151"/>
      <c r="AT15" s="151"/>
      <c r="AU15" s="151"/>
      <c r="AV15" s="151"/>
      <c r="AW15" s="171"/>
    </row>
    <row r="16" spans="1:49" ht="13.5" customHeight="1">
      <c r="A16" s="42" t="s">
        <v>119</v>
      </c>
      <c r="B16" s="43">
        <v>3.3079999999999998</v>
      </c>
      <c r="C16" s="43">
        <v>9.9039999999999999</v>
      </c>
      <c r="D16" s="44">
        <v>11.444000000000001</v>
      </c>
      <c r="E16" s="44">
        <v>12.468</v>
      </c>
      <c r="F16" s="44">
        <v>13.208</v>
      </c>
      <c r="G16" s="44">
        <v>13.795999999999999</v>
      </c>
      <c r="H16" s="45">
        <v>18.52</v>
      </c>
      <c r="I16" s="45">
        <v>19.39</v>
      </c>
      <c r="J16" s="46"/>
      <c r="K16" s="47">
        <v>6.28</v>
      </c>
      <c r="L16" s="47">
        <v>1.52</v>
      </c>
      <c r="N16" s="42"/>
      <c r="O16" s="220"/>
      <c r="P16" s="220"/>
      <c r="Q16" s="151"/>
      <c r="R16" s="151"/>
      <c r="S16" s="151"/>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151"/>
      <c r="AT16" s="151"/>
      <c r="AU16" s="151"/>
      <c r="AV16" s="151"/>
      <c r="AW16" s="171"/>
    </row>
    <row r="17" spans="1:49" ht="13.5" customHeight="1">
      <c r="A17" s="42" t="s">
        <v>536</v>
      </c>
      <c r="B17" s="43">
        <v>0</v>
      </c>
      <c r="C17" s="43">
        <v>1.2390000000000001</v>
      </c>
      <c r="D17" s="44">
        <v>1.452</v>
      </c>
      <c r="E17" s="44">
        <v>1.526</v>
      </c>
      <c r="F17" s="44">
        <v>1.4370000000000001</v>
      </c>
      <c r="G17" s="44">
        <v>1.3149999999999999</v>
      </c>
      <c r="H17" s="45">
        <v>2.3199999999999998</v>
      </c>
      <c r="I17" s="45">
        <v>1.85</v>
      </c>
      <c r="J17" s="46"/>
      <c r="K17" s="47" t="s">
        <v>38</v>
      </c>
      <c r="L17" s="47">
        <v>0.27</v>
      </c>
      <c r="N17" s="42"/>
      <c r="O17" s="220"/>
      <c r="P17" s="220"/>
      <c r="Q17" s="151"/>
      <c r="R17" s="151"/>
      <c r="S17" s="151"/>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1"/>
      <c r="AT17" s="151"/>
      <c r="AU17" s="151"/>
      <c r="AV17" s="151"/>
      <c r="AW17" s="171"/>
    </row>
    <row r="18" spans="1:49" ht="13.5" customHeight="1">
      <c r="A18" s="42" t="s">
        <v>537</v>
      </c>
      <c r="B18" s="43">
        <v>7.3529999999999998</v>
      </c>
      <c r="C18" s="43">
        <v>10.9</v>
      </c>
      <c r="D18" s="44">
        <v>10.433</v>
      </c>
      <c r="E18" s="44">
        <v>10.444000000000001</v>
      </c>
      <c r="F18" s="44">
        <v>10.455</v>
      </c>
      <c r="G18" s="44">
        <v>10.427</v>
      </c>
      <c r="H18" s="45">
        <v>20.39</v>
      </c>
      <c r="I18" s="45">
        <v>14.66</v>
      </c>
      <c r="J18" s="46"/>
      <c r="K18" s="47">
        <v>2.21</v>
      </c>
      <c r="L18" s="47">
        <v>-0.2</v>
      </c>
      <c r="N18" s="42"/>
      <c r="O18" s="220"/>
      <c r="P18" s="220"/>
      <c r="Q18" s="151"/>
      <c r="R18" s="151"/>
      <c r="S18" s="151"/>
      <c r="T18" s="151"/>
      <c r="U18" s="151"/>
      <c r="V18" s="151"/>
      <c r="W18" s="151"/>
      <c r="X18" s="151"/>
      <c r="Y18" s="151"/>
      <c r="Z18" s="151"/>
      <c r="AA18" s="151"/>
      <c r="AB18" s="151"/>
      <c r="AC18" s="151"/>
      <c r="AD18" s="151"/>
      <c r="AE18" s="151"/>
      <c r="AF18" s="151"/>
      <c r="AG18" s="151"/>
      <c r="AH18" s="151"/>
      <c r="AI18" s="151"/>
      <c r="AJ18" s="151"/>
      <c r="AK18" s="151"/>
      <c r="AL18" s="151"/>
      <c r="AM18" s="151"/>
      <c r="AN18" s="151"/>
      <c r="AO18" s="151"/>
      <c r="AP18" s="151"/>
      <c r="AQ18" s="151"/>
      <c r="AR18" s="151"/>
      <c r="AS18" s="151"/>
      <c r="AT18" s="151"/>
      <c r="AU18" s="151"/>
      <c r="AV18" s="151"/>
      <c r="AW18" s="171"/>
    </row>
    <row r="19" spans="1:49" ht="13.5" customHeight="1">
      <c r="A19" s="42" t="s">
        <v>538</v>
      </c>
      <c r="B19" s="43">
        <v>1.9</v>
      </c>
      <c r="C19" s="43">
        <v>3.8220000000000001</v>
      </c>
      <c r="D19" s="44">
        <v>5.2060000000000004</v>
      </c>
      <c r="E19" s="44">
        <v>5.6520000000000001</v>
      </c>
      <c r="F19" s="44">
        <v>6.0049999999999999</v>
      </c>
      <c r="G19" s="44">
        <v>6.2549999999999999</v>
      </c>
      <c r="H19" s="45">
        <v>7.15</v>
      </c>
      <c r="I19" s="45">
        <v>8.7899999999999991</v>
      </c>
      <c r="J19" s="46"/>
      <c r="K19" s="47">
        <v>3.96</v>
      </c>
      <c r="L19" s="47">
        <v>2.2599999999999998</v>
      </c>
      <c r="M19" s="55"/>
      <c r="N19" s="42"/>
      <c r="O19" s="220"/>
      <c r="P19" s="220"/>
      <c r="Q19" s="151"/>
      <c r="R19" s="151"/>
      <c r="S19" s="151"/>
      <c r="T19" s="151"/>
      <c r="U19" s="151"/>
      <c r="V19" s="151"/>
      <c r="W19" s="151"/>
      <c r="X19" s="151"/>
      <c r="Y19" s="151"/>
      <c r="Z19" s="151"/>
      <c r="AA19" s="151"/>
      <c r="AB19" s="151"/>
      <c r="AC19" s="151"/>
      <c r="AD19" s="151"/>
      <c r="AE19" s="151"/>
      <c r="AF19" s="151"/>
      <c r="AG19" s="151"/>
      <c r="AH19" s="151"/>
      <c r="AI19" s="151"/>
      <c r="AJ19" s="151"/>
      <c r="AK19" s="151"/>
      <c r="AL19" s="151"/>
      <c r="AM19" s="151"/>
      <c r="AN19" s="151"/>
      <c r="AO19" s="151"/>
      <c r="AP19" s="151"/>
      <c r="AQ19" s="151"/>
      <c r="AR19" s="151"/>
      <c r="AS19" s="151"/>
      <c r="AT19" s="151"/>
      <c r="AU19" s="151"/>
      <c r="AV19" s="151"/>
      <c r="AW19" s="171"/>
    </row>
    <row r="20" spans="1:49">
      <c r="H20" s="214"/>
      <c r="I20" s="214"/>
      <c r="J20" s="215"/>
      <c r="K20" s="214"/>
      <c r="L20" s="214"/>
    </row>
    <row r="21" spans="1:49">
      <c r="A21" s="257" t="s">
        <v>606</v>
      </c>
      <c r="B21" s="30"/>
      <c r="H21" s="214"/>
      <c r="I21" s="214"/>
      <c r="J21" s="215"/>
      <c r="K21" s="214"/>
      <c r="L21" s="214"/>
      <c r="N21" s="31" t="s">
        <v>831</v>
      </c>
      <c r="O21" s="146"/>
      <c r="P21" s="146"/>
      <c r="Q21" s="146"/>
      <c r="R21" s="146"/>
      <c r="S21" s="146"/>
      <c r="T21" s="146"/>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row>
    <row r="22" spans="1:49">
      <c r="A22" s="388">
        <f>About!C89</f>
        <v>39656668310000</v>
      </c>
      <c r="B22" s="256" t="s">
        <v>29</v>
      </c>
      <c r="H22" s="214"/>
      <c r="I22" s="214"/>
      <c r="J22" s="215"/>
      <c r="K22" s="214"/>
      <c r="L22" s="214"/>
      <c r="N22" s="31"/>
      <c r="O22" s="144">
        <v>2000</v>
      </c>
      <c r="P22" s="144">
        <v>2018</v>
      </c>
      <c r="Q22" s="156">
        <v>2025</v>
      </c>
      <c r="R22" s="156">
        <v>2030</v>
      </c>
      <c r="S22" s="156">
        <v>2035</v>
      </c>
      <c r="T22" s="156">
        <v>2040</v>
      </c>
      <c r="U22" s="30"/>
      <c r="V22" s="30"/>
      <c r="W22" s="30"/>
      <c r="X22" s="30"/>
      <c r="Y22" s="30"/>
      <c r="Z22" s="170"/>
      <c r="AA22" s="30"/>
      <c r="AB22" s="30"/>
      <c r="AC22" s="30"/>
      <c r="AD22" s="30"/>
      <c r="AE22" s="30"/>
      <c r="AF22" s="30"/>
      <c r="AG22" s="30"/>
      <c r="AH22" s="30"/>
      <c r="AI22" s="30"/>
      <c r="AJ22" s="30"/>
      <c r="AK22" s="30"/>
      <c r="AL22" s="30"/>
      <c r="AM22" s="30"/>
      <c r="AN22" s="30"/>
      <c r="AO22" s="30"/>
      <c r="AP22" s="30"/>
      <c r="AQ22" s="30"/>
      <c r="AR22" s="30"/>
      <c r="AS22" s="30"/>
      <c r="AT22" s="172"/>
      <c r="AU22" s="30"/>
      <c r="AV22" s="30"/>
    </row>
    <row r="23" spans="1:49">
      <c r="H23" s="214"/>
      <c r="I23" s="214"/>
      <c r="J23" s="215"/>
      <c r="K23" s="214"/>
      <c r="L23" s="214"/>
      <c r="N23" s="37" t="s">
        <v>529</v>
      </c>
      <c r="O23" s="147">
        <f>O5</f>
        <v>750304164425200.13</v>
      </c>
      <c r="P23" s="147">
        <f>P5</f>
        <v>2120124801189220.3</v>
      </c>
      <c r="Q23" s="148">
        <f>W5</f>
        <v>2577534727643840</v>
      </c>
      <c r="R23" s="148">
        <f>AB5</f>
        <v>2894143653263800</v>
      </c>
      <c r="S23" s="148">
        <f>AG5</f>
        <v>3157582900847136</v>
      </c>
      <c r="T23" s="148">
        <f>AL5</f>
        <v>3421022148430460</v>
      </c>
      <c r="U23" s="30"/>
      <c r="V23" s="30"/>
      <c r="W23" s="30"/>
      <c r="X23" s="30"/>
      <c r="Y23" s="30"/>
      <c r="Z23" s="170"/>
      <c r="AA23" s="30"/>
      <c r="AB23" s="30"/>
      <c r="AC23" s="30"/>
      <c r="AD23" s="30"/>
      <c r="AE23" s="30"/>
      <c r="AF23" s="30"/>
      <c r="AG23" s="30"/>
      <c r="AH23" s="30"/>
      <c r="AI23" s="30"/>
      <c r="AJ23" s="30"/>
      <c r="AK23" s="30"/>
      <c r="AL23" s="30"/>
      <c r="AM23" s="30"/>
      <c r="AN23" s="30"/>
      <c r="AO23" s="30"/>
      <c r="AP23" s="30"/>
      <c r="AQ23" s="30"/>
      <c r="AR23" s="30"/>
      <c r="AS23" s="30"/>
      <c r="AT23" s="173"/>
      <c r="AU23" s="165"/>
      <c r="AV23" s="165"/>
      <c r="AW23" s="171"/>
    </row>
    <row r="24" spans="1:49">
      <c r="A24" s="492" t="s">
        <v>832</v>
      </c>
      <c r="B24" s="493"/>
      <c r="C24" s="493"/>
      <c r="D24" s="493"/>
      <c r="E24" s="493"/>
      <c r="F24" s="493"/>
      <c r="G24" s="493"/>
      <c r="H24" s="493"/>
      <c r="I24" s="493"/>
      <c r="J24" s="493"/>
      <c r="K24" s="214"/>
      <c r="L24" s="214"/>
      <c r="N24" s="42" t="s">
        <v>530</v>
      </c>
      <c r="O24" s="147">
        <f t="shared" ref="O24:P25" si="2">O6</f>
        <v>244562673467770</v>
      </c>
      <c r="P24" s="147">
        <f>P6</f>
        <v>1098093145503900</v>
      </c>
      <c r="Q24" s="148">
        <f>W6</f>
        <v>1359271962993568</v>
      </c>
      <c r="R24" s="148">
        <f t="shared" ref="R24:R25" si="3">AB6</f>
        <v>1576193938649260</v>
      </c>
      <c r="S24" s="148">
        <f t="shared" ref="S24:S25" si="4">AG6</f>
        <v>1808542358277552</v>
      </c>
      <c r="T24" s="148">
        <f t="shared" ref="T24:T25" si="5">AL6</f>
        <v>2040890777905840</v>
      </c>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row>
    <row r="25" spans="1:49">
      <c r="A25" s="499" t="s">
        <v>50</v>
      </c>
      <c r="B25" s="499"/>
      <c r="C25" s="499"/>
      <c r="D25" s="499"/>
      <c r="E25" s="499"/>
      <c r="F25" s="499"/>
      <c r="G25" s="499"/>
      <c r="H25" s="499"/>
      <c r="I25" s="499"/>
      <c r="J25" s="499"/>
      <c r="K25" s="214"/>
      <c r="L25" s="214"/>
      <c r="N25" s="42" t="s">
        <v>531</v>
      </c>
      <c r="O25" s="147">
        <f t="shared" si="2"/>
        <v>504313850898270</v>
      </c>
      <c r="P25" s="147">
        <f t="shared" si="2"/>
        <v>1025719725838150</v>
      </c>
      <c r="Q25" s="148">
        <f t="shared" ref="Q25" si="6">W7</f>
        <v>1073971977004344</v>
      </c>
      <c r="R25" s="148">
        <f t="shared" si="3"/>
        <v>1141239600625180</v>
      </c>
      <c r="S25" s="148">
        <f t="shared" si="4"/>
        <v>1178437555499960</v>
      </c>
      <c r="T25" s="148">
        <f t="shared" si="5"/>
        <v>1215635510374740</v>
      </c>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row>
    <row r="26" spans="1:49">
      <c r="A26" s="31"/>
      <c r="B26" s="32"/>
      <c r="C26" s="32"/>
      <c r="D26" s="32"/>
      <c r="E26" s="32"/>
      <c r="F26" s="32"/>
      <c r="G26" s="494" t="s">
        <v>30</v>
      </c>
      <c r="H26" s="494"/>
      <c r="I26" s="494" t="s">
        <v>31</v>
      </c>
      <c r="J26" s="494"/>
    </row>
    <row r="27" spans="1:49" ht="56.25">
      <c r="A27" s="31"/>
      <c r="B27" s="34">
        <v>2000</v>
      </c>
      <c r="C27" s="34">
        <v>2022</v>
      </c>
      <c r="D27" s="34">
        <v>2030</v>
      </c>
      <c r="E27" s="34">
        <v>2040</v>
      </c>
      <c r="F27" s="34">
        <v>2050</v>
      </c>
      <c r="G27" s="35">
        <v>2022</v>
      </c>
      <c r="H27" s="35">
        <v>2050</v>
      </c>
      <c r="I27" s="35" t="s">
        <v>822</v>
      </c>
      <c r="J27" s="35" t="s">
        <v>823</v>
      </c>
      <c r="N27" s="31" t="s">
        <v>840</v>
      </c>
      <c r="O27" s="146"/>
      <c r="P27" s="146"/>
      <c r="Q27" s="146"/>
      <c r="R27" s="146"/>
      <c r="S27" s="146"/>
      <c r="AU27" s="30"/>
      <c r="AV27" s="210"/>
      <c r="AW27" s="210"/>
    </row>
    <row r="28" spans="1:49">
      <c r="A28" s="37" t="s">
        <v>529</v>
      </c>
      <c r="B28" s="67">
        <v>18.920000000000002</v>
      </c>
      <c r="C28" s="67">
        <v>60.206000000000003</v>
      </c>
      <c r="D28" s="68">
        <v>72.98</v>
      </c>
      <c r="E28" s="68">
        <v>86.266000000000005</v>
      </c>
      <c r="F28" s="68">
        <v>92.314999999999998</v>
      </c>
      <c r="G28" s="39">
        <v>94.77</v>
      </c>
      <c r="H28" s="39">
        <v>96.210000000000008</v>
      </c>
      <c r="I28" s="75">
        <v>5.4</v>
      </c>
      <c r="J28" s="75">
        <v>1.54</v>
      </c>
      <c r="N28" s="31"/>
      <c r="O28" s="144">
        <v>2000</v>
      </c>
      <c r="P28" s="144">
        <v>2022</v>
      </c>
      <c r="Q28" s="156">
        <v>2030</v>
      </c>
      <c r="R28" s="156">
        <v>2040</v>
      </c>
      <c r="S28" s="144">
        <v>2050</v>
      </c>
      <c r="AU28" s="30"/>
      <c r="AV28" s="210"/>
      <c r="AW28" s="210"/>
    </row>
    <row r="29" spans="1:49">
      <c r="A29" s="42" t="s">
        <v>530</v>
      </c>
      <c r="B29" s="43">
        <v>6.1669999999999998</v>
      </c>
      <c r="C29" s="43">
        <v>30.994</v>
      </c>
      <c r="D29" s="44">
        <v>39.746000000000002</v>
      </c>
      <c r="E29" s="44">
        <v>51.463999999999999</v>
      </c>
      <c r="F29" s="44">
        <v>58.578000000000003</v>
      </c>
      <c r="G29" s="45">
        <v>51.48</v>
      </c>
      <c r="H29" s="45">
        <v>63.45</v>
      </c>
      <c r="I29" s="47">
        <v>7.61</v>
      </c>
      <c r="J29" s="47">
        <v>2.2999999999999998</v>
      </c>
      <c r="N29" s="37" t="s">
        <v>529</v>
      </c>
      <c r="O29" s="147">
        <f>O5</f>
        <v>750304164425200.13</v>
      </c>
      <c r="P29" s="147">
        <f>T5</f>
        <v>2387569372271860</v>
      </c>
      <c r="Q29" s="148">
        <f>AB5</f>
        <v>2894143653263800</v>
      </c>
      <c r="R29" s="148">
        <f>AL5</f>
        <v>3421022148430460</v>
      </c>
      <c r="S29" s="148">
        <f>AV5</f>
        <v>3660905335037650</v>
      </c>
      <c r="AU29" s="30"/>
      <c r="AV29" s="210"/>
      <c r="AW29" s="210"/>
    </row>
    <row r="30" spans="1:49">
      <c r="A30" s="42" t="s">
        <v>531</v>
      </c>
      <c r="B30" s="43">
        <v>12.717000000000001</v>
      </c>
      <c r="C30" s="43">
        <v>26.064</v>
      </c>
      <c r="D30" s="44">
        <v>28.777999999999999</v>
      </c>
      <c r="E30" s="44">
        <v>30.654</v>
      </c>
      <c r="F30" s="44">
        <v>30.244</v>
      </c>
      <c r="G30" s="45">
        <v>43.29</v>
      </c>
      <c r="H30" s="45">
        <v>32.76</v>
      </c>
      <c r="I30" s="47">
        <v>3.32</v>
      </c>
      <c r="J30" s="47">
        <v>0.53</v>
      </c>
      <c r="N30" s="42" t="s">
        <v>530</v>
      </c>
      <c r="O30" s="147">
        <f>O6</f>
        <v>244562673467770</v>
      </c>
      <c r="P30" s="147">
        <f>T6</f>
        <v>1229118777600140</v>
      </c>
      <c r="Q30" s="148">
        <f>AB6</f>
        <v>1576193938649260</v>
      </c>
      <c r="R30" s="148">
        <f>AL6</f>
        <v>2040890777905840</v>
      </c>
      <c r="S30" s="148">
        <f>AV6</f>
        <v>2323008316263180</v>
      </c>
      <c r="AU30" s="30"/>
      <c r="AV30" s="210"/>
      <c r="AW30" s="210"/>
    </row>
    <row r="31" spans="1:49">
      <c r="A31" s="50"/>
      <c r="B31" s="51"/>
      <c r="C31" s="51"/>
      <c r="D31" s="52"/>
      <c r="E31" s="52"/>
      <c r="F31" s="52"/>
      <c r="G31" s="52"/>
      <c r="H31" s="52"/>
      <c r="I31" s="54"/>
      <c r="J31" s="54"/>
      <c r="N31" s="42" t="s">
        <v>531</v>
      </c>
      <c r="O31" s="147">
        <f>O7</f>
        <v>504313850898270</v>
      </c>
      <c r="P31" s="147">
        <f>T7</f>
        <v>1033611402831840</v>
      </c>
      <c r="Q31" s="148">
        <f>AB7</f>
        <v>1141239600625180</v>
      </c>
      <c r="R31" s="148">
        <f>AL7</f>
        <v>1215635510374740</v>
      </c>
      <c r="S31" s="148">
        <f>AV7</f>
        <v>1199376276367640</v>
      </c>
      <c r="AU31" s="30"/>
      <c r="AV31" s="210"/>
      <c r="AW31" s="210"/>
    </row>
    <row r="32" spans="1:49">
      <c r="A32" s="37" t="s">
        <v>533</v>
      </c>
      <c r="B32" s="67"/>
      <c r="C32" s="67"/>
      <c r="D32" s="68"/>
      <c r="E32" s="68"/>
      <c r="F32" s="68"/>
      <c r="G32" s="39"/>
      <c r="H32" s="39"/>
      <c r="I32" s="75"/>
      <c r="J32" s="75"/>
    </row>
    <row r="33" spans="1:10">
      <c r="A33" s="42" t="s">
        <v>833</v>
      </c>
      <c r="B33" s="43">
        <v>5.8380000000000001</v>
      </c>
      <c r="C33" s="43">
        <v>14.004</v>
      </c>
      <c r="D33" s="44">
        <v>20.587</v>
      </c>
      <c r="E33" s="44">
        <v>26.1</v>
      </c>
      <c r="F33" s="44">
        <v>29.808</v>
      </c>
      <c r="G33" s="45">
        <v>23.26</v>
      </c>
      <c r="H33" s="45">
        <v>32.29</v>
      </c>
      <c r="I33" s="47">
        <v>4.0599999999999996</v>
      </c>
      <c r="J33" s="47">
        <v>2.73</v>
      </c>
    </row>
    <row r="34" spans="1:10">
      <c r="A34" s="42" t="s">
        <v>834</v>
      </c>
      <c r="B34" s="43">
        <v>0.32900000000000001</v>
      </c>
      <c r="C34" s="43">
        <v>16.385999999999999</v>
      </c>
      <c r="D34" s="44">
        <v>16.722000000000001</v>
      </c>
      <c r="E34" s="44">
        <v>17.611999999999998</v>
      </c>
      <c r="F34" s="44">
        <v>17.675999999999998</v>
      </c>
      <c r="G34" s="45">
        <v>27.22</v>
      </c>
      <c r="H34" s="45">
        <v>19.149999999999999</v>
      </c>
      <c r="I34" s="47">
        <v>19.440000000000001</v>
      </c>
      <c r="J34" s="47">
        <v>0.27</v>
      </c>
    </row>
    <row r="35" spans="1:10">
      <c r="A35" s="42" t="s">
        <v>835</v>
      </c>
      <c r="B35" s="43">
        <v>0</v>
      </c>
      <c r="C35" s="43">
        <v>0.61</v>
      </c>
      <c r="D35" s="44">
        <v>2.4380000000000002</v>
      </c>
      <c r="E35" s="44">
        <v>7.7519999999999998</v>
      </c>
      <c r="F35" s="44">
        <v>11.093</v>
      </c>
      <c r="G35" s="45">
        <v>1.01</v>
      </c>
      <c r="H35" s="45">
        <v>12.02</v>
      </c>
      <c r="I35" s="47">
        <v>429.64</v>
      </c>
      <c r="J35" s="47">
        <v>10.91</v>
      </c>
    </row>
    <row r="36" spans="1:10">
      <c r="A36" s="42" t="s">
        <v>836</v>
      </c>
      <c r="B36" s="43">
        <v>0.438</v>
      </c>
      <c r="C36" s="43">
        <v>2.8029999999999999</v>
      </c>
      <c r="D36" s="44">
        <v>4.0890000000000004</v>
      </c>
      <c r="E36" s="44">
        <v>3.7930000000000001</v>
      </c>
      <c r="F36" s="44">
        <v>3.13</v>
      </c>
      <c r="G36" s="45">
        <v>4.66</v>
      </c>
      <c r="H36" s="45">
        <v>3.39</v>
      </c>
      <c r="I36" s="47">
        <v>8.8000000000000007</v>
      </c>
      <c r="J36" s="47">
        <v>0.39</v>
      </c>
    </row>
    <row r="37" spans="1:10">
      <c r="A37" s="42" t="s">
        <v>119</v>
      </c>
      <c r="B37" s="43">
        <v>3.516</v>
      </c>
      <c r="C37" s="43">
        <v>10.010999999999999</v>
      </c>
      <c r="D37" s="44">
        <v>12.151</v>
      </c>
      <c r="E37" s="44">
        <v>14.108000000000001</v>
      </c>
      <c r="F37" s="44">
        <v>14.766999999999999</v>
      </c>
      <c r="G37" s="45">
        <v>16.63</v>
      </c>
      <c r="H37" s="45">
        <v>16</v>
      </c>
      <c r="I37" s="47">
        <v>4.87</v>
      </c>
      <c r="J37" s="47">
        <v>1.4</v>
      </c>
    </row>
    <row r="38" spans="1:10">
      <c r="A38" s="42" t="s">
        <v>837</v>
      </c>
      <c r="B38" s="43">
        <v>0</v>
      </c>
      <c r="C38" s="43">
        <v>1.0249999999999999</v>
      </c>
      <c r="D38" s="44">
        <v>1.419</v>
      </c>
      <c r="E38" s="44">
        <v>0.79100000000000004</v>
      </c>
      <c r="F38" s="44">
        <v>0.129</v>
      </c>
      <c r="G38" s="45">
        <v>1.7</v>
      </c>
      <c r="H38" s="45">
        <v>0.14000000000000001</v>
      </c>
      <c r="I38" s="47" t="s">
        <v>38</v>
      </c>
      <c r="J38" s="47">
        <v>-7.13</v>
      </c>
    </row>
    <row r="39" spans="1:10">
      <c r="A39" s="42" t="s">
        <v>838</v>
      </c>
      <c r="B39" s="43">
        <v>7.3529999999999998</v>
      </c>
      <c r="C39" s="43">
        <v>11.468999999999999</v>
      </c>
      <c r="D39" s="44">
        <v>10.622999999999999</v>
      </c>
      <c r="E39" s="44">
        <v>10.084</v>
      </c>
      <c r="F39" s="44">
        <v>9.2029999999999994</v>
      </c>
      <c r="G39" s="45">
        <v>19.05</v>
      </c>
      <c r="H39" s="45">
        <v>9.9700000000000006</v>
      </c>
      <c r="I39" s="47">
        <v>2.04</v>
      </c>
      <c r="J39" s="47">
        <v>-0.78</v>
      </c>
    </row>
    <row r="40" spans="1:10" ht="17.25" thickBot="1">
      <c r="A40" s="42" t="s">
        <v>538</v>
      </c>
      <c r="B40" s="43">
        <v>1.849</v>
      </c>
      <c r="C40" s="43">
        <v>3.5579999999999998</v>
      </c>
      <c r="D40" s="44">
        <v>4.5839999999999996</v>
      </c>
      <c r="E40" s="44">
        <v>5.6710000000000003</v>
      </c>
      <c r="F40" s="44">
        <v>6.1449999999999996</v>
      </c>
      <c r="G40" s="45">
        <v>5.91</v>
      </c>
      <c r="H40" s="45">
        <v>6.66</v>
      </c>
      <c r="I40" s="47">
        <v>3.02</v>
      </c>
      <c r="J40" s="47">
        <v>1.97</v>
      </c>
    </row>
    <row r="41" spans="1:10">
      <c r="A41" s="495" t="s">
        <v>839</v>
      </c>
      <c r="B41" s="496"/>
      <c r="C41" s="496"/>
      <c r="D41" s="496"/>
      <c r="E41" s="496"/>
      <c r="F41" s="496"/>
      <c r="G41" s="496"/>
      <c r="H41" s="496"/>
      <c r="I41" s="496"/>
      <c r="J41" s="496"/>
    </row>
  </sheetData>
  <mergeCells count="9">
    <mergeCell ref="A25:J25"/>
    <mergeCell ref="G26:H26"/>
    <mergeCell ref="I26:J26"/>
    <mergeCell ref="A41:J41"/>
    <mergeCell ref="A1:L1"/>
    <mergeCell ref="A2:L2"/>
    <mergeCell ref="H3:I3"/>
    <mergeCell ref="K3:L3"/>
    <mergeCell ref="A24:J24"/>
  </mergeCells>
  <phoneticPr fontId="37"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F5B11-0DA8-4FA0-8A1F-22003A917C06}">
  <dimension ref="A1:AW111"/>
  <sheetViews>
    <sheetView workbookViewId="0">
      <selection activeCell="U6" sqref="U6"/>
    </sheetView>
  </sheetViews>
  <sheetFormatPr defaultColWidth="9.125" defaultRowHeight="16.5"/>
  <cols>
    <col min="1" max="1" width="20.625" style="210" customWidth="1"/>
    <col min="2" max="3" width="6.125" style="210" customWidth="1"/>
    <col min="4" max="4" width="6.125" style="210" customWidth="1" collapsed="1"/>
    <col min="5" max="7" width="6.125" style="210" customWidth="1"/>
    <col min="8" max="9" width="5.5" style="210" customWidth="1"/>
    <col min="10" max="10" width="0.625" style="211" customWidth="1"/>
    <col min="11" max="12" width="5.5" style="210" customWidth="1"/>
    <col min="13" max="13" width="4.375" style="30" customWidth="1"/>
    <col min="14" max="14" width="20.625" style="30" customWidth="1"/>
    <col min="15" max="48" width="6.125" style="150" customWidth="1"/>
    <col min="49" max="49" width="9.125" style="30"/>
    <col min="50" max="16384" width="9.125" style="210"/>
  </cols>
  <sheetData>
    <row r="1" spans="1:49" ht="30" customHeight="1">
      <c r="A1" s="505" t="s">
        <v>540</v>
      </c>
      <c r="B1" s="506"/>
      <c r="C1" s="506"/>
      <c r="D1" s="506"/>
      <c r="E1" s="506"/>
      <c r="F1" s="506"/>
      <c r="G1" s="506"/>
      <c r="H1" s="506"/>
      <c r="I1" s="506"/>
      <c r="J1" s="506"/>
      <c r="K1" s="506"/>
      <c r="L1" s="506"/>
      <c r="M1" s="159">
        <v>1</v>
      </c>
      <c r="N1" s="160" t="s">
        <v>40</v>
      </c>
      <c r="O1" s="161" t="s">
        <v>28</v>
      </c>
      <c r="Q1" s="162" t="s">
        <v>29</v>
      </c>
      <c r="S1" s="145"/>
      <c r="T1" s="145"/>
      <c r="U1" s="145"/>
      <c r="V1" s="145"/>
      <c r="X1" s="155"/>
      <c r="Y1" s="155"/>
      <c r="Z1" s="155"/>
      <c r="AA1" s="155"/>
      <c r="AB1" s="155"/>
      <c r="AC1" s="155"/>
      <c r="AD1" s="155"/>
      <c r="AE1" s="155"/>
      <c r="AF1" s="155"/>
      <c r="AG1" s="155"/>
      <c r="AH1" s="154"/>
      <c r="AI1" s="154"/>
      <c r="AJ1" s="154"/>
      <c r="AK1" s="154"/>
      <c r="AM1" s="155"/>
      <c r="AN1" s="155"/>
      <c r="AO1" s="155"/>
      <c r="AP1" s="155"/>
      <c r="AQ1" s="155"/>
      <c r="AR1" s="154"/>
      <c r="AS1" s="154"/>
      <c r="AT1" s="154"/>
      <c r="AU1" s="154"/>
    </row>
    <row r="2" spans="1:49">
      <c r="A2" s="507" t="s">
        <v>50</v>
      </c>
      <c r="B2" s="507"/>
      <c r="C2" s="507"/>
      <c r="D2" s="507"/>
      <c r="E2" s="507"/>
      <c r="F2" s="507"/>
      <c r="G2" s="507"/>
      <c r="H2" s="507"/>
      <c r="I2" s="507"/>
      <c r="J2" s="507"/>
      <c r="K2" s="507"/>
      <c r="L2" s="507"/>
      <c r="N2" s="153" t="s">
        <v>438</v>
      </c>
      <c r="O2" s="153"/>
      <c r="P2" s="153"/>
      <c r="Q2" s="153"/>
      <c r="R2" s="153"/>
      <c r="S2" s="153"/>
      <c r="T2" s="153"/>
      <c r="U2" s="153"/>
      <c r="V2" s="153"/>
      <c r="W2" s="153"/>
      <c r="X2" s="153"/>
      <c r="Y2" s="153"/>
      <c r="Z2" s="153"/>
      <c r="AA2" s="153"/>
      <c r="AB2" s="153"/>
      <c r="AC2" s="153"/>
      <c r="AD2" s="153"/>
      <c r="AE2" s="153"/>
      <c r="AF2" s="153"/>
      <c r="AG2" s="153"/>
      <c r="AH2" s="153"/>
      <c r="AI2" s="153"/>
      <c r="AJ2" s="153"/>
      <c r="AK2" s="153"/>
      <c r="AM2" s="153"/>
      <c r="AN2" s="153"/>
      <c r="AO2" s="153"/>
      <c r="AP2" s="153"/>
      <c r="AQ2" s="153"/>
      <c r="AR2" s="153"/>
      <c r="AS2" s="153"/>
      <c r="AT2" s="153"/>
      <c r="AU2" s="153"/>
    </row>
    <row r="3" spans="1:49" ht="15" customHeight="1">
      <c r="A3" s="31"/>
      <c r="B3" s="32"/>
      <c r="C3" s="32"/>
      <c r="D3" s="32"/>
      <c r="E3" s="32"/>
      <c r="F3" s="32"/>
      <c r="G3" s="32"/>
      <c r="H3" s="494" t="s">
        <v>30</v>
      </c>
      <c r="I3" s="494"/>
      <c r="J3" s="33"/>
      <c r="K3" s="494" t="s">
        <v>31</v>
      </c>
      <c r="L3" s="494"/>
      <c r="N3" s="31"/>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row>
    <row r="4" spans="1:49" ht="15" customHeight="1">
      <c r="A4" s="31"/>
      <c r="B4" s="34">
        <v>2000</v>
      </c>
      <c r="C4" s="34">
        <v>2018</v>
      </c>
      <c r="D4" s="34">
        <v>2025</v>
      </c>
      <c r="E4" s="34">
        <v>2030</v>
      </c>
      <c r="F4" s="34">
        <v>2035</v>
      </c>
      <c r="G4" s="34">
        <v>2040</v>
      </c>
      <c r="H4" s="35">
        <v>2018</v>
      </c>
      <c r="I4" s="35">
        <v>2040</v>
      </c>
      <c r="J4" s="36"/>
      <c r="K4" s="35" t="s">
        <v>32</v>
      </c>
      <c r="L4" s="35" t="s">
        <v>33</v>
      </c>
      <c r="N4" s="31"/>
      <c r="O4" s="144">
        <v>2000</v>
      </c>
      <c r="P4" s="144">
        <v>2018</v>
      </c>
      <c r="Q4" s="144">
        <v>2019</v>
      </c>
      <c r="R4" s="156">
        <v>2020</v>
      </c>
      <c r="S4" s="144">
        <v>2021</v>
      </c>
      <c r="T4" s="144">
        <v>2022</v>
      </c>
      <c r="U4" s="144">
        <v>2023</v>
      </c>
      <c r="V4" s="144">
        <v>2024</v>
      </c>
      <c r="W4" s="156">
        <v>2025</v>
      </c>
      <c r="X4" s="144">
        <v>2026</v>
      </c>
      <c r="Y4" s="144">
        <v>2027</v>
      </c>
      <c r="Z4" s="144">
        <v>2028</v>
      </c>
      <c r="AA4" s="144">
        <v>2029</v>
      </c>
      <c r="AB4" s="156">
        <v>2030</v>
      </c>
      <c r="AC4" s="144">
        <v>2031</v>
      </c>
      <c r="AD4" s="144">
        <v>2032</v>
      </c>
      <c r="AE4" s="144">
        <v>2033</v>
      </c>
      <c r="AF4" s="144">
        <v>2034</v>
      </c>
      <c r="AG4" s="156">
        <v>2035</v>
      </c>
      <c r="AH4" s="144">
        <v>2036</v>
      </c>
      <c r="AI4" s="144">
        <v>2037</v>
      </c>
      <c r="AJ4" s="144">
        <v>2038</v>
      </c>
      <c r="AK4" s="144">
        <v>2039</v>
      </c>
      <c r="AL4" s="156">
        <v>2040</v>
      </c>
      <c r="AM4" s="144">
        <v>2041</v>
      </c>
      <c r="AN4" s="144">
        <v>2042</v>
      </c>
      <c r="AO4" s="144">
        <v>2043</v>
      </c>
      <c r="AP4" s="144">
        <v>2044</v>
      </c>
      <c r="AQ4" s="156">
        <v>2045</v>
      </c>
      <c r="AR4" s="144">
        <v>2046</v>
      </c>
      <c r="AS4" s="144">
        <v>2047</v>
      </c>
      <c r="AT4" s="144">
        <v>2048</v>
      </c>
      <c r="AU4" s="144">
        <v>2049</v>
      </c>
      <c r="AV4" s="144">
        <v>2050</v>
      </c>
      <c r="AW4" s="170" t="s">
        <v>447</v>
      </c>
    </row>
    <row r="5" spans="1:49" ht="13.5" customHeight="1">
      <c r="A5" s="80" t="s">
        <v>541</v>
      </c>
      <c r="B5" s="67">
        <v>42.924999999999997</v>
      </c>
      <c r="C5" s="67">
        <v>86.650999999999996</v>
      </c>
      <c r="D5" s="68">
        <v>93.97</v>
      </c>
      <c r="E5" s="68">
        <v>95.808999999999997</v>
      </c>
      <c r="F5" s="68">
        <v>94.081999999999994</v>
      </c>
      <c r="G5" s="68">
        <v>84.397000000000006</v>
      </c>
      <c r="H5" s="39">
        <v>100</v>
      </c>
      <c r="I5" s="39">
        <v>100</v>
      </c>
      <c r="J5" s="74"/>
      <c r="K5" s="75">
        <v>3.98</v>
      </c>
      <c r="L5" s="75">
        <v>-0.12</v>
      </c>
      <c r="N5" s="37" t="s">
        <v>529</v>
      </c>
      <c r="O5" s="149">
        <f t="shared" ref="O5:P7" si="0">B5*$A$24</f>
        <v>1702262487206750</v>
      </c>
      <c r="P5" s="149">
        <f>C5*$A$24</f>
        <v>3436289965729810</v>
      </c>
      <c r="Q5" s="151" cm="1">
        <f t="array" ref="Q5">TREND($P23:$Q23,$P$22:$Q$22,Q$4)</f>
        <v>3314329423116384</v>
      </c>
      <c r="R5" s="151" cm="1">
        <f t="array" ref="R5">TREND($P23:$Q23,$P$22:$Q$22,R$4)</f>
        <v>3192368880502912</v>
      </c>
      <c r="S5" s="151" cm="1">
        <f t="array" ref="S5">TREND($P23:$Q23,$P$22:$Q$22,S$4)</f>
        <v>3070408337889472</v>
      </c>
      <c r="T5" s="417">
        <f>C31*$A$24</f>
        <v>2739680930196350</v>
      </c>
      <c r="U5" s="151" cm="1">
        <f t="array" ref="U5">TREND($P30:$Q30,$P$29:$Q$29,U$4)</f>
        <v>2687309342609440</v>
      </c>
      <c r="V5" s="151" cm="1">
        <f t="array" ref="V5">TREND($P30:$Q30,$P$29:$Q$29,V$4)</f>
        <v>2634937755022560</v>
      </c>
      <c r="W5" s="151" cm="1">
        <f t="array" ref="W5">TREND($P30:$Q30,$P$29:$Q$29,W$4)</f>
        <v>2582566167435664</v>
      </c>
      <c r="X5" s="151" cm="1">
        <f t="array" ref="X5">TREND($P30:$Q30,$P$29:$Q$29,X$4)</f>
        <v>2530194579848768</v>
      </c>
      <c r="Y5" s="151" cm="1">
        <f t="array" ref="Y5">TREND($P30:$Q30,$P$29:$Q$29,Y$4)</f>
        <v>2477822992261872</v>
      </c>
      <c r="Z5" s="151" cm="1">
        <f t="array" ref="Z5">TREND($P30:$Q30,$P$29:$Q$29,Z$4)</f>
        <v>2425451404674976</v>
      </c>
      <c r="AA5" s="151" cm="1">
        <f t="array" ref="AA5">TREND($P30:$Q30,$P$29:$Q$29,AA$4)</f>
        <v>2373079817088080</v>
      </c>
      <c r="AB5" s="158">
        <f>D31*$A$24</f>
        <v>2320708229501200</v>
      </c>
      <c r="AC5" s="151" cm="1">
        <f t="array" ref="AC5">TREND($Q30:$R30,$Q$29:$R$29,AC$4)</f>
        <v>2268527985338912</v>
      </c>
      <c r="AD5" s="151" cm="1">
        <f t="array" ref="AD5">TREND($Q30:$R30,$Q$29:$R$29,AD$4)</f>
        <v>2216347741176608</v>
      </c>
      <c r="AE5" s="151" cm="1">
        <f t="array" ref="AE5">TREND($Q30:$R30,$Q$29:$R$29,AE$4)</f>
        <v>2164167497014304</v>
      </c>
      <c r="AF5" s="151" cm="1">
        <f t="array" ref="AF5">TREND($Q30:$R30,$Q$29:$R$29,AF$4)</f>
        <v>2111987252852016</v>
      </c>
      <c r="AG5" s="151" cm="1">
        <f t="array" ref="AG5">TREND($Q30:$R30,$Q$29:$R$29,AG$4)</f>
        <v>2059807008689712</v>
      </c>
      <c r="AH5" s="151" cm="1">
        <f t="array" ref="AH5">TREND($Q30:$R30,$Q$29:$R$29,AH$4)</f>
        <v>2007626764527408</v>
      </c>
      <c r="AI5" s="151" cm="1">
        <f t="array" ref="AI5">TREND($Q30:$R30,$Q$29:$R$29,AI$4)</f>
        <v>1955446520365120</v>
      </c>
      <c r="AJ5" s="151" cm="1">
        <f t="array" ref="AJ5">TREND($Q30:$R30,$Q$29:$R$29,AJ$4)</f>
        <v>1903266276202816</v>
      </c>
      <c r="AK5" s="151" cm="1">
        <f t="array" ref="AK5">TREND($Q30:$R30,$Q$29:$R$29,AK$4)</f>
        <v>1851086032040528</v>
      </c>
      <c r="AL5" s="158">
        <f>E31*$A$24</f>
        <v>1798905787878220</v>
      </c>
      <c r="AM5" s="151" cm="1">
        <f t="array" ref="AM5">TREND($R30:$S30,$R$29:$S$29,AM$4)</f>
        <v>1748870969471504</v>
      </c>
      <c r="AN5" s="151" cm="1">
        <f t="array" ref="AN5">TREND($R30:$S30,$R$29:$S$29,AN$4)</f>
        <v>1698836151064784</v>
      </c>
      <c r="AO5" s="151" cm="1">
        <f t="array" ref="AO5">TREND($R30:$S30,$R$29:$S$29,AO$4)</f>
        <v>1648801332658048</v>
      </c>
      <c r="AP5" s="151" cm="1">
        <f t="array" ref="AP5">TREND($R30:$S30,$R$29:$S$29,AP$4)</f>
        <v>1598766514251328</v>
      </c>
      <c r="AQ5" s="151" cm="1">
        <f t="array" ref="AQ5">TREND($R30:$S30,$R$29:$S$29,AQ$4)</f>
        <v>1548731695844592</v>
      </c>
      <c r="AR5" s="151" cm="1">
        <f t="array" ref="AR5">TREND($R30:$S30,$R$29:$S$29,AR$4)</f>
        <v>1498696877437872</v>
      </c>
      <c r="AS5" s="151" cm="1">
        <f t="array" ref="AS5">TREND($R30:$S30,$R$29:$S$29,AS$4)</f>
        <v>1448662059031136</v>
      </c>
      <c r="AT5" s="151" cm="1">
        <f t="array" ref="AT5">TREND($R30:$S30,$R$29:$S$29,AT$4)</f>
        <v>1398627240624416</v>
      </c>
      <c r="AU5" s="151" cm="1">
        <f t="array" ref="AU5">TREND($R30:$S30,$R$29:$S$29,AU$4)</f>
        <v>1348592422217696</v>
      </c>
      <c r="AV5" s="151">
        <f>F31*$A$24</f>
        <v>1298557603810950</v>
      </c>
      <c r="AW5" s="174">
        <f>(AV5/R5)^(1/30)-1</f>
        <v>-2.9538587375182002E-2</v>
      </c>
    </row>
    <row r="6" spans="1:49" ht="13.5" customHeight="1">
      <c r="A6" s="227" t="s">
        <v>542</v>
      </c>
      <c r="B6" s="228">
        <v>23.263999999999999</v>
      </c>
      <c r="C6" s="228">
        <v>54.226999999999997</v>
      </c>
      <c r="D6" s="229">
        <v>55.921999999999997</v>
      </c>
      <c r="E6" s="229">
        <v>56.100999999999999</v>
      </c>
      <c r="F6" s="229">
        <v>54.287999999999997</v>
      </c>
      <c r="G6" s="229">
        <v>45.389000000000003</v>
      </c>
      <c r="H6" s="45">
        <v>62.58</v>
      </c>
      <c r="I6" s="45">
        <v>53.78</v>
      </c>
      <c r="J6" s="41"/>
      <c r="K6" s="230">
        <v>4.8099999999999996</v>
      </c>
      <c r="L6" s="230">
        <v>-0.81</v>
      </c>
      <c r="N6" s="42" t="s">
        <v>530</v>
      </c>
      <c r="O6" s="149">
        <f t="shared" si="0"/>
        <v>922572731563840</v>
      </c>
      <c r="P6" s="149">
        <f t="shared" si="0"/>
        <v>2150462152446369.8</v>
      </c>
      <c r="Q6" s="151" cm="1">
        <f t="array" ref="Q6">TREND($P24:$Q24,$P$22:$Q$22,Q$4)</f>
        <v>2038063823979168</v>
      </c>
      <c r="R6" s="151" cm="1">
        <f t="array" ref="R6">TREND($P24:$Q24,$P$22:$Q$22,R$4)</f>
        <v>1925665495511968</v>
      </c>
      <c r="S6" s="151" cm="1">
        <f t="array" ref="S6">TREND($P24:$Q24,$P$22:$Q$22,S$4)</f>
        <v>1813267167044768</v>
      </c>
      <c r="T6" s="417">
        <f>C32*$A$24</f>
        <v>1550456760916070</v>
      </c>
      <c r="U6" s="151" cm="1">
        <f t="array" ref="U6">TREND($P31:$Q31,$P$29:$Q$29,U$4)</f>
        <v>1488195791669376</v>
      </c>
      <c r="V6" s="151" cm="1">
        <f t="array" ref="V6">TREND($P31:$Q31,$P$29:$Q$29,V$4)</f>
        <v>1425934822422672</v>
      </c>
      <c r="W6" s="151" cm="1">
        <f t="array" ref="W6">TREND($P31:$Q31,$P$29:$Q$29,W$4)</f>
        <v>1363673853175968</v>
      </c>
      <c r="X6" s="151" cm="1">
        <f t="array" ref="X6">TREND($P31:$Q31,$P$29:$Q$29,X$4)</f>
        <v>1301412883929264</v>
      </c>
      <c r="Y6" s="151" cm="1">
        <f t="array" ref="Y6">TREND($P31:$Q31,$P$29:$Q$29,Y$4)</f>
        <v>1239151914682576</v>
      </c>
      <c r="Z6" s="151" cm="1">
        <f t="array" ref="Z6">TREND($P31:$Q31,$P$29:$Q$29,Z$4)</f>
        <v>1176890945435872</v>
      </c>
      <c r="AA6" s="151" cm="1">
        <f t="array" ref="AA6">TREND($P31:$Q31,$P$29:$Q$29,AA$4)</f>
        <v>1114629976189168</v>
      </c>
      <c r="AB6" s="158">
        <f>D32*$A$24</f>
        <v>1052369006942470</v>
      </c>
      <c r="AC6" s="151" cm="1">
        <f t="array" ref="AC6">TREND($Q31:$R31,$Q$29:$R$29,AC$4)</f>
        <v>1008917195475200</v>
      </c>
      <c r="AD6" s="151" cm="1">
        <f t="array" ref="AD6">TREND($Q31:$R31,$Q$29:$R$29,AD$4)</f>
        <v>965465384007936</v>
      </c>
      <c r="AE6" s="151" cm="1">
        <f t="array" ref="AE6">TREND($Q31:$R31,$Q$29:$R$29,AE$4)</f>
        <v>922013572540672</v>
      </c>
      <c r="AF6" s="151" cm="1">
        <f t="array" ref="AF6">TREND($Q31:$R31,$Q$29:$R$29,AF$4)</f>
        <v>878561761073408</v>
      </c>
      <c r="AG6" s="151" cm="1">
        <f t="array" ref="AG6">TREND($Q31:$R31,$Q$29:$R$29,AG$4)</f>
        <v>835109949606128</v>
      </c>
      <c r="AH6" s="151" cm="1">
        <f t="array" ref="AH6">TREND($Q31:$R31,$Q$29:$R$29,AH$4)</f>
        <v>791658138138864</v>
      </c>
      <c r="AI6" s="151" cm="1">
        <f t="array" ref="AI6">TREND($Q31:$R31,$Q$29:$R$29,AI$4)</f>
        <v>748206326671600</v>
      </c>
      <c r="AJ6" s="151" cm="1">
        <f t="array" ref="AJ6">TREND($Q31:$R31,$Q$29:$R$29,AJ$4)</f>
        <v>704754515204336</v>
      </c>
      <c r="AK6" s="151" cm="1">
        <f t="array" ref="AK6">TREND($Q31:$R31,$Q$29:$R$29,AK$4)</f>
        <v>661302703737072</v>
      </c>
      <c r="AL6" s="158">
        <f>E32*$A$24</f>
        <v>617850892269800</v>
      </c>
      <c r="AM6" s="151" cm="1">
        <f t="array" ref="AM6">TREND($R31:$S31,$R$29:$S$29,AM$4)</f>
        <v>579709108689232</v>
      </c>
      <c r="AN6" s="151" cm="1">
        <f t="array" ref="AN6">TREND($R31:$S31,$R$29:$S$29,AN$4)</f>
        <v>541567325108672</v>
      </c>
      <c r="AO6" s="151" cm="1">
        <f t="array" ref="AO6">TREND($R31:$S31,$R$29:$S$29,AO$4)</f>
        <v>503425541528112</v>
      </c>
      <c r="AP6" s="151" cm="1">
        <f t="array" ref="AP6">TREND($R31:$S31,$R$29:$S$29,AP$4)</f>
        <v>465283757947552</v>
      </c>
      <c r="AQ6" s="151" cm="1">
        <f t="array" ref="AQ6">TREND($R31:$S31,$R$29:$S$29,AQ$4)</f>
        <v>427141974367008</v>
      </c>
      <c r="AR6" s="151" cm="1">
        <f t="array" ref="AR6">TREND($R31:$S31,$R$29:$S$29,AR$4)</f>
        <v>389000190786448</v>
      </c>
      <c r="AS6" s="151" cm="1">
        <f t="array" ref="AS6">TREND($R31:$S31,$R$29:$S$29,AS$4)</f>
        <v>350858407205888</v>
      </c>
      <c r="AT6" s="151" cm="1">
        <f t="array" ref="AT6">TREND($R31:$S31,$R$29:$S$29,AT$4)</f>
        <v>312716623625328</v>
      </c>
      <c r="AU6" s="151" cm="1">
        <f t="array" ref="AU6">TREND($R31:$S31,$R$29:$S$29,AU$4)</f>
        <v>274574840044768</v>
      </c>
      <c r="AV6" s="151">
        <f>F32*$A$24</f>
        <v>236433056464220</v>
      </c>
      <c r="AW6" s="174"/>
    </row>
    <row r="7" spans="1:49" ht="13.5" customHeight="1">
      <c r="A7" s="227" t="s">
        <v>543</v>
      </c>
      <c r="B7" s="228">
        <v>19.661000000000001</v>
      </c>
      <c r="C7" s="228">
        <v>32.423999999999999</v>
      </c>
      <c r="D7" s="229">
        <v>38.048000000000002</v>
      </c>
      <c r="E7" s="229">
        <v>39.707999999999998</v>
      </c>
      <c r="F7" s="229">
        <v>39.792999999999999</v>
      </c>
      <c r="G7" s="229">
        <v>39.008000000000003</v>
      </c>
      <c r="H7" s="45">
        <v>37.42</v>
      </c>
      <c r="I7" s="45">
        <v>46.22</v>
      </c>
      <c r="J7" s="41"/>
      <c r="K7" s="230">
        <v>2.82</v>
      </c>
      <c r="L7" s="230">
        <v>0.84</v>
      </c>
      <c r="N7" s="42" t="s">
        <v>531</v>
      </c>
      <c r="O7" s="152">
        <f t="shared" si="0"/>
        <v>779689755642910</v>
      </c>
      <c r="P7" s="152">
        <f t="shared" si="0"/>
        <v>1285827813283440</v>
      </c>
      <c r="Q7" s="163" cm="1">
        <f t="array" ref="Q7">TREND($P25:$Q25,$P$22:$Q$22,Q$4)</f>
        <v>1276265599137188</v>
      </c>
      <c r="R7" s="163" cm="1">
        <f t="array" ref="R7">TREND($P25:$Q25,$P$22:$Q$22,R$4)</f>
        <v>1266703384990940</v>
      </c>
      <c r="S7" s="163" cm="1">
        <f t="array" ref="S7">TREND($P25:$Q25,$P$22:$Q$22,S$4)</f>
        <v>1257141170844692</v>
      </c>
      <c r="T7" s="431">
        <f>C33*$A$24</f>
        <v>1189224169280280</v>
      </c>
      <c r="U7" s="163" cm="1">
        <f t="array" ref="U7">TREND($P32:$Q32,$P$29:$Q$29,U$4)</f>
        <v>1199113550940084</v>
      </c>
      <c r="V7" s="163" cm="1">
        <f t="array" ref="V7">TREND($P32:$Q32,$P$29:$Q$29,V$4)</f>
        <v>1209002932599888</v>
      </c>
      <c r="W7" s="163" cm="1">
        <f t="array" ref="W7">TREND($P32:$Q32,$P$29:$Q$29,W$4)</f>
        <v>1218892314259696</v>
      </c>
      <c r="X7" s="163" cm="1">
        <f t="array" ref="X7">TREND($P32:$Q32,$P$29:$Q$29,X$4)</f>
        <v>1228781695919504</v>
      </c>
      <c r="Y7" s="163" cm="1">
        <f t="array" ref="Y7">TREND($P32:$Q32,$P$29:$Q$29,Y$4)</f>
        <v>1238671077579308</v>
      </c>
      <c r="Z7" s="163" cm="1">
        <f t="array" ref="Z7">TREND($P32:$Q32,$P$29:$Q$29,Z$4)</f>
        <v>1248560459239116</v>
      </c>
      <c r="AA7" s="163" cm="1">
        <f t="array" ref="AA7">TREND($P32:$Q32,$P$29:$Q$29,AA$4)</f>
        <v>1258449840898920</v>
      </c>
      <c r="AB7" s="164">
        <f>D33*$A$24</f>
        <v>1268339222558730</v>
      </c>
      <c r="AC7" s="434" cm="1">
        <f t="array" ref="AC7">TREND($Q32:$R32,$Q$29:$R$29,AC$4)</f>
        <v>1259610789863700</v>
      </c>
      <c r="AD7" s="163" cm="1">
        <f t="array" ref="AD7">TREND($Q32:$R32,$Q$29:$R$29,AD$4)</f>
        <v>1250882357168670</v>
      </c>
      <c r="AE7" s="163" cm="1">
        <f t="array" ref="AE7">TREND($Q32:$R32,$Q$29:$R$29,AE$4)</f>
        <v>1242153924473638</v>
      </c>
      <c r="AF7" s="163" cm="1">
        <f t="array" ref="AF7">TREND($Q32:$R32,$Q$29:$R$29,AF$4)</f>
        <v>1233425491778608</v>
      </c>
      <c r="AG7" s="163" cm="1">
        <f t="array" ref="AG7">TREND($Q32:$R32,$Q$29:$R$29,AG$4)</f>
        <v>1224697059083576</v>
      </c>
      <c r="AH7" s="163" cm="1">
        <f t="array" ref="AH7">TREND($Q32:$R32,$Q$29:$R$29,AH$4)</f>
        <v>1215968626388546</v>
      </c>
      <c r="AI7" s="163" cm="1">
        <f t="array" ref="AI7">TREND($Q32:$R32,$Q$29:$R$29,AI$4)</f>
        <v>1207240193693514</v>
      </c>
      <c r="AJ7" s="163" cm="1">
        <f t="array" ref="AJ7">TREND($Q32:$R32,$Q$29:$R$29,AJ$4)</f>
        <v>1198511760998484</v>
      </c>
      <c r="AK7" s="163" cm="1">
        <f t="array" ref="AK7">TREND($Q32:$R32,$Q$29:$R$29,AK$4)</f>
        <v>1189783328303452</v>
      </c>
      <c r="AL7" s="164">
        <f>E33*$A$24</f>
        <v>1181054895608420</v>
      </c>
      <c r="AM7" s="163" cm="1">
        <f t="array" ref="AM7">TREND($R32:$S32,$R$29:$S$29,AM$4)</f>
        <v>1169165826449080</v>
      </c>
      <c r="AN7" s="163" cm="1">
        <f t="array" ref="AN7">TREND($R32:$S32,$R$29:$S$29,AN$4)</f>
        <v>1157276757289740</v>
      </c>
      <c r="AO7" s="163" cm="1">
        <f t="array" ref="AO7">TREND($R32:$S32,$R$29:$S$29,AO$4)</f>
        <v>1145387688130400</v>
      </c>
      <c r="AP7" s="163" cm="1">
        <f t="array" ref="AP7">TREND($R32:$S32,$R$29:$S$29,AP$4)</f>
        <v>1133498618971064</v>
      </c>
      <c r="AQ7" s="163" cm="1">
        <f t="array" ref="AQ7">TREND($R32:$S32,$R$29:$S$29,AQ$4)</f>
        <v>1121609549811728</v>
      </c>
      <c r="AR7" s="163" cm="1">
        <f t="array" ref="AR7">TREND($R32:$S32,$R$29:$S$29,AR$4)</f>
        <v>1109720480652388</v>
      </c>
      <c r="AS7" s="163" cm="1">
        <f t="array" ref="AS7">TREND($R32:$S32,$R$29:$S$29,AS$4)</f>
        <v>1097831411493048</v>
      </c>
      <c r="AT7" s="163" cm="1">
        <f t="array" ref="AT7">TREND($R32:$S32,$R$29:$S$29,AT$4)</f>
        <v>1085942342333712</v>
      </c>
      <c r="AU7" s="163" cm="1">
        <f t="array" ref="AU7">TREND($R32:$S32,$R$29:$S$29,AU$4)</f>
        <v>1074053273174376</v>
      </c>
      <c r="AV7" s="163">
        <f>F33*$A$24</f>
        <v>1062164204015040</v>
      </c>
      <c r="AW7" s="171"/>
    </row>
    <row r="8" spans="1:49" ht="3" customHeight="1">
      <c r="A8" s="50"/>
      <c r="B8" s="51"/>
      <c r="C8" s="51"/>
      <c r="D8" s="52"/>
      <c r="E8" s="52"/>
      <c r="F8" s="52"/>
      <c r="G8" s="52"/>
      <c r="H8" s="52"/>
      <c r="I8" s="52"/>
      <c r="J8" s="54"/>
      <c r="K8" s="54"/>
      <c r="L8" s="54"/>
      <c r="N8" s="50"/>
      <c r="O8" s="149"/>
      <c r="P8" s="149"/>
      <c r="Q8" s="211"/>
      <c r="R8" s="151"/>
      <c r="S8" s="151"/>
      <c r="T8" s="417"/>
      <c r="U8" s="151"/>
      <c r="V8" s="151"/>
      <c r="W8" s="158"/>
      <c r="X8" s="151"/>
      <c r="Y8" s="151"/>
      <c r="Z8" s="151"/>
      <c r="AA8" s="151"/>
      <c r="AB8" s="158"/>
      <c r="AC8" s="151"/>
      <c r="AD8" s="151"/>
      <c r="AE8" s="151"/>
      <c r="AF8" s="151"/>
      <c r="AG8" s="158"/>
      <c r="AH8" s="151"/>
      <c r="AI8" s="151"/>
      <c r="AJ8" s="151"/>
      <c r="AK8" s="151"/>
      <c r="AL8" s="158"/>
      <c r="AM8" s="151"/>
      <c r="AN8" s="151"/>
      <c r="AO8" s="151"/>
      <c r="AP8" s="151"/>
      <c r="AQ8" s="151"/>
      <c r="AR8" s="151"/>
      <c r="AS8" s="151"/>
      <c r="AT8" s="151"/>
      <c r="AU8" s="151"/>
      <c r="AV8" s="151"/>
      <c r="AW8" s="171"/>
    </row>
    <row r="9" spans="1:49" ht="13.5" customHeight="1">
      <c r="A9" s="231" t="s">
        <v>544</v>
      </c>
      <c r="B9" s="232"/>
      <c r="C9" s="232"/>
      <c r="D9" s="233"/>
      <c r="E9" s="233"/>
      <c r="F9" s="233"/>
      <c r="G9" s="233"/>
      <c r="H9" s="40"/>
      <c r="I9" s="40"/>
      <c r="J9" s="41"/>
      <c r="K9" s="40"/>
      <c r="L9" s="40"/>
      <c r="N9" s="37" t="s">
        <v>539</v>
      </c>
      <c r="O9" s="149"/>
      <c r="P9" s="149"/>
      <c r="Q9" s="217">
        <f>Q5/P5-1</f>
        <v>-3.5491924089567806E-2</v>
      </c>
      <c r="R9" s="217">
        <f t="shared" ref="R9:AV9" si="1">R5/Q5-1</f>
        <v>-3.6797954289889301E-2</v>
      </c>
      <c r="S9" s="217">
        <f t="shared" si="1"/>
        <v>-3.8203775058171519E-2</v>
      </c>
      <c r="T9" s="429">
        <f t="shared" si="1"/>
        <v>-0.10771447029109371</v>
      </c>
      <c r="U9" s="217">
        <f t="shared" si="1"/>
        <v>-1.9115944126806284E-2</v>
      </c>
      <c r="V9" s="217">
        <f t="shared" si="1"/>
        <v>-1.9488484915557214E-2</v>
      </c>
      <c r="W9" s="217">
        <f t="shared" si="1"/>
        <v>-1.9875834822689287E-2</v>
      </c>
      <c r="X9" s="217">
        <f t="shared" si="1"/>
        <v>-2.0278894785839219E-2</v>
      </c>
      <c r="Y9" s="217">
        <f t="shared" si="1"/>
        <v>-2.0698640335411023E-2</v>
      </c>
      <c r="Z9" s="217">
        <f t="shared" si="1"/>
        <v>-2.1136129477549503E-2</v>
      </c>
      <c r="AA9" s="217">
        <f t="shared" si="1"/>
        <v>-2.1592511598439557E-2</v>
      </c>
      <c r="AB9" s="217">
        <f t="shared" si="1"/>
        <v>-2.2069037547646997E-2</v>
      </c>
      <c r="AC9" s="217">
        <f t="shared" si="1"/>
        <v>-2.2484620642511111E-2</v>
      </c>
      <c r="AD9" s="217">
        <f t="shared" si="1"/>
        <v>-2.3001807559587362E-2</v>
      </c>
      <c r="AE9" s="217">
        <f t="shared" si="1"/>
        <v>-2.3543347098863965E-2</v>
      </c>
      <c r="AF9" s="217">
        <f t="shared" si="1"/>
        <v>-2.4111000758617829E-2</v>
      </c>
      <c r="AG9" s="217">
        <f t="shared" si="1"/>
        <v>-2.4706704120415535E-2</v>
      </c>
      <c r="AH9" s="217">
        <f t="shared" si="1"/>
        <v>-2.5332588898945962E-2</v>
      </c>
      <c r="AI9" s="217">
        <f t="shared" si="1"/>
        <v>-2.5991008430578999E-2</v>
      </c>
      <c r="AJ9" s="217">
        <f t="shared" si="1"/>
        <v>-2.6684567242759916E-2</v>
      </c>
      <c r="AK9" s="217">
        <f t="shared" si="1"/>
        <v>-2.7416155487393068E-2</v>
      </c>
      <c r="AL9" s="217">
        <f t="shared" si="1"/>
        <v>-2.8188989198296488E-2</v>
      </c>
      <c r="AM9" s="217">
        <f t="shared" si="1"/>
        <v>-2.7814029363778525E-2</v>
      </c>
      <c r="AN9" s="217">
        <f t="shared" si="1"/>
        <v>-2.8609782699886788E-2</v>
      </c>
      <c r="AO9" s="217">
        <f t="shared" si="1"/>
        <v>-2.9452409742620311E-2</v>
      </c>
      <c r="AP9" s="217">
        <f t="shared" si="1"/>
        <v>-3.0346177805459673E-2</v>
      </c>
      <c r="AQ9" s="217">
        <f t="shared" si="1"/>
        <v>-3.1295888399417993E-2</v>
      </c>
      <c r="AR9" s="217">
        <f t="shared" si="1"/>
        <v>-3.230696352439133E-2</v>
      </c>
      <c r="AS9" s="217">
        <f t="shared" si="1"/>
        <v>-3.3385549246138457E-2</v>
      </c>
      <c r="AT9" s="217">
        <f t="shared" si="1"/>
        <v>-3.4538640737359572E-2</v>
      </c>
      <c r="AU9" s="217">
        <f t="shared" si="1"/>
        <v>-3.5774234158618246E-2</v>
      </c>
      <c r="AV9" s="217">
        <f t="shared" si="1"/>
        <v>-3.710151234905068E-2</v>
      </c>
      <c r="AW9" s="171"/>
    </row>
    <row r="10" spans="1:49" ht="13.5" customHeight="1">
      <c r="A10" s="227" t="s">
        <v>545</v>
      </c>
      <c r="B10" s="228">
        <v>1.871</v>
      </c>
      <c r="C10" s="228">
        <v>0.52</v>
      </c>
      <c r="D10" s="229">
        <v>0.35899999999999999</v>
      </c>
      <c r="E10" s="229">
        <v>0.29199999999999998</v>
      </c>
      <c r="F10" s="229">
        <v>0.245</v>
      </c>
      <c r="G10" s="229">
        <v>0.126</v>
      </c>
      <c r="H10" s="45">
        <v>0.6</v>
      </c>
      <c r="I10" s="45">
        <v>0.15</v>
      </c>
      <c r="J10" s="41"/>
      <c r="K10" s="230">
        <v>-6.87</v>
      </c>
      <c r="L10" s="230">
        <v>-6.23</v>
      </c>
      <c r="N10" s="42"/>
      <c r="O10" s="220"/>
      <c r="P10" s="220"/>
      <c r="Q10" s="151"/>
      <c r="R10" s="151"/>
      <c r="S10" s="151"/>
      <c r="T10" s="151"/>
      <c r="U10" s="151"/>
      <c r="V10" s="151"/>
      <c r="W10" s="151"/>
      <c r="X10" s="151"/>
      <c r="Y10" s="151"/>
      <c r="Z10" s="151"/>
      <c r="AA10" s="151"/>
      <c r="AB10" s="151"/>
      <c r="AC10" s="151"/>
      <c r="AD10" s="151"/>
      <c r="AE10" s="151"/>
      <c r="AF10" s="151"/>
      <c r="AG10" s="151"/>
      <c r="AH10" s="151"/>
      <c r="AI10" s="151"/>
      <c r="AJ10" s="151"/>
      <c r="AK10" s="151"/>
      <c r="AL10" s="151"/>
      <c r="AM10" s="151"/>
      <c r="AN10" s="151"/>
      <c r="AO10" s="151"/>
      <c r="AP10" s="151"/>
      <c r="AQ10" s="151"/>
      <c r="AR10" s="151"/>
      <c r="AS10" s="151"/>
      <c r="AT10" s="151"/>
      <c r="AU10" s="151"/>
      <c r="AV10" s="151"/>
      <c r="AW10" s="171"/>
    </row>
    <row r="11" spans="1:49" ht="13.5" customHeight="1">
      <c r="A11" s="227" t="s">
        <v>546</v>
      </c>
      <c r="B11" s="228">
        <v>1.2250000000000001</v>
      </c>
      <c r="C11" s="228">
        <v>4.4829999999999997</v>
      </c>
      <c r="D11" s="229">
        <v>5.4269999999999996</v>
      </c>
      <c r="E11" s="229">
        <v>5.8369999999999997</v>
      </c>
      <c r="F11" s="229">
        <v>6.12</v>
      </c>
      <c r="G11" s="229">
        <v>5.9889999999999999</v>
      </c>
      <c r="H11" s="45">
        <v>5.17</v>
      </c>
      <c r="I11" s="45">
        <v>7.1</v>
      </c>
      <c r="J11" s="41"/>
      <c r="K11" s="230">
        <v>7.48</v>
      </c>
      <c r="L11" s="230">
        <v>1.33</v>
      </c>
      <c r="N11" s="42"/>
      <c r="O11" s="220"/>
      <c r="P11" s="220"/>
      <c r="Q11" s="151"/>
      <c r="R11" s="151"/>
      <c r="S11" s="151"/>
      <c r="T11" s="151"/>
      <c r="U11" s="151"/>
      <c r="V11" s="151"/>
      <c r="W11" s="151"/>
      <c r="X11" s="151"/>
      <c r="Y11" s="151"/>
      <c r="Z11" s="151"/>
      <c r="AA11" s="151"/>
      <c r="AB11" s="151"/>
      <c r="AC11" s="151"/>
      <c r="AD11" s="151"/>
      <c r="AE11" s="151"/>
      <c r="AF11" s="151"/>
      <c r="AG11" s="151"/>
      <c r="AH11" s="151"/>
      <c r="AI11" s="151"/>
      <c r="AJ11" s="151"/>
      <c r="AK11" s="151"/>
      <c r="AL11" s="151"/>
      <c r="AM11" s="151"/>
      <c r="AN11" s="151"/>
      <c r="AO11" s="151"/>
      <c r="AP11" s="151"/>
      <c r="AQ11" s="151"/>
      <c r="AR11" s="151"/>
      <c r="AS11" s="151"/>
      <c r="AT11" s="151"/>
      <c r="AU11" s="151"/>
      <c r="AV11" s="151"/>
      <c r="AW11" s="171"/>
    </row>
    <row r="12" spans="1:49" ht="13.5" customHeight="1">
      <c r="A12" s="227" t="s">
        <v>547</v>
      </c>
      <c r="B12" s="228">
        <v>27.015000000000001</v>
      </c>
      <c r="C12" s="228">
        <v>57.518999999999998</v>
      </c>
      <c r="D12" s="229">
        <v>59.78</v>
      </c>
      <c r="E12" s="229">
        <v>60.097999999999999</v>
      </c>
      <c r="F12" s="229">
        <v>58.343000000000004</v>
      </c>
      <c r="G12" s="229">
        <v>49.865000000000002</v>
      </c>
      <c r="H12" s="45">
        <v>66.38</v>
      </c>
      <c r="I12" s="45">
        <v>59.08</v>
      </c>
      <c r="J12" s="41"/>
      <c r="K12" s="230">
        <v>4.29</v>
      </c>
      <c r="L12" s="230">
        <v>-0.65</v>
      </c>
      <c r="M12" s="55"/>
      <c r="N12" s="218"/>
      <c r="O12" s="220"/>
      <c r="P12" s="220"/>
      <c r="Q12" s="151"/>
      <c r="R12" s="151"/>
      <c r="S12" s="151"/>
      <c r="T12" s="151"/>
      <c r="U12" s="151"/>
      <c r="V12" s="151"/>
      <c r="W12" s="219"/>
      <c r="X12" s="151"/>
      <c r="Y12" s="151"/>
      <c r="Z12" s="151"/>
      <c r="AA12" s="151"/>
      <c r="AB12" s="219"/>
      <c r="AC12" s="151"/>
      <c r="AD12" s="151"/>
      <c r="AE12" s="151"/>
      <c r="AF12" s="151"/>
      <c r="AG12" s="219"/>
      <c r="AH12" s="151"/>
      <c r="AI12" s="151"/>
      <c r="AJ12" s="151"/>
      <c r="AK12" s="151"/>
      <c r="AL12" s="219"/>
      <c r="AM12" s="151"/>
      <c r="AN12" s="151"/>
      <c r="AO12" s="151"/>
      <c r="AP12" s="151"/>
      <c r="AQ12" s="151"/>
      <c r="AR12" s="151"/>
      <c r="AS12" s="151"/>
      <c r="AT12" s="151"/>
      <c r="AU12" s="151"/>
      <c r="AV12" s="151"/>
      <c r="AW12" s="171"/>
    </row>
    <row r="13" spans="1:49" ht="13.5" customHeight="1">
      <c r="A13" s="227" t="s">
        <v>548</v>
      </c>
      <c r="B13" s="228">
        <v>12.814</v>
      </c>
      <c r="C13" s="228">
        <v>24.129000000000001</v>
      </c>
      <c r="D13" s="229">
        <v>28.402999999999999</v>
      </c>
      <c r="E13" s="229">
        <v>29.582000000000001</v>
      </c>
      <c r="F13" s="229">
        <v>29.373000000000001</v>
      </c>
      <c r="G13" s="229">
        <v>28.417000000000002</v>
      </c>
      <c r="H13" s="45">
        <v>27.85</v>
      </c>
      <c r="I13" s="45">
        <v>33.67</v>
      </c>
      <c r="J13" s="41"/>
      <c r="K13" s="230">
        <v>3.58</v>
      </c>
      <c r="L13" s="230">
        <v>0.75</v>
      </c>
      <c r="N13" s="37"/>
      <c r="O13" s="220"/>
      <c r="P13" s="220"/>
      <c r="Q13" s="151"/>
      <c r="R13" s="151"/>
      <c r="S13" s="151"/>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151"/>
      <c r="AS13" s="151"/>
      <c r="AT13" s="151"/>
      <c r="AU13" s="151"/>
      <c r="AV13" s="151"/>
      <c r="AW13" s="174"/>
    </row>
    <row r="14" spans="1:49" ht="3" customHeight="1">
      <c r="A14" s="50"/>
      <c r="B14" s="51"/>
      <c r="C14" s="51"/>
      <c r="D14" s="52"/>
      <c r="E14" s="52"/>
      <c r="F14" s="52"/>
      <c r="G14" s="52"/>
      <c r="H14" s="52"/>
      <c r="I14" s="52"/>
      <c r="J14" s="54"/>
      <c r="K14" s="54"/>
      <c r="L14" s="54"/>
      <c r="N14" s="42"/>
      <c r="O14" s="220"/>
      <c r="P14" s="220"/>
      <c r="Q14" s="151"/>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151"/>
      <c r="AT14" s="151"/>
      <c r="AU14" s="151"/>
      <c r="AV14" s="151"/>
      <c r="AW14" s="171"/>
    </row>
    <row r="15" spans="1:49" ht="13.5" customHeight="1">
      <c r="A15" s="231" t="s">
        <v>549</v>
      </c>
      <c r="B15" s="228"/>
      <c r="C15" s="228"/>
      <c r="D15" s="229"/>
      <c r="E15" s="229"/>
      <c r="F15" s="229"/>
      <c r="G15" s="229"/>
      <c r="H15" s="45"/>
      <c r="I15" s="45"/>
      <c r="J15" s="41"/>
      <c r="K15" s="230"/>
      <c r="L15" s="230"/>
      <c r="N15" s="42"/>
      <c r="O15" s="220"/>
      <c r="P15" s="220"/>
      <c r="Q15" s="151"/>
      <c r="R15" s="151"/>
      <c r="S15" s="151"/>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151"/>
      <c r="AT15" s="151"/>
      <c r="AU15" s="151"/>
      <c r="AV15" s="151"/>
      <c r="AW15" s="171"/>
    </row>
    <row r="16" spans="1:49" ht="13.5" customHeight="1">
      <c r="A16" s="227" t="s">
        <v>534</v>
      </c>
      <c r="B16" s="228">
        <v>23.263999999999999</v>
      </c>
      <c r="C16" s="228">
        <v>54.226999999999997</v>
      </c>
      <c r="D16" s="229">
        <v>55.921999999999997</v>
      </c>
      <c r="E16" s="229">
        <v>56.100999999999999</v>
      </c>
      <c r="F16" s="229">
        <v>54.287999999999997</v>
      </c>
      <c r="G16" s="229">
        <v>45.389000000000003</v>
      </c>
      <c r="H16" s="45">
        <v>62.58</v>
      </c>
      <c r="I16" s="45">
        <v>53.78</v>
      </c>
      <c r="J16" s="41"/>
      <c r="K16" s="230">
        <v>4.8099999999999996</v>
      </c>
      <c r="L16" s="230">
        <v>-0.81</v>
      </c>
      <c r="N16" s="42"/>
      <c r="O16" s="220"/>
      <c r="P16" s="220"/>
      <c r="Q16" s="151"/>
      <c r="R16" s="151"/>
      <c r="S16" s="151"/>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151"/>
      <c r="AT16" s="151"/>
      <c r="AU16" s="151"/>
      <c r="AV16" s="151"/>
      <c r="AW16" s="171"/>
    </row>
    <row r="17" spans="1:49" ht="13.5" customHeight="1">
      <c r="A17" s="227" t="s">
        <v>550</v>
      </c>
      <c r="B17" s="228">
        <v>12.814</v>
      </c>
      <c r="C17" s="228">
        <v>24.129000000000001</v>
      </c>
      <c r="D17" s="229">
        <v>28.402999999999999</v>
      </c>
      <c r="E17" s="229">
        <v>29.582000000000001</v>
      </c>
      <c r="F17" s="229">
        <v>29.373000000000001</v>
      </c>
      <c r="G17" s="229">
        <v>28.417000000000002</v>
      </c>
      <c r="H17" s="45">
        <v>27.85</v>
      </c>
      <c r="I17" s="45">
        <v>33.67</v>
      </c>
      <c r="J17" s="41"/>
      <c r="K17" s="230">
        <v>3.58</v>
      </c>
      <c r="L17" s="230">
        <v>0.75</v>
      </c>
      <c r="N17" s="42"/>
      <c r="O17" s="220"/>
      <c r="P17" s="220"/>
      <c r="Q17" s="151"/>
      <c r="R17" s="151"/>
      <c r="S17" s="151"/>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1"/>
      <c r="AT17" s="151"/>
      <c r="AU17" s="151"/>
      <c r="AV17" s="151"/>
      <c r="AW17" s="171"/>
    </row>
    <row r="18" spans="1:49" ht="13.5" customHeight="1">
      <c r="A18" s="227" t="s">
        <v>551</v>
      </c>
      <c r="B18" s="228">
        <v>3.5030000000000001</v>
      </c>
      <c r="C18" s="228">
        <v>2.1960000000000002</v>
      </c>
      <c r="D18" s="229">
        <v>2.1640000000000001</v>
      </c>
      <c r="E18" s="229">
        <v>2.081</v>
      </c>
      <c r="F18" s="229">
        <v>1.9930000000000001</v>
      </c>
      <c r="G18" s="229">
        <v>1.92</v>
      </c>
      <c r="H18" s="45">
        <v>2.5299999999999998</v>
      </c>
      <c r="I18" s="45">
        <v>2.2799999999999998</v>
      </c>
      <c r="J18" s="41"/>
      <c r="K18" s="230">
        <v>-2.56</v>
      </c>
      <c r="L18" s="230">
        <v>-0.61</v>
      </c>
      <c r="N18" s="42"/>
      <c r="O18" s="220"/>
      <c r="P18" s="220"/>
      <c r="Q18" s="151"/>
      <c r="R18" s="151"/>
      <c r="S18" s="151"/>
      <c r="T18" s="151"/>
      <c r="U18" s="151"/>
      <c r="V18" s="151"/>
      <c r="W18" s="151"/>
      <c r="X18" s="151"/>
      <c r="Y18" s="151"/>
      <c r="Z18" s="151"/>
      <c r="AA18" s="151"/>
      <c r="AB18" s="151"/>
      <c r="AC18" s="151"/>
      <c r="AD18" s="151"/>
      <c r="AE18" s="151"/>
      <c r="AF18" s="151"/>
      <c r="AG18" s="151"/>
      <c r="AH18" s="151"/>
      <c r="AI18" s="151"/>
      <c r="AJ18" s="151"/>
      <c r="AK18" s="151"/>
      <c r="AL18" s="151"/>
      <c r="AM18" s="151"/>
      <c r="AN18" s="151"/>
      <c r="AO18" s="151"/>
      <c r="AP18" s="151"/>
      <c r="AQ18" s="151"/>
      <c r="AR18" s="151"/>
      <c r="AS18" s="151"/>
      <c r="AT18" s="151"/>
      <c r="AU18" s="151"/>
      <c r="AV18" s="151"/>
      <c r="AW18" s="171"/>
    </row>
    <row r="19" spans="1:49" ht="13.5" customHeight="1">
      <c r="A19" s="227" t="s">
        <v>552</v>
      </c>
      <c r="B19" s="228">
        <v>2.8079999999999998</v>
      </c>
      <c r="C19" s="228">
        <v>5.649</v>
      </c>
      <c r="D19" s="229">
        <v>7.1790000000000003</v>
      </c>
      <c r="E19" s="229">
        <v>7.8140000000000001</v>
      </c>
      <c r="F19" s="229">
        <v>8.2460000000000004</v>
      </c>
      <c r="G19" s="229">
        <v>8.52</v>
      </c>
      <c r="H19" s="45">
        <v>6.52</v>
      </c>
      <c r="I19" s="45">
        <v>10.1</v>
      </c>
      <c r="J19" s="41"/>
      <c r="K19" s="230">
        <v>3.96</v>
      </c>
      <c r="L19" s="230">
        <v>1.89</v>
      </c>
      <c r="M19" s="55"/>
      <c r="N19" s="42"/>
      <c r="O19" s="220"/>
      <c r="P19" s="220"/>
      <c r="Q19" s="151"/>
      <c r="R19" s="151"/>
      <c r="S19" s="151"/>
      <c r="T19" s="151"/>
      <c r="U19" s="151"/>
      <c r="V19" s="151"/>
      <c r="W19" s="151"/>
      <c r="X19" s="151"/>
      <c r="Y19" s="151"/>
      <c r="Z19" s="151"/>
      <c r="AA19" s="151"/>
      <c r="AB19" s="151"/>
      <c r="AC19" s="151"/>
      <c r="AD19" s="151"/>
      <c r="AE19" s="151"/>
      <c r="AF19" s="151"/>
      <c r="AG19" s="151"/>
      <c r="AH19" s="151"/>
      <c r="AI19" s="151"/>
      <c r="AJ19" s="151"/>
      <c r="AK19" s="151"/>
      <c r="AL19" s="151"/>
      <c r="AM19" s="151"/>
      <c r="AN19" s="151"/>
      <c r="AO19" s="151"/>
      <c r="AP19" s="151"/>
      <c r="AQ19" s="151"/>
      <c r="AR19" s="151"/>
      <c r="AS19" s="151"/>
      <c r="AT19" s="151"/>
      <c r="AU19" s="151"/>
      <c r="AV19" s="151"/>
      <c r="AW19" s="171"/>
    </row>
    <row r="20" spans="1:49" ht="13.5" customHeight="1" thickBot="1">
      <c r="A20" s="227" t="s">
        <v>553</v>
      </c>
      <c r="B20" s="228">
        <v>0.53600000000000003</v>
      </c>
      <c r="C20" s="228">
        <v>0.318</v>
      </c>
      <c r="D20" s="229">
        <v>0.18</v>
      </c>
      <c r="E20" s="229">
        <v>0.114</v>
      </c>
      <c r="F20" s="229">
        <v>7.0000000000000007E-2</v>
      </c>
      <c r="G20" s="229">
        <v>4.2999999999999997E-2</v>
      </c>
      <c r="H20" s="45">
        <v>0.37</v>
      </c>
      <c r="I20" s="45">
        <v>0.05</v>
      </c>
      <c r="J20" s="41"/>
      <c r="K20" s="230">
        <v>-2.86</v>
      </c>
      <c r="L20" s="230">
        <v>-8.7200000000000006</v>
      </c>
    </row>
    <row r="21" spans="1:49" ht="11.25" customHeight="1">
      <c r="A21" s="495"/>
      <c r="B21" s="496"/>
      <c r="C21" s="496"/>
      <c r="D21" s="496"/>
      <c r="E21" s="496"/>
      <c r="F21" s="496"/>
      <c r="G21" s="496"/>
      <c r="H21" s="496"/>
      <c r="I21" s="496"/>
      <c r="J21" s="496"/>
      <c r="K21" s="496"/>
      <c r="L21" s="496"/>
      <c r="N21" s="31" t="s">
        <v>440</v>
      </c>
      <c r="O21" s="146"/>
      <c r="P21" s="146"/>
      <c r="Q21" s="146"/>
      <c r="R21" s="146"/>
      <c r="S21" s="146"/>
      <c r="T21" s="146"/>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row>
    <row r="22" spans="1:49">
      <c r="H22" s="212"/>
      <c r="I22" s="212"/>
      <c r="J22" s="213"/>
      <c r="K22" s="212"/>
      <c r="L22" s="212"/>
      <c r="N22" s="31" t="s">
        <v>860</v>
      </c>
      <c r="O22" s="144">
        <v>2000</v>
      </c>
      <c r="P22" s="144">
        <v>2018</v>
      </c>
      <c r="Q22" s="156">
        <v>2025</v>
      </c>
      <c r="R22" s="156">
        <v>2030</v>
      </c>
      <c r="S22" s="156">
        <v>2035</v>
      </c>
      <c r="T22" s="156">
        <v>2040</v>
      </c>
      <c r="U22" s="30"/>
      <c r="V22" s="30"/>
      <c r="W22" s="30"/>
      <c r="X22" s="30"/>
      <c r="Y22" s="30"/>
      <c r="Z22" s="170"/>
      <c r="AA22" s="30"/>
      <c r="AB22" s="30"/>
      <c r="AC22" s="30"/>
      <c r="AD22" s="30"/>
      <c r="AE22" s="30"/>
      <c r="AF22" s="30"/>
      <c r="AG22" s="30"/>
      <c r="AH22" s="30"/>
      <c r="AI22" s="30"/>
      <c r="AJ22" s="30"/>
      <c r="AK22" s="30"/>
      <c r="AL22" s="30"/>
      <c r="AM22" s="30"/>
      <c r="AN22" s="30"/>
      <c r="AO22" s="30"/>
      <c r="AP22" s="30"/>
      <c r="AQ22" s="30"/>
      <c r="AR22" s="30"/>
      <c r="AS22" s="30"/>
      <c r="AT22" s="172"/>
      <c r="AU22" s="30"/>
      <c r="AV22" s="30"/>
    </row>
    <row r="23" spans="1:49" ht="17.25" thickBot="1">
      <c r="A23" s="257" t="s">
        <v>606</v>
      </c>
      <c r="B23" s="352"/>
      <c r="H23" s="212"/>
      <c r="I23" s="212"/>
      <c r="J23" s="213"/>
      <c r="K23" s="212"/>
      <c r="L23" s="212"/>
      <c r="N23" s="37" t="s">
        <v>529</v>
      </c>
      <c r="O23" s="147">
        <f>O5</f>
        <v>1702262487206750</v>
      </c>
      <c r="P23" s="147">
        <f>P5</f>
        <v>3436289965729810</v>
      </c>
      <c r="Q23" s="148">
        <f>W5</f>
        <v>2582566167435664</v>
      </c>
      <c r="R23" s="148">
        <f>AB5</f>
        <v>2320708229501200</v>
      </c>
      <c r="S23" s="148">
        <f>AG5</f>
        <v>2059807008689712</v>
      </c>
      <c r="T23" s="148">
        <f>AL5</f>
        <v>1798905787878220</v>
      </c>
      <c r="U23" s="30"/>
      <c r="V23" s="30"/>
      <c r="W23" s="30"/>
      <c r="X23" s="30"/>
      <c r="Y23" s="30"/>
      <c r="Z23" s="170"/>
      <c r="AA23" s="30"/>
      <c r="AB23" s="30"/>
      <c r="AC23" s="30"/>
      <c r="AD23" s="30"/>
      <c r="AE23" s="30"/>
      <c r="AF23" s="30"/>
      <c r="AG23" s="30"/>
      <c r="AH23" s="30"/>
      <c r="AI23" s="30"/>
      <c r="AJ23" s="30"/>
      <c r="AK23" s="30"/>
      <c r="AL23" s="30"/>
      <c r="AM23" s="30"/>
      <c r="AN23" s="30"/>
      <c r="AO23" s="30"/>
      <c r="AP23" s="30"/>
      <c r="AQ23" s="30"/>
      <c r="AR23" s="30"/>
      <c r="AS23" s="30"/>
      <c r="AT23" s="173"/>
      <c r="AU23" s="165"/>
      <c r="AV23" s="165"/>
      <c r="AW23" s="171"/>
    </row>
    <row r="24" spans="1:49" ht="17.25" thickBot="1">
      <c r="A24" s="389">
        <f>About!C89</f>
        <v>39656668310000</v>
      </c>
      <c r="B24" s="256" t="s">
        <v>29</v>
      </c>
      <c r="H24" s="212"/>
      <c r="I24" s="212"/>
      <c r="J24" s="213"/>
      <c r="K24" s="212"/>
      <c r="L24" s="212"/>
      <c r="N24" s="42" t="s">
        <v>530</v>
      </c>
      <c r="O24" s="147">
        <f t="shared" ref="O24:P24" si="2">O6</f>
        <v>922572731563840</v>
      </c>
      <c r="P24" s="147">
        <f t="shared" si="2"/>
        <v>2150462152446369.8</v>
      </c>
      <c r="Q24" s="148">
        <f t="shared" ref="Q24:Q25" si="3">W6</f>
        <v>1363673853175968</v>
      </c>
      <c r="R24" s="148">
        <f t="shared" ref="R24:R25" si="4">AB6</f>
        <v>1052369006942470</v>
      </c>
      <c r="S24" s="148">
        <f t="shared" ref="S24:S25" si="5">AG6</f>
        <v>835109949606128</v>
      </c>
      <c r="T24" s="148">
        <f t="shared" ref="T24:T25" si="6">AL6</f>
        <v>617850892269800</v>
      </c>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row>
    <row r="25" spans="1:49">
      <c r="H25" s="212"/>
      <c r="I25" s="212"/>
      <c r="J25" s="213"/>
      <c r="K25" s="212"/>
      <c r="L25" s="212"/>
      <c r="N25" s="42" t="s">
        <v>531</v>
      </c>
      <c r="O25" s="147">
        <f t="shared" ref="O25:P25" si="7">O7</f>
        <v>779689755642910</v>
      </c>
      <c r="P25" s="147">
        <f t="shared" si="7"/>
        <v>1285827813283440</v>
      </c>
      <c r="Q25" s="148">
        <f t="shared" si="3"/>
        <v>1218892314259696</v>
      </c>
      <c r="R25" s="148">
        <f t="shared" si="4"/>
        <v>1268339222558730</v>
      </c>
      <c r="S25" s="148">
        <f t="shared" si="5"/>
        <v>1224697059083576</v>
      </c>
      <c r="T25" s="148">
        <f t="shared" si="6"/>
        <v>1181054895608420</v>
      </c>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row>
    <row r="26" spans="1:49">
      <c r="H26" s="212"/>
      <c r="I26" s="212"/>
      <c r="J26" s="213"/>
      <c r="K26" s="212"/>
      <c r="L26" s="212"/>
    </row>
    <row r="27" spans="1:49">
      <c r="A27" s="492" t="s">
        <v>863</v>
      </c>
      <c r="B27" s="493"/>
      <c r="C27" s="493"/>
      <c r="D27" s="493"/>
      <c r="E27" s="493"/>
      <c r="F27" s="493"/>
      <c r="G27" s="493"/>
      <c r="H27" s="493"/>
      <c r="I27" s="493"/>
      <c r="J27" s="493"/>
      <c r="K27" s="212"/>
      <c r="L27" s="212"/>
      <c r="AV27" s="30"/>
      <c r="AW27" s="210"/>
    </row>
    <row r="28" spans="1:49">
      <c r="A28" s="499" t="s">
        <v>50</v>
      </c>
      <c r="B28" s="499"/>
      <c r="C28" s="499"/>
      <c r="D28" s="499"/>
      <c r="E28" s="499"/>
      <c r="F28" s="499"/>
      <c r="G28" s="499"/>
      <c r="H28" s="499"/>
      <c r="I28" s="499"/>
      <c r="J28" s="499"/>
      <c r="K28" s="212"/>
      <c r="L28" s="212"/>
      <c r="N28" s="31" t="s">
        <v>440</v>
      </c>
      <c r="O28" s="146"/>
      <c r="P28" s="146"/>
      <c r="Q28" s="146"/>
      <c r="R28" s="146"/>
      <c r="S28" s="146"/>
      <c r="AV28" s="30"/>
      <c r="AW28" s="210"/>
    </row>
    <row r="29" spans="1:49">
      <c r="A29" s="31"/>
      <c r="B29" s="32"/>
      <c r="C29" s="32"/>
      <c r="D29" s="32"/>
      <c r="E29" s="32"/>
      <c r="F29" s="32"/>
      <c r="G29" s="494" t="s">
        <v>30</v>
      </c>
      <c r="H29" s="494"/>
      <c r="I29" s="494" t="s">
        <v>31</v>
      </c>
      <c r="J29" s="494"/>
      <c r="K29" s="212"/>
      <c r="L29" s="212"/>
      <c r="N29" s="31" t="s">
        <v>861</v>
      </c>
      <c r="O29" s="144">
        <v>2000</v>
      </c>
      <c r="P29" s="144">
        <v>2022</v>
      </c>
      <c r="Q29" s="156">
        <v>2030</v>
      </c>
      <c r="R29" s="156">
        <v>2040</v>
      </c>
      <c r="S29" s="156">
        <v>2050</v>
      </c>
      <c r="AV29" s="30"/>
      <c r="AW29" s="210"/>
    </row>
    <row r="30" spans="1:49">
      <c r="A30" s="31"/>
      <c r="B30" s="34">
        <v>2000</v>
      </c>
      <c r="C30" s="34">
        <v>2022</v>
      </c>
      <c r="D30" s="34">
        <v>2030</v>
      </c>
      <c r="E30" s="34">
        <v>2040</v>
      </c>
      <c r="F30" s="34">
        <v>2050</v>
      </c>
      <c r="G30" s="35">
        <v>2022</v>
      </c>
      <c r="H30" s="35">
        <v>2050</v>
      </c>
      <c r="I30" s="35" t="s">
        <v>822</v>
      </c>
      <c r="J30" s="433" t="s">
        <v>823</v>
      </c>
      <c r="K30" s="214"/>
      <c r="L30" s="214"/>
      <c r="N30" s="37" t="s">
        <v>529</v>
      </c>
      <c r="O30" s="147">
        <f>O5</f>
        <v>1702262487206750</v>
      </c>
      <c r="P30" s="147">
        <f>T5</f>
        <v>2739680930196350</v>
      </c>
      <c r="Q30" s="148">
        <f>AB5</f>
        <v>2320708229501200</v>
      </c>
      <c r="R30" s="148">
        <f>AL5</f>
        <v>1798905787878220</v>
      </c>
      <c r="S30" s="148">
        <f>AV5</f>
        <v>1298557603810950</v>
      </c>
      <c r="AV30" s="30"/>
      <c r="AW30" s="210"/>
    </row>
    <row r="31" spans="1:49">
      <c r="A31" s="80" t="s">
        <v>843</v>
      </c>
      <c r="B31" s="67">
        <v>44.204000000000001</v>
      </c>
      <c r="C31" s="67">
        <v>69.084999999999994</v>
      </c>
      <c r="D31" s="68">
        <v>58.52</v>
      </c>
      <c r="E31" s="68">
        <v>45.362000000000002</v>
      </c>
      <c r="F31" s="68">
        <v>32.744999999999997</v>
      </c>
      <c r="G31" s="39">
        <v>100</v>
      </c>
      <c r="H31" s="39">
        <v>100</v>
      </c>
      <c r="I31" s="75">
        <v>2.0499999999999998</v>
      </c>
      <c r="J31" s="75">
        <v>-2.63</v>
      </c>
      <c r="K31" s="214"/>
      <c r="L31" s="214"/>
      <c r="N31" s="42" t="s">
        <v>530</v>
      </c>
      <c r="O31" s="147">
        <f>O6</f>
        <v>922572731563840</v>
      </c>
      <c r="P31" s="147">
        <f>T6</f>
        <v>1550456760916070</v>
      </c>
      <c r="Q31" s="148">
        <f>AB6</f>
        <v>1052369006942470</v>
      </c>
      <c r="R31" s="148">
        <f>AL6</f>
        <v>617850892269800</v>
      </c>
      <c r="S31" s="148">
        <f>AV6</f>
        <v>236433056464220</v>
      </c>
      <c r="AV31" s="30"/>
      <c r="AW31" s="210"/>
    </row>
    <row r="32" spans="1:49">
      <c r="A32" s="227" t="s">
        <v>864</v>
      </c>
      <c r="B32" s="228">
        <v>22.988</v>
      </c>
      <c r="C32" s="228">
        <v>39.097000000000001</v>
      </c>
      <c r="D32" s="229">
        <v>26.536999999999999</v>
      </c>
      <c r="E32" s="229">
        <v>15.58</v>
      </c>
      <c r="F32" s="229">
        <v>5.9619999999999997</v>
      </c>
      <c r="G32" s="45">
        <v>56.59</v>
      </c>
      <c r="H32" s="45">
        <v>18.21</v>
      </c>
      <c r="I32" s="230">
        <v>2.44</v>
      </c>
      <c r="J32" s="230">
        <v>-6.5</v>
      </c>
      <c r="K32" s="214"/>
      <c r="L32" s="214"/>
      <c r="N32" s="42" t="s">
        <v>531</v>
      </c>
      <c r="O32" s="147">
        <f>O7</f>
        <v>779689755642910</v>
      </c>
      <c r="P32" s="147">
        <f>T7</f>
        <v>1189224169280280</v>
      </c>
      <c r="Q32" s="148">
        <f>AB7</f>
        <v>1268339222558730</v>
      </c>
      <c r="R32" s="148">
        <f>AL7</f>
        <v>1181054895608420</v>
      </c>
      <c r="S32" s="148">
        <f>AV7</f>
        <v>1062164204015040</v>
      </c>
      <c r="AV32" s="30"/>
      <c r="AW32" s="210"/>
    </row>
    <row r="33" spans="1:49">
      <c r="A33" s="227" t="s">
        <v>865</v>
      </c>
      <c r="B33" s="228">
        <v>21.216999999999999</v>
      </c>
      <c r="C33" s="228">
        <v>29.988</v>
      </c>
      <c r="D33" s="229">
        <v>31.983000000000001</v>
      </c>
      <c r="E33" s="229">
        <v>29.782</v>
      </c>
      <c r="F33" s="229">
        <v>26.783999999999999</v>
      </c>
      <c r="G33" s="45">
        <v>43.41</v>
      </c>
      <c r="H33" s="45">
        <v>81.790000000000006</v>
      </c>
      <c r="I33" s="230">
        <v>1.59</v>
      </c>
      <c r="J33" s="230">
        <v>-0.4</v>
      </c>
      <c r="K33" s="214"/>
      <c r="L33" s="214"/>
      <c r="AV33" s="30"/>
      <c r="AW33" s="210"/>
    </row>
    <row r="34" spans="1:49">
      <c r="A34" s="50"/>
      <c r="B34" s="51"/>
      <c r="C34" s="51"/>
      <c r="D34" s="52"/>
      <c r="E34" s="52"/>
      <c r="F34" s="52"/>
      <c r="G34" s="52"/>
      <c r="H34" s="52"/>
      <c r="I34" s="54"/>
      <c r="J34" s="54"/>
      <c r="K34" s="214"/>
      <c r="L34" s="214"/>
    </row>
    <row r="35" spans="1:49">
      <c r="A35" s="231" t="s">
        <v>866</v>
      </c>
      <c r="B35" s="232"/>
      <c r="C35" s="232"/>
      <c r="D35" s="233"/>
      <c r="E35" s="233"/>
      <c r="F35" s="233"/>
      <c r="G35" s="40"/>
      <c r="H35" s="40"/>
      <c r="I35" s="40"/>
      <c r="J35" s="40"/>
      <c r="K35" s="214"/>
      <c r="L35" s="214"/>
    </row>
    <row r="36" spans="1:49">
      <c r="A36" s="227" t="s">
        <v>867</v>
      </c>
      <c r="B36" s="228">
        <v>0.53600000000000003</v>
      </c>
      <c r="C36" s="228">
        <v>0.2</v>
      </c>
      <c r="D36" s="229">
        <v>0.06</v>
      </c>
      <c r="E36" s="229">
        <v>1.9E-2</v>
      </c>
      <c r="F36" s="229">
        <v>6.0000000000000001E-3</v>
      </c>
      <c r="G36" s="45">
        <v>0.28999999999999998</v>
      </c>
      <c r="H36" s="45">
        <v>0.02</v>
      </c>
      <c r="I36" s="230">
        <v>-4.38</v>
      </c>
      <c r="J36" s="230">
        <v>-11.85</v>
      </c>
      <c r="K36" s="214"/>
      <c r="L36" s="214"/>
    </row>
    <row r="37" spans="1:49">
      <c r="A37" s="227" t="s">
        <v>868</v>
      </c>
      <c r="B37" s="228">
        <v>1.2230000000000001</v>
      </c>
      <c r="C37" s="228">
        <v>2.68</v>
      </c>
      <c r="D37" s="229">
        <v>2.7890000000000001</v>
      </c>
      <c r="E37" s="229">
        <v>2.548</v>
      </c>
      <c r="F37" s="229">
        <v>2.024</v>
      </c>
      <c r="G37" s="45">
        <v>3.88</v>
      </c>
      <c r="H37" s="45">
        <v>6.18</v>
      </c>
      <c r="I37" s="230">
        <v>3.63</v>
      </c>
      <c r="J37" s="230">
        <v>-1</v>
      </c>
      <c r="K37" s="214"/>
      <c r="L37" s="214"/>
    </row>
    <row r="38" spans="1:49">
      <c r="A38" s="227" t="s">
        <v>869</v>
      </c>
      <c r="B38" s="228">
        <v>28.202000000000002</v>
      </c>
      <c r="C38" s="228">
        <v>49.115000000000002</v>
      </c>
      <c r="D38" s="229">
        <v>36.738999999999997</v>
      </c>
      <c r="E38" s="229">
        <v>25.582999999999998</v>
      </c>
      <c r="F38" s="229">
        <v>14.988</v>
      </c>
      <c r="G38" s="45">
        <v>71.09</v>
      </c>
      <c r="H38" s="45">
        <v>45.77</v>
      </c>
      <c r="I38" s="230">
        <v>2.5499999999999998</v>
      </c>
      <c r="J38" s="230">
        <v>-4.1500000000000004</v>
      </c>
      <c r="K38" s="214"/>
      <c r="L38" s="214"/>
    </row>
    <row r="39" spans="1:49">
      <c r="A39" s="227" t="s">
        <v>870</v>
      </c>
      <c r="B39" s="228">
        <v>14.244</v>
      </c>
      <c r="C39" s="228">
        <v>17.09</v>
      </c>
      <c r="D39" s="229">
        <v>18.931000000000001</v>
      </c>
      <c r="E39" s="229">
        <v>17.210999999999999</v>
      </c>
      <c r="F39" s="229">
        <v>15.728</v>
      </c>
      <c r="G39" s="45">
        <v>24.74</v>
      </c>
      <c r="H39" s="45">
        <v>48.03</v>
      </c>
      <c r="I39" s="230">
        <v>0.83</v>
      </c>
      <c r="J39" s="230">
        <v>-0.3</v>
      </c>
      <c r="K39" s="214"/>
      <c r="L39" s="214"/>
    </row>
    <row r="40" spans="1:49">
      <c r="A40" s="50"/>
      <c r="B40" s="51"/>
      <c r="C40" s="51"/>
      <c r="D40" s="52"/>
      <c r="E40" s="52"/>
      <c r="F40" s="52"/>
      <c r="G40" s="52"/>
      <c r="H40" s="52"/>
      <c r="I40" s="54"/>
      <c r="J40" s="54"/>
      <c r="K40" s="214"/>
      <c r="L40" s="214"/>
    </row>
    <row r="41" spans="1:49">
      <c r="A41" s="231" t="s">
        <v>871</v>
      </c>
      <c r="B41" s="228"/>
      <c r="C41" s="228"/>
      <c r="D41" s="229"/>
      <c r="E41" s="229"/>
      <c r="F41" s="229"/>
      <c r="G41" s="45"/>
      <c r="H41" s="45"/>
      <c r="I41" s="230"/>
      <c r="J41" s="230"/>
      <c r="K41" s="214"/>
      <c r="L41" s="214"/>
    </row>
    <row r="42" spans="1:49">
      <c r="A42" s="227" t="s">
        <v>872</v>
      </c>
      <c r="B42" s="228">
        <v>22.988</v>
      </c>
      <c r="C42" s="228">
        <v>39.097000000000001</v>
      </c>
      <c r="D42" s="229">
        <v>26.536999999999999</v>
      </c>
      <c r="E42" s="229">
        <v>15.58</v>
      </c>
      <c r="F42" s="229">
        <v>5.9619999999999997</v>
      </c>
      <c r="G42" s="45">
        <v>56.59</v>
      </c>
      <c r="H42" s="45">
        <v>18.21</v>
      </c>
      <c r="I42" s="230">
        <v>2.44</v>
      </c>
      <c r="J42" s="230">
        <v>-6.5</v>
      </c>
      <c r="K42" s="214"/>
      <c r="L42" s="214"/>
    </row>
    <row r="43" spans="1:49">
      <c r="A43" s="227" t="s">
        <v>873</v>
      </c>
      <c r="B43" s="228">
        <v>12.957000000000001</v>
      </c>
      <c r="C43" s="228">
        <v>16.593</v>
      </c>
      <c r="D43" s="229">
        <v>18.478000000000002</v>
      </c>
      <c r="E43" s="229">
        <v>17.175999999999998</v>
      </c>
      <c r="F43" s="229">
        <v>15.693</v>
      </c>
      <c r="G43" s="45">
        <v>24.02</v>
      </c>
      <c r="H43" s="45">
        <v>47.92</v>
      </c>
      <c r="I43" s="230">
        <v>1.1299999999999999</v>
      </c>
      <c r="J43" s="230">
        <v>-0.2</v>
      </c>
      <c r="K43" s="214"/>
      <c r="L43" s="214"/>
    </row>
    <row r="44" spans="1:49">
      <c r="A44" s="227" t="s">
        <v>874</v>
      </c>
      <c r="B44" s="228">
        <v>3.5030000000000001</v>
      </c>
      <c r="C44" s="228">
        <v>2.1419999999999999</v>
      </c>
      <c r="D44" s="229">
        <v>1.847</v>
      </c>
      <c r="E44" s="229">
        <v>1.6359999999999999</v>
      </c>
      <c r="F44" s="229">
        <v>1.365</v>
      </c>
      <c r="G44" s="45">
        <v>3.1</v>
      </c>
      <c r="H44" s="45">
        <v>4.17</v>
      </c>
      <c r="I44" s="230">
        <v>-2.21</v>
      </c>
      <c r="J44" s="230">
        <v>-1.6</v>
      </c>
      <c r="K44" s="214"/>
      <c r="L44" s="214"/>
    </row>
    <row r="45" spans="1:49">
      <c r="A45" s="227" t="s">
        <v>875</v>
      </c>
      <c r="B45" s="228">
        <v>4.2169999999999996</v>
      </c>
      <c r="C45" s="228">
        <v>11.026</v>
      </c>
      <c r="D45" s="229">
        <v>11.59</v>
      </c>
      <c r="E45" s="229">
        <v>10.951000000000001</v>
      </c>
      <c r="F45" s="229">
        <v>9.7200000000000006</v>
      </c>
      <c r="G45" s="45">
        <v>15.96</v>
      </c>
      <c r="H45" s="45">
        <v>29.68</v>
      </c>
      <c r="I45" s="230">
        <v>4.47</v>
      </c>
      <c r="J45" s="230">
        <v>-0.45</v>
      </c>
      <c r="K45" s="214"/>
      <c r="L45" s="214"/>
    </row>
    <row r="46" spans="1:49" ht="17.25" thickBot="1">
      <c r="A46" s="227" t="s">
        <v>876</v>
      </c>
      <c r="B46" s="228">
        <v>0.45</v>
      </c>
      <c r="C46" s="228">
        <v>0.182</v>
      </c>
      <c r="D46" s="229">
        <v>0.05</v>
      </c>
      <c r="E46" s="229">
        <v>1.4999999999999999E-2</v>
      </c>
      <c r="F46" s="229">
        <v>4.0000000000000001E-3</v>
      </c>
      <c r="G46" s="45">
        <v>0.26</v>
      </c>
      <c r="H46" s="45">
        <v>0.01</v>
      </c>
      <c r="I46" s="230">
        <v>-4.03</v>
      </c>
      <c r="J46" s="230">
        <v>-12.57</v>
      </c>
      <c r="K46" s="214"/>
      <c r="L46" s="214"/>
    </row>
    <row r="47" spans="1:49">
      <c r="A47" s="495"/>
      <c r="B47" s="496"/>
      <c r="C47" s="496"/>
      <c r="D47" s="496"/>
      <c r="E47" s="496"/>
      <c r="F47" s="496"/>
      <c r="G47" s="496"/>
      <c r="H47" s="496"/>
      <c r="I47" s="496"/>
      <c r="J47" s="496"/>
      <c r="K47" s="214"/>
      <c r="L47" s="214"/>
    </row>
    <row r="48" spans="1:49">
      <c r="H48" s="214"/>
      <c r="I48" s="214"/>
      <c r="J48" s="215"/>
      <c r="K48" s="214"/>
      <c r="L48" s="214"/>
    </row>
    <row r="49" spans="8:12">
      <c r="H49" s="214"/>
      <c r="I49" s="214"/>
      <c r="J49" s="215"/>
      <c r="K49" s="214"/>
      <c r="L49" s="214"/>
    </row>
    <row r="50" spans="8:12">
      <c r="H50" s="214"/>
      <c r="I50" s="214"/>
      <c r="J50" s="215"/>
      <c r="K50" s="214"/>
      <c r="L50" s="214"/>
    </row>
    <row r="51" spans="8:12">
      <c r="H51" s="214"/>
      <c r="I51" s="214"/>
      <c r="J51" s="215"/>
      <c r="K51" s="214"/>
      <c r="L51" s="214"/>
    </row>
    <row r="52" spans="8:12">
      <c r="H52" s="214"/>
      <c r="I52" s="214"/>
      <c r="J52" s="215"/>
      <c r="K52" s="214"/>
      <c r="L52" s="214"/>
    </row>
    <row r="53" spans="8:12">
      <c r="H53" s="214"/>
      <c r="I53" s="214"/>
      <c r="J53" s="215"/>
      <c r="K53" s="214"/>
      <c r="L53" s="214"/>
    </row>
    <row r="54" spans="8:12">
      <c r="H54" s="214"/>
      <c r="I54" s="214"/>
      <c r="J54" s="215"/>
      <c r="K54" s="214"/>
      <c r="L54" s="214"/>
    </row>
    <row r="55" spans="8:12">
      <c r="H55" s="214"/>
      <c r="I55" s="214"/>
      <c r="J55" s="215"/>
      <c r="K55" s="214"/>
      <c r="L55" s="214"/>
    </row>
    <row r="56" spans="8:12">
      <c r="H56" s="214"/>
      <c r="I56" s="214"/>
      <c r="J56" s="215"/>
      <c r="K56" s="214"/>
      <c r="L56" s="214"/>
    </row>
    <row r="57" spans="8:12">
      <c r="H57" s="214"/>
      <c r="I57" s="214"/>
      <c r="J57" s="215"/>
      <c r="K57" s="214"/>
      <c r="L57" s="214"/>
    </row>
    <row r="58" spans="8:12">
      <c r="H58" s="214"/>
      <c r="I58" s="214"/>
      <c r="J58" s="215"/>
      <c r="K58" s="214"/>
      <c r="L58" s="214"/>
    </row>
    <row r="59" spans="8:12">
      <c r="H59" s="214"/>
      <c r="I59" s="214"/>
      <c r="J59" s="215"/>
      <c r="K59" s="214"/>
      <c r="L59" s="214"/>
    </row>
    <row r="60" spans="8:12">
      <c r="H60" s="214"/>
      <c r="I60" s="214"/>
      <c r="J60" s="215"/>
      <c r="K60" s="214"/>
      <c r="L60" s="214"/>
    </row>
    <row r="61" spans="8:12">
      <c r="H61" s="214"/>
      <c r="I61" s="214"/>
      <c r="J61" s="215"/>
      <c r="K61" s="214"/>
      <c r="L61" s="214"/>
    </row>
    <row r="62" spans="8:12">
      <c r="H62" s="214"/>
      <c r="I62" s="214"/>
      <c r="J62" s="215"/>
      <c r="K62" s="214"/>
      <c r="L62" s="214"/>
    </row>
    <row r="63" spans="8:12">
      <c r="H63" s="214"/>
      <c r="I63" s="214"/>
      <c r="J63" s="215"/>
      <c r="K63" s="214"/>
      <c r="L63" s="214"/>
    </row>
    <row r="64" spans="8:12">
      <c r="H64" s="214"/>
      <c r="I64" s="214"/>
      <c r="J64" s="215"/>
      <c r="K64" s="214"/>
      <c r="L64" s="214"/>
    </row>
    <row r="65" spans="8:12">
      <c r="H65" s="214"/>
      <c r="I65" s="214"/>
      <c r="J65" s="215"/>
      <c r="K65" s="214"/>
      <c r="L65" s="214"/>
    </row>
    <row r="66" spans="8:12">
      <c r="H66" s="214"/>
      <c r="I66" s="214"/>
      <c r="J66" s="215"/>
      <c r="K66" s="214"/>
      <c r="L66" s="214"/>
    </row>
    <row r="67" spans="8:12">
      <c r="H67" s="214"/>
      <c r="I67" s="214"/>
      <c r="J67" s="215"/>
      <c r="K67" s="214"/>
      <c r="L67" s="214"/>
    </row>
    <row r="68" spans="8:12">
      <c r="H68" s="214"/>
      <c r="I68" s="214"/>
      <c r="J68" s="215"/>
      <c r="K68" s="214"/>
      <c r="L68" s="214"/>
    </row>
    <row r="69" spans="8:12">
      <c r="H69" s="214"/>
      <c r="I69" s="214"/>
      <c r="J69" s="215"/>
      <c r="K69" s="214"/>
      <c r="L69" s="214"/>
    </row>
    <row r="70" spans="8:12">
      <c r="H70" s="214"/>
      <c r="I70" s="214"/>
      <c r="J70" s="215"/>
      <c r="K70" s="214"/>
      <c r="L70" s="214"/>
    </row>
    <row r="71" spans="8:12">
      <c r="H71" s="214"/>
      <c r="I71" s="214"/>
      <c r="J71" s="215"/>
      <c r="K71" s="214"/>
      <c r="L71" s="214"/>
    </row>
    <row r="72" spans="8:12">
      <c r="H72" s="214"/>
      <c r="I72" s="214"/>
      <c r="J72" s="215"/>
      <c r="K72" s="214"/>
      <c r="L72" s="214"/>
    </row>
    <row r="73" spans="8:12">
      <c r="H73" s="214"/>
      <c r="I73" s="214"/>
      <c r="J73" s="215"/>
      <c r="K73" s="214"/>
      <c r="L73" s="214"/>
    </row>
    <row r="74" spans="8:12">
      <c r="H74" s="214"/>
      <c r="I74" s="214"/>
      <c r="J74" s="215"/>
      <c r="K74" s="214"/>
      <c r="L74" s="214"/>
    </row>
    <row r="75" spans="8:12">
      <c r="H75" s="214"/>
      <c r="I75" s="214"/>
      <c r="J75" s="215"/>
      <c r="K75" s="214"/>
      <c r="L75" s="214"/>
    </row>
    <row r="76" spans="8:12">
      <c r="H76" s="214"/>
      <c r="I76" s="214"/>
      <c r="J76" s="215"/>
      <c r="K76" s="214"/>
      <c r="L76" s="214"/>
    </row>
    <row r="77" spans="8:12">
      <c r="H77" s="214"/>
      <c r="I77" s="214"/>
      <c r="J77" s="215"/>
      <c r="K77" s="214"/>
      <c r="L77" s="214"/>
    </row>
    <row r="78" spans="8:12">
      <c r="H78" s="214"/>
      <c r="I78" s="214"/>
      <c r="J78" s="215"/>
      <c r="K78" s="214"/>
      <c r="L78" s="214"/>
    </row>
    <row r="79" spans="8:12">
      <c r="H79" s="214"/>
      <c r="I79" s="214"/>
      <c r="J79" s="215"/>
      <c r="K79" s="214"/>
      <c r="L79" s="214"/>
    </row>
    <row r="80" spans="8:12">
      <c r="H80" s="214"/>
      <c r="I80" s="214"/>
      <c r="J80" s="215"/>
      <c r="K80" s="214"/>
      <c r="L80" s="214"/>
    </row>
    <row r="81" spans="8:12">
      <c r="H81" s="214"/>
      <c r="I81" s="214"/>
      <c r="J81" s="215"/>
      <c r="K81" s="214"/>
      <c r="L81" s="214"/>
    </row>
    <row r="82" spans="8:12">
      <c r="H82" s="214"/>
      <c r="I82" s="214"/>
      <c r="J82" s="215"/>
      <c r="K82" s="214"/>
      <c r="L82" s="214"/>
    </row>
    <row r="83" spans="8:12">
      <c r="H83" s="214"/>
      <c r="I83" s="214"/>
      <c r="J83" s="215"/>
      <c r="K83" s="214"/>
      <c r="L83" s="214"/>
    </row>
    <row r="84" spans="8:12">
      <c r="H84" s="214"/>
      <c r="I84" s="214"/>
      <c r="J84" s="215"/>
      <c r="K84" s="214"/>
      <c r="L84" s="214"/>
    </row>
    <row r="85" spans="8:12">
      <c r="H85" s="214"/>
      <c r="I85" s="214"/>
      <c r="J85" s="215"/>
      <c r="K85" s="214"/>
      <c r="L85" s="214"/>
    </row>
    <row r="86" spans="8:12">
      <c r="H86" s="214"/>
      <c r="I86" s="214"/>
      <c r="J86" s="215"/>
      <c r="K86" s="214"/>
      <c r="L86" s="214"/>
    </row>
    <row r="87" spans="8:12">
      <c r="H87" s="214"/>
      <c r="I87" s="214"/>
      <c r="J87" s="215"/>
      <c r="K87" s="214"/>
      <c r="L87" s="214"/>
    </row>
    <row r="88" spans="8:12">
      <c r="H88" s="214"/>
      <c r="I88" s="214"/>
      <c r="J88" s="215"/>
      <c r="K88" s="214"/>
      <c r="L88" s="214"/>
    </row>
    <row r="89" spans="8:12">
      <c r="H89" s="214"/>
      <c r="I89" s="214"/>
      <c r="J89" s="215"/>
      <c r="K89" s="214"/>
      <c r="L89" s="214"/>
    </row>
    <row r="90" spans="8:12">
      <c r="H90" s="214"/>
      <c r="I90" s="214"/>
      <c r="J90" s="215"/>
      <c r="K90" s="214"/>
      <c r="L90" s="214"/>
    </row>
    <row r="91" spans="8:12">
      <c r="H91" s="214"/>
      <c r="I91" s="214"/>
      <c r="J91" s="215"/>
      <c r="K91" s="214"/>
      <c r="L91" s="214"/>
    </row>
    <row r="92" spans="8:12">
      <c r="H92" s="214"/>
      <c r="I92" s="214"/>
      <c r="J92" s="215"/>
      <c r="K92" s="214"/>
      <c r="L92" s="214"/>
    </row>
    <row r="93" spans="8:12">
      <c r="H93" s="214"/>
      <c r="I93" s="214"/>
      <c r="J93" s="215"/>
      <c r="K93" s="214"/>
      <c r="L93" s="214"/>
    </row>
    <row r="94" spans="8:12">
      <c r="H94" s="214"/>
      <c r="I94" s="214"/>
      <c r="J94" s="215"/>
      <c r="K94" s="214"/>
      <c r="L94" s="214"/>
    </row>
    <row r="95" spans="8:12">
      <c r="H95" s="214"/>
      <c r="I95" s="214"/>
      <c r="J95" s="215"/>
      <c r="K95" s="214"/>
      <c r="L95" s="214"/>
    </row>
    <row r="96" spans="8:12">
      <c r="H96" s="214"/>
      <c r="I96" s="214"/>
      <c r="J96" s="215"/>
      <c r="K96" s="214"/>
      <c r="L96" s="214"/>
    </row>
    <row r="97" spans="8:12">
      <c r="H97" s="214"/>
      <c r="I97" s="214"/>
      <c r="J97" s="215"/>
      <c r="K97" s="214"/>
      <c r="L97" s="214"/>
    </row>
    <row r="98" spans="8:12">
      <c r="H98" s="214"/>
      <c r="I98" s="214"/>
      <c r="J98" s="215"/>
      <c r="K98" s="214"/>
      <c r="L98" s="214"/>
    </row>
    <row r="99" spans="8:12">
      <c r="H99" s="214"/>
      <c r="I99" s="214"/>
      <c r="J99" s="215"/>
      <c r="K99" s="214"/>
      <c r="L99" s="214"/>
    </row>
    <row r="100" spans="8:12">
      <c r="H100" s="214"/>
      <c r="I100" s="214"/>
      <c r="J100" s="215"/>
      <c r="K100" s="214"/>
      <c r="L100" s="214"/>
    </row>
    <row r="101" spans="8:12">
      <c r="H101" s="214"/>
      <c r="I101" s="214"/>
      <c r="J101" s="215"/>
      <c r="K101" s="214"/>
      <c r="L101" s="214"/>
    </row>
    <row r="102" spans="8:12">
      <c r="H102" s="214"/>
      <c r="I102" s="214"/>
      <c r="J102" s="215"/>
      <c r="K102" s="214"/>
      <c r="L102" s="214"/>
    </row>
    <row r="103" spans="8:12">
      <c r="H103" s="214"/>
      <c r="I103" s="214"/>
      <c r="J103" s="215"/>
      <c r="K103" s="214"/>
      <c r="L103" s="214"/>
    </row>
    <row r="104" spans="8:12">
      <c r="H104" s="214"/>
      <c r="I104" s="214"/>
      <c r="J104" s="215"/>
      <c r="K104" s="214"/>
      <c r="L104" s="214"/>
    </row>
    <row r="105" spans="8:12">
      <c r="H105" s="214"/>
      <c r="I105" s="214"/>
      <c r="J105" s="215"/>
      <c r="K105" s="214"/>
      <c r="L105" s="214"/>
    </row>
    <row r="106" spans="8:12">
      <c r="H106" s="214"/>
      <c r="I106" s="214"/>
      <c r="J106" s="215"/>
      <c r="K106" s="214"/>
      <c r="L106" s="214"/>
    </row>
    <row r="107" spans="8:12">
      <c r="H107" s="214"/>
      <c r="I107" s="214"/>
      <c r="J107" s="215"/>
      <c r="K107" s="214"/>
      <c r="L107" s="214"/>
    </row>
    <row r="108" spans="8:12">
      <c r="H108" s="214"/>
      <c r="I108" s="214"/>
      <c r="J108" s="215"/>
      <c r="K108" s="214"/>
      <c r="L108" s="214"/>
    </row>
    <row r="109" spans="8:12">
      <c r="H109" s="214"/>
      <c r="I109" s="214"/>
      <c r="J109" s="215"/>
      <c r="K109" s="214"/>
      <c r="L109" s="214"/>
    </row>
    <row r="110" spans="8:12">
      <c r="H110" s="214"/>
      <c r="I110" s="214"/>
      <c r="J110" s="215"/>
      <c r="K110" s="214"/>
      <c r="L110" s="214"/>
    </row>
    <row r="111" spans="8:12">
      <c r="H111" s="214"/>
      <c r="I111" s="214"/>
      <c r="J111" s="215"/>
      <c r="K111" s="214"/>
      <c r="L111" s="214"/>
    </row>
  </sheetData>
  <mergeCells count="10">
    <mergeCell ref="A27:J27"/>
    <mergeCell ref="A28:J28"/>
    <mergeCell ref="G29:H29"/>
    <mergeCell ref="I29:J29"/>
    <mergeCell ref="A47:J47"/>
    <mergeCell ref="A1:L1"/>
    <mergeCell ref="A2:L2"/>
    <mergeCell ref="H3:I3"/>
    <mergeCell ref="K3:L3"/>
    <mergeCell ref="A21:L21"/>
  </mergeCells>
  <phoneticPr fontId="37"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88270-37F0-4131-BD04-CC60C886DA23}">
  <dimension ref="B1:BM93"/>
  <sheetViews>
    <sheetView zoomScale="62" zoomScaleNormal="62" workbookViewId="0">
      <pane xSplit="2" ySplit="5" topLeftCell="C12" activePane="bottomRight" state="frozen"/>
      <selection activeCell="BC40" sqref="BC40"/>
      <selection pane="topRight" activeCell="BC40" sqref="BC40"/>
      <selection pane="bottomLeft" activeCell="BC40" sqref="BC40"/>
      <selection pane="bottomRight" activeCell="T4" sqref="T4"/>
    </sheetView>
  </sheetViews>
  <sheetFormatPr defaultColWidth="8.125" defaultRowHeight="13.5"/>
  <cols>
    <col min="1" max="1" width="2.125" style="95" customWidth="1"/>
    <col min="2" max="2" width="25.375" style="95" bestFit="1" customWidth="1"/>
    <col min="3" max="3" width="41.375" style="95" bestFit="1" customWidth="1"/>
    <col min="4" max="15" width="10.375" style="95" customWidth="1"/>
    <col min="16" max="16" width="17.375" style="95" bestFit="1" customWidth="1"/>
    <col min="17" max="42" width="10.375" style="95" customWidth="1"/>
    <col min="43" max="43" width="24.375" style="95" bestFit="1" customWidth="1"/>
    <col min="44" max="44" width="28.125" style="95" bestFit="1" customWidth="1"/>
    <col min="45" max="45" width="18.375" style="95" bestFit="1" customWidth="1"/>
    <col min="46" max="49" width="10.375" style="95" customWidth="1"/>
    <col min="50" max="50" width="18.375" style="95" bestFit="1" customWidth="1"/>
    <col min="51" max="58" width="10.375" style="95" customWidth="1"/>
    <col min="59" max="59" width="11.625" style="95" bestFit="1" customWidth="1"/>
    <col min="60" max="61" width="10.375" style="95" customWidth="1"/>
    <col min="62" max="62" width="22" style="95" bestFit="1" customWidth="1"/>
    <col min="63" max="63" width="16.5" style="95" bestFit="1" customWidth="1"/>
    <col min="64" max="64" width="1.375" style="95" customWidth="1"/>
    <col min="65" max="65" width="9" style="95" bestFit="1" customWidth="1"/>
    <col min="66" max="66" width="14.375" style="95" bestFit="1" customWidth="1"/>
    <col min="67" max="16384" width="8.125" style="95"/>
  </cols>
  <sheetData>
    <row r="1" spans="2:65" ht="18" customHeight="1" thickBot="1">
      <c r="D1" s="508" t="s">
        <v>425</v>
      </c>
      <c r="E1" s="508"/>
      <c r="F1" s="508"/>
      <c r="G1" s="508"/>
      <c r="H1" s="508"/>
      <c r="I1" s="508"/>
      <c r="J1" s="508"/>
      <c r="K1" s="508"/>
      <c r="L1" s="508"/>
      <c r="M1" s="508"/>
      <c r="N1" s="508"/>
      <c r="O1" s="508"/>
      <c r="P1" s="508"/>
      <c r="Q1" s="509" t="s">
        <v>426</v>
      </c>
      <c r="R1" s="509"/>
      <c r="S1" s="142" t="s">
        <v>430</v>
      </c>
      <c r="T1" s="510" t="s">
        <v>432</v>
      </c>
      <c r="U1" s="510"/>
      <c r="V1" s="510"/>
      <c r="W1" s="509" t="s">
        <v>436</v>
      </c>
      <c r="X1" s="509"/>
      <c r="Y1" s="509"/>
      <c r="Z1" s="508" t="s">
        <v>433</v>
      </c>
      <c r="AA1" s="508"/>
      <c r="AB1" s="508"/>
      <c r="AC1" s="508"/>
      <c r="AD1" s="508"/>
      <c r="AE1" s="508"/>
      <c r="AF1" s="509" t="s">
        <v>435</v>
      </c>
      <c r="AG1" s="509"/>
      <c r="AH1" s="509"/>
      <c r="AI1" s="508" t="s">
        <v>429</v>
      </c>
      <c r="AJ1" s="508"/>
      <c r="AK1" s="508"/>
      <c r="AL1" s="508"/>
      <c r="AM1" s="508"/>
      <c r="AN1" s="508"/>
      <c r="AO1" s="508"/>
      <c r="AP1" s="509" t="s">
        <v>427</v>
      </c>
      <c r="AQ1" s="509"/>
      <c r="AR1" s="509"/>
      <c r="AS1" s="509"/>
      <c r="AT1" s="509"/>
      <c r="AU1" s="509"/>
      <c r="AV1" s="509"/>
      <c r="AW1" s="509"/>
      <c r="AX1" s="509"/>
      <c r="AY1" s="508" t="s">
        <v>439</v>
      </c>
      <c r="AZ1" s="508"/>
      <c r="BA1" s="508"/>
      <c r="BB1" s="508"/>
      <c r="BC1" s="508"/>
      <c r="BD1" s="508"/>
      <c r="BE1" s="508"/>
      <c r="BF1" s="508"/>
      <c r="BG1" s="508"/>
      <c r="BH1" s="216" t="s">
        <v>43</v>
      </c>
      <c r="BI1" s="143" t="s">
        <v>434</v>
      </c>
    </row>
    <row r="2" spans="2:65" ht="9.75" customHeight="1" thickBot="1">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c r="AV2" s="135"/>
      <c r="AW2" s="135"/>
      <c r="AX2" s="135"/>
      <c r="AY2" s="135"/>
      <c r="AZ2" s="135"/>
      <c r="BA2" s="135"/>
      <c r="BB2" s="135"/>
      <c r="BC2" s="135"/>
      <c r="BD2" s="135"/>
      <c r="BE2" s="135"/>
      <c r="BF2" s="135"/>
      <c r="BG2" s="135"/>
      <c r="BH2" s="135"/>
      <c r="BI2" s="135"/>
      <c r="BJ2" s="135"/>
      <c r="BK2" s="135"/>
    </row>
    <row r="3" spans="2:65">
      <c r="B3" s="96" t="s">
        <v>134</v>
      </c>
      <c r="D3" s="97" t="s">
        <v>135</v>
      </c>
      <c r="E3" s="97" t="s">
        <v>136</v>
      </c>
      <c r="F3" s="97" t="s">
        <v>131</v>
      </c>
      <c r="G3" s="97" t="s">
        <v>137</v>
      </c>
      <c r="H3" s="97" t="s">
        <v>138</v>
      </c>
      <c r="I3" s="97" t="s">
        <v>139</v>
      </c>
      <c r="J3" s="97" t="s">
        <v>140</v>
      </c>
      <c r="K3" s="97" t="s">
        <v>141</v>
      </c>
      <c r="L3" s="97" t="s">
        <v>142</v>
      </c>
      <c r="M3" s="97" t="s">
        <v>143</v>
      </c>
      <c r="N3" s="97" t="s">
        <v>144</v>
      </c>
      <c r="O3" s="97" t="s">
        <v>145</v>
      </c>
      <c r="P3" s="97" t="s">
        <v>146</v>
      </c>
      <c r="Q3" s="97" t="s">
        <v>147</v>
      </c>
      <c r="R3" s="97" t="s">
        <v>84</v>
      </c>
      <c r="S3" s="97" t="s">
        <v>148</v>
      </c>
      <c r="T3" s="97" t="s">
        <v>149</v>
      </c>
      <c r="U3" s="97" t="s">
        <v>150</v>
      </c>
      <c r="V3" s="97" t="s">
        <v>151</v>
      </c>
      <c r="W3" s="97" t="s">
        <v>152</v>
      </c>
      <c r="X3" s="97" t="s">
        <v>153</v>
      </c>
      <c r="Y3" s="97" t="s">
        <v>154</v>
      </c>
      <c r="Z3" s="97" t="s">
        <v>57</v>
      </c>
      <c r="AA3" s="97" t="s">
        <v>155</v>
      </c>
      <c r="AB3" s="97" t="s">
        <v>156</v>
      </c>
      <c r="AC3" s="97" t="s">
        <v>157</v>
      </c>
      <c r="AD3" s="97" t="s">
        <v>158</v>
      </c>
      <c r="AE3" s="97" t="s">
        <v>58</v>
      </c>
      <c r="AF3" s="97" t="s">
        <v>159</v>
      </c>
      <c r="AG3" s="97" t="s">
        <v>160</v>
      </c>
      <c r="AH3" s="97" t="s">
        <v>161</v>
      </c>
      <c r="AI3" s="97" t="s">
        <v>162</v>
      </c>
      <c r="AJ3" s="97" t="s">
        <v>163</v>
      </c>
      <c r="AK3" s="97" t="s">
        <v>164</v>
      </c>
      <c r="AL3" s="97" t="s">
        <v>165</v>
      </c>
      <c r="AM3" s="97" t="s">
        <v>166</v>
      </c>
      <c r="AN3" s="97" t="s">
        <v>167</v>
      </c>
      <c r="AO3" s="97" t="s">
        <v>168</v>
      </c>
      <c r="AP3" s="97" t="s">
        <v>169</v>
      </c>
      <c r="AQ3" s="97" t="s">
        <v>170</v>
      </c>
      <c r="AR3" s="97" t="s">
        <v>171</v>
      </c>
      <c r="AS3" s="97" t="s">
        <v>172</v>
      </c>
      <c r="AT3" s="97" t="s">
        <v>173</v>
      </c>
      <c r="AU3" s="97" t="s">
        <v>174</v>
      </c>
      <c r="AV3" s="97" t="s">
        <v>175</v>
      </c>
      <c r="AW3" s="97" t="s">
        <v>176</v>
      </c>
      <c r="AX3" s="97" t="s">
        <v>177</v>
      </c>
      <c r="AY3" s="97" t="s">
        <v>178</v>
      </c>
      <c r="AZ3" s="97" t="s">
        <v>179</v>
      </c>
      <c r="BA3" s="97" t="s">
        <v>180</v>
      </c>
      <c r="BB3" s="97" t="s">
        <v>181</v>
      </c>
      <c r="BC3" s="97" t="s">
        <v>182</v>
      </c>
      <c r="BD3" s="97" t="s">
        <v>183</v>
      </c>
      <c r="BE3" s="97" t="s">
        <v>184</v>
      </c>
      <c r="BF3" s="97" t="s">
        <v>185</v>
      </c>
      <c r="BG3" s="97" t="s">
        <v>186</v>
      </c>
      <c r="BH3" s="97" t="s">
        <v>37</v>
      </c>
      <c r="BI3" s="97" t="s">
        <v>187</v>
      </c>
      <c r="BJ3" s="97" t="s">
        <v>188</v>
      </c>
      <c r="BK3" s="97" t="s">
        <v>189</v>
      </c>
      <c r="BL3" s="94"/>
      <c r="BM3" s="94"/>
    </row>
    <row r="4" spans="2:65">
      <c r="B4" s="96">
        <v>2019</v>
      </c>
      <c r="D4" s="97" t="s">
        <v>190</v>
      </c>
      <c r="E4" s="97" t="s">
        <v>191</v>
      </c>
      <c r="F4" s="97" t="s">
        <v>192</v>
      </c>
      <c r="G4" s="97" t="s">
        <v>193</v>
      </c>
      <c r="H4" s="97" t="s">
        <v>194</v>
      </c>
      <c r="I4" s="97" t="s">
        <v>195</v>
      </c>
      <c r="J4" s="97" t="s">
        <v>196</v>
      </c>
      <c r="K4" s="97" t="s">
        <v>197</v>
      </c>
      <c r="L4" s="97" t="s">
        <v>198</v>
      </c>
      <c r="M4" s="97" t="s">
        <v>199</v>
      </c>
      <c r="N4" s="97" t="s">
        <v>200</v>
      </c>
      <c r="O4" s="97" t="s">
        <v>201</v>
      </c>
      <c r="P4" s="97" t="s">
        <v>202</v>
      </c>
      <c r="Q4" s="97" t="s">
        <v>203</v>
      </c>
      <c r="R4" s="97" t="s">
        <v>204</v>
      </c>
      <c r="S4" s="97" t="s">
        <v>205</v>
      </c>
      <c r="T4" s="97" t="s">
        <v>206</v>
      </c>
      <c r="U4" s="97" t="s">
        <v>207</v>
      </c>
      <c r="V4" s="97" t="s">
        <v>208</v>
      </c>
      <c r="W4" s="97" t="s">
        <v>209</v>
      </c>
      <c r="X4" s="97" t="s">
        <v>210</v>
      </c>
      <c r="Y4" s="97" t="s">
        <v>211</v>
      </c>
      <c r="Z4" s="97" t="s">
        <v>212</v>
      </c>
      <c r="AA4" s="97" t="s">
        <v>213</v>
      </c>
      <c r="AB4" s="97" t="s">
        <v>214</v>
      </c>
      <c r="AC4" s="97" t="s">
        <v>215</v>
      </c>
      <c r="AD4" s="97" t="s">
        <v>216</v>
      </c>
      <c r="AE4" s="97" t="s">
        <v>217</v>
      </c>
      <c r="AF4" s="97" t="s">
        <v>159</v>
      </c>
      <c r="AG4" s="97" t="s">
        <v>160</v>
      </c>
      <c r="AH4" s="97" t="s">
        <v>161</v>
      </c>
      <c r="AI4" s="97" t="s">
        <v>218</v>
      </c>
      <c r="AJ4" s="97" t="s">
        <v>219</v>
      </c>
      <c r="AK4" s="97" t="s">
        <v>220</v>
      </c>
      <c r="AL4" s="97" t="s">
        <v>221</v>
      </c>
      <c r="AM4" s="97" t="s">
        <v>222</v>
      </c>
      <c r="AN4" s="97" t="s">
        <v>223</v>
      </c>
      <c r="AO4" s="97" t="s">
        <v>224</v>
      </c>
      <c r="AP4" s="97" t="s">
        <v>225</v>
      </c>
      <c r="AQ4" s="97" t="s">
        <v>226</v>
      </c>
      <c r="AR4" s="97" t="s">
        <v>227</v>
      </c>
      <c r="AS4" s="97" t="s">
        <v>228</v>
      </c>
      <c r="AT4" s="97" t="s">
        <v>229</v>
      </c>
      <c r="AU4" s="97" t="s">
        <v>230</v>
      </c>
      <c r="AV4" s="97" t="s">
        <v>231</v>
      </c>
      <c r="AW4" s="97" t="s">
        <v>232</v>
      </c>
      <c r="AX4" s="97" t="s">
        <v>233</v>
      </c>
      <c r="AY4" s="97" t="s">
        <v>234</v>
      </c>
      <c r="AZ4" s="97" t="s">
        <v>235</v>
      </c>
      <c r="BA4" s="97" t="s">
        <v>236</v>
      </c>
      <c r="BB4" s="97" t="s">
        <v>237</v>
      </c>
      <c r="BC4" s="97" t="s">
        <v>238</v>
      </c>
      <c r="BD4" s="97" t="s">
        <v>239</v>
      </c>
      <c r="BE4" s="97" t="s">
        <v>240</v>
      </c>
      <c r="BF4" s="97" t="s">
        <v>241</v>
      </c>
      <c r="BG4" s="97" t="s">
        <v>242</v>
      </c>
      <c r="BH4" s="97" t="s">
        <v>243</v>
      </c>
      <c r="BI4" s="97" t="s">
        <v>244</v>
      </c>
      <c r="BJ4" s="97" t="s">
        <v>245</v>
      </c>
      <c r="BK4" s="97" t="s">
        <v>246</v>
      </c>
      <c r="BL4" s="94"/>
      <c r="BM4" s="94"/>
    </row>
    <row r="5" spans="2:65" ht="14.25" thickBot="1">
      <c r="B5" s="98" t="s">
        <v>410</v>
      </c>
      <c r="C5" s="93"/>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99"/>
      <c r="BL5" s="94"/>
      <c r="BM5" s="94"/>
    </row>
    <row r="6" spans="2:65">
      <c r="B6" s="100" t="s">
        <v>247</v>
      </c>
      <c r="C6" s="101" t="s">
        <v>248</v>
      </c>
      <c r="D6" s="102">
        <v>512.73199999999997</v>
      </c>
      <c r="E6" s="102">
        <v>0</v>
      </c>
      <c r="F6" s="102">
        <v>0</v>
      </c>
      <c r="G6" s="102">
        <v>0</v>
      </c>
      <c r="H6" s="102">
        <v>0</v>
      </c>
      <c r="I6" s="102">
        <v>0</v>
      </c>
      <c r="J6" s="102">
        <v>0</v>
      </c>
      <c r="K6" s="102">
        <v>0</v>
      </c>
      <c r="L6" s="102">
        <v>0</v>
      </c>
      <c r="M6" s="102">
        <v>0</v>
      </c>
      <c r="N6" s="102">
        <v>0</v>
      </c>
      <c r="O6" s="102">
        <v>0</v>
      </c>
      <c r="P6" s="102">
        <v>0</v>
      </c>
      <c r="Q6" s="103">
        <v>259.029</v>
      </c>
      <c r="R6" s="102">
        <v>0</v>
      </c>
      <c r="S6" s="103">
        <v>22.725999999999999</v>
      </c>
      <c r="T6" s="102">
        <v>0</v>
      </c>
      <c r="U6" s="102">
        <v>0</v>
      </c>
      <c r="V6" s="102">
        <v>0</v>
      </c>
      <c r="W6" s="102">
        <v>0</v>
      </c>
      <c r="X6" s="102">
        <v>0</v>
      </c>
      <c r="Y6" s="102">
        <v>0</v>
      </c>
      <c r="Z6" s="102">
        <v>0</v>
      </c>
      <c r="AA6" s="102">
        <v>0</v>
      </c>
      <c r="AB6" s="102">
        <v>0</v>
      </c>
      <c r="AC6" s="102">
        <v>0</v>
      </c>
      <c r="AD6" s="102">
        <v>0</v>
      </c>
      <c r="AE6" s="102">
        <v>0</v>
      </c>
      <c r="AF6" s="102">
        <v>0</v>
      </c>
      <c r="AG6" s="102">
        <v>0</v>
      </c>
      <c r="AH6" s="102">
        <v>0</v>
      </c>
      <c r="AI6" s="102">
        <v>0</v>
      </c>
      <c r="AJ6" s="102">
        <v>0</v>
      </c>
      <c r="AK6" s="102">
        <v>0</v>
      </c>
      <c r="AL6" s="102">
        <v>0</v>
      </c>
      <c r="AM6" s="102">
        <v>0</v>
      </c>
      <c r="AN6" s="102">
        <v>0</v>
      </c>
      <c r="AO6" s="102">
        <v>0</v>
      </c>
      <c r="AP6" s="102">
        <v>1806.902</v>
      </c>
      <c r="AQ6" s="102">
        <v>974.077</v>
      </c>
      <c r="AR6" s="102">
        <v>669.93399999999997</v>
      </c>
      <c r="AS6" s="102">
        <v>2804.4319999999998</v>
      </c>
      <c r="AT6" s="102">
        <v>96.281000000000006</v>
      </c>
      <c r="AU6" s="102">
        <v>75.518000000000001</v>
      </c>
      <c r="AV6" s="103">
        <v>0</v>
      </c>
      <c r="AW6" s="103">
        <v>687.822</v>
      </c>
      <c r="AX6" s="102">
        <v>488.87700000000001</v>
      </c>
      <c r="AY6" s="102">
        <v>0</v>
      </c>
      <c r="AZ6" s="102">
        <v>31078.76</v>
      </c>
      <c r="BA6" s="102">
        <v>594.49900000000002</v>
      </c>
      <c r="BB6" s="102">
        <v>224.72200000000001</v>
      </c>
      <c r="BC6" s="102">
        <v>2768.152</v>
      </c>
      <c r="BD6" s="102">
        <v>26.911999999999999</v>
      </c>
      <c r="BE6" s="102">
        <v>101.03</v>
      </c>
      <c r="BF6" s="102">
        <v>570.66099999999994</v>
      </c>
      <c r="BG6" s="102">
        <v>0</v>
      </c>
      <c r="BH6" s="102">
        <v>0</v>
      </c>
      <c r="BI6" s="102">
        <v>66.305000000000007</v>
      </c>
      <c r="BJ6" s="102">
        <v>43829.370999999999</v>
      </c>
      <c r="BK6" s="102">
        <v>11889.82</v>
      </c>
      <c r="BL6" s="104"/>
      <c r="BM6" s="104"/>
    </row>
    <row r="7" spans="2:65">
      <c r="B7" s="100" t="s">
        <v>249</v>
      </c>
      <c r="C7" s="101" t="s">
        <v>132</v>
      </c>
      <c r="D7" s="102">
        <v>0</v>
      </c>
      <c r="E7" s="102">
        <v>3470.3240000000001</v>
      </c>
      <c r="F7" s="102">
        <v>15767.758</v>
      </c>
      <c r="G7" s="102">
        <v>65146.572</v>
      </c>
      <c r="H7" s="102">
        <v>955.61199999999997</v>
      </c>
      <c r="I7" s="102">
        <v>3.2000000000000001E-2</v>
      </c>
      <c r="J7" s="102">
        <v>15.407</v>
      </c>
      <c r="K7" s="102">
        <v>3.5190000000000001</v>
      </c>
      <c r="L7" s="102">
        <v>213.29400000000001</v>
      </c>
      <c r="M7" s="102">
        <v>0</v>
      </c>
      <c r="N7" s="102">
        <v>0</v>
      </c>
      <c r="O7" s="102">
        <v>0</v>
      </c>
      <c r="P7" s="102">
        <v>0</v>
      </c>
      <c r="Q7" s="102">
        <v>53217.292000000001</v>
      </c>
      <c r="R7" s="102">
        <v>0</v>
      </c>
      <c r="S7" s="102">
        <v>157205.65700000001</v>
      </c>
      <c r="T7" s="102">
        <v>687.46900000000005</v>
      </c>
      <c r="U7" s="102">
        <v>0</v>
      </c>
      <c r="V7" s="102">
        <v>62.220999999999997</v>
      </c>
      <c r="W7" s="102">
        <v>0</v>
      </c>
      <c r="X7" s="102">
        <v>7255.1239999999998</v>
      </c>
      <c r="Y7" s="102">
        <v>2117.6689999999999</v>
      </c>
      <c r="Z7" s="102">
        <v>16.18</v>
      </c>
      <c r="AA7" s="102">
        <v>0.46</v>
      </c>
      <c r="AB7" s="102">
        <v>0</v>
      </c>
      <c r="AC7" s="102">
        <v>0</v>
      </c>
      <c r="AD7" s="102">
        <v>4.9240000000000004</v>
      </c>
      <c r="AE7" s="102">
        <v>19.757999999999999</v>
      </c>
      <c r="AF7" s="102">
        <v>0</v>
      </c>
      <c r="AG7" s="102">
        <v>0</v>
      </c>
      <c r="AH7" s="102">
        <v>5001.5309999999999</v>
      </c>
      <c r="AI7" s="102">
        <v>27713.692999999999</v>
      </c>
      <c r="AJ7" s="102">
        <v>0.38100000000000001</v>
      </c>
      <c r="AK7" s="102">
        <v>5.2489999999999997</v>
      </c>
      <c r="AL7" s="102">
        <v>0</v>
      </c>
      <c r="AM7" s="102">
        <v>0</v>
      </c>
      <c r="AN7" s="102">
        <v>0</v>
      </c>
      <c r="AO7" s="102">
        <v>6.21</v>
      </c>
      <c r="AP7" s="102">
        <v>0</v>
      </c>
      <c r="AQ7" s="102">
        <v>0</v>
      </c>
      <c r="AR7" s="102">
        <v>0</v>
      </c>
      <c r="AS7" s="102">
        <v>0</v>
      </c>
      <c r="AT7" s="102">
        <v>0</v>
      </c>
      <c r="AU7" s="102">
        <v>0</v>
      </c>
      <c r="AV7" s="102">
        <v>0</v>
      </c>
      <c r="AW7" s="102">
        <v>0</v>
      </c>
      <c r="AX7" s="102">
        <v>0</v>
      </c>
      <c r="AY7" s="102">
        <v>0</v>
      </c>
      <c r="AZ7" s="102">
        <v>0</v>
      </c>
      <c r="BA7" s="102">
        <v>0</v>
      </c>
      <c r="BB7" s="102">
        <v>0</v>
      </c>
      <c r="BC7" s="102">
        <v>0</v>
      </c>
      <c r="BD7" s="102">
        <v>0</v>
      </c>
      <c r="BE7" s="102">
        <v>0</v>
      </c>
      <c r="BF7" s="102">
        <v>0</v>
      </c>
      <c r="BG7" s="102">
        <v>0</v>
      </c>
      <c r="BH7" s="102">
        <v>0</v>
      </c>
      <c r="BI7" s="102">
        <v>0</v>
      </c>
      <c r="BJ7" s="102">
        <v>338886.33600000007</v>
      </c>
      <c r="BK7" s="102">
        <v>0</v>
      </c>
      <c r="BL7" s="104"/>
      <c r="BM7" s="104"/>
    </row>
    <row r="8" spans="2:65">
      <c r="B8" s="100" t="s">
        <v>250</v>
      </c>
      <c r="C8" s="105" t="s">
        <v>133</v>
      </c>
      <c r="D8" s="102">
        <v>0</v>
      </c>
      <c r="E8" s="102">
        <v>-0.20799999999999999</v>
      </c>
      <c r="F8" s="102">
        <v>0</v>
      </c>
      <c r="G8" s="102">
        <v>0</v>
      </c>
      <c r="H8" s="102">
        <v>-8.9999999999999993E-3</v>
      </c>
      <c r="I8" s="102">
        <v>0</v>
      </c>
      <c r="J8" s="102">
        <v>-8.0000000000000002E-3</v>
      </c>
      <c r="K8" s="102">
        <v>0</v>
      </c>
      <c r="L8" s="102">
        <v>-11.66</v>
      </c>
      <c r="M8" s="102">
        <v>0</v>
      </c>
      <c r="N8" s="102">
        <v>0</v>
      </c>
      <c r="O8" s="102">
        <v>0</v>
      </c>
      <c r="P8" s="102">
        <v>0</v>
      </c>
      <c r="Q8" s="102">
        <v>0</v>
      </c>
      <c r="R8" s="102">
        <v>0</v>
      </c>
      <c r="S8" s="102">
        <v>0</v>
      </c>
      <c r="T8" s="102">
        <v>-64.566999999999993</v>
      </c>
      <c r="U8" s="102">
        <v>0</v>
      </c>
      <c r="V8" s="102">
        <v>-73.525000000000006</v>
      </c>
      <c r="W8" s="102">
        <v>0</v>
      </c>
      <c r="X8" s="102">
        <v>-498.541</v>
      </c>
      <c r="Y8" s="102">
        <v>-73.995999999999995</v>
      </c>
      <c r="Z8" s="102">
        <v>-10911.019</v>
      </c>
      <c r="AA8" s="102">
        <v>-26.093</v>
      </c>
      <c r="AB8" s="102">
        <v>0</v>
      </c>
      <c r="AC8" s="102">
        <v>-15896.424000000001</v>
      </c>
      <c r="AD8" s="102">
        <v>-581.63900000000001</v>
      </c>
      <c r="AE8" s="102">
        <v>-28028.460999999999</v>
      </c>
      <c r="AF8" s="102">
        <v>-33.252000000000002</v>
      </c>
      <c r="AG8" s="102">
        <v>0</v>
      </c>
      <c r="AH8" s="102">
        <v>-2731.6669999999999</v>
      </c>
      <c r="AI8" s="102">
        <v>-5808.1030000000001</v>
      </c>
      <c r="AJ8" s="102">
        <v>-156.86699999999999</v>
      </c>
      <c r="AK8" s="102">
        <v>-2416.39</v>
      </c>
      <c r="AL8" s="102">
        <v>-3324.645</v>
      </c>
      <c r="AM8" s="102">
        <v>0</v>
      </c>
      <c r="AN8" s="102">
        <v>0</v>
      </c>
      <c r="AO8" s="102">
        <v>-1888.453</v>
      </c>
      <c r="AP8" s="102">
        <v>0</v>
      </c>
      <c r="AQ8" s="102">
        <v>0</v>
      </c>
      <c r="AR8" s="102">
        <v>0</v>
      </c>
      <c r="AS8" s="102">
        <v>0</v>
      </c>
      <c r="AT8" s="102">
        <v>0</v>
      </c>
      <c r="AU8" s="102">
        <v>0</v>
      </c>
      <c r="AV8" s="102">
        <v>0</v>
      </c>
      <c r="AW8" s="102">
        <v>0</v>
      </c>
      <c r="AX8" s="102">
        <v>0</v>
      </c>
      <c r="AY8" s="102">
        <v>0</v>
      </c>
      <c r="AZ8" s="102">
        <v>0</v>
      </c>
      <c r="BA8" s="102">
        <v>0</v>
      </c>
      <c r="BB8" s="102">
        <v>0</v>
      </c>
      <c r="BC8" s="102">
        <v>0</v>
      </c>
      <c r="BD8" s="102">
        <v>0</v>
      </c>
      <c r="BE8" s="102">
        <v>0</v>
      </c>
      <c r="BF8" s="102">
        <v>0</v>
      </c>
      <c r="BG8" s="102">
        <v>0</v>
      </c>
      <c r="BH8" s="102">
        <v>0</v>
      </c>
      <c r="BI8" s="102">
        <v>0</v>
      </c>
      <c r="BJ8" s="102">
        <v>-72525.527000000002</v>
      </c>
      <c r="BK8" s="102">
        <v>0</v>
      </c>
      <c r="BL8" s="104"/>
      <c r="BM8" s="104"/>
    </row>
    <row r="9" spans="2:65">
      <c r="B9" s="100" t="s">
        <v>251</v>
      </c>
      <c r="C9" s="106" t="s">
        <v>252</v>
      </c>
      <c r="D9" s="102">
        <v>0</v>
      </c>
      <c r="E9" s="102">
        <v>0</v>
      </c>
      <c r="F9" s="102">
        <v>0</v>
      </c>
      <c r="G9" s="102">
        <v>0</v>
      </c>
      <c r="H9" s="102">
        <v>0</v>
      </c>
      <c r="I9" s="102">
        <v>0</v>
      </c>
      <c r="J9" s="102">
        <v>0</v>
      </c>
      <c r="K9" s="102">
        <v>0</v>
      </c>
      <c r="L9" s="102">
        <v>0</v>
      </c>
      <c r="M9" s="102">
        <v>0</v>
      </c>
      <c r="N9" s="102">
        <v>0</v>
      </c>
      <c r="O9" s="102">
        <v>0</v>
      </c>
      <c r="P9" s="102">
        <v>0</v>
      </c>
      <c r="Q9" s="102">
        <v>0</v>
      </c>
      <c r="R9" s="102">
        <v>0</v>
      </c>
      <c r="S9" s="102">
        <v>0</v>
      </c>
      <c r="T9" s="102">
        <v>0</v>
      </c>
      <c r="U9" s="102">
        <v>0</v>
      </c>
      <c r="V9" s="102">
        <v>0</v>
      </c>
      <c r="W9" s="102">
        <v>0</v>
      </c>
      <c r="X9" s="102">
        <v>-0.01</v>
      </c>
      <c r="Y9" s="102">
        <v>0</v>
      </c>
      <c r="Z9" s="102">
        <v>-4.0000000000000001E-3</v>
      </c>
      <c r="AA9" s="102">
        <v>0</v>
      </c>
      <c r="AB9" s="102">
        <v>0</v>
      </c>
      <c r="AC9" s="102">
        <v>0</v>
      </c>
      <c r="AD9" s="102">
        <v>-0.10100000000000001</v>
      </c>
      <c r="AE9" s="102">
        <v>-1287.7809999999999</v>
      </c>
      <c r="AF9" s="102">
        <v>-51.720999999999997</v>
      </c>
      <c r="AG9" s="102">
        <v>-2.802</v>
      </c>
      <c r="AH9" s="102">
        <v>-7077.5460000000003</v>
      </c>
      <c r="AI9" s="102">
        <v>0</v>
      </c>
      <c r="AJ9" s="102">
        <v>-3.0000000000000001E-3</v>
      </c>
      <c r="AK9" s="102">
        <v>0</v>
      </c>
      <c r="AL9" s="102">
        <v>0</v>
      </c>
      <c r="AM9" s="102">
        <v>0</v>
      </c>
      <c r="AN9" s="102">
        <v>0</v>
      </c>
      <c r="AO9" s="102">
        <v>0</v>
      </c>
      <c r="AP9" s="102">
        <v>0</v>
      </c>
      <c r="AQ9" s="102">
        <v>0</v>
      </c>
      <c r="AR9" s="102">
        <v>0</v>
      </c>
      <c r="AS9" s="102">
        <v>0</v>
      </c>
      <c r="AT9" s="102">
        <v>0</v>
      </c>
      <c r="AU9" s="102">
        <v>0</v>
      </c>
      <c r="AV9" s="102">
        <v>0</v>
      </c>
      <c r="AW9" s="102">
        <v>0</v>
      </c>
      <c r="AX9" s="102">
        <v>0</v>
      </c>
      <c r="AY9" s="102">
        <v>0</v>
      </c>
      <c r="AZ9" s="102">
        <v>0</v>
      </c>
      <c r="BA9" s="102">
        <v>0</v>
      </c>
      <c r="BB9" s="102">
        <v>0</v>
      </c>
      <c r="BC9" s="102">
        <v>0</v>
      </c>
      <c r="BD9" s="102">
        <v>0</v>
      </c>
      <c r="BE9" s="102">
        <v>0</v>
      </c>
      <c r="BF9" s="102">
        <v>0</v>
      </c>
      <c r="BG9" s="102">
        <v>0</v>
      </c>
      <c r="BH9" s="102">
        <v>0</v>
      </c>
      <c r="BI9" s="102">
        <v>0</v>
      </c>
      <c r="BJ9" s="102">
        <v>-8419.9680000000008</v>
      </c>
      <c r="BK9" s="102">
        <v>0</v>
      </c>
      <c r="BL9" s="104"/>
      <c r="BM9" s="104"/>
    </row>
    <row r="10" spans="2:65">
      <c r="B10" s="100" t="s">
        <v>253</v>
      </c>
      <c r="C10" s="106" t="s">
        <v>254</v>
      </c>
      <c r="D10" s="102">
        <v>0</v>
      </c>
      <c r="E10" s="102">
        <v>0</v>
      </c>
      <c r="F10" s="102">
        <v>0</v>
      </c>
      <c r="G10" s="102">
        <v>0</v>
      </c>
      <c r="H10" s="102">
        <v>0</v>
      </c>
      <c r="I10" s="102">
        <v>0</v>
      </c>
      <c r="J10" s="102">
        <v>0</v>
      </c>
      <c r="K10" s="102">
        <v>0</v>
      </c>
      <c r="L10" s="102">
        <v>0</v>
      </c>
      <c r="M10" s="102">
        <v>0</v>
      </c>
      <c r="N10" s="102">
        <v>0</v>
      </c>
      <c r="O10" s="102">
        <v>0</v>
      </c>
      <c r="P10" s="102">
        <v>0</v>
      </c>
      <c r="Q10" s="102">
        <v>0</v>
      </c>
      <c r="R10" s="102">
        <v>0</v>
      </c>
      <c r="S10" s="102">
        <v>0</v>
      </c>
      <c r="T10" s="102">
        <v>0</v>
      </c>
      <c r="U10" s="102">
        <v>0</v>
      </c>
      <c r="V10" s="102">
        <v>0</v>
      </c>
      <c r="W10" s="102">
        <v>0</v>
      </c>
      <c r="X10" s="102">
        <v>0</v>
      </c>
      <c r="Y10" s="102">
        <v>0</v>
      </c>
      <c r="Z10" s="102">
        <v>0</v>
      </c>
      <c r="AA10" s="102">
        <v>-0.51700000000000002</v>
      </c>
      <c r="AB10" s="102">
        <v>0</v>
      </c>
      <c r="AC10" s="102">
        <v>-4301.7640000000001</v>
      </c>
      <c r="AD10" s="102">
        <v>0</v>
      </c>
      <c r="AE10" s="102">
        <v>0</v>
      </c>
      <c r="AF10" s="102">
        <v>0</v>
      </c>
      <c r="AG10" s="102">
        <v>0</v>
      </c>
      <c r="AH10" s="102">
        <v>0</v>
      </c>
      <c r="AI10" s="102">
        <v>0</v>
      </c>
      <c r="AJ10" s="102">
        <v>0</v>
      </c>
      <c r="AK10" s="102">
        <v>0</v>
      </c>
      <c r="AL10" s="102">
        <v>0</v>
      </c>
      <c r="AM10" s="102">
        <v>0</v>
      </c>
      <c r="AN10" s="102">
        <v>0</v>
      </c>
      <c r="AO10" s="102">
        <v>0</v>
      </c>
      <c r="AP10" s="102">
        <v>0</v>
      </c>
      <c r="AQ10" s="102">
        <v>0</v>
      </c>
      <c r="AR10" s="102">
        <v>0</v>
      </c>
      <c r="AS10" s="102">
        <v>0</v>
      </c>
      <c r="AT10" s="102">
        <v>0</v>
      </c>
      <c r="AU10" s="102">
        <v>0</v>
      </c>
      <c r="AV10" s="102">
        <v>0</v>
      </c>
      <c r="AW10" s="102">
        <v>0</v>
      </c>
      <c r="AX10" s="102">
        <v>0</v>
      </c>
      <c r="AY10" s="102">
        <v>0</v>
      </c>
      <c r="AZ10" s="102">
        <v>0</v>
      </c>
      <c r="BA10" s="102">
        <v>0</v>
      </c>
      <c r="BB10" s="102">
        <v>0</v>
      </c>
      <c r="BC10" s="102">
        <v>0</v>
      </c>
      <c r="BD10" s="102">
        <v>0</v>
      </c>
      <c r="BE10" s="102">
        <v>0</v>
      </c>
      <c r="BF10" s="102">
        <v>0</v>
      </c>
      <c r="BG10" s="102">
        <v>0</v>
      </c>
      <c r="BH10" s="102">
        <v>0</v>
      </c>
      <c r="BI10" s="102">
        <v>0</v>
      </c>
      <c r="BJ10" s="102">
        <v>-4302.2809999999999</v>
      </c>
      <c r="BK10" s="102">
        <v>0</v>
      </c>
      <c r="BL10" s="104"/>
      <c r="BM10" s="104"/>
    </row>
    <row r="11" spans="2:65" collapsed="1">
      <c r="B11" s="100" t="s">
        <v>255</v>
      </c>
      <c r="C11" s="101" t="s">
        <v>256</v>
      </c>
      <c r="D11" s="102">
        <v>-55.814</v>
      </c>
      <c r="E11" s="102">
        <v>28.841999999999999</v>
      </c>
      <c r="F11" s="102">
        <v>-1503.068</v>
      </c>
      <c r="G11" s="102">
        <v>347.25</v>
      </c>
      <c r="H11" s="102">
        <v>0</v>
      </c>
      <c r="I11" s="102">
        <v>0</v>
      </c>
      <c r="J11" s="102">
        <v>0</v>
      </c>
      <c r="K11" s="102">
        <v>0</v>
      </c>
      <c r="L11" s="102">
        <v>0</v>
      </c>
      <c r="M11" s="102">
        <v>0</v>
      </c>
      <c r="N11" s="102">
        <v>0</v>
      </c>
      <c r="O11" s="102">
        <v>0</v>
      </c>
      <c r="P11" s="102">
        <v>0</v>
      </c>
      <c r="Q11" s="102">
        <v>1085.29</v>
      </c>
      <c r="R11" s="102">
        <v>0</v>
      </c>
      <c r="S11" s="102">
        <v>954.96</v>
      </c>
      <c r="T11" s="102">
        <v>-140.392</v>
      </c>
      <c r="U11" s="102">
        <v>-0.122</v>
      </c>
      <c r="V11" s="102">
        <v>0.27400000000000002</v>
      </c>
      <c r="W11" s="102">
        <v>0</v>
      </c>
      <c r="X11" s="102">
        <v>56.872</v>
      </c>
      <c r="Y11" s="102">
        <v>56.58</v>
      </c>
      <c r="Z11" s="102">
        <v>129.70099999999999</v>
      </c>
      <c r="AA11" s="102">
        <v>2.476</v>
      </c>
      <c r="AB11" s="102">
        <v>0</v>
      </c>
      <c r="AC11" s="102">
        <v>12.483000000000001</v>
      </c>
      <c r="AD11" s="102">
        <v>-32.713000000000001</v>
      </c>
      <c r="AE11" s="102">
        <v>97.012</v>
      </c>
      <c r="AF11" s="102">
        <v>21.785</v>
      </c>
      <c r="AG11" s="102">
        <v>-0.65300000000000002</v>
      </c>
      <c r="AH11" s="102">
        <v>299.08300000000003</v>
      </c>
      <c r="AI11" s="102">
        <v>429.11900000000003</v>
      </c>
      <c r="AJ11" s="102">
        <v>0.89700000000000002</v>
      </c>
      <c r="AK11" s="102">
        <v>-20.928000000000001</v>
      </c>
      <c r="AL11" s="102">
        <v>19.841999999999999</v>
      </c>
      <c r="AM11" s="102">
        <v>0.57099999999999995</v>
      </c>
      <c r="AN11" s="102">
        <v>-3.1309999999999998</v>
      </c>
      <c r="AO11" s="102">
        <v>-24.824000000000002</v>
      </c>
      <c r="AP11" s="102">
        <v>0</v>
      </c>
      <c r="AQ11" s="102">
        <v>0</v>
      </c>
      <c r="AR11" s="102">
        <v>0</v>
      </c>
      <c r="AS11" s="102">
        <v>0</v>
      </c>
      <c r="AT11" s="102">
        <v>0</v>
      </c>
      <c r="AU11" s="102">
        <v>0</v>
      </c>
      <c r="AV11" s="102">
        <v>0</v>
      </c>
      <c r="AW11" s="102">
        <v>-2.4929999999999999</v>
      </c>
      <c r="AX11" s="102">
        <v>0</v>
      </c>
      <c r="AY11" s="102">
        <v>0</v>
      </c>
      <c r="AZ11" s="102">
        <v>0</v>
      </c>
      <c r="BA11" s="102">
        <v>0</v>
      </c>
      <c r="BB11" s="102">
        <v>0</v>
      </c>
      <c r="BC11" s="102">
        <v>0</v>
      </c>
      <c r="BD11" s="102">
        <v>0</v>
      </c>
      <c r="BE11" s="102">
        <v>0</v>
      </c>
      <c r="BF11" s="102">
        <v>0</v>
      </c>
      <c r="BG11" s="102">
        <v>0</v>
      </c>
      <c r="BH11" s="102">
        <v>0</v>
      </c>
      <c r="BI11" s="102">
        <v>0</v>
      </c>
      <c r="BJ11" s="102">
        <v>1758.8989999999999</v>
      </c>
      <c r="BK11" s="102">
        <v>-2.4929999999999999</v>
      </c>
      <c r="BL11" s="104"/>
      <c r="BM11" s="104"/>
    </row>
    <row r="12" spans="2:65">
      <c r="B12" s="107" t="s">
        <v>257</v>
      </c>
      <c r="C12" s="108" t="s">
        <v>258</v>
      </c>
      <c r="D12" s="109">
        <v>456.91800000000001</v>
      </c>
      <c r="E12" s="109">
        <v>3498.9580000000001</v>
      </c>
      <c r="F12" s="109">
        <v>14264.691000000001</v>
      </c>
      <c r="G12" s="109">
        <v>65493.822</v>
      </c>
      <c r="H12" s="109">
        <v>955.60400000000004</v>
      </c>
      <c r="I12" s="109">
        <v>3.1E-2</v>
      </c>
      <c r="J12" s="109">
        <v>15.398999999999999</v>
      </c>
      <c r="K12" s="109">
        <v>3.5190000000000001</v>
      </c>
      <c r="L12" s="109">
        <v>201.63399999999999</v>
      </c>
      <c r="M12" s="109">
        <v>0</v>
      </c>
      <c r="N12" s="109">
        <v>0</v>
      </c>
      <c r="O12" s="109">
        <v>0</v>
      </c>
      <c r="P12" s="109">
        <v>0</v>
      </c>
      <c r="Q12" s="109">
        <v>54561.612000000001</v>
      </c>
      <c r="R12" s="109">
        <v>0</v>
      </c>
      <c r="S12" s="109">
        <v>158183.34299999999</v>
      </c>
      <c r="T12" s="109">
        <v>482.51</v>
      </c>
      <c r="U12" s="109">
        <v>-0.122</v>
      </c>
      <c r="V12" s="109">
        <v>-11.03</v>
      </c>
      <c r="W12" s="109">
        <v>0</v>
      </c>
      <c r="X12" s="109">
        <v>6813.4440000000004</v>
      </c>
      <c r="Y12" s="109">
        <v>2100.2530000000002</v>
      </c>
      <c r="Z12" s="109">
        <v>-10765.142</v>
      </c>
      <c r="AA12" s="109">
        <v>-23.673999999999999</v>
      </c>
      <c r="AB12" s="109">
        <v>0</v>
      </c>
      <c r="AC12" s="109">
        <v>-20185.705999999998</v>
      </c>
      <c r="AD12" s="109">
        <v>-609.529</v>
      </c>
      <c r="AE12" s="109">
        <v>-29199.472000000002</v>
      </c>
      <c r="AF12" s="109">
        <v>-63.189</v>
      </c>
      <c r="AG12" s="109">
        <v>-3.456</v>
      </c>
      <c r="AH12" s="109">
        <v>-4508.5990000000002</v>
      </c>
      <c r="AI12" s="109">
        <v>22334.708999999999</v>
      </c>
      <c r="AJ12" s="109">
        <v>-155.59200000000001</v>
      </c>
      <c r="AK12" s="109">
        <v>-2432.0700000000002</v>
      </c>
      <c r="AL12" s="109">
        <v>-3304.8029999999999</v>
      </c>
      <c r="AM12" s="109">
        <v>0.57099999999999995</v>
      </c>
      <c r="AN12" s="109">
        <v>-3.1309999999999998</v>
      </c>
      <c r="AO12" s="109">
        <v>-1907.067</v>
      </c>
      <c r="AP12" s="109">
        <v>1806.902</v>
      </c>
      <c r="AQ12" s="109">
        <v>974.077</v>
      </c>
      <c r="AR12" s="109">
        <v>669.93399999999997</v>
      </c>
      <c r="AS12" s="109">
        <v>2804.4319999999998</v>
      </c>
      <c r="AT12" s="109">
        <v>96.281000000000006</v>
      </c>
      <c r="AU12" s="109">
        <v>75.518000000000001</v>
      </c>
      <c r="AV12" s="109">
        <v>0</v>
      </c>
      <c r="AW12" s="109">
        <v>685.32899999999995</v>
      </c>
      <c r="AX12" s="109">
        <v>488.87700000000001</v>
      </c>
      <c r="AY12" s="109">
        <v>0</v>
      </c>
      <c r="AZ12" s="109">
        <v>31078.76</v>
      </c>
      <c r="BA12" s="109">
        <v>594.49900000000002</v>
      </c>
      <c r="BB12" s="109">
        <v>224.72200000000001</v>
      </c>
      <c r="BC12" s="109">
        <v>2768.152</v>
      </c>
      <c r="BD12" s="109">
        <v>26.911999999999999</v>
      </c>
      <c r="BE12" s="109">
        <v>101.03</v>
      </c>
      <c r="BF12" s="109">
        <v>570.66099999999994</v>
      </c>
      <c r="BG12" s="109">
        <v>0</v>
      </c>
      <c r="BH12" s="109">
        <v>0</v>
      </c>
      <c r="BI12" s="109">
        <v>66.305000000000007</v>
      </c>
      <c r="BJ12" s="109">
        <v>299226.82700000011</v>
      </c>
      <c r="BK12" s="109">
        <v>11887.326999999999</v>
      </c>
      <c r="BL12" s="104"/>
      <c r="BM12" s="104"/>
    </row>
    <row r="13" spans="2:65">
      <c r="B13" s="100" t="s">
        <v>259</v>
      </c>
      <c r="C13" s="110" t="s">
        <v>260</v>
      </c>
      <c r="D13" s="102">
        <v>0</v>
      </c>
      <c r="E13" s="102">
        <v>0</v>
      </c>
      <c r="F13" s="102">
        <v>0</v>
      </c>
      <c r="G13" s="102">
        <v>0</v>
      </c>
      <c r="H13" s="102">
        <v>0</v>
      </c>
      <c r="I13" s="102">
        <v>0</v>
      </c>
      <c r="J13" s="102">
        <v>0</v>
      </c>
      <c r="K13" s="102">
        <v>0</v>
      </c>
      <c r="L13" s="102">
        <v>0</v>
      </c>
      <c r="M13" s="102">
        <v>0</v>
      </c>
      <c r="N13" s="102">
        <v>0</v>
      </c>
      <c r="O13" s="102">
        <v>0</v>
      </c>
      <c r="P13" s="102">
        <v>0</v>
      </c>
      <c r="Q13" s="102">
        <v>0</v>
      </c>
      <c r="R13" s="102">
        <v>0</v>
      </c>
      <c r="S13" s="102">
        <v>0</v>
      </c>
      <c r="T13" s="102">
        <v>17202.894</v>
      </c>
      <c r="U13" s="102">
        <v>-4.0000000000000001E-3</v>
      </c>
      <c r="V13" s="102">
        <v>0</v>
      </c>
      <c r="W13" s="102">
        <v>3.0000000000000001E-3</v>
      </c>
      <c r="X13" s="102">
        <v>-561.25199999999995</v>
      </c>
      <c r="Y13" s="102">
        <v>173.33099999999999</v>
      </c>
      <c r="Z13" s="102">
        <v>-77.144999999999996</v>
      </c>
      <c r="AA13" s="102">
        <v>12.755000000000001</v>
      </c>
      <c r="AB13" s="102">
        <v>0</v>
      </c>
      <c r="AC13" s="102">
        <v>-241.04599999999999</v>
      </c>
      <c r="AD13" s="102">
        <v>118.598</v>
      </c>
      <c r="AE13" s="102">
        <v>95.725999999999999</v>
      </c>
      <c r="AF13" s="102">
        <v>-39.923000000000002</v>
      </c>
      <c r="AG13" s="102">
        <v>46.680999999999997</v>
      </c>
      <c r="AH13" s="102">
        <v>-2479.6559999999999</v>
      </c>
      <c r="AI13" s="102">
        <v>-8719.1630000000005</v>
      </c>
      <c r="AJ13" s="102">
        <v>-173.88399999999999</v>
      </c>
      <c r="AK13" s="102">
        <v>-13.631</v>
      </c>
      <c r="AL13" s="102">
        <v>0</v>
      </c>
      <c r="AM13" s="102">
        <v>0</v>
      </c>
      <c r="AN13" s="102">
        <v>0</v>
      </c>
      <c r="AO13" s="102">
        <v>0.112</v>
      </c>
      <c r="AP13" s="102">
        <v>0</v>
      </c>
      <c r="AQ13" s="102">
        <v>0</v>
      </c>
      <c r="AR13" s="102">
        <v>0</v>
      </c>
      <c r="AS13" s="102">
        <v>0</v>
      </c>
      <c r="AT13" s="102">
        <v>0</v>
      </c>
      <c r="AU13" s="102">
        <v>0</v>
      </c>
      <c r="AV13" s="102">
        <v>0</v>
      </c>
      <c r="AW13" s="102">
        <v>0</v>
      </c>
      <c r="AX13" s="102">
        <v>0</v>
      </c>
      <c r="AY13" s="102">
        <v>0</v>
      </c>
      <c r="AZ13" s="102">
        <v>0</v>
      </c>
      <c r="BA13" s="102">
        <v>0</v>
      </c>
      <c r="BB13" s="102">
        <v>0</v>
      </c>
      <c r="BC13" s="102">
        <v>0</v>
      </c>
      <c r="BD13" s="102">
        <v>0</v>
      </c>
      <c r="BE13" s="102">
        <v>0</v>
      </c>
      <c r="BF13" s="102">
        <v>0</v>
      </c>
      <c r="BG13" s="102">
        <v>0</v>
      </c>
      <c r="BH13" s="102">
        <v>0</v>
      </c>
      <c r="BI13" s="102">
        <v>0</v>
      </c>
      <c r="BJ13" s="102">
        <v>5344.3960000000025</v>
      </c>
      <c r="BK13" s="102">
        <v>3.0000000000000001E-3</v>
      </c>
      <c r="BL13" s="104"/>
      <c r="BM13" s="104"/>
    </row>
    <row r="14" spans="2:65">
      <c r="B14" s="111" t="s">
        <v>261</v>
      </c>
      <c r="C14" s="112" t="s">
        <v>262</v>
      </c>
      <c r="D14" s="113">
        <v>19.783000000000001</v>
      </c>
      <c r="E14" s="113">
        <v>-10.417999999999999</v>
      </c>
      <c r="F14" s="113">
        <v>3956.212</v>
      </c>
      <c r="G14" s="113">
        <v>-6043.8280000000004</v>
      </c>
      <c r="H14" s="113">
        <v>0</v>
      </c>
      <c r="I14" s="113">
        <v>0</v>
      </c>
      <c r="J14" s="113">
        <v>0</v>
      </c>
      <c r="K14" s="113">
        <v>0</v>
      </c>
      <c r="L14" s="113">
        <v>-37.374000000000002</v>
      </c>
      <c r="M14" s="113">
        <v>0</v>
      </c>
      <c r="N14" s="113">
        <v>0.3</v>
      </c>
      <c r="O14" s="113">
        <v>-2E-3</v>
      </c>
      <c r="P14" s="113">
        <v>0</v>
      </c>
      <c r="Q14" s="113">
        <v>-423.78899999999999</v>
      </c>
      <c r="R14" s="113">
        <v>490.49099999999999</v>
      </c>
      <c r="S14" s="113">
        <v>-2107.828</v>
      </c>
      <c r="T14" s="113">
        <v>-24.091999999999999</v>
      </c>
      <c r="U14" s="113">
        <v>0.14899999999999999</v>
      </c>
      <c r="V14" s="113">
        <v>0.251</v>
      </c>
      <c r="W14" s="113">
        <v>-55.066000000000003</v>
      </c>
      <c r="X14" s="113">
        <v>13.603</v>
      </c>
      <c r="Y14" s="113">
        <v>65.132999999999996</v>
      </c>
      <c r="Z14" s="113">
        <v>-15.268000000000001</v>
      </c>
      <c r="AA14" s="113">
        <v>0</v>
      </c>
      <c r="AB14" s="113">
        <v>0</v>
      </c>
      <c r="AC14" s="113">
        <v>-122.819</v>
      </c>
      <c r="AD14" s="113">
        <v>0.80300000000000005</v>
      </c>
      <c r="AE14" s="113">
        <v>6.0110000000000001</v>
      </c>
      <c r="AF14" s="113">
        <v>-2.286</v>
      </c>
      <c r="AG14" s="113">
        <v>2.1000000000000001E-2</v>
      </c>
      <c r="AH14" s="113">
        <v>3.77</v>
      </c>
      <c r="AI14" s="113">
        <v>27.81</v>
      </c>
      <c r="AJ14" s="113">
        <v>-3.2890000000000001</v>
      </c>
      <c r="AK14" s="113">
        <v>126.46899999999999</v>
      </c>
      <c r="AL14" s="113">
        <v>0.90800000000000003</v>
      </c>
      <c r="AM14" s="113">
        <v>-0.94399999999999995</v>
      </c>
      <c r="AN14" s="113">
        <v>195.95699999999999</v>
      </c>
      <c r="AO14" s="113">
        <v>-94.888999999999996</v>
      </c>
      <c r="AP14" s="113">
        <v>0</v>
      </c>
      <c r="AQ14" s="113">
        <v>0</v>
      </c>
      <c r="AR14" s="113">
        <v>0</v>
      </c>
      <c r="AS14" s="113">
        <v>0</v>
      </c>
      <c r="AT14" s="113">
        <v>0</v>
      </c>
      <c r="AU14" s="113">
        <v>0</v>
      </c>
      <c r="AV14" s="113">
        <v>0</v>
      </c>
      <c r="AW14" s="113">
        <v>9.5000000000000001E-2</v>
      </c>
      <c r="AX14" s="113">
        <v>0</v>
      </c>
      <c r="AY14" s="113">
        <v>0</v>
      </c>
      <c r="AZ14" s="113">
        <v>0</v>
      </c>
      <c r="BA14" s="113">
        <v>0</v>
      </c>
      <c r="BB14" s="113">
        <v>0</v>
      </c>
      <c r="BC14" s="113">
        <v>0</v>
      </c>
      <c r="BD14" s="113">
        <v>0</v>
      </c>
      <c r="BE14" s="113">
        <v>0</v>
      </c>
      <c r="BF14" s="113">
        <v>0</v>
      </c>
      <c r="BG14" s="113">
        <v>0</v>
      </c>
      <c r="BH14" s="113">
        <v>0</v>
      </c>
      <c r="BI14" s="113">
        <v>0</v>
      </c>
      <c r="BJ14" s="113">
        <v>-4034.1259999999984</v>
      </c>
      <c r="BK14" s="113">
        <v>432.21100000000001</v>
      </c>
      <c r="BL14" s="104"/>
      <c r="BM14" s="104"/>
    </row>
    <row r="15" spans="2:65">
      <c r="B15" s="107" t="s">
        <v>263</v>
      </c>
      <c r="C15" s="108" t="s">
        <v>264</v>
      </c>
      <c r="D15" s="109">
        <v>476.70100000000002</v>
      </c>
      <c r="E15" s="109">
        <v>3488.54</v>
      </c>
      <c r="F15" s="109">
        <v>18220.901999999998</v>
      </c>
      <c r="G15" s="109">
        <v>59449.993000000002</v>
      </c>
      <c r="H15" s="109">
        <v>955.60400000000004</v>
      </c>
      <c r="I15" s="109">
        <v>3.1E-2</v>
      </c>
      <c r="J15" s="109">
        <v>15.398999999999999</v>
      </c>
      <c r="K15" s="109">
        <v>3.5190000000000001</v>
      </c>
      <c r="L15" s="109">
        <v>164.26</v>
      </c>
      <c r="M15" s="109">
        <v>0</v>
      </c>
      <c r="N15" s="109">
        <v>0.3</v>
      </c>
      <c r="O15" s="109">
        <v>-2E-3</v>
      </c>
      <c r="P15" s="109">
        <v>0</v>
      </c>
      <c r="Q15" s="109">
        <v>54137.822999999997</v>
      </c>
      <c r="R15" s="109">
        <v>490.49099999999999</v>
      </c>
      <c r="S15" s="109">
        <v>156075.51500000001</v>
      </c>
      <c r="T15" s="109">
        <v>17661.312000000002</v>
      </c>
      <c r="U15" s="109">
        <v>2.1999999999999999E-2</v>
      </c>
      <c r="V15" s="109">
        <v>-10.779</v>
      </c>
      <c r="W15" s="109">
        <v>-55.064</v>
      </c>
      <c r="X15" s="109">
        <v>6265.7950000000001</v>
      </c>
      <c r="Y15" s="109">
        <v>2338.7170000000001</v>
      </c>
      <c r="Z15" s="109">
        <v>-10857.555</v>
      </c>
      <c r="AA15" s="109">
        <v>-10.92</v>
      </c>
      <c r="AB15" s="109">
        <v>0</v>
      </c>
      <c r="AC15" s="109">
        <v>-20549.571</v>
      </c>
      <c r="AD15" s="109">
        <v>-490.12799999999999</v>
      </c>
      <c r="AE15" s="109">
        <v>-29097.734</v>
      </c>
      <c r="AF15" s="109">
        <v>-105.398</v>
      </c>
      <c r="AG15" s="109">
        <v>43.246000000000002</v>
      </c>
      <c r="AH15" s="109">
        <v>-6984.4849999999997</v>
      </c>
      <c r="AI15" s="109">
        <v>13643.356</v>
      </c>
      <c r="AJ15" s="109">
        <v>-332.76499999999999</v>
      </c>
      <c r="AK15" s="109">
        <v>-2319.2310000000002</v>
      </c>
      <c r="AL15" s="109">
        <v>-3303.895</v>
      </c>
      <c r="AM15" s="109">
        <v>-0.373</v>
      </c>
      <c r="AN15" s="109">
        <v>192.82599999999999</v>
      </c>
      <c r="AO15" s="109">
        <v>-2001.8440000000001</v>
      </c>
      <c r="AP15" s="109">
        <v>1806.902</v>
      </c>
      <c r="AQ15" s="109">
        <v>974.077</v>
      </c>
      <c r="AR15" s="109">
        <v>669.93399999999997</v>
      </c>
      <c r="AS15" s="109">
        <v>2804.4319999999998</v>
      </c>
      <c r="AT15" s="109">
        <v>96.281000000000006</v>
      </c>
      <c r="AU15" s="109">
        <v>75.518000000000001</v>
      </c>
      <c r="AV15" s="109">
        <v>0</v>
      </c>
      <c r="AW15" s="109">
        <v>685.42399999999998</v>
      </c>
      <c r="AX15" s="109">
        <v>488.87700000000001</v>
      </c>
      <c r="AY15" s="109">
        <v>0</v>
      </c>
      <c r="AZ15" s="109">
        <v>31078.76</v>
      </c>
      <c r="BA15" s="109">
        <v>594.49900000000002</v>
      </c>
      <c r="BB15" s="109">
        <v>224.72200000000001</v>
      </c>
      <c r="BC15" s="109">
        <v>2768.152</v>
      </c>
      <c r="BD15" s="109">
        <v>26.911999999999999</v>
      </c>
      <c r="BE15" s="109">
        <v>101.03</v>
      </c>
      <c r="BF15" s="109">
        <v>570.66099999999994</v>
      </c>
      <c r="BG15" s="109">
        <v>0</v>
      </c>
      <c r="BH15" s="109">
        <v>0</v>
      </c>
      <c r="BI15" s="109">
        <v>66.305000000000007</v>
      </c>
      <c r="BJ15" s="109">
        <v>300537.09400000004</v>
      </c>
      <c r="BK15" s="109">
        <v>12319.54</v>
      </c>
      <c r="BL15" s="104"/>
      <c r="BM15" s="104"/>
    </row>
    <row r="16" spans="2:65">
      <c r="B16" s="107" t="s">
        <v>265</v>
      </c>
      <c r="C16" s="108" t="s">
        <v>266</v>
      </c>
      <c r="D16" s="109">
        <v>-476.70100000000002</v>
      </c>
      <c r="E16" s="109">
        <v>-405.12200000000001</v>
      </c>
      <c r="F16" s="109">
        <v>-18220.901999999998</v>
      </c>
      <c r="G16" s="109">
        <v>-55771.538999999997</v>
      </c>
      <c r="H16" s="109">
        <v>-955.60400000000004</v>
      </c>
      <c r="I16" s="109">
        <v>0</v>
      </c>
      <c r="J16" s="109">
        <v>0</v>
      </c>
      <c r="K16" s="109">
        <v>469.32799999999997</v>
      </c>
      <c r="L16" s="109">
        <v>555.65099999999995</v>
      </c>
      <c r="M16" s="109">
        <v>560.74099999999999</v>
      </c>
      <c r="N16" s="109">
        <v>2798.7330000000002</v>
      </c>
      <c r="O16" s="109">
        <v>2324.489</v>
      </c>
      <c r="P16" s="109">
        <v>353.68299999999999</v>
      </c>
      <c r="Q16" s="109">
        <v>-51550.464999999997</v>
      </c>
      <c r="R16" s="109">
        <v>23297.991000000002</v>
      </c>
      <c r="S16" s="109">
        <v>-156075.51500000001</v>
      </c>
      <c r="T16" s="109">
        <v>-17661.312000000002</v>
      </c>
      <c r="U16" s="109">
        <v>-2.1999999999999999E-2</v>
      </c>
      <c r="V16" s="109">
        <v>10.779</v>
      </c>
      <c r="W16" s="109">
        <v>8118.4269999999997</v>
      </c>
      <c r="X16" s="109">
        <v>475.77600000000001</v>
      </c>
      <c r="Y16" s="109">
        <v>2412.8789999999999</v>
      </c>
      <c r="Z16" s="109">
        <v>21143.476999999999</v>
      </c>
      <c r="AA16" s="109">
        <v>14.047000000000001</v>
      </c>
      <c r="AB16" s="109">
        <v>0</v>
      </c>
      <c r="AC16" s="109">
        <v>23660.481</v>
      </c>
      <c r="AD16" s="109">
        <v>2822.6039999999998</v>
      </c>
      <c r="AE16" s="109">
        <v>52626.203999999998</v>
      </c>
      <c r="AF16" s="109">
        <v>294.15699999999998</v>
      </c>
      <c r="AG16" s="109">
        <v>20.204999999999998</v>
      </c>
      <c r="AH16" s="109">
        <v>8206.7919999999995</v>
      </c>
      <c r="AI16" s="109">
        <v>30161.062000000002</v>
      </c>
      <c r="AJ16" s="109">
        <v>544.48599999999999</v>
      </c>
      <c r="AK16" s="109">
        <v>3169.39</v>
      </c>
      <c r="AL16" s="109">
        <v>4987.9889999999996</v>
      </c>
      <c r="AM16" s="109">
        <v>20.021999999999998</v>
      </c>
      <c r="AN16" s="109">
        <v>603.70699999999999</v>
      </c>
      <c r="AO16" s="109">
        <v>3106.252</v>
      </c>
      <c r="AP16" s="109">
        <v>-235.06100000000001</v>
      </c>
      <c r="AQ16" s="109">
        <v>-136.214</v>
      </c>
      <c r="AR16" s="109">
        <v>-242.50200000000001</v>
      </c>
      <c r="AS16" s="109">
        <v>-1983.7449999999999</v>
      </c>
      <c r="AT16" s="109">
        <v>-43.473999999999997</v>
      </c>
      <c r="AU16" s="109">
        <v>-68.819999999999993</v>
      </c>
      <c r="AV16" s="109">
        <v>0</v>
      </c>
      <c r="AW16" s="109">
        <v>0</v>
      </c>
      <c r="AX16" s="109">
        <v>-488.87700000000001</v>
      </c>
      <c r="AY16" s="109">
        <v>0</v>
      </c>
      <c r="AZ16" s="109">
        <v>-31078.76</v>
      </c>
      <c r="BA16" s="109">
        <v>-594.49900000000002</v>
      </c>
      <c r="BB16" s="109">
        <v>0</v>
      </c>
      <c r="BC16" s="109">
        <v>-2768.152</v>
      </c>
      <c r="BD16" s="109">
        <v>0</v>
      </c>
      <c r="BE16" s="109">
        <v>-101.03</v>
      </c>
      <c r="BF16" s="109">
        <v>-570.66099999999994</v>
      </c>
      <c r="BG16" s="109">
        <v>0</v>
      </c>
      <c r="BH16" s="109">
        <v>50986.226000000002</v>
      </c>
      <c r="BI16" s="109">
        <v>6427.1840000000002</v>
      </c>
      <c r="BJ16" s="109">
        <v>-89256.215000000069</v>
      </c>
      <c r="BK16" s="109">
        <v>3076.3809999999999</v>
      </c>
      <c r="BL16" s="104"/>
      <c r="BM16" s="104"/>
    </row>
    <row r="17" spans="2:65">
      <c r="B17" s="114" t="s">
        <v>267</v>
      </c>
      <c r="C17" s="115" t="s">
        <v>268</v>
      </c>
      <c r="D17" s="102">
        <v>-189.297</v>
      </c>
      <c r="E17" s="102">
        <v>-386.90600000000001</v>
      </c>
      <c r="F17" s="102">
        <v>0</v>
      </c>
      <c r="G17" s="102">
        <v>-48219.161</v>
      </c>
      <c r="H17" s="102">
        <v>-955.60400000000004</v>
      </c>
      <c r="I17" s="102">
        <v>0</v>
      </c>
      <c r="J17" s="102">
        <v>0</v>
      </c>
      <c r="K17" s="102">
        <v>0</v>
      </c>
      <c r="L17" s="102">
        <v>0</v>
      </c>
      <c r="M17" s="102">
        <v>0</v>
      </c>
      <c r="N17" s="102">
        <v>-810.68100000000004</v>
      </c>
      <c r="O17" s="102">
        <v>-3113.6619999999998</v>
      </c>
      <c r="P17" s="102">
        <v>-786.84900000000005</v>
      </c>
      <c r="Q17" s="102">
        <v>-20563.156999999999</v>
      </c>
      <c r="R17" s="102">
        <v>-7.7789999999999999</v>
      </c>
      <c r="S17" s="102">
        <v>0</v>
      </c>
      <c r="T17" s="102">
        <v>0</v>
      </c>
      <c r="U17" s="102">
        <v>0</v>
      </c>
      <c r="V17" s="102">
        <v>0</v>
      </c>
      <c r="W17" s="102">
        <v>0</v>
      </c>
      <c r="X17" s="102">
        <v>-5.0970000000000004</v>
      </c>
      <c r="Y17" s="102">
        <v>-0.60599999999999998</v>
      </c>
      <c r="Z17" s="102">
        <v>-2E-3</v>
      </c>
      <c r="AA17" s="102">
        <v>0</v>
      </c>
      <c r="AB17" s="102">
        <v>0</v>
      </c>
      <c r="AC17" s="102">
        <v>0</v>
      </c>
      <c r="AD17" s="102">
        <v>-172.43299999999999</v>
      </c>
      <c r="AE17" s="102">
        <v>-139.554</v>
      </c>
      <c r="AF17" s="102">
        <v>0</v>
      </c>
      <c r="AG17" s="102">
        <v>0</v>
      </c>
      <c r="AH17" s="102">
        <v>-518.08100000000002</v>
      </c>
      <c r="AI17" s="102">
        <v>-261.483</v>
      </c>
      <c r="AJ17" s="102">
        <v>0</v>
      </c>
      <c r="AK17" s="102">
        <v>0</v>
      </c>
      <c r="AL17" s="102">
        <v>0</v>
      </c>
      <c r="AM17" s="102">
        <v>0</v>
      </c>
      <c r="AN17" s="102">
        <v>0</v>
      </c>
      <c r="AO17" s="102">
        <v>0</v>
      </c>
      <c r="AP17" s="102">
        <v>-60.975000000000001</v>
      </c>
      <c r="AQ17" s="102">
        <v>-12.438000000000001</v>
      </c>
      <c r="AR17" s="102">
        <v>-47.023000000000003</v>
      </c>
      <c r="AS17" s="102">
        <v>-916.98599999999999</v>
      </c>
      <c r="AT17" s="102">
        <v>-38.752000000000002</v>
      </c>
      <c r="AU17" s="102">
        <v>-51.018999999999998</v>
      </c>
      <c r="AV17" s="102">
        <v>0</v>
      </c>
      <c r="AW17" s="102">
        <v>0</v>
      </c>
      <c r="AX17" s="102">
        <v>-488.87700000000001</v>
      </c>
      <c r="AY17" s="102">
        <v>0</v>
      </c>
      <c r="AZ17" s="102">
        <v>-31078.76</v>
      </c>
      <c r="BA17" s="102">
        <v>-594.49900000000002</v>
      </c>
      <c r="BB17" s="102">
        <v>0</v>
      </c>
      <c r="BC17" s="102">
        <v>-2768.152</v>
      </c>
      <c r="BD17" s="102">
        <v>0</v>
      </c>
      <c r="BE17" s="102">
        <v>-101.03</v>
      </c>
      <c r="BF17" s="102">
        <v>-570.66099999999994</v>
      </c>
      <c r="BG17" s="102">
        <v>-487.18400000000003</v>
      </c>
      <c r="BH17" s="102">
        <v>46273.72</v>
      </c>
      <c r="BI17" s="102">
        <v>0</v>
      </c>
      <c r="BJ17" s="102">
        <v>-67072.987999999954</v>
      </c>
      <c r="BK17" s="102">
        <v>-10744.954</v>
      </c>
      <c r="BL17" s="104"/>
      <c r="BM17" s="104"/>
    </row>
    <row r="18" spans="2:65">
      <c r="B18" s="116" t="s">
        <v>269</v>
      </c>
      <c r="C18" s="117" t="s">
        <v>270</v>
      </c>
      <c r="D18" s="102">
        <v>-189.297</v>
      </c>
      <c r="E18" s="102">
        <v>-386.90600000000001</v>
      </c>
      <c r="F18" s="102">
        <v>0</v>
      </c>
      <c r="G18" s="102">
        <v>-48219.161</v>
      </c>
      <c r="H18" s="102">
        <v>-955.60400000000004</v>
      </c>
      <c r="I18" s="102">
        <v>0</v>
      </c>
      <c r="J18" s="102">
        <v>0</v>
      </c>
      <c r="K18" s="102">
        <v>0</v>
      </c>
      <c r="L18" s="102">
        <v>0</v>
      </c>
      <c r="M18" s="102">
        <v>0</v>
      </c>
      <c r="N18" s="102">
        <v>-446.16800000000001</v>
      </c>
      <c r="O18" s="102">
        <v>-1223.0419999999999</v>
      </c>
      <c r="P18" s="102">
        <v>-389.78699999999998</v>
      </c>
      <c r="Q18" s="102">
        <v>-19885.883000000002</v>
      </c>
      <c r="R18" s="102">
        <v>0</v>
      </c>
      <c r="S18" s="102">
        <v>0</v>
      </c>
      <c r="T18" s="102">
        <v>0</v>
      </c>
      <c r="U18" s="102">
        <v>0</v>
      </c>
      <c r="V18" s="102">
        <v>0</v>
      </c>
      <c r="W18" s="102">
        <v>0</v>
      </c>
      <c r="X18" s="102">
        <v>-5.0970000000000004</v>
      </c>
      <c r="Y18" s="102">
        <v>-0.60599999999999998</v>
      </c>
      <c r="Z18" s="102">
        <v>-2E-3</v>
      </c>
      <c r="AA18" s="102">
        <v>0</v>
      </c>
      <c r="AB18" s="102">
        <v>0</v>
      </c>
      <c r="AC18" s="102">
        <v>0</v>
      </c>
      <c r="AD18" s="102">
        <v>-172.43299999999999</v>
      </c>
      <c r="AE18" s="102">
        <v>-139.392</v>
      </c>
      <c r="AF18" s="102">
        <v>0</v>
      </c>
      <c r="AG18" s="102">
        <v>0</v>
      </c>
      <c r="AH18" s="102">
        <v>-463.57799999999997</v>
      </c>
      <c r="AI18" s="102">
        <v>0</v>
      </c>
      <c r="AJ18" s="102">
        <v>0</v>
      </c>
      <c r="AK18" s="102">
        <v>0</v>
      </c>
      <c r="AL18" s="102">
        <v>0</v>
      </c>
      <c r="AM18" s="102">
        <v>0</v>
      </c>
      <c r="AN18" s="102">
        <v>0</v>
      </c>
      <c r="AO18" s="102">
        <v>0</v>
      </c>
      <c r="AP18" s="102">
        <v>-60.177999999999997</v>
      </c>
      <c r="AQ18" s="102">
        <v>-5.3150000000000004</v>
      </c>
      <c r="AR18" s="102">
        <v>-44.296999999999997</v>
      </c>
      <c r="AS18" s="102">
        <v>-916.197</v>
      </c>
      <c r="AT18" s="102">
        <v>-35.871000000000002</v>
      </c>
      <c r="AU18" s="102">
        <v>-51.018999999999998</v>
      </c>
      <c r="AV18" s="102">
        <v>0</v>
      </c>
      <c r="AW18" s="102">
        <v>0</v>
      </c>
      <c r="AX18" s="102">
        <v>-488.87700000000001</v>
      </c>
      <c r="AY18" s="102">
        <v>0</v>
      </c>
      <c r="AZ18" s="102">
        <v>-31078.76</v>
      </c>
      <c r="BA18" s="102">
        <v>-593.98900000000003</v>
      </c>
      <c r="BB18" s="102">
        <v>0</v>
      </c>
      <c r="BC18" s="102">
        <v>-2513.6060000000002</v>
      </c>
      <c r="BD18" s="102">
        <v>0</v>
      </c>
      <c r="BE18" s="102">
        <v>-101.03</v>
      </c>
      <c r="BF18" s="102">
        <v>-568.59699999999998</v>
      </c>
      <c r="BG18" s="102">
        <v>-480.7</v>
      </c>
      <c r="BH18" s="102">
        <v>44272.879000000001</v>
      </c>
      <c r="BI18" s="102">
        <v>0</v>
      </c>
      <c r="BJ18" s="102">
        <v>-65142.512999999977</v>
      </c>
      <c r="BK18" s="102">
        <v>-8172.866</v>
      </c>
      <c r="BL18" s="104"/>
      <c r="BM18" s="104"/>
    </row>
    <row r="19" spans="2:65" collapsed="1">
      <c r="B19" s="116" t="s">
        <v>271</v>
      </c>
      <c r="C19" s="117" t="s">
        <v>272</v>
      </c>
      <c r="D19" s="102">
        <v>0</v>
      </c>
      <c r="E19" s="102">
        <v>0</v>
      </c>
      <c r="F19" s="102">
        <v>0</v>
      </c>
      <c r="G19" s="102">
        <v>0</v>
      </c>
      <c r="H19" s="102">
        <v>0</v>
      </c>
      <c r="I19" s="102">
        <v>0</v>
      </c>
      <c r="J19" s="102">
        <v>0</v>
      </c>
      <c r="K19" s="102">
        <v>0</v>
      </c>
      <c r="L19" s="102">
        <v>0</v>
      </c>
      <c r="M19" s="102">
        <v>0</v>
      </c>
      <c r="N19" s="102">
        <v>-364.51299999999998</v>
      </c>
      <c r="O19" s="102">
        <v>-1890.6189999999999</v>
      </c>
      <c r="P19" s="102">
        <v>-397.06200000000001</v>
      </c>
      <c r="Q19" s="102">
        <v>-677.274</v>
      </c>
      <c r="R19" s="102">
        <v>-7.7789999999999999</v>
      </c>
      <c r="S19" s="102">
        <v>0</v>
      </c>
      <c r="T19" s="102">
        <v>0</v>
      </c>
      <c r="U19" s="102">
        <v>0</v>
      </c>
      <c r="V19" s="102">
        <v>0</v>
      </c>
      <c r="W19" s="102">
        <v>0</v>
      </c>
      <c r="X19" s="102">
        <v>0</v>
      </c>
      <c r="Y19" s="102">
        <v>0</v>
      </c>
      <c r="Z19" s="102">
        <v>0</v>
      </c>
      <c r="AA19" s="102">
        <v>0</v>
      </c>
      <c r="AB19" s="102">
        <v>0</v>
      </c>
      <c r="AC19" s="102">
        <v>0</v>
      </c>
      <c r="AD19" s="102">
        <v>0</v>
      </c>
      <c r="AE19" s="102">
        <v>-0.16200000000000001</v>
      </c>
      <c r="AF19" s="102">
        <v>0</v>
      </c>
      <c r="AG19" s="102">
        <v>0</v>
      </c>
      <c r="AH19" s="102">
        <v>-54.503</v>
      </c>
      <c r="AI19" s="102">
        <v>-261.483</v>
      </c>
      <c r="AJ19" s="102">
        <v>0</v>
      </c>
      <c r="AK19" s="102">
        <v>0</v>
      </c>
      <c r="AL19" s="102">
        <v>0</v>
      </c>
      <c r="AM19" s="102">
        <v>0</v>
      </c>
      <c r="AN19" s="102">
        <v>0</v>
      </c>
      <c r="AO19" s="102">
        <v>0</v>
      </c>
      <c r="AP19" s="102">
        <v>-0.79800000000000004</v>
      </c>
      <c r="AQ19" s="102">
        <v>-7.1239999999999997</v>
      </c>
      <c r="AR19" s="102">
        <v>-2.726</v>
      </c>
      <c r="AS19" s="102">
        <v>-0.79</v>
      </c>
      <c r="AT19" s="102">
        <v>-2.8809999999999998</v>
      </c>
      <c r="AU19" s="102">
        <v>0</v>
      </c>
      <c r="AV19" s="102">
        <v>0</v>
      </c>
      <c r="AW19" s="102">
        <v>0</v>
      </c>
      <c r="AX19" s="102">
        <v>0</v>
      </c>
      <c r="AY19" s="102">
        <v>0</v>
      </c>
      <c r="AZ19" s="102">
        <v>0</v>
      </c>
      <c r="BA19" s="102">
        <v>-0.51100000000000001</v>
      </c>
      <c r="BB19" s="102">
        <v>0</v>
      </c>
      <c r="BC19" s="102">
        <v>-254.54599999999999</v>
      </c>
      <c r="BD19" s="102">
        <v>0</v>
      </c>
      <c r="BE19" s="102">
        <v>0</v>
      </c>
      <c r="BF19" s="102">
        <v>-2.0640000000000001</v>
      </c>
      <c r="BG19" s="102">
        <v>-6.484</v>
      </c>
      <c r="BH19" s="102">
        <v>2000.8409999999999</v>
      </c>
      <c r="BI19" s="102">
        <v>0</v>
      </c>
      <c r="BJ19" s="102">
        <v>-1930.4779999999992</v>
      </c>
      <c r="BK19" s="102">
        <v>-2572.0880000000002</v>
      </c>
      <c r="BL19" s="104"/>
      <c r="BM19" s="104"/>
    </row>
    <row r="20" spans="2:65">
      <c r="B20" s="114" t="s">
        <v>273</v>
      </c>
      <c r="C20" s="115" t="s">
        <v>274</v>
      </c>
      <c r="D20" s="102">
        <v>0</v>
      </c>
      <c r="E20" s="102">
        <v>0</v>
      </c>
      <c r="F20" s="102">
        <v>0</v>
      </c>
      <c r="G20" s="102">
        <v>-2526.2600000000002</v>
      </c>
      <c r="H20" s="102">
        <v>0</v>
      </c>
      <c r="I20" s="102">
        <v>0</v>
      </c>
      <c r="J20" s="102">
        <v>0</v>
      </c>
      <c r="K20" s="102">
        <v>0</v>
      </c>
      <c r="L20" s="102">
        <v>0</v>
      </c>
      <c r="M20" s="102">
        <v>0</v>
      </c>
      <c r="N20" s="102">
        <v>0</v>
      </c>
      <c r="O20" s="102">
        <v>0</v>
      </c>
      <c r="P20" s="102">
        <v>0</v>
      </c>
      <c r="Q20" s="102">
        <v>-6612.1949999999997</v>
      </c>
      <c r="R20" s="102">
        <v>-560.75800000000004</v>
      </c>
      <c r="S20" s="102">
        <v>0</v>
      </c>
      <c r="T20" s="102">
        <v>0</v>
      </c>
      <c r="U20" s="102">
        <v>0</v>
      </c>
      <c r="V20" s="102">
        <v>0</v>
      </c>
      <c r="W20" s="102">
        <v>-422.47199999999998</v>
      </c>
      <c r="X20" s="102">
        <v>-76.41</v>
      </c>
      <c r="Y20" s="102">
        <v>0</v>
      </c>
      <c r="Z20" s="102">
        <v>-3.0000000000000001E-3</v>
      </c>
      <c r="AA20" s="102">
        <v>0</v>
      </c>
      <c r="AB20" s="102">
        <v>0</v>
      </c>
      <c r="AC20" s="102">
        <v>0</v>
      </c>
      <c r="AD20" s="102">
        <v>-1.1619999999999999</v>
      </c>
      <c r="AE20" s="102">
        <v>0</v>
      </c>
      <c r="AF20" s="102">
        <v>0</v>
      </c>
      <c r="AG20" s="102">
        <v>0</v>
      </c>
      <c r="AH20" s="102">
        <v>-152.37100000000001</v>
      </c>
      <c r="AI20" s="102">
        <v>-755.851</v>
      </c>
      <c r="AJ20" s="102">
        <v>0</v>
      </c>
      <c r="AK20" s="102">
        <v>0</v>
      </c>
      <c r="AL20" s="102">
        <v>0</v>
      </c>
      <c r="AM20" s="102">
        <v>0</v>
      </c>
      <c r="AN20" s="102">
        <v>0</v>
      </c>
      <c r="AO20" s="102">
        <v>-494.00799999999998</v>
      </c>
      <c r="AP20" s="102">
        <v>-71.546999999999997</v>
      </c>
      <c r="AQ20" s="102">
        <v>-123.77500000000001</v>
      </c>
      <c r="AR20" s="102">
        <v>-171.54599999999999</v>
      </c>
      <c r="AS20" s="102">
        <v>-1050.1880000000001</v>
      </c>
      <c r="AT20" s="102">
        <v>-1.5620000000000001</v>
      </c>
      <c r="AU20" s="102">
        <v>0</v>
      </c>
      <c r="AV20" s="102">
        <v>0</v>
      </c>
      <c r="AW20" s="102">
        <v>0</v>
      </c>
      <c r="AX20" s="102">
        <v>0</v>
      </c>
      <c r="AY20" s="102">
        <v>0</v>
      </c>
      <c r="AZ20" s="102">
        <v>0</v>
      </c>
      <c r="BA20" s="102">
        <v>0</v>
      </c>
      <c r="BB20" s="102">
        <v>0</v>
      </c>
      <c r="BC20" s="102">
        <v>0</v>
      </c>
      <c r="BD20" s="102">
        <v>0</v>
      </c>
      <c r="BE20" s="102">
        <v>0</v>
      </c>
      <c r="BF20" s="102">
        <v>0</v>
      </c>
      <c r="BG20" s="102">
        <v>0</v>
      </c>
      <c r="BH20" s="102">
        <v>4698.59</v>
      </c>
      <c r="BI20" s="102">
        <v>5993.451</v>
      </c>
      <c r="BJ20" s="102">
        <v>-2328.067</v>
      </c>
      <c r="BK20" s="102">
        <v>-1841.09</v>
      </c>
      <c r="BL20" s="104"/>
      <c r="BM20" s="104"/>
    </row>
    <row r="21" spans="2:65">
      <c r="B21" s="116" t="s">
        <v>275</v>
      </c>
      <c r="C21" s="117" t="s">
        <v>276</v>
      </c>
      <c r="D21" s="102">
        <v>0</v>
      </c>
      <c r="E21" s="102">
        <v>0</v>
      </c>
      <c r="F21" s="102">
        <v>0</v>
      </c>
      <c r="G21" s="102">
        <v>0</v>
      </c>
      <c r="H21" s="102">
        <v>0</v>
      </c>
      <c r="I21" s="102">
        <v>0</v>
      </c>
      <c r="J21" s="102">
        <v>0</v>
      </c>
      <c r="K21" s="102">
        <v>0</v>
      </c>
      <c r="L21" s="102">
        <v>0</v>
      </c>
      <c r="M21" s="102">
        <v>0</v>
      </c>
      <c r="N21" s="102">
        <v>0</v>
      </c>
      <c r="O21" s="102">
        <v>0</v>
      </c>
      <c r="P21" s="102">
        <v>0</v>
      </c>
      <c r="Q21" s="102">
        <v>-6026.31</v>
      </c>
      <c r="R21" s="102">
        <v>-421.649</v>
      </c>
      <c r="S21" s="102">
        <v>0</v>
      </c>
      <c r="T21" s="102">
        <v>0</v>
      </c>
      <c r="U21" s="102">
        <v>0</v>
      </c>
      <c r="V21" s="102">
        <v>0</v>
      </c>
      <c r="W21" s="102">
        <v>0</v>
      </c>
      <c r="X21" s="102">
        <v>-15.548</v>
      </c>
      <c r="Y21" s="102">
        <v>0</v>
      </c>
      <c r="Z21" s="102">
        <v>-3.0000000000000001E-3</v>
      </c>
      <c r="AA21" s="102">
        <v>0</v>
      </c>
      <c r="AB21" s="102">
        <v>0</v>
      </c>
      <c r="AC21" s="102">
        <v>0</v>
      </c>
      <c r="AD21" s="102">
        <v>-0.59599999999999997</v>
      </c>
      <c r="AE21" s="102">
        <v>0</v>
      </c>
      <c r="AF21" s="102">
        <v>0</v>
      </c>
      <c r="AG21" s="102">
        <v>0</v>
      </c>
      <c r="AH21" s="102">
        <v>-30.007000000000001</v>
      </c>
      <c r="AI21" s="102">
        <v>0</v>
      </c>
      <c r="AJ21" s="102">
        <v>0</v>
      </c>
      <c r="AK21" s="102">
        <v>0</v>
      </c>
      <c r="AL21" s="102">
        <v>0</v>
      </c>
      <c r="AM21" s="102">
        <v>0</v>
      </c>
      <c r="AN21" s="102">
        <v>0</v>
      </c>
      <c r="AO21" s="102">
        <v>0</v>
      </c>
      <c r="AP21" s="102">
        <v>-71.453000000000003</v>
      </c>
      <c r="AQ21" s="102">
        <v>-78.215000000000003</v>
      </c>
      <c r="AR21" s="102">
        <v>-10.877000000000001</v>
      </c>
      <c r="AS21" s="102">
        <v>-66.045000000000002</v>
      </c>
      <c r="AT21" s="102">
        <v>-0.755</v>
      </c>
      <c r="AU21" s="102">
        <v>0</v>
      </c>
      <c r="AV21" s="102">
        <v>0</v>
      </c>
      <c r="AW21" s="102">
        <v>0</v>
      </c>
      <c r="AX21" s="102">
        <v>0</v>
      </c>
      <c r="AY21" s="102">
        <v>0</v>
      </c>
      <c r="AZ21" s="102">
        <v>0</v>
      </c>
      <c r="BA21" s="102">
        <v>0</v>
      </c>
      <c r="BB21" s="102">
        <v>0</v>
      </c>
      <c r="BC21" s="102">
        <v>0</v>
      </c>
      <c r="BD21" s="102">
        <v>0</v>
      </c>
      <c r="BE21" s="102">
        <v>0</v>
      </c>
      <c r="BF21" s="102">
        <v>0</v>
      </c>
      <c r="BG21" s="102">
        <v>0</v>
      </c>
      <c r="BH21" s="102">
        <v>2631.0659999999998</v>
      </c>
      <c r="BI21" s="102">
        <v>2566.6770000000001</v>
      </c>
      <c r="BJ21" s="102">
        <v>-1523.7150000000006</v>
      </c>
      <c r="BK21" s="102">
        <v>-227.34399999999999</v>
      </c>
      <c r="BL21" s="104"/>
      <c r="BM21" s="104"/>
    </row>
    <row r="22" spans="2:65" collapsed="1">
      <c r="B22" s="116" t="s">
        <v>277</v>
      </c>
      <c r="C22" s="117" t="s">
        <v>278</v>
      </c>
      <c r="D22" s="102">
        <v>0</v>
      </c>
      <c r="E22" s="102">
        <v>0</v>
      </c>
      <c r="F22" s="102">
        <v>0</v>
      </c>
      <c r="G22" s="102">
        <v>-2526.2600000000002</v>
      </c>
      <c r="H22" s="102">
        <v>0</v>
      </c>
      <c r="I22" s="102">
        <v>0</v>
      </c>
      <c r="J22" s="102">
        <v>0</v>
      </c>
      <c r="K22" s="102">
        <v>0</v>
      </c>
      <c r="L22" s="102">
        <v>0</v>
      </c>
      <c r="M22" s="102">
        <v>0</v>
      </c>
      <c r="N22" s="102">
        <v>0</v>
      </c>
      <c r="O22" s="102">
        <v>0</v>
      </c>
      <c r="P22" s="102">
        <v>0</v>
      </c>
      <c r="Q22" s="102">
        <v>-585.88499999999999</v>
      </c>
      <c r="R22" s="102">
        <v>-139.10900000000001</v>
      </c>
      <c r="S22" s="102">
        <v>0</v>
      </c>
      <c r="T22" s="102">
        <v>0</v>
      </c>
      <c r="U22" s="102">
        <v>0</v>
      </c>
      <c r="V22" s="102">
        <v>0</v>
      </c>
      <c r="W22" s="102">
        <v>-422.47199999999998</v>
      </c>
      <c r="X22" s="102">
        <v>-60.862000000000002</v>
      </c>
      <c r="Y22" s="102">
        <v>0</v>
      </c>
      <c r="Z22" s="102">
        <v>0</v>
      </c>
      <c r="AA22" s="102">
        <v>0</v>
      </c>
      <c r="AB22" s="102">
        <v>0</v>
      </c>
      <c r="AC22" s="102">
        <v>0</v>
      </c>
      <c r="AD22" s="102">
        <v>-0.56599999999999995</v>
      </c>
      <c r="AE22" s="102">
        <v>0</v>
      </c>
      <c r="AF22" s="102">
        <v>0</v>
      </c>
      <c r="AG22" s="102">
        <v>0</v>
      </c>
      <c r="AH22" s="102">
        <v>-122.364</v>
      </c>
      <c r="AI22" s="102">
        <v>-755.851</v>
      </c>
      <c r="AJ22" s="102">
        <v>0</v>
      </c>
      <c r="AK22" s="102">
        <v>0</v>
      </c>
      <c r="AL22" s="102">
        <v>0</v>
      </c>
      <c r="AM22" s="102">
        <v>0</v>
      </c>
      <c r="AN22" s="102">
        <v>0</v>
      </c>
      <c r="AO22" s="102">
        <v>-494.00799999999998</v>
      </c>
      <c r="AP22" s="102">
        <v>-9.4E-2</v>
      </c>
      <c r="AQ22" s="102">
        <v>-45.56</v>
      </c>
      <c r="AR22" s="102">
        <v>-160.66999999999999</v>
      </c>
      <c r="AS22" s="102">
        <v>-984.14300000000003</v>
      </c>
      <c r="AT22" s="102">
        <v>-0.80700000000000005</v>
      </c>
      <c r="AU22" s="102">
        <v>0</v>
      </c>
      <c r="AV22" s="102">
        <v>0</v>
      </c>
      <c r="AW22" s="102">
        <v>0</v>
      </c>
      <c r="AX22" s="102">
        <v>0</v>
      </c>
      <c r="AY22" s="102">
        <v>0</v>
      </c>
      <c r="AZ22" s="102">
        <v>0</v>
      </c>
      <c r="BA22" s="102">
        <v>0</v>
      </c>
      <c r="BB22" s="102">
        <v>0</v>
      </c>
      <c r="BC22" s="102">
        <v>0</v>
      </c>
      <c r="BD22" s="102">
        <v>0</v>
      </c>
      <c r="BE22" s="102">
        <v>0</v>
      </c>
      <c r="BF22" s="102">
        <v>0</v>
      </c>
      <c r="BG22" s="102">
        <v>0</v>
      </c>
      <c r="BH22" s="102">
        <v>2067.5230000000001</v>
      </c>
      <c r="BI22" s="102">
        <v>3426.7739999999999</v>
      </c>
      <c r="BJ22" s="102">
        <v>-804.35400000000072</v>
      </c>
      <c r="BK22" s="102">
        <v>-1613.7460000000001</v>
      </c>
      <c r="BL22" s="104"/>
      <c r="BM22" s="104"/>
    </row>
    <row r="23" spans="2:65">
      <c r="B23" s="114" t="s">
        <v>279</v>
      </c>
      <c r="C23" s="115" t="s">
        <v>280</v>
      </c>
      <c r="D23" s="102">
        <v>0</v>
      </c>
      <c r="E23" s="102">
        <v>0</v>
      </c>
      <c r="F23" s="102">
        <v>0</v>
      </c>
      <c r="G23" s="102">
        <v>0</v>
      </c>
      <c r="H23" s="102">
        <v>0</v>
      </c>
      <c r="I23" s="102">
        <v>0</v>
      </c>
      <c r="J23" s="102">
        <v>0</v>
      </c>
      <c r="K23" s="102">
        <v>0</v>
      </c>
      <c r="L23" s="102">
        <v>0</v>
      </c>
      <c r="M23" s="102">
        <v>0</v>
      </c>
      <c r="N23" s="102">
        <v>0</v>
      </c>
      <c r="O23" s="102">
        <v>0</v>
      </c>
      <c r="P23" s="102">
        <v>0</v>
      </c>
      <c r="Q23" s="102">
        <v>-40.896000000000001</v>
      </c>
      <c r="R23" s="102">
        <v>-293.99599999999998</v>
      </c>
      <c r="S23" s="102">
        <v>0</v>
      </c>
      <c r="T23" s="102">
        <v>0</v>
      </c>
      <c r="U23" s="102">
        <v>0</v>
      </c>
      <c r="V23" s="102">
        <v>0</v>
      </c>
      <c r="W23" s="102">
        <v>0</v>
      </c>
      <c r="X23" s="102">
        <v>-72.200999999999993</v>
      </c>
      <c r="Y23" s="102">
        <v>0</v>
      </c>
      <c r="Z23" s="102">
        <v>0</v>
      </c>
      <c r="AA23" s="102">
        <v>0</v>
      </c>
      <c r="AB23" s="102">
        <v>0</v>
      </c>
      <c r="AC23" s="102">
        <v>0</v>
      </c>
      <c r="AD23" s="102">
        <v>-0.628</v>
      </c>
      <c r="AE23" s="102">
        <v>-0.29899999999999999</v>
      </c>
      <c r="AF23" s="102">
        <v>-0.16</v>
      </c>
      <c r="AG23" s="102">
        <v>0</v>
      </c>
      <c r="AH23" s="102">
        <v>-200.93799999999999</v>
      </c>
      <c r="AI23" s="102">
        <v>0</v>
      </c>
      <c r="AJ23" s="102">
        <v>0</v>
      </c>
      <c r="AK23" s="102">
        <v>0</v>
      </c>
      <c r="AL23" s="102">
        <v>0</v>
      </c>
      <c r="AM23" s="102">
        <v>0</v>
      </c>
      <c r="AN23" s="102">
        <v>0</v>
      </c>
      <c r="AO23" s="102">
        <v>-16.277000000000001</v>
      </c>
      <c r="AP23" s="102">
        <v>-102.539</v>
      </c>
      <c r="AQ23" s="102">
        <v>0</v>
      </c>
      <c r="AR23" s="102">
        <v>-23.931999999999999</v>
      </c>
      <c r="AS23" s="102">
        <v>-16.57</v>
      </c>
      <c r="AT23" s="102">
        <v>-3.16</v>
      </c>
      <c r="AU23" s="102">
        <v>-17.800999999999998</v>
      </c>
      <c r="AV23" s="102">
        <v>0</v>
      </c>
      <c r="AW23" s="102">
        <v>0</v>
      </c>
      <c r="AX23" s="102">
        <v>0</v>
      </c>
      <c r="AY23" s="102">
        <v>0</v>
      </c>
      <c r="AZ23" s="102">
        <v>0</v>
      </c>
      <c r="BA23" s="102">
        <v>0</v>
      </c>
      <c r="BB23" s="102">
        <v>0</v>
      </c>
      <c r="BC23" s="102">
        <v>0</v>
      </c>
      <c r="BD23" s="102">
        <v>0</v>
      </c>
      <c r="BE23" s="102">
        <v>0</v>
      </c>
      <c r="BF23" s="102">
        <v>0</v>
      </c>
      <c r="BG23" s="102">
        <v>0</v>
      </c>
      <c r="BH23" s="102">
        <v>0</v>
      </c>
      <c r="BI23" s="102">
        <v>500.03899999999999</v>
      </c>
      <c r="BJ23" s="102">
        <v>-289.35800000000006</v>
      </c>
      <c r="BK23" s="102">
        <v>-164.001</v>
      </c>
      <c r="BL23" s="104"/>
      <c r="BM23" s="104"/>
    </row>
    <row r="24" spans="2:65">
      <c r="B24" s="116" t="s">
        <v>281</v>
      </c>
      <c r="C24" s="117" t="s">
        <v>282</v>
      </c>
      <c r="D24" s="102">
        <v>0</v>
      </c>
      <c r="E24" s="102">
        <v>0</v>
      </c>
      <c r="F24" s="102">
        <v>0</v>
      </c>
      <c r="G24" s="102">
        <v>0</v>
      </c>
      <c r="H24" s="102">
        <v>0</v>
      </c>
      <c r="I24" s="102">
        <v>0</v>
      </c>
      <c r="J24" s="102">
        <v>0</v>
      </c>
      <c r="K24" s="102">
        <v>0</v>
      </c>
      <c r="L24" s="102">
        <v>0</v>
      </c>
      <c r="M24" s="102">
        <v>0</v>
      </c>
      <c r="N24" s="102">
        <v>0</v>
      </c>
      <c r="O24" s="102">
        <v>0</v>
      </c>
      <c r="P24" s="102">
        <v>0</v>
      </c>
      <c r="Q24" s="102">
        <v>-40.896000000000001</v>
      </c>
      <c r="R24" s="102">
        <v>-286.411</v>
      </c>
      <c r="S24" s="102">
        <v>0</v>
      </c>
      <c r="T24" s="102">
        <v>0</v>
      </c>
      <c r="U24" s="102">
        <v>0</v>
      </c>
      <c r="V24" s="102">
        <v>0</v>
      </c>
      <c r="W24" s="102">
        <v>0</v>
      </c>
      <c r="X24" s="102">
        <v>-71.036000000000001</v>
      </c>
      <c r="Y24" s="102">
        <v>0</v>
      </c>
      <c r="Z24" s="102">
        <v>0</v>
      </c>
      <c r="AA24" s="102">
        <v>0</v>
      </c>
      <c r="AB24" s="102">
        <v>0</v>
      </c>
      <c r="AC24" s="102">
        <v>0</v>
      </c>
      <c r="AD24" s="102">
        <v>-0.628</v>
      </c>
      <c r="AE24" s="102">
        <v>-1.2E-2</v>
      </c>
      <c r="AF24" s="102">
        <v>-0.16</v>
      </c>
      <c r="AG24" s="102">
        <v>0</v>
      </c>
      <c r="AH24" s="102">
        <v>-158.15700000000001</v>
      </c>
      <c r="AI24" s="102">
        <v>0</v>
      </c>
      <c r="AJ24" s="102">
        <v>0</v>
      </c>
      <c r="AK24" s="102">
        <v>0</v>
      </c>
      <c r="AL24" s="102">
        <v>0</v>
      </c>
      <c r="AM24" s="102">
        <v>0</v>
      </c>
      <c r="AN24" s="102">
        <v>0</v>
      </c>
      <c r="AO24" s="102">
        <v>0</v>
      </c>
      <c r="AP24" s="102">
        <v>0</v>
      </c>
      <c r="AQ24" s="102">
        <v>0</v>
      </c>
      <c r="AR24" s="102">
        <v>0</v>
      </c>
      <c r="AS24" s="102">
        <v>0</v>
      </c>
      <c r="AT24" s="102">
        <v>-3.16</v>
      </c>
      <c r="AU24" s="102">
        <v>-17.800999999999998</v>
      </c>
      <c r="AV24" s="102">
        <v>0</v>
      </c>
      <c r="AW24" s="102">
        <v>0</v>
      </c>
      <c r="AX24" s="102">
        <v>0</v>
      </c>
      <c r="AY24" s="102">
        <v>0</v>
      </c>
      <c r="AZ24" s="102">
        <v>0</v>
      </c>
      <c r="BA24" s="102">
        <v>0</v>
      </c>
      <c r="BB24" s="102">
        <v>0</v>
      </c>
      <c r="BC24" s="102">
        <v>0</v>
      </c>
      <c r="BD24" s="102">
        <v>0</v>
      </c>
      <c r="BE24" s="102">
        <v>0</v>
      </c>
      <c r="BF24" s="102">
        <v>0</v>
      </c>
      <c r="BG24" s="102">
        <v>0</v>
      </c>
      <c r="BH24" s="102">
        <v>0</v>
      </c>
      <c r="BI24" s="102">
        <v>239.30500000000001</v>
      </c>
      <c r="BJ24" s="102">
        <v>-338.95600000000007</v>
      </c>
      <c r="BK24" s="102">
        <v>-20.960999999999999</v>
      </c>
      <c r="BL24" s="104"/>
      <c r="BM24" s="104"/>
    </row>
    <row r="25" spans="2:65" collapsed="1">
      <c r="B25" s="116" t="s">
        <v>283</v>
      </c>
      <c r="C25" s="117" t="s">
        <v>284</v>
      </c>
      <c r="D25" s="102">
        <v>0</v>
      </c>
      <c r="E25" s="102">
        <v>0</v>
      </c>
      <c r="F25" s="102">
        <v>0</v>
      </c>
      <c r="G25" s="102">
        <v>0</v>
      </c>
      <c r="H25" s="102">
        <v>0</v>
      </c>
      <c r="I25" s="102">
        <v>0</v>
      </c>
      <c r="J25" s="102">
        <v>0</v>
      </c>
      <c r="K25" s="102">
        <v>0</v>
      </c>
      <c r="L25" s="102">
        <v>0</v>
      </c>
      <c r="M25" s="102">
        <v>0</v>
      </c>
      <c r="N25" s="102">
        <v>0</v>
      </c>
      <c r="O25" s="102">
        <v>0</v>
      </c>
      <c r="P25" s="102">
        <v>0</v>
      </c>
      <c r="Q25" s="102">
        <v>0</v>
      </c>
      <c r="R25" s="102">
        <v>-7.585</v>
      </c>
      <c r="S25" s="102">
        <v>0</v>
      </c>
      <c r="T25" s="102">
        <v>0</v>
      </c>
      <c r="U25" s="102">
        <v>0</v>
      </c>
      <c r="V25" s="102">
        <v>0</v>
      </c>
      <c r="W25" s="102">
        <v>0</v>
      </c>
      <c r="X25" s="102">
        <v>-1.165</v>
      </c>
      <c r="Y25" s="102">
        <v>0</v>
      </c>
      <c r="Z25" s="102">
        <v>0</v>
      </c>
      <c r="AA25" s="102">
        <v>0</v>
      </c>
      <c r="AB25" s="102">
        <v>0</v>
      </c>
      <c r="AC25" s="102">
        <v>0</v>
      </c>
      <c r="AD25" s="102">
        <v>-1E-3</v>
      </c>
      <c r="AE25" s="102">
        <v>-0.28699999999999998</v>
      </c>
      <c r="AF25" s="102">
        <v>0</v>
      </c>
      <c r="AG25" s="102">
        <v>0</v>
      </c>
      <c r="AH25" s="102">
        <v>-42.780999999999999</v>
      </c>
      <c r="AI25" s="102">
        <v>0</v>
      </c>
      <c r="AJ25" s="102">
        <v>0</v>
      </c>
      <c r="AK25" s="102">
        <v>0</v>
      </c>
      <c r="AL25" s="102">
        <v>0</v>
      </c>
      <c r="AM25" s="102">
        <v>0</v>
      </c>
      <c r="AN25" s="102">
        <v>0</v>
      </c>
      <c r="AO25" s="102">
        <v>-16.277000000000001</v>
      </c>
      <c r="AP25" s="102">
        <v>-102.539</v>
      </c>
      <c r="AQ25" s="102">
        <v>0</v>
      </c>
      <c r="AR25" s="102">
        <v>-23.931999999999999</v>
      </c>
      <c r="AS25" s="102">
        <v>-16.57</v>
      </c>
      <c r="AT25" s="102">
        <v>0</v>
      </c>
      <c r="AU25" s="102">
        <v>0</v>
      </c>
      <c r="AV25" s="102">
        <v>0</v>
      </c>
      <c r="AW25" s="102">
        <v>0</v>
      </c>
      <c r="AX25" s="102">
        <v>0</v>
      </c>
      <c r="AY25" s="102">
        <v>0</v>
      </c>
      <c r="AZ25" s="102">
        <v>0</v>
      </c>
      <c r="BA25" s="102">
        <v>0</v>
      </c>
      <c r="BB25" s="102">
        <v>0</v>
      </c>
      <c r="BC25" s="102">
        <v>0</v>
      </c>
      <c r="BD25" s="102">
        <v>0</v>
      </c>
      <c r="BE25" s="102">
        <v>0</v>
      </c>
      <c r="BF25" s="102">
        <v>0</v>
      </c>
      <c r="BG25" s="102">
        <v>0</v>
      </c>
      <c r="BH25" s="102">
        <v>0</v>
      </c>
      <c r="BI25" s="102">
        <v>260.733</v>
      </c>
      <c r="BJ25" s="102">
        <v>49.596000000000032</v>
      </c>
      <c r="BK25" s="102">
        <v>-143.041</v>
      </c>
      <c r="BL25" s="104"/>
      <c r="BM25" s="104"/>
    </row>
    <row r="26" spans="2:65">
      <c r="B26" s="114" t="s">
        <v>285</v>
      </c>
      <c r="C26" s="115" t="s">
        <v>286</v>
      </c>
      <c r="D26" s="102">
        <v>0</v>
      </c>
      <c r="E26" s="102">
        <v>0</v>
      </c>
      <c r="F26" s="102">
        <v>0</v>
      </c>
      <c r="G26" s="102">
        <v>0</v>
      </c>
      <c r="H26" s="102">
        <v>0</v>
      </c>
      <c r="I26" s="102">
        <v>0</v>
      </c>
      <c r="J26" s="102">
        <v>0</v>
      </c>
      <c r="K26" s="102">
        <v>0</v>
      </c>
      <c r="L26" s="102">
        <v>0</v>
      </c>
      <c r="M26" s="102">
        <v>0</v>
      </c>
      <c r="N26" s="102">
        <v>0</v>
      </c>
      <c r="O26" s="102">
        <v>0</v>
      </c>
      <c r="P26" s="102">
        <v>0</v>
      </c>
      <c r="Q26" s="102">
        <v>0</v>
      </c>
      <c r="R26" s="102">
        <v>0</v>
      </c>
      <c r="S26" s="102">
        <v>0</v>
      </c>
      <c r="T26" s="102">
        <v>0</v>
      </c>
      <c r="U26" s="102">
        <v>0</v>
      </c>
      <c r="V26" s="102">
        <v>0</v>
      </c>
      <c r="W26" s="102">
        <v>0</v>
      </c>
      <c r="X26" s="102">
        <v>0</v>
      </c>
      <c r="Y26" s="102">
        <v>0</v>
      </c>
      <c r="Z26" s="102">
        <v>0</v>
      </c>
      <c r="AA26" s="102">
        <v>0</v>
      </c>
      <c r="AB26" s="102">
        <v>0</v>
      </c>
      <c r="AC26" s="102">
        <v>0</v>
      </c>
      <c r="AD26" s="102">
        <v>0</v>
      </c>
      <c r="AE26" s="102">
        <v>0</v>
      </c>
      <c r="AF26" s="102">
        <v>0</v>
      </c>
      <c r="AG26" s="102">
        <v>0</v>
      </c>
      <c r="AH26" s="102">
        <v>0</v>
      </c>
      <c r="AI26" s="102">
        <v>0</v>
      </c>
      <c r="AJ26" s="102">
        <v>0</v>
      </c>
      <c r="AK26" s="102">
        <v>0</v>
      </c>
      <c r="AL26" s="102">
        <v>0</v>
      </c>
      <c r="AM26" s="102">
        <v>0</v>
      </c>
      <c r="AN26" s="102">
        <v>0</v>
      </c>
      <c r="AO26" s="102">
        <v>0</v>
      </c>
      <c r="AP26" s="102">
        <v>0</v>
      </c>
      <c r="AQ26" s="102">
        <v>0</v>
      </c>
      <c r="AR26" s="102">
        <v>0</v>
      </c>
      <c r="AS26" s="102">
        <v>0</v>
      </c>
      <c r="AT26" s="102">
        <v>0</v>
      </c>
      <c r="AU26" s="102">
        <v>0</v>
      </c>
      <c r="AV26" s="102">
        <v>0</v>
      </c>
      <c r="AW26" s="102">
        <v>0</v>
      </c>
      <c r="AX26" s="102">
        <v>0</v>
      </c>
      <c r="AY26" s="102">
        <v>0</v>
      </c>
      <c r="AZ26" s="102">
        <v>0</v>
      </c>
      <c r="BA26" s="102">
        <v>0</v>
      </c>
      <c r="BB26" s="102">
        <v>0</v>
      </c>
      <c r="BC26" s="102">
        <v>0</v>
      </c>
      <c r="BD26" s="102">
        <v>0</v>
      </c>
      <c r="BE26" s="102">
        <v>0</v>
      </c>
      <c r="BF26" s="102">
        <v>0</v>
      </c>
      <c r="BG26" s="102">
        <v>0</v>
      </c>
      <c r="BH26" s="102">
        <v>13.916</v>
      </c>
      <c r="BI26" s="102">
        <v>-66.305000000000007</v>
      </c>
      <c r="BJ26" s="102">
        <v>-52.38900000000001</v>
      </c>
      <c r="BK26" s="102">
        <v>0</v>
      </c>
      <c r="BL26" s="104"/>
      <c r="BM26" s="104"/>
    </row>
    <row r="27" spans="2:65">
      <c r="B27" s="114" t="s">
        <v>287</v>
      </c>
      <c r="C27" s="115" t="s">
        <v>288</v>
      </c>
      <c r="D27" s="102">
        <v>0</v>
      </c>
      <c r="E27" s="102">
        <v>0</v>
      </c>
      <c r="F27" s="102">
        <v>-17195.615000000002</v>
      </c>
      <c r="G27" s="102">
        <v>0</v>
      </c>
      <c r="H27" s="102">
        <v>0</v>
      </c>
      <c r="I27" s="102">
        <v>0</v>
      </c>
      <c r="J27" s="102">
        <v>0</v>
      </c>
      <c r="K27" s="102">
        <v>0</v>
      </c>
      <c r="L27" s="102">
        <v>11619.746999999999</v>
      </c>
      <c r="M27" s="102">
        <v>560.74099999999999</v>
      </c>
      <c r="N27" s="102">
        <v>3609.4140000000002</v>
      </c>
      <c r="O27" s="102">
        <v>0</v>
      </c>
      <c r="P27" s="102">
        <v>0</v>
      </c>
      <c r="Q27" s="102">
        <v>0</v>
      </c>
      <c r="R27" s="102">
        <v>0</v>
      </c>
      <c r="S27" s="102">
        <v>0</v>
      </c>
      <c r="T27" s="102">
        <v>0</v>
      </c>
      <c r="U27" s="102">
        <v>0</v>
      </c>
      <c r="V27" s="102">
        <v>0</v>
      </c>
      <c r="W27" s="102">
        <v>0</v>
      </c>
      <c r="X27" s="102">
        <v>0</v>
      </c>
      <c r="Y27" s="102">
        <v>0</v>
      </c>
      <c r="Z27" s="102">
        <v>0</v>
      </c>
      <c r="AA27" s="102">
        <v>0</v>
      </c>
      <c r="AB27" s="102">
        <v>0</v>
      </c>
      <c r="AC27" s="102">
        <v>0</v>
      </c>
      <c r="AD27" s="102">
        <v>0</v>
      </c>
      <c r="AE27" s="102">
        <v>0</v>
      </c>
      <c r="AF27" s="102">
        <v>0</v>
      </c>
      <c r="AG27" s="102">
        <v>0</v>
      </c>
      <c r="AH27" s="102">
        <v>0</v>
      </c>
      <c r="AI27" s="102">
        <v>0</v>
      </c>
      <c r="AJ27" s="102">
        <v>0</v>
      </c>
      <c r="AK27" s="102">
        <v>0</v>
      </c>
      <c r="AL27" s="102">
        <v>0</v>
      </c>
      <c r="AM27" s="102">
        <v>0</v>
      </c>
      <c r="AN27" s="102">
        <v>0</v>
      </c>
      <c r="AO27" s="102">
        <v>0</v>
      </c>
      <c r="AP27" s="102">
        <v>0</v>
      </c>
      <c r="AQ27" s="102">
        <v>0</v>
      </c>
      <c r="AR27" s="102">
        <v>0</v>
      </c>
      <c r="AS27" s="102">
        <v>0</v>
      </c>
      <c r="AT27" s="102">
        <v>0</v>
      </c>
      <c r="AU27" s="102">
        <v>0</v>
      </c>
      <c r="AV27" s="102">
        <v>0</v>
      </c>
      <c r="AW27" s="102">
        <v>0</v>
      </c>
      <c r="AX27" s="102">
        <v>0</v>
      </c>
      <c r="AY27" s="102">
        <v>0</v>
      </c>
      <c r="AZ27" s="102">
        <v>0</v>
      </c>
      <c r="BA27" s="102">
        <v>0</v>
      </c>
      <c r="BB27" s="102">
        <v>0</v>
      </c>
      <c r="BC27" s="102">
        <v>0</v>
      </c>
      <c r="BD27" s="102">
        <v>0</v>
      </c>
      <c r="BE27" s="102">
        <v>0</v>
      </c>
      <c r="BF27" s="102">
        <v>0</v>
      </c>
      <c r="BG27" s="102">
        <v>0</v>
      </c>
      <c r="BH27" s="102">
        <v>0</v>
      </c>
      <c r="BI27" s="102">
        <v>0</v>
      </c>
      <c r="BJ27" s="102">
        <v>-1405.713000000002</v>
      </c>
      <c r="BK27" s="102">
        <v>0</v>
      </c>
      <c r="BL27" s="104"/>
      <c r="BM27" s="104"/>
    </row>
    <row r="28" spans="2:65">
      <c r="B28" s="114" t="s">
        <v>289</v>
      </c>
      <c r="C28" s="115" t="s">
        <v>290</v>
      </c>
      <c r="D28" s="102">
        <v>0</v>
      </c>
      <c r="E28" s="102">
        <v>0</v>
      </c>
      <c r="F28" s="102">
        <v>-1025.287</v>
      </c>
      <c r="G28" s="102">
        <v>-4839.241</v>
      </c>
      <c r="H28" s="102">
        <v>0</v>
      </c>
      <c r="I28" s="102">
        <v>0</v>
      </c>
      <c r="J28" s="102">
        <v>0</v>
      </c>
      <c r="K28" s="102">
        <v>0</v>
      </c>
      <c r="L28" s="102">
        <v>-11064.096</v>
      </c>
      <c r="M28" s="102">
        <v>0</v>
      </c>
      <c r="N28" s="102">
        <v>0</v>
      </c>
      <c r="O28" s="102">
        <v>5438.1509999999998</v>
      </c>
      <c r="P28" s="102">
        <v>750.745</v>
      </c>
      <c r="Q28" s="102">
        <v>0</v>
      </c>
      <c r="R28" s="102">
        <v>0</v>
      </c>
      <c r="S28" s="102">
        <v>0</v>
      </c>
      <c r="T28" s="102">
        <v>0</v>
      </c>
      <c r="U28" s="102">
        <v>0</v>
      </c>
      <c r="V28" s="102">
        <v>0</v>
      </c>
      <c r="W28" s="102">
        <v>0</v>
      </c>
      <c r="X28" s="102">
        <v>0</v>
      </c>
      <c r="Y28" s="102">
        <v>0</v>
      </c>
      <c r="Z28" s="102">
        <v>0</v>
      </c>
      <c r="AA28" s="102">
        <v>0</v>
      </c>
      <c r="AB28" s="102">
        <v>0</v>
      </c>
      <c r="AC28" s="102">
        <v>0</v>
      </c>
      <c r="AD28" s="102">
        <v>0</v>
      </c>
      <c r="AE28" s="102">
        <v>0</v>
      </c>
      <c r="AF28" s="102">
        <v>0</v>
      </c>
      <c r="AG28" s="102">
        <v>0</v>
      </c>
      <c r="AH28" s="102">
        <v>0</v>
      </c>
      <c r="AI28" s="102">
        <v>0</v>
      </c>
      <c r="AJ28" s="102">
        <v>0</v>
      </c>
      <c r="AK28" s="102">
        <v>0</v>
      </c>
      <c r="AL28" s="102">
        <v>0</v>
      </c>
      <c r="AM28" s="102">
        <v>0</v>
      </c>
      <c r="AN28" s="102">
        <v>0</v>
      </c>
      <c r="AO28" s="102">
        <v>0</v>
      </c>
      <c r="AP28" s="102">
        <v>0</v>
      </c>
      <c r="AQ28" s="102">
        <v>0</v>
      </c>
      <c r="AR28" s="102">
        <v>0</v>
      </c>
      <c r="AS28" s="102">
        <v>0</v>
      </c>
      <c r="AT28" s="102">
        <v>0</v>
      </c>
      <c r="AU28" s="102">
        <v>0</v>
      </c>
      <c r="AV28" s="102">
        <v>0</v>
      </c>
      <c r="AW28" s="102">
        <v>0</v>
      </c>
      <c r="AX28" s="102">
        <v>0</v>
      </c>
      <c r="AY28" s="102">
        <v>0</v>
      </c>
      <c r="AZ28" s="102">
        <v>0</v>
      </c>
      <c r="BA28" s="102">
        <v>0</v>
      </c>
      <c r="BB28" s="102">
        <v>0</v>
      </c>
      <c r="BC28" s="102">
        <v>0</v>
      </c>
      <c r="BD28" s="102">
        <v>0</v>
      </c>
      <c r="BE28" s="102">
        <v>0</v>
      </c>
      <c r="BF28" s="102">
        <v>0</v>
      </c>
      <c r="BG28" s="102">
        <v>0</v>
      </c>
      <c r="BH28" s="102">
        <v>0</v>
      </c>
      <c r="BI28" s="102">
        <v>0</v>
      </c>
      <c r="BJ28" s="102">
        <v>-10739.727999999999</v>
      </c>
      <c r="BK28" s="102">
        <v>0</v>
      </c>
      <c r="BL28" s="104"/>
      <c r="BM28" s="104"/>
    </row>
    <row r="29" spans="2:65">
      <c r="B29" s="114" t="s">
        <v>291</v>
      </c>
      <c r="C29" s="115" t="s">
        <v>292</v>
      </c>
      <c r="D29" s="102">
        <v>-287.40499999999997</v>
      </c>
      <c r="E29" s="102">
        <v>-18.216000000000001</v>
      </c>
      <c r="F29" s="102">
        <v>0</v>
      </c>
      <c r="G29" s="102">
        <v>0</v>
      </c>
      <c r="H29" s="102">
        <v>0</v>
      </c>
      <c r="I29" s="102">
        <v>0</v>
      </c>
      <c r="J29" s="102">
        <v>0</v>
      </c>
      <c r="K29" s="102">
        <v>469.32799999999997</v>
      </c>
      <c r="L29" s="102">
        <v>0</v>
      </c>
      <c r="M29" s="102">
        <v>0</v>
      </c>
      <c r="N29" s="102">
        <v>0</v>
      </c>
      <c r="O29" s="102">
        <v>0</v>
      </c>
      <c r="P29" s="102">
        <v>0</v>
      </c>
      <c r="Q29" s="102">
        <v>0</v>
      </c>
      <c r="R29" s="102">
        <v>0</v>
      </c>
      <c r="S29" s="102">
        <v>0</v>
      </c>
      <c r="T29" s="102">
        <v>0</v>
      </c>
      <c r="U29" s="102">
        <v>0</v>
      </c>
      <c r="V29" s="102">
        <v>0</v>
      </c>
      <c r="W29" s="102">
        <v>0</v>
      </c>
      <c r="X29" s="102">
        <v>0</v>
      </c>
      <c r="Y29" s="102">
        <v>0</v>
      </c>
      <c r="Z29" s="102">
        <v>0</v>
      </c>
      <c r="AA29" s="102">
        <v>0</v>
      </c>
      <c r="AB29" s="102">
        <v>0</v>
      </c>
      <c r="AC29" s="102">
        <v>0</v>
      </c>
      <c r="AD29" s="102">
        <v>0</v>
      </c>
      <c r="AE29" s="102">
        <v>0</v>
      </c>
      <c r="AF29" s="102">
        <v>0</v>
      </c>
      <c r="AG29" s="102">
        <v>0</v>
      </c>
      <c r="AH29" s="102">
        <v>0</v>
      </c>
      <c r="AI29" s="102">
        <v>0</v>
      </c>
      <c r="AJ29" s="102">
        <v>0</v>
      </c>
      <c r="AK29" s="102">
        <v>0</v>
      </c>
      <c r="AL29" s="102">
        <v>0</v>
      </c>
      <c r="AM29" s="102">
        <v>0</v>
      </c>
      <c r="AN29" s="102">
        <v>0</v>
      </c>
      <c r="AO29" s="102">
        <v>0</v>
      </c>
      <c r="AP29" s="102">
        <v>0</v>
      </c>
      <c r="AQ29" s="102">
        <v>0</v>
      </c>
      <c r="AR29" s="102">
        <v>0</v>
      </c>
      <c r="AS29" s="102">
        <v>0</v>
      </c>
      <c r="AT29" s="102">
        <v>0</v>
      </c>
      <c r="AU29" s="102">
        <v>0</v>
      </c>
      <c r="AV29" s="102">
        <v>0</v>
      </c>
      <c r="AW29" s="102">
        <v>0</v>
      </c>
      <c r="AX29" s="102">
        <v>0</v>
      </c>
      <c r="AY29" s="102">
        <v>0</v>
      </c>
      <c r="AZ29" s="102">
        <v>0</v>
      </c>
      <c r="BA29" s="102">
        <v>0</v>
      </c>
      <c r="BB29" s="102">
        <v>0</v>
      </c>
      <c r="BC29" s="102">
        <v>0</v>
      </c>
      <c r="BD29" s="102">
        <v>0</v>
      </c>
      <c r="BE29" s="102">
        <v>0</v>
      </c>
      <c r="BF29" s="102">
        <v>0</v>
      </c>
      <c r="BG29" s="102">
        <v>0</v>
      </c>
      <c r="BH29" s="102">
        <v>0</v>
      </c>
      <c r="BI29" s="102">
        <v>0</v>
      </c>
      <c r="BJ29" s="102">
        <v>163.70699999999999</v>
      </c>
      <c r="BK29" s="102">
        <v>0</v>
      </c>
      <c r="BL29" s="104"/>
      <c r="BM29" s="104"/>
    </row>
    <row r="30" spans="2:65" s="247" customFormat="1" collapsed="1">
      <c r="B30" s="243" t="s">
        <v>293</v>
      </c>
      <c r="C30" s="244" t="s">
        <v>411</v>
      </c>
      <c r="D30" s="245">
        <v>0</v>
      </c>
      <c r="E30" s="245">
        <v>0</v>
      </c>
      <c r="F30" s="245">
        <v>0</v>
      </c>
      <c r="G30" s="245">
        <v>0</v>
      </c>
      <c r="H30" s="245">
        <v>0</v>
      </c>
      <c r="I30" s="245">
        <v>0</v>
      </c>
      <c r="J30" s="245">
        <v>0</v>
      </c>
      <c r="K30" s="245">
        <v>0</v>
      </c>
      <c r="L30" s="245">
        <v>0</v>
      </c>
      <c r="M30" s="245">
        <v>0</v>
      </c>
      <c r="N30" s="245">
        <v>0</v>
      </c>
      <c r="O30" s="245">
        <v>0</v>
      </c>
      <c r="P30" s="245">
        <v>0</v>
      </c>
      <c r="Q30" s="245">
        <v>0</v>
      </c>
      <c r="R30" s="245">
        <v>0</v>
      </c>
      <c r="S30" s="245">
        <v>-156075.51500000001</v>
      </c>
      <c r="T30" s="245">
        <v>-33101.53</v>
      </c>
      <c r="U30" s="245">
        <v>-2.1999999999999999E-2</v>
      </c>
      <c r="V30" s="245">
        <v>106.89100000000001</v>
      </c>
      <c r="W30" s="245">
        <v>8540.8989999999994</v>
      </c>
      <c r="X30" s="245">
        <v>1425.8810000000001</v>
      </c>
      <c r="Y30" s="245">
        <v>2562.4549999999999</v>
      </c>
      <c r="Z30" s="245">
        <v>21143.481</v>
      </c>
      <c r="AA30" s="245">
        <v>14.047000000000001</v>
      </c>
      <c r="AB30" s="245">
        <v>0</v>
      </c>
      <c r="AC30" s="245">
        <v>23660.481</v>
      </c>
      <c r="AD30" s="245">
        <v>2996.8270000000002</v>
      </c>
      <c r="AE30" s="245">
        <v>52766.057000000001</v>
      </c>
      <c r="AF30" s="245">
        <v>294.31700000000001</v>
      </c>
      <c r="AG30" s="245">
        <v>20.204999999999998</v>
      </c>
      <c r="AH30" s="245">
        <v>9078.1820000000007</v>
      </c>
      <c r="AI30" s="245">
        <v>40147.639000000003</v>
      </c>
      <c r="AJ30" s="245">
        <v>544.48599999999999</v>
      </c>
      <c r="AK30" s="245">
        <v>3169.39</v>
      </c>
      <c r="AL30" s="245">
        <v>4987.9889999999996</v>
      </c>
      <c r="AM30" s="245">
        <v>20.021999999999998</v>
      </c>
      <c r="AN30" s="245">
        <v>603.70699999999999</v>
      </c>
      <c r="AO30" s="245">
        <v>3616.5369999999998</v>
      </c>
      <c r="AP30" s="245">
        <v>0</v>
      </c>
      <c r="AQ30" s="245">
        <v>0</v>
      </c>
      <c r="AR30" s="245">
        <v>0</v>
      </c>
      <c r="AS30" s="245">
        <v>0</v>
      </c>
      <c r="AT30" s="245">
        <v>0</v>
      </c>
      <c r="AU30" s="245">
        <v>0</v>
      </c>
      <c r="AV30" s="245">
        <v>0</v>
      </c>
      <c r="AW30" s="245">
        <v>0</v>
      </c>
      <c r="AX30" s="245">
        <v>0</v>
      </c>
      <c r="AY30" s="245">
        <v>0</v>
      </c>
      <c r="AZ30" s="245">
        <v>0</v>
      </c>
      <c r="BA30" s="245">
        <v>0</v>
      </c>
      <c r="BB30" s="245">
        <v>0</v>
      </c>
      <c r="BC30" s="245">
        <v>0</v>
      </c>
      <c r="BD30" s="245">
        <v>0</v>
      </c>
      <c r="BE30" s="245">
        <v>0</v>
      </c>
      <c r="BF30" s="245">
        <v>0</v>
      </c>
      <c r="BG30" s="245">
        <v>0</v>
      </c>
      <c r="BH30" s="245">
        <v>0</v>
      </c>
      <c r="BI30" s="245">
        <v>0</v>
      </c>
      <c r="BJ30" s="245">
        <v>-13477.574000000026</v>
      </c>
      <c r="BK30" s="245">
        <v>0</v>
      </c>
      <c r="BL30" s="246"/>
      <c r="BM30" s="246"/>
    </row>
    <row r="31" spans="2:65">
      <c r="B31" s="114" t="s">
        <v>294</v>
      </c>
      <c r="C31" s="115" t="s">
        <v>295</v>
      </c>
      <c r="D31" s="102">
        <v>0</v>
      </c>
      <c r="E31" s="102">
        <v>0</v>
      </c>
      <c r="F31" s="102">
        <v>0</v>
      </c>
      <c r="G31" s="102">
        <v>0</v>
      </c>
      <c r="H31" s="102">
        <v>0</v>
      </c>
      <c r="I31" s="102">
        <v>0</v>
      </c>
      <c r="J31" s="102">
        <v>0</v>
      </c>
      <c r="K31" s="102">
        <v>0</v>
      </c>
      <c r="L31" s="102">
        <v>0</v>
      </c>
      <c r="M31" s="102">
        <v>0</v>
      </c>
      <c r="N31" s="102">
        <v>0</v>
      </c>
      <c r="O31" s="102">
        <v>0</v>
      </c>
      <c r="P31" s="102">
        <v>0</v>
      </c>
      <c r="Q31" s="102">
        <v>0</v>
      </c>
      <c r="R31" s="102">
        <v>0</v>
      </c>
      <c r="S31" s="102">
        <v>0</v>
      </c>
      <c r="T31" s="102">
        <v>15440.218999999999</v>
      </c>
      <c r="U31" s="102">
        <v>0</v>
      </c>
      <c r="V31" s="102">
        <v>-96.111999999999995</v>
      </c>
      <c r="W31" s="102">
        <v>0</v>
      </c>
      <c r="X31" s="102">
        <v>-761.39499999999998</v>
      </c>
      <c r="Y31" s="102">
        <v>-148.96899999999999</v>
      </c>
      <c r="Z31" s="102">
        <v>0</v>
      </c>
      <c r="AA31" s="102">
        <v>0</v>
      </c>
      <c r="AB31" s="102">
        <v>0</v>
      </c>
      <c r="AC31" s="102">
        <v>0</v>
      </c>
      <c r="AD31" s="102">
        <v>0</v>
      </c>
      <c r="AE31" s="102">
        <v>0</v>
      </c>
      <c r="AF31" s="102">
        <v>0</v>
      </c>
      <c r="AG31" s="102">
        <v>0</v>
      </c>
      <c r="AH31" s="102">
        <v>0</v>
      </c>
      <c r="AI31" s="102">
        <v>-8969.2430000000004</v>
      </c>
      <c r="AJ31" s="102">
        <v>0</v>
      </c>
      <c r="AK31" s="102">
        <v>0</v>
      </c>
      <c r="AL31" s="102">
        <v>0</v>
      </c>
      <c r="AM31" s="102">
        <v>0</v>
      </c>
      <c r="AN31" s="102">
        <v>0</v>
      </c>
      <c r="AO31" s="102">
        <v>0</v>
      </c>
      <c r="AP31" s="102">
        <v>0</v>
      </c>
      <c r="AQ31" s="102">
        <v>0</v>
      </c>
      <c r="AR31" s="102">
        <v>0</v>
      </c>
      <c r="AS31" s="102">
        <v>0</v>
      </c>
      <c r="AT31" s="102">
        <v>0</v>
      </c>
      <c r="AU31" s="102">
        <v>0</v>
      </c>
      <c r="AV31" s="102">
        <v>0</v>
      </c>
      <c r="AW31" s="102">
        <v>0</v>
      </c>
      <c r="AX31" s="102">
        <v>0</v>
      </c>
      <c r="AY31" s="102">
        <v>0</v>
      </c>
      <c r="AZ31" s="102">
        <v>0</v>
      </c>
      <c r="BA31" s="102">
        <v>0</v>
      </c>
      <c r="BB31" s="102">
        <v>0</v>
      </c>
      <c r="BC31" s="102">
        <v>0</v>
      </c>
      <c r="BD31" s="102">
        <v>0</v>
      </c>
      <c r="BE31" s="102">
        <v>0</v>
      </c>
      <c r="BF31" s="102">
        <v>0</v>
      </c>
      <c r="BG31" s="102">
        <v>0</v>
      </c>
      <c r="BH31" s="102">
        <v>0</v>
      </c>
      <c r="BI31" s="102">
        <v>0</v>
      </c>
      <c r="BJ31" s="102">
        <v>5464.5</v>
      </c>
      <c r="BK31" s="102">
        <v>0</v>
      </c>
      <c r="BL31" s="104"/>
      <c r="BM31" s="104"/>
    </row>
    <row r="32" spans="2:65" s="209" customFormat="1">
      <c r="B32" s="205" t="s">
        <v>129</v>
      </c>
      <c r="C32" s="206" t="s">
        <v>296</v>
      </c>
      <c r="D32" s="207">
        <v>0</v>
      </c>
      <c r="E32" s="207">
        <v>0</v>
      </c>
      <c r="F32" s="207">
        <v>0</v>
      </c>
      <c r="G32" s="207">
        <v>0</v>
      </c>
      <c r="H32" s="207">
        <v>0</v>
      </c>
      <c r="I32" s="207">
        <v>0</v>
      </c>
      <c r="J32" s="207">
        <v>0</v>
      </c>
      <c r="K32" s="207">
        <v>0</v>
      </c>
      <c r="L32" s="207">
        <v>0</v>
      </c>
      <c r="M32" s="207">
        <v>0</v>
      </c>
      <c r="N32" s="207">
        <v>0</v>
      </c>
      <c r="O32" s="207">
        <v>0</v>
      </c>
      <c r="P32" s="207">
        <v>0</v>
      </c>
      <c r="Q32" s="207">
        <v>-24334.217000000001</v>
      </c>
      <c r="R32" s="207">
        <v>24357.826000000001</v>
      </c>
      <c r="S32" s="207">
        <v>0</v>
      </c>
      <c r="T32" s="207">
        <v>0</v>
      </c>
      <c r="U32" s="207">
        <v>0</v>
      </c>
      <c r="V32" s="207">
        <v>0</v>
      </c>
      <c r="W32" s="207">
        <v>0</v>
      </c>
      <c r="X32" s="207">
        <v>-35.002000000000002</v>
      </c>
      <c r="Y32" s="207">
        <v>0</v>
      </c>
      <c r="Z32" s="207">
        <v>0</v>
      </c>
      <c r="AA32" s="207">
        <v>0</v>
      </c>
      <c r="AB32" s="207">
        <v>0</v>
      </c>
      <c r="AC32" s="207">
        <v>0</v>
      </c>
      <c r="AD32" s="207">
        <v>0</v>
      </c>
      <c r="AE32" s="207">
        <v>0</v>
      </c>
      <c r="AF32" s="207">
        <v>0</v>
      </c>
      <c r="AG32" s="207">
        <v>0</v>
      </c>
      <c r="AH32" s="207">
        <v>0</v>
      </c>
      <c r="AI32" s="207">
        <v>0</v>
      </c>
      <c r="AJ32" s="207">
        <v>0</v>
      </c>
      <c r="AK32" s="207">
        <v>0</v>
      </c>
      <c r="AL32" s="207">
        <v>0</v>
      </c>
      <c r="AM32" s="207">
        <v>0</v>
      </c>
      <c r="AN32" s="207">
        <v>0</v>
      </c>
      <c r="AO32" s="207">
        <v>0</v>
      </c>
      <c r="AP32" s="207">
        <v>0</v>
      </c>
      <c r="AQ32" s="207">
        <v>0</v>
      </c>
      <c r="AR32" s="207">
        <v>0</v>
      </c>
      <c r="AS32" s="207">
        <v>0</v>
      </c>
      <c r="AT32" s="207">
        <v>0</v>
      </c>
      <c r="AU32" s="207">
        <v>0</v>
      </c>
      <c r="AV32" s="207">
        <v>0</v>
      </c>
      <c r="AW32" s="207">
        <v>0</v>
      </c>
      <c r="AX32" s="207">
        <v>0</v>
      </c>
      <c r="AY32" s="207">
        <v>0</v>
      </c>
      <c r="AZ32" s="207">
        <v>0</v>
      </c>
      <c r="BA32" s="207">
        <v>0</v>
      </c>
      <c r="BB32" s="207">
        <v>0</v>
      </c>
      <c r="BC32" s="207">
        <v>0</v>
      </c>
      <c r="BD32" s="207">
        <v>0</v>
      </c>
      <c r="BE32" s="207">
        <v>0</v>
      </c>
      <c r="BF32" s="207">
        <v>0</v>
      </c>
      <c r="BG32" s="207">
        <v>0</v>
      </c>
      <c r="BH32" s="207">
        <v>0</v>
      </c>
      <c r="BI32" s="207">
        <v>0</v>
      </c>
      <c r="BJ32" s="207">
        <v>-11.392999999999624</v>
      </c>
      <c r="BK32" s="207">
        <v>0</v>
      </c>
      <c r="BL32" s="208"/>
      <c r="BM32" s="208"/>
    </row>
    <row r="33" spans="2:65">
      <c r="B33" s="114" t="s">
        <v>297</v>
      </c>
      <c r="C33" s="115" t="s">
        <v>298</v>
      </c>
      <c r="D33" s="102">
        <v>0</v>
      </c>
      <c r="E33" s="102">
        <v>0</v>
      </c>
      <c r="F33" s="102">
        <v>0</v>
      </c>
      <c r="G33" s="102">
        <v>-186.87700000000001</v>
      </c>
      <c r="H33" s="102">
        <v>0</v>
      </c>
      <c r="I33" s="102">
        <v>0</v>
      </c>
      <c r="J33" s="102">
        <v>0</v>
      </c>
      <c r="K33" s="102">
        <v>0</v>
      </c>
      <c r="L33" s="102">
        <v>0</v>
      </c>
      <c r="M33" s="102">
        <v>0</v>
      </c>
      <c r="N33" s="102">
        <v>0</v>
      </c>
      <c r="O33" s="102">
        <v>0</v>
      </c>
      <c r="P33" s="102">
        <v>389.78699999999998</v>
      </c>
      <c r="Q33" s="102">
        <v>0</v>
      </c>
      <c r="R33" s="102">
        <v>0</v>
      </c>
      <c r="S33" s="102">
        <v>0</v>
      </c>
      <c r="T33" s="102">
        <v>0</v>
      </c>
      <c r="U33" s="102">
        <v>0</v>
      </c>
      <c r="V33" s="102">
        <v>0</v>
      </c>
      <c r="W33" s="102">
        <v>0</v>
      </c>
      <c r="X33" s="102">
        <v>0</v>
      </c>
      <c r="Y33" s="102">
        <v>0</v>
      </c>
      <c r="Z33" s="102">
        <v>0</v>
      </c>
      <c r="AA33" s="102">
        <v>0</v>
      </c>
      <c r="AB33" s="102">
        <v>0</v>
      </c>
      <c r="AC33" s="102">
        <v>0</v>
      </c>
      <c r="AD33" s="102">
        <v>0</v>
      </c>
      <c r="AE33" s="102">
        <v>0</v>
      </c>
      <c r="AF33" s="102">
        <v>0</v>
      </c>
      <c r="AG33" s="102">
        <v>0</v>
      </c>
      <c r="AH33" s="102">
        <v>0</v>
      </c>
      <c r="AI33" s="102">
        <v>0</v>
      </c>
      <c r="AJ33" s="102">
        <v>0</v>
      </c>
      <c r="AK33" s="102">
        <v>0</v>
      </c>
      <c r="AL33" s="102">
        <v>0</v>
      </c>
      <c r="AM33" s="102">
        <v>0</v>
      </c>
      <c r="AN33" s="102">
        <v>0</v>
      </c>
      <c r="AO33" s="102">
        <v>0</v>
      </c>
      <c r="AP33" s="102">
        <v>0</v>
      </c>
      <c r="AQ33" s="102">
        <v>0</v>
      </c>
      <c r="AR33" s="102">
        <v>0</v>
      </c>
      <c r="AS33" s="102">
        <v>0</v>
      </c>
      <c r="AT33" s="102">
        <v>0</v>
      </c>
      <c r="AU33" s="102">
        <v>0</v>
      </c>
      <c r="AV33" s="102">
        <v>0</v>
      </c>
      <c r="AW33" s="102">
        <v>0</v>
      </c>
      <c r="AX33" s="102">
        <v>0</v>
      </c>
      <c r="AY33" s="102">
        <v>0</v>
      </c>
      <c r="AZ33" s="102">
        <v>0</v>
      </c>
      <c r="BA33" s="102">
        <v>0</v>
      </c>
      <c r="BB33" s="102">
        <v>0</v>
      </c>
      <c r="BC33" s="102">
        <v>0</v>
      </c>
      <c r="BD33" s="102">
        <v>0</v>
      </c>
      <c r="BE33" s="102">
        <v>0</v>
      </c>
      <c r="BF33" s="102">
        <v>0</v>
      </c>
      <c r="BG33" s="102">
        <v>0</v>
      </c>
      <c r="BH33" s="102">
        <v>0</v>
      </c>
      <c r="BI33" s="102">
        <v>0</v>
      </c>
      <c r="BJ33" s="102">
        <v>202.90999999999997</v>
      </c>
      <c r="BK33" s="102">
        <v>609.44799999999998</v>
      </c>
      <c r="BL33" s="104"/>
      <c r="BM33" s="104"/>
    </row>
    <row r="34" spans="2:65">
      <c r="B34" s="114" t="s">
        <v>299</v>
      </c>
      <c r="C34" s="115" t="s">
        <v>300</v>
      </c>
      <c r="D34" s="102">
        <v>0</v>
      </c>
      <c r="E34" s="102">
        <v>0</v>
      </c>
      <c r="F34" s="102">
        <v>0</v>
      </c>
      <c r="G34" s="102">
        <v>0</v>
      </c>
      <c r="H34" s="102">
        <v>0</v>
      </c>
      <c r="I34" s="102">
        <v>0</v>
      </c>
      <c r="J34" s="102">
        <v>0</v>
      </c>
      <c r="K34" s="102">
        <v>0</v>
      </c>
      <c r="L34" s="102">
        <v>0</v>
      </c>
      <c r="M34" s="102">
        <v>0</v>
      </c>
      <c r="N34" s="102">
        <v>0</v>
      </c>
      <c r="O34" s="102">
        <v>0</v>
      </c>
      <c r="P34" s="102">
        <v>0</v>
      </c>
      <c r="Q34" s="102">
        <v>0</v>
      </c>
      <c r="R34" s="102">
        <v>-197.30199999999999</v>
      </c>
      <c r="S34" s="102">
        <v>0</v>
      </c>
      <c r="T34" s="102">
        <v>0</v>
      </c>
      <c r="U34" s="102">
        <v>0</v>
      </c>
      <c r="V34" s="102">
        <v>0</v>
      </c>
      <c r="W34" s="102">
        <v>0</v>
      </c>
      <c r="X34" s="102">
        <v>0</v>
      </c>
      <c r="Y34" s="102">
        <v>0</v>
      </c>
      <c r="Z34" s="102">
        <v>0</v>
      </c>
      <c r="AA34" s="102">
        <v>0</v>
      </c>
      <c r="AB34" s="102">
        <v>0</v>
      </c>
      <c r="AC34" s="102">
        <v>0</v>
      </c>
      <c r="AD34" s="102">
        <v>0</v>
      </c>
      <c r="AE34" s="102">
        <v>0</v>
      </c>
      <c r="AF34" s="102">
        <v>0</v>
      </c>
      <c r="AG34" s="102">
        <v>0</v>
      </c>
      <c r="AH34" s="102">
        <v>0</v>
      </c>
      <c r="AI34" s="102">
        <v>0</v>
      </c>
      <c r="AJ34" s="102">
        <v>0</v>
      </c>
      <c r="AK34" s="102">
        <v>0</v>
      </c>
      <c r="AL34" s="102">
        <v>0</v>
      </c>
      <c r="AM34" s="102">
        <v>0</v>
      </c>
      <c r="AN34" s="102">
        <v>0</v>
      </c>
      <c r="AO34" s="102">
        <v>0</v>
      </c>
      <c r="AP34" s="102">
        <v>0</v>
      </c>
      <c r="AQ34" s="102">
        <v>0</v>
      </c>
      <c r="AR34" s="102">
        <v>0</v>
      </c>
      <c r="AS34" s="102">
        <v>0</v>
      </c>
      <c r="AT34" s="102">
        <v>0</v>
      </c>
      <c r="AU34" s="102">
        <v>0</v>
      </c>
      <c r="AV34" s="102">
        <v>0</v>
      </c>
      <c r="AW34" s="102">
        <v>0</v>
      </c>
      <c r="AX34" s="102">
        <v>0</v>
      </c>
      <c r="AY34" s="102">
        <v>0</v>
      </c>
      <c r="AZ34" s="102">
        <v>0</v>
      </c>
      <c r="BA34" s="102">
        <v>0</v>
      </c>
      <c r="BB34" s="102">
        <v>0</v>
      </c>
      <c r="BC34" s="102">
        <v>0</v>
      </c>
      <c r="BD34" s="102">
        <v>0</v>
      </c>
      <c r="BE34" s="102">
        <v>0</v>
      </c>
      <c r="BF34" s="102">
        <v>0</v>
      </c>
      <c r="BG34" s="102">
        <v>487.18400000000003</v>
      </c>
      <c r="BH34" s="102">
        <v>0</v>
      </c>
      <c r="BI34" s="102">
        <v>0</v>
      </c>
      <c r="BJ34" s="102">
        <v>289.88200000000006</v>
      </c>
      <c r="BK34" s="102">
        <v>487.18400000000003</v>
      </c>
      <c r="BL34" s="104"/>
      <c r="BM34" s="104"/>
    </row>
    <row r="35" spans="2:65">
      <c r="B35" s="118" t="s">
        <v>301</v>
      </c>
      <c r="C35" s="119" t="s">
        <v>302</v>
      </c>
      <c r="D35" s="120">
        <v>0</v>
      </c>
      <c r="E35" s="120">
        <v>0</v>
      </c>
      <c r="F35" s="120">
        <v>0</v>
      </c>
      <c r="G35" s="120">
        <v>0</v>
      </c>
      <c r="H35" s="120">
        <v>0</v>
      </c>
      <c r="I35" s="120">
        <v>0</v>
      </c>
      <c r="J35" s="120">
        <v>0</v>
      </c>
      <c r="K35" s="120">
        <v>0</v>
      </c>
      <c r="L35" s="120">
        <v>0</v>
      </c>
      <c r="M35" s="120">
        <v>0</v>
      </c>
      <c r="N35" s="120">
        <v>-956.91600000000005</v>
      </c>
      <c r="O35" s="120">
        <v>-2279.71</v>
      </c>
      <c r="P35" s="120">
        <v>0</v>
      </c>
      <c r="Q35" s="120">
        <v>-1564.4390000000001</v>
      </c>
      <c r="R35" s="120">
        <v>-851.36300000000006</v>
      </c>
      <c r="S35" s="120">
        <v>0</v>
      </c>
      <c r="T35" s="120">
        <v>0</v>
      </c>
      <c r="U35" s="120">
        <v>0</v>
      </c>
      <c r="V35" s="120">
        <v>0</v>
      </c>
      <c r="W35" s="120">
        <v>-7264.808</v>
      </c>
      <c r="X35" s="120">
        <v>-281.74700000000001</v>
      </c>
      <c r="Y35" s="120">
        <v>-19.548999999999999</v>
      </c>
      <c r="Z35" s="120">
        <v>-0.52200000000000002</v>
      </c>
      <c r="AA35" s="120">
        <v>0</v>
      </c>
      <c r="AB35" s="120">
        <v>0</v>
      </c>
      <c r="AC35" s="120">
        <v>0</v>
      </c>
      <c r="AD35" s="120">
        <v>-3.89</v>
      </c>
      <c r="AE35" s="120">
        <v>-33.676000000000002</v>
      </c>
      <c r="AF35" s="120">
        <v>-0.73599999999999999</v>
      </c>
      <c r="AG35" s="120">
        <v>-0.30599999999999999</v>
      </c>
      <c r="AH35" s="120">
        <v>-247.80799999999999</v>
      </c>
      <c r="AI35" s="120">
        <v>0</v>
      </c>
      <c r="AJ35" s="120">
        <v>0</v>
      </c>
      <c r="AK35" s="120">
        <v>0</v>
      </c>
      <c r="AL35" s="120">
        <v>0</v>
      </c>
      <c r="AM35" s="120">
        <v>0</v>
      </c>
      <c r="AN35" s="120">
        <v>0</v>
      </c>
      <c r="AO35" s="120">
        <v>0</v>
      </c>
      <c r="AP35" s="120">
        <v>0</v>
      </c>
      <c r="AQ35" s="120">
        <v>0</v>
      </c>
      <c r="AR35" s="120">
        <v>-14.236000000000001</v>
      </c>
      <c r="AS35" s="120">
        <v>0</v>
      </c>
      <c r="AT35" s="120">
        <v>0</v>
      </c>
      <c r="AU35" s="120">
        <v>0</v>
      </c>
      <c r="AV35" s="120">
        <v>0</v>
      </c>
      <c r="AW35" s="120">
        <v>0</v>
      </c>
      <c r="AX35" s="120">
        <v>0</v>
      </c>
      <c r="AY35" s="120">
        <v>0</v>
      </c>
      <c r="AZ35" s="120">
        <v>0</v>
      </c>
      <c r="BA35" s="120">
        <v>0</v>
      </c>
      <c r="BB35" s="120">
        <v>0</v>
      </c>
      <c r="BC35" s="120">
        <v>0</v>
      </c>
      <c r="BD35" s="120">
        <v>0</v>
      </c>
      <c r="BE35" s="120">
        <v>0</v>
      </c>
      <c r="BF35" s="120">
        <v>0</v>
      </c>
      <c r="BG35" s="120">
        <v>0</v>
      </c>
      <c r="BH35" s="120">
        <v>-3247.1120000000001</v>
      </c>
      <c r="BI35" s="120">
        <v>-183.09200000000001</v>
      </c>
      <c r="BJ35" s="120">
        <v>-16949.910000000003</v>
      </c>
      <c r="BK35" s="120">
        <v>-9558.7540000000008</v>
      </c>
      <c r="BL35" s="104"/>
      <c r="BM35" s="104"/>
    </row>
    <row r="36" spans="2:65" s="226" customFormat="1">
      <c r="B36" s="222" t="s">
        <v>303</v>
      </c>
      <c r="C36" s="223" t="s">
        <v>304</v>
      </c>
      <c r="D36" s="224">
        <v>0</v>
      </c>
      <c r="E36" s="224">
        <v>0</v>
      </c>
      <c r="F36" s="224">
        <v>0</v>
      </c>
      <c r="G36" s="224">
        <v>0</v>
      </c>
      <c r="H36" s="224">
        <v>0</v>
      </c>
      <c r="I36" s="224">
        <v>0</v>
      </c>
      <c r="J36" s="224">
        <v>0</v>
      </c>
      <c r="K36" s="224">
        <v>0</v>
      </c>
      <c r="L36" s="224">
        <v>0</v>
      </c>
      <c r="M36" s="224">
        <v>0</v>
      </c>
      <c r="N36" s="224">
        <v>0</v>
      </c>
      <c r="O36" s="224">
        <v>0</v>
      </c>
      <c r="P36" s="224">
        <v>0</v>
      </c>
      <c r="Q36" s="224">
        <v>0</v>
      </c>
      <c r="R36" s="224">
        <v>0</v>
      </c>
      <c r="S36" s="224">
        <v>0</v>
      </c>
      <c r="T36" s="224">
        <v>0</v>
      </c>
      <c r="U36" s="224">
        <v>0</v>
      </c>
      <c r="V36" s="224">
        <v>0</v>
      </c>
      <c r="W36" s="224">
        <v>0</v>
      </c>
      <c r="X36" s="224">
        <v>0</v>
      </c>
      <c r="Y36" s="224">
        <v>0</v>
      </c>
      <c r="Z36" s="224">
        <v>-0.02</v>
      </c>
      <c r="AA36" s="224">
        <v>0</v>
      </c>
      <c r="AB36" s="224">
        <v>0</v>
      </c>
      <c r="AC36" s="224">
        <v>0</v>
      </c>
      <c r="AD36" s="224">
        <v>-0.13300000000000001</v>
      </c>
      <c r="AE36" s="224">
        <v>-9.0120000000000005</v>
      </c>
      <c r="AF36" s="224">
        <v>0</v>
      </c>
      <c r="AG36" s="224">
        <v>0</v>
      </c>
      <c r="AH36" s="224">
        <v>-0.378</v>
      </c>
      <c r="AI36" s="224">
        <v>0</v>
      </c>
      <c r="AJ36" s="224">
        <v>0</v>
      </c>
      <c r="AK36" s="224">
        <v>0</v>
      </c>
      <c r="AL36" s="224">
        <v>0</v>
      </c>
      <c r="AM36" s="224">
        <v>0</v>
      </c>
      <c r="AN36" s="224">
        <v>0</v>
      </c>
      <c r="AO36" s="224">
        <v>0</v>
      </c>
      <c r="AP36" s="224">
        <v>0</v>
      </c>
      <c r="AQ36" s="224">
        <v>0</v>
      </c>
      <c r="AR36" s="224">
        <v>0</v>
      </c>
      <c r="AS36" s="224">
        <v>0</v>
      </c>
      <c r="AT36" s="224">
        <v>0</v>
      </c>
      <c r="AU36" s="224">
        <v>0</v>
      </c>
      <c r="AV36" s="224">
        <v>0</v>
      </c>
      <c r="AW36" s="224">
        <v>0</v>
      </c>
      <c r="AX36" s="224">
        <v>0</v>
      </c>
      <c r="AY36" s="224">
        <v>0</v>
      </c>
      <c r="AZ36" s="224">
        <v>0</v>
      </c>
      <c r="BA36" s="224">
        <v>0</v>
      </c>
      <c r="BB36" s="224">
        <v>0</v>
      </c>
      <c r="BC36" s="224">
        <v>0</v>
      </c>
      <c r="BD36" s="224">
        <v>0</v>
      </c>
      <c r="BE36" s="224">
        <v>0</v>
      </c>
      <c r="BF36" s="224">
        <v>0</v>
      </c>
      <c r="BG36" s="224">
        <v>0</v>
      </c>
      <c r="BH36" s="224">
        <v>0</v>
      </c>
      <c r="BI36" s="224">
        <v>0</v>
      </c>
      <c r="BJ36" s="224">
        <v>-9.543000000000001</v>
      </c>
      <c r="BK36" s="224">
        <v>0</v>
      </c>
      <c r="BL36" s="225"/>
      <c r="BM36" s="225"/>
    </row>
    <row r="37" spans="2:65" s="238" customFormat="1">
      <c r="B37" s="234" t="s">
        <v>598</v>
      </c>
      <c r="C37" s="235" t="s">
        <v>305</v>
      </c>
      <c r="D37" s="236">
        <v>0</v>
      </c>
      <c r="E37" s="236">
        <v>0</v>
      </c>
      <c r="F37" s="236">
        <v>0</v>
      </c>
      <c r="G37" s="236">
        <v>0</v>
      </c>
      <c r="H37" s="236">
        <v>0</v>
      </c>
      <c r="I37" s="236">
        <v>0</v>
      </c>
      <c r="J37" s="236">
        <v>0</v>
      </c>
      <c r="K37" s="236">
        <v>0</v>
      </c>
      <c r="L37" s="236">
        <v>0</v>
      </c>
      <c r="M37" s="236">
        <v>0</v>
      </c>
      <c r="N37" s="236">
        <v>0</v>
      </c>
      <c r="O37" s="236">
        <v>0</v>
      </c>
      <c r="P37" s="236">
        <v>0</v>
      </c>
      <c r="Q37" s="236">
        <v>0</v>
      </c>
      <c r="R37" s="236">
        <v>0</v>
      </c>
      <c r="S37" s="236">
        <v>0</v>
      </c>
      <c r="T37" s="236">
        <v>0</v>
      </c>
      <c r="U37" s="236">
        <v>0</v>
      </c>
      <c r="V37" s="236">
        <v>0</v>
      </c>
      <c r="W37" s="236">
        <v>0</v>
      </c>
      <c r="X37" s="236">
        <v>-3.633</v>
      </c>
      <c r="Y37" s="236">
        <v>-8.0000000000000002E-3</v>
      </c>
      <c r="Z37" s="236">
        <v>0</v>
      </c>
      <c r="AA37" s="236">
        <v>0</v>
      </c>
      <c r="AB37" s="236">
        <v>0</v>
      </c>
      <c r="AC37" s="236">
        <v>0</v>
      </c>
      <c r="AD37" s="236">
        <v>0</v>
      </c>
      <c r="AE37" s="236">
        <v>-7.0000000000000001E-3</v>
      </c>
      <c r="AF37" s="236">
        <v>0</v>
      </c>
      <c r="AG37" s="236">
        <v>0</v>
      </c>
      <c r="AH37" s="236">
        <v>0</v>
      </c>
      <c r="AI37" s="236">
        <v>0</v>
      </c>
      <c r="AJ37" s="236">
        <v>0</v>
      </c>
      <c r="AK37" s="236">
        <v>0</v>
      </c>
      <c r="AL37" s="236">
        <v>0</v>
      </c>
      <c r="AM37" s="236">
        <v>0</v>
      </c>
      <c r="AN37" s="236">
        <v>0</v>
      </c>
      <c r="AO37" s="236">
        <v>0</v>
      </c>
      <c r="AP37" s="236">
        <v>0</v>
      </c>
      <c r="AQ37" s="236">
        <v>0</v>
      </c>
      <c r="AR37" s="236">
        <v>0</v>
      </c>
      <c r="AS37" s="236">
        <v>0</v>
      </c>
      <c r="AT37" s="236">
        <v>0</v>
      </c>
      <c r="AU37" s="236">
        <v>0</v>
      </c>
      <c r="AV37" s="236">
        <v>0</v>
      </c>
      <c r="AW37" s="236">
        <v>0</v>
      </c>
      <c r="AX37" s="236">
        <v>0</v>
      </c>
      <c r="AY37" s="236">
        <v>0</v>
      </c>
      <c r="AZ37" s="236">
        <v>0</v>
      </c>
      <c r="BA37" s="236">
        <v>0</v>
      </c>
      <c r="BB37" s="236">
        <v>0</v>
      </c>
      <c r="BC37" s="236">
        <v>0</v>
      </c>
      <c r="BD37" s="236">
        <v>0</v>
      </c>
      <c r="BE37" s="236">
        <v>0</v>
      </c>
      <c r="BF37" s="236">
        <v>0</v>
      </c>
      <c r="BG37" s="236">
        <v>0</v>
      </c>
      <c r="BH37" s="236">
        <v>0</v>
      </c>
      <c r="BI37" s="236">
        <v>0</v>
      </c>
      <c r="BJ37" s="236">
        <v>-3.6480000000000001</v>
      </c>
      <c r="BK37" s="236">
        <v>0</v>
      </c>
      <c r="BL37" s="237"/>
      <c r="BM37" s="237"/>
    </row>
    <row r="38" spans="2:65" collapsed="1">
      <c r="B38" s="114" t="s">
        <v>306</v>
      </c>
      <c r="C38" s="115" t="s">
        <v>307</v>
      </c>
      <c r="D38" s="102">
        <v>0</v>
      </c>
      <c r="E38" s="102">
        <v>0</v>
      </c>
      <c r="F38" s="102">
        <v>0</v>
      </c>
      <c r="G38" s="102">
        <v>0</v>
      </c>
      <c r="H38" s="102">
        <v>0</v>
      </c>
      <c r="I38" s="102">
        <v>0</v>
      </c>
      <c r="J38" s="102">
        <v>0</v>
      </c>
      <c r="K38" s="102">
        <v>0</v>
      </c>
      <c r="L38" s="102">
        <v>0</v>
      </c>
      <c r="M38" s="102">
        <v>0</v>
      </c>
      <c r="N38" s="102">
        <v>0</v>
      </c>
      <c r="O38" s="102">
        <v>0</v>
      </c>
      <c r="P38" s="102">
        <v>0</v>
      </c>
      <c r="Q38" s="102">
        <v>0</v>
      </c>
      <c r="R38" s="102">
        <v>0</v>
      </c>
      <c r="S38" s="102">
        <v>0</v>
      </c>
      <c r="T38" s="102">
        <v>0</v>
      </c>
      <c r="U38" s="102">
        <v>0</v>
      </c>
      <c r="V38" s="102">
        <v>0</v>
      </c>
      <c r="W38" s="102">
        <v>0</v>
      </c>
      <c r="X38" s="102">
        <v>0</v>
      </c>
      <c r="Y38" s="102">
        <v>0</v>
      </c>
      <c r="Z38" s="102">
        <v>0</v>
      </c>
      <c r="AA38" s="102">
        <v>0</v>
      </c>
      <c r="AB38" s="102">
        <v>0</v>
      </c>
      <c r="AC38" s="102">
        <v>0</v>
      </c>
      <c r="AD38" s="102">
        <v>0</v>
      </c>
      <c r="AE38" s="102">
        <v>0</v>
      </c>
      <c r="AF38" s="102">
        <v>0</v>
      </c>
      <c r="AG38" s="102">
        <v>0</v>
      </c>
      <c r="AH38" s="102">
        <v>0</v>
      </c>
      <c r="AI38" s="102">
        <v>0</v>
      </c>
      <c r="AJ38" s="102">
        <v>0</v>
      </c>
      <c r="AK38" s="102">
        <v>0</v>
      </c>
      <c r="AL38" s="102">
        <v>0</v>
      </c>
      <c r="AM38" s="102">
        <v>0</v>
      </c>
      <c r="AN38" s="102">
        <v>0</v>
      </c>
      <c r="AO38" s="102">
        <v>0</v>
      </c>
      <c r="AP38" s="102">
        <v>0</v>
      </c>
      <c r="AQ38" s="102">
        <v>0</v>
      </c>
      <c r="AR38" s="102">
        <v>0</v>
      </c>
      <c r="AS38" s="102">
        <v>0</v>
      </c>
      <c r="AT38" s="102">
        <v>0</v>
      </c>
      <c r="AU38" s="102">
        <v>0</v>
      </c>
      <c r="AV38" s="102">
        <v>0</v>
      </c>
      <c r="AW38" s="102">
        <v>0</v>
      </c>
      <c r="AX38" s="102">
        <v>0</v>
      </c>
      <c r="AY38" s="102">
        <v>0</v>
      </c>
      <c r="AZ38" s="102">
        <v>0</v>
      </c>
      <c r="BA38" s="102">
        <v>0</v>
      </c>
      <c r="BB38" s="102">
        <v>0</v>
      </c>
      <c r="BC38" s="102">
        <v>0</v>
      </c>
      <c r="BD38" s="102">
        <v>0</v>
      </c>
      <c r="BE38" s="102">
        <v>0</v>
      </c>
      <c r="BF38" s="102">
        <v>0</v>
      </c>
      <c r="BG38" s="102">
        <v>0</v>
      </c>
      <c r="BH38" s="102">
        <v>-1855.258</v>
      </c>
      <c r="BI38" s="102">
        <v>0</v>
      </c>
      <c r="BJ38" s="102">
        <v>-1855.258</v>
      </c>
      <c r="BK38" s="102">
        <v>0</v>
      </c>
      <c r="BL38" s="104"/>
      <c r="BM38" s="104"/>
    </row>
    <row r="39" spans="2:65">
      <c r="B39" s="114" t="s">
        <v>308</v>
      </c>
      <c r="C39" s="115" t="s">
        <v>309</v>
      </c>
      <c r="D39" s="102">
        <v>0</v>
      </c>
      <c r="E39" s="102">
        <v>0</v>
      </c>
      <c r="F39" s="102">
        <v>0</v>
      </c>
      <c r="G39" s="102">
        <v>0</v>
      </c>
      <c r="H39" s="102">
        <v>0</v>
      </c>
      <c r="I39" s="102">
        <v>0</v>
      </c>
      <c r="J39" s="102">
        <v>0</v>
      </c>
      <c r="K39" s="102">
        <v>0</v>
      </c>
      <c r="L39" s="102">
        <v>0</v>
      </c>
      <c r="M39" s="102">
        <v>0</v>
      </c>
      <c r="N39" s="102">
        <v>0</v>
      </c>
      <c r="O39" s="102">
        <v>0</v>
      </c>
      <c r="P39" s="102">
        <v>0</v>
      </c>
      <c r="Q39" s="102">
        <v>0</v>
      </c>
      <c r="R39" s="102">
        <v>0</v>
      </c>
      <c r="S39" s="102">
        <v>0</v>
      </c>
      <c r="T39" s="102">
        <v>0</v>
      </c>
      <c r="U39" s="102">
        <v>0</v>
      </c>
      <c r="V39" s="102">
        <v>0</v>
      </c>
      <c r="W39" s="102">
        <v>0</v>
      </c>
      <c r="X39" s="102">
        <v>0</v>
      </c>
      <c r="Y39" s="102">
        <v>0</v>
      </c>
      <c r="Z39" s="102">
        <v>0</v>
      </c>
      <c r="AA39" s="102">
        <v>0</v>
      </c>
      <c r="AB39" s="102">
        <v>0</v>
      </c>
      <c r="AC39" s="102">
        <v>0</v>
      </c>
      <c r="AD39" s="102">
        <v>0</v>
      </c>
      <c r="AE39" s="102">
        <v>0</v>
      </c>
      <c r="AF39" s="102">
        <v>0</v>
      </c>
      <c r="AG39" s="102">
        <v>0</v>
      </c>
      <c r="AH39" s="102">
        <v>0</v>
      </c>
      <c r="AI39" s="102">
        <v>0</v>
      </c>
      <c r="AJ39" s="102">
        <v>0</v>
      </c>
      <c r="AK39" s="102">
        <v>0</v>
      </c>
      <c r="AL39" s="102">
        <v>0</v>
      </c>
      <c r="AM39" s="102">
        <v>0</v>
      </c>
      <c r="AN39" s="102">
        <v>0</v>
      </c>
      <c r="AO39" s="102">
        <v>0</v>
      </c>
      <c r="AP39" s="102">
        <v>0</v>
      </c>
      <c r="AQ39" s="102">
        <v>0</v>
      </c>
      <c r="AR39" s="102">
        <v>0</v>
      </c>
      <c r="AS39" s="102">
        <v>0</v>
      </c>
      <c r="AT39" s="102">
        <v>0</v>
      </c>
      <c r="AU39" s="102">
        <v>0</v>
      </c>
      <c r="AV39" s="102">
        <v>0</v>
      </c>
      <c r="AW39" s="102">
        <v>0</v>
      </c>
      <c r="AX39" s="102">
        <v>0</v>
      </c>
      <c r="AY39" s="102">
        <v>0</v>
      </c>
      <c r="AZ39" s="102">
        <v>0</v>
      </c>
      <c r="BA39" s="102">
        <v>0</v>
      </c>
      <c r="BB39" s="102">
        <v>0</v>
      </c>
      <c r="BC39" s="102">
        <v>0</v>
      </c>
      <c r="BD39" s="102">
        <v>0</v>
      </c>
      <c r="BE39" s="102">
        <v>0</v>
      </c>
      <c r="BF39" s="102">
        <v>0</v>
      </c>
      <c r="BG39" s="102">
        <v>0</v>
      </c>
      <c r="BH39" s="102">
        <v>-97.114000000000004</v>
      </c>
      <c r="BI39" s="102">
        <v>0</v>
      </c>
      <c r="BJ39" s="102">
        <v>-97.114000000000004</v>
      </c>
      <c r="BK39" s="102">
        <v>0</v>
      </c>
      <c r="BL39" s="104"/>
      <c r="BM39" s="104"/>
    </row>
    <row r="40" spans="2:65">
      <c r="B40" s="114" t="s">
        <v>310</v>
      </c>
      <c r="C40" s="115" t="s">
        <v>311</v>
      </c>
      <c r="D40" s="102">
        <v>0</v>
      </c>
      <c r="E40" s="102">
        <v>0</v>
      </c>
      <c r="F40" s="102">
        <v>0</v>
      </c>
      <c r="G40" s="102">
        <v>0</v>
      </c>
      <c r="H40" s="102">
        <v>0</v>
      </c>
      <c r="I40" s="102">
        <v>0</v>
      </c>
      <c r="J40" s="102">
        <v>0</v>
      </c>
      <c r="K40" s="102">
        <v>0</v>
      </c>
      <c r="L40" s="102">
        <v>0</v>
      </c>
      <c r="M40" s="102">
        <v>0</v>
      </c>
      <c r="N40" s="102">
        <v>-355.536</v>
      </c>
      <c r="O40" s="102">
        <v>-1076.5830000000001</v>
      </c>
      <c r="P40" s="102">
        <v>0</v>
      </c>
      <c r="Q40" s="102">
        <v>0</v>
      </c>
      <c r="R40" s="102">
        <v>0</v>
      </c>
      <c r="S40" s="102">
        <v>0</v>
      </c>
      <c r="T40" s="102">
        <v>0</v>
      </c>
      <c r="U40" s="102">
        <v>0</v>
      </c>
      <c r="V40" s="102">
        <v>0</v>
      </c>
      <c r="W40" s="102">
        <v>0</v>
      </c>
      <c r="X40" s="102">
        <v>0</v>
      </c>
      <c r="Y40" s="102">
        <v>0</v>
      </c>
      <c r="Z40" s="102">
        <v>0</v>
      </c>
      <c r="AA40" s="102">
        <v>0</v>
      </c>
      <c r="AB40" s="102">
        <v>0</v>
      </c>
      <c r="AC40" s="102">
        <v>0</v>
      </c>
      <c r="AD40" s="102">
        <v>0</v>
      </c>
      <c r="AE40" s="102">
        <v>0</v>
      </c>
      <c r="AF40" s="102">
        <v>0</v>
      </c>
      <c r="AG40" s="102">
        <v>0</v>
      </c>
      <c r="AH40" s="102">
        <v>0</v>
      </c>
      <c r="AI40" s="102">
        <v>0</v>
      </c>
      <c r="AJ40" s="102">
        <v>0</v>
      </c>
      <c r="AK40" s="102">
        <v>0</v>
      </c>
      <c r="AL40" s="102">
        <v>0</v>
      </c>
      <c r="AM40" s="102">
        <v>0</v>
      </c>
      <c r="AN40" s="102">
        <v>0</v>
      </c>
      <c r="AO40" s="102">
        <v>0</v>
      </c>
      <c r="AP40" s="102">
        <v>0</v>
      </c>
      <c r="AQ40" s="102">
        <v>0</v>
      </c>
      <c r="AR40" s="102">
        <v>0</v>
      </c>
      <c r="AS40" s="102">
        <v>0</v>
      </c>
      <c r="AT40" s="102">
        <v>0</v>
      </c>
      <c r="AU40" s="102">
        <v>0</v>
      </c>
      <c r="AV40" s="102">
        <v>0</v>
      </c>
      <c r="AW40" s="102">
        <v>0</v>
      </c>
      <c r="AX40" s="102">
        <v>0</v>
      </c>
      <c r="AY40" s="102">
        <v>0</v>
      </c>
      <c r="AZ40" s="102">
        <v>0</v>
      </c>
      <c r="BA40" s="102">
        <v>0</v>
      </c>
      <c r="BB40" s="102">
        <v>0</v>
      </c>
      <c r="BC40" s="102">
        <v>0</v>
      </c>
      <c r="BD40" s="102">
        <v>0</v>
      </c>
      <c r="BE40" s="102">
        <v>0</v>
      </c>
      <c r="BF40" s="102">
        <v>0</v>
      </c>
      <c r="BG40" s="102">
        <v>0</v>
      </c>
      <c r="BH40" s="102">
        <v>0</v>
      </c>
      <c r="BI40" s="102">
        <v>0</v>
      </c>
      <c r="BJ40" s="102">
        <v>-1432.1190000000001</v>
      </c>
      <c r="BK40" s="102">
        <v>-1076.5830000000001</v>
      </c>
      <c r="BL40" s="104"/>
      <c r="BM40" s="104"/>
    </row>
    <row r="41" spans="2:65">
      <c r="B41" s="114" t="s">
        <v>312</v>
      </c>
      <c r="C41" s="115" t="s">
        <v>313</v>
      </c>
      <c r="D41" s="102">
        <v>0</v>
      </c>
      <c r="E41" s="102">
        <v>0</v>
      </c>
      <c r="F41" s="102">
        <v>0</v>
      </c>
      <c r="G41" s="102">
        <v>0</v>
      </c>
      <c r="H41" s="102">
        <v>0</v>
      </c>
      <c r="I41" s="102">
        <v>0</v>
      </c>
      <c r="J41" s="102">
        <v>0</v>
      </c>
      <c r="K41" s="102">
        <v>0</v>
      </c>
      <c r="L41" s="102">
        <v>0</v>
      </c>
      <c r="M41" s="102">
        <v>0</v>
      </c>
      <c r="N41" s="102">
        <v>-601.38</v>
      </c>
      <c r="O41" s="102">
        <v>-1203.126</v>
      </c>
      <c r="P41" s="102">
        <v>0</v>
      </c>
      <c r="Q41" s="102">
        <v>0</v>
      </c>
      <c r="R41" s="102">
        <v>0</v>
      </c>
      <c r="S41" s="102">
        <v>0</v>
      </c>
      <c r="T41" s="102">
        <v>0</v>
      </c>
      <c r="U41" s="102">
        <v>0</v>
      </c>
      <c r="V41" s="102">
        <v>0</v>
      </c>
      <c r="W41" s="102">
        <v>0</v>
      </c>
      <c r="X41" s="102">
        <v>0</v>
      </c>
      <c r="Y41" s="102">
        <v>0</v>
      </c>
      <c r="Z41" s="102">
        <v>0</v>
      </c>
      <c r="AA41" s="102">
        <v>0</v>
      </c>
      <c r="AB41" s="102">
        <v>0</v>
      </c>
      <c r="AC41" s="102">
        <v>0</v>
      </c>
      <c r="AD41" s="102">
        <v>0</v>
      </c>
      <c r="AE41" s="102">
        <v>0</v>
      </c>
      <c r="AF41" s="102">
        <v>0</v>
      </c>
      <c r="AG41" s="102">
        <v>0</v>
      </c>
      <c r="AH41" s="102">
        <v>0</v>
      </c>
      <c r="AI41" s="102">
        <v>0</v>
      </c>
      <c r="AJ41" s="102">
        <v>0</v>
      </c>
      <c r="AK41" s="102">
        <v>0</v>
      </c>
      <c r="AL41" s="102">
        <v>0</v>
      </c>
      <c r="AM41" s="102">
        <v>0</v>
      </c>
      <c r="AN41" s="102">
        <v>0</v>
      </c>
      <c r="AO41" s="102">
        <v>0</v>
      </c>
      <c r="AP41" s="102">
        <v>0</v>
      </c>
      <c r="AQ41" s="102">
        <v>0</v>
      </c>
      <c r="AR41" s="102">
        <v>0</v>
      </c>
      <c r="AS41" s="102">
        <v>0</v>
      </c>
      <c r="AT41" s="102">
        <v>0</v>
      </c>
      <c r="AU41" s="102">
        <v>0</v>
      </c>
      <c r="AV41" s="102">
        <v>0</v>
      </c>
      <c r="AW41" s="102">
        <v>0</v>
      </c>
      <c r="AX41" s="102">
        <v>0</v>
      </c>
      <c r="AY41" s="102">
        <v>0</v>
      </c>
      <c r="AZ41" s="102">
        <v>0</v>
      </c>
      <c r="BA41" s="102">
        <v>0</v>
      </c>
      <c r="BB41" s="102">
        <v>0</v>
      </c>
      <c r="BC41" s="102">
        <v>0</v>
      </c>
      <c r="BD41" s="102">
        <v>0</v>
      </c>
      <c r="BE41" s="102">
        <v>0</v>
      </c>
      <c r="BF41" s="102">
        <v>0</v>
      </c>
      <c r="BG41" s="102">
        <v>0</v>
      </c>
      <c r="BH41" s="102">
        <v>0</v>
      </c>
      <c r="BI41" s="102">
        <v>0</v>
      </c>
      <c r="BJ41" s="102">
        <v>-1804.5059999999999</v>
      </c>
      <c r="BK41" s="102">
        <v>-1203.126</v>
      </c>
      <c r="BL41" s="104"/>
      <c r="BM41" s="104"/>
    </row>
    <row r="42" spans="2:65">
      <c r="B42" s="114" t="s">
        <v>314</v>
      </c>
      <c r="C42" s="115" t="s">
        <v>315</v>
      </c>
      <c r="D42" s="102">
        <v>0</v>
      </c>
      <c r="E42" s="102">
        <v>0</v>
      </c>
      <c r="F42" s="102">
        <v>0</v>
      </c>
      <c r="G42" s="102">
        <v>0</v>
      </c>
      <c r="H42" s="102">
        <v>0</v>
      </c>
      <c r="I42" s="102">
        <v>0</v>
      </c>
      <c r="J42" s="102">
        <v>0</v>
      </c>
      <c r="K42" s="102">
        <v>0</v>
      </c>
      <c r="L42" s="102">
        <v>0</v>
      </c>
      <c r="M42" s="102">
        <v>0</v>
      </c>
      <c r="N42" s="102">
        <v>0</v>
      </c>
      <c r="O42" s="102">
        <v>0</v>
      </c>
      <c r="P42" s="102">
        <v>0</v>
      </c>
      <c r="Q42" s="102">
        <v>0</v>
      </c>
      <c r="R42" s="102">
        <v>0</v>
      </c>
      <c r="S42" s="102">
        <v>0</v>
      </c>
      <c r="T42" s="102">
        <v>0</v>
      </c>
      <c r="U42" s="102">
        <v>0</v>
      </c>
      <c r="V42" s="102">
        <v>0</v>
      </c>
      <c r="W42" s="102">
        <v>0</v>
      </c>
      <c r="X42" s="102">
        <v>0</v>
      </c>
      <c r="Y42" s="102">
        <v>0</v>
      </c>
      <c r="Z42" s="102">
        <v>0</v>
      </c>
      <c r="AA42" s="102">
        <v>0</v>
      </c>
      <c r="AB42" s="102">
        <v>0</v>
      </c>
      <c r="AC42" s="102">
        <v>0</v>
      </c>
      <c r="AD42" s="102">
        <v>0</v>
      </c>
      <c r="AE42" s="102">
        <v>0</v>
      </c>
      <c r="AF42" s="102">
        <v>0</v>
      </c>
      <c r="AG42" s="102">
        <v>0</v>
      </c>
      <c r="AH42" s="102">
        <v>0</v>
      </c>
      <c r="AI42" s="102">
        <v>0</v>
      </c>
      <c r="AJ42" s="102">
        <v>0</v>
      </c>
      <c r="AK42" s="102">
        <v>0</v>
      </c>
      <c r="AL42" s="102">
        <v>0</v>
      </c>
      <c r="AM42" s="102">
        <v>0</v>
      </c>
      <c r="AN42" s="102">
        <v>0</v>
      </c>
      <c r="AO42" s="102">
        <v>0</v>
      </c>
      <c r="AP42" s="102">
        <v>0</v>
      </c>
      <c r="AQ42" s="102">
        <v>0</v>
      </c>
      <c r="AR42" s="102">
        <v>0</v>
      </c>
      <c r="AS42" s="102">
        <v>0</v>
      </c>
      <c r="AT42" s="102">
        <v>0</v>
      </c>
      <c r="AU42" s="102">
        <v>0</v>
      </c>
      <c r="AV42" s="102">
        <v>0</v>
      </c>
      <c r="AW42" s="102">
        <v>0</v>
      </c>
      <c r="AX42" s="102">
        <v>0</v>
      </c>
      <c r="AY42" s="102">
        <v>0</v>
      </c>
      <c r="AZ42" s="102">
        <v>0</v>
      </c>
      <c r="BA42" s="102">
        <v>0</v>
      </c>
      <c r="BB42" s="102">
        <v>0</v>
      </c>
      <c r="BC42" s="102">
        <v>0</v>
      </c>
      <c r="BD42" s="102">
        <v>0</v>
      </c>
      <c r="BE42" s="102">
        <v>0</v>
      </c>
      <c r="BF42" s="102">
        <v>0</v>
      </c>
      <c r="BG42" s="102">
        <v>0</v>
      </c>
      <c r="BH42" s="102">
        <v>0</v>
      </c>
      <c r="BI42" s="102">
        <v>0</v>
      </c>
      <c r="BJ42" s="102">
        <v>0</v>
      </c>
      <c r="BK42" s="102">
        <v>0</v>
      </c>
      <c r="BL42" s="104"/>
      <c r="BM42" s="104"/>
    </row>
    <row r="43" spans="2:65" s="247" customFormat="1">
      <c r="B43" s="243" t="s">
        <v>316</v>
      </c>
      <c r="C43" s="248" t="s">
        <v>317</v>
      </c>
      <c r="D43" s="245">
        <v>0</v>
      </c>
      <c r="E43" s="245">
        <v>0</v>
      </c>
      <c r="F43" s="245">
        <v>0</v>
      </c>
      <c r="G43" s="245">
        <v>0</v>
      </c>
      <c r="H43" s="245">
        <v>0</v>
      </c>
      <c r="I43" s="245">
        <v>0</v>
      </c>
      <c r="J43" s="245">
        <v>0</v>
      </c>
      <c r="K43" s="245">
        <v>0</v>
      </c>
      <c r="L43" s="245">
        <v>0</v>
      </c>
      <c r="M43" s="245">
        <v>0</v>
      </c>
      <c r="N43" s="245">
        <v>0</v>
      </c>
      <c r="O43" s="245">
        <v>0</v>
      </c>
      <c r="P43" s="245">
        <v>0</v>
      </c>
      <c r="Q43" s="245">
        <v>-1448.835</v>
      </c>
      <c r="R43" s="245">
        <v>-851.36300000000006</v>
      </c>
      <c r="S43" s="245">
        <v>0</v>
      </c>
      <c r="T43" s="245">
        <v>0</v>
      </c>
      <c r="U43" s="245">
        <v>0</v>
      </c>
      <c r="V43" s="245">
        <v>0</v>
      </c>
      <c r="W43" s="245">
        <v>-7242.2269999999999</v>
      </c>
      <c r="X43" s="245">
        <v>-132.453</v>
      </c>
      <c r="Y43" s="245">
        <v>-0.127</v>
      </c>
      <c r="Z43" s="245">
        <v>-0.27500000000000002</v>
      </c>
      <c r="AA43" s="245">
        <v>0</v>
      </c>
      <c r="AB43" s="245">
        <v>0</v>
      </c>
      <c r="AC43" s="245">
        <v>0</v>
      </c>
      <c r="AD43" s="245">
        <v>-2.218</v>
      </c>
      <c r="AE43" s="245">
        <v>-13.875</v>
      </c>
      <c r="AF43" s="245">
        <v>-0.64700000000000002</v>
      </c>
      <c r="AG43" s="245">
        <v>-0.13200000000000001</v>
      </c>
      <c r="AH43" s="245">
        <v>-230.148</v>
      </c>
      <c r="AI43" s="245">
        <v>0</v>
      </c>
      <c r="AJ43" s="245">
        <v>0</v>
      </c>
      <c r="AK43" s="245">
        <v>0</v>
      </c>
      <c r="AL43" s="245">
        <v>0</v>
      </c>
      <c r="AM43" s="245">
        <v>0</v>
      </c>
      <c r="AN43" s="245">
        <v>0</v>
      </c>
      <c r="AO43" s="245">
        <v>0</v>
      </c>
      <c r="AP43" s="245">
        <v>0</v>
      </c>
      <c r="AQ43" s="245">
        <v>0</v>
      </c>
      <c r="AR43" s="245">
        <v>0</v>
      </c>
      <c r="AS43" s="245">
        <v>0</v>
      </c>
      <c r="AT43" s="245">
        <v>0</v>
      </c>
      <c r="AU43" s="245">
        <v>0</v>
      </c>
      <c r="AV43" s="245">
        <v>0</v>
      </c>
      <c r="AW43" s="245">
        <v>0</v>
      </c>
      <c r="AX43" s="245">
        <v>0</v>
      </c>
      <c r="AY43" s="245">
        <v>0</v>
      </c>
      <c r="AZ43" s="245">
        <v>0</v>
      </c>
      <c r="BA43" s="245">
        <v>0</v>
      </c>
      <c r="BB43" s="245">
        <v>0</v>
      </c>
      <c r="BC43" s="245">
        <v>0</v>
      </c>
      <c r="BD43" s="245">
        <v>0</v>
      </c>
      <c r="BE43" s="245">
        <v>0</v>
      </c>
      <c r="BF43" s="245">
        <v>0</v>
      </c>
      <c r="BG43" s="245">
        <v>0</v>
      </c>
      <c r="BH43" s="245">
        <v>-1245.0450000000001</v>
      </c>
      <c r="BI43" s="245">
        <v>-183.09200000000001</v>
      </c>
      <c r="BJ43" s="245">
        <v>-11350.437</v>
      </c>
      <c r="BK43" s="245">
        <v>-7242.2269999999999</v>
      </c>
      <c r="BL43" s="246"/>
      <c r="BM43" s="246"/>
    </row>
    <row r="44" spans="2:65" s="209" customFormat="1">
      <c r="B44" s="205" t="s">
        <v>318</v>
      </c>
      <c r="C44" s="206" t="s">
        <v>319</v>
      </c>
      <c r="D44" s="207">
        <v>0</v>
      </c>
      <c r="E44" s="207">
        <v>0</v>
      </c>
      <c r="F44" s="207">
        <v>0</v>
      </c>
      <c r="G44" s="207">
        <v>0</v>
      </c>
      <c r="H44" s="207">
        <v>0</v>
      </c>
      <c r="I44" s="207">
        <v>0</v>
      </c>
      <c r="J44" s="207">
        <v>0</v>
      </c>
      <c r="K44" s="207">
        <v>0</v>
      </c>
      <c r="L44" s="207">
        <v>0</v>
      </c>
      <c r="M44" s="207">
        <v>0</v>
      </c>
      <c r="N44" s="207">
        <v>0</v>
      </c>
      <c r="O44" s="207">
        <v>0</v>
      </c>
      <c r="P44" s="207">
        <v>0</v>
      </c>
      <c r="Q44" s="207">
        <v>-115.604</v>
      </c>
      <c r="R44" s="207">
        <v>0</v>
      </c>
      <c r="S44" s="207">
        <v>0</v>
      </c>
      <c r="T44" s="207">
        <v>0</v>
      </c>
      <c r="U44" s="207">
        <v>0</v>
      </c>
      <c r="V44" s="207">
        <v>0</v>
      </c>
      <c r="W44" s="207">
        <v>-22.581</v>
      </c>
      <c r="X44" s="207">
        <v>-60.712000000000003</v>
      </c>
      <c r="Y44" s="207">
        <v>-8.6370000000000005</v>
      </c>
      <c r="Z44" s="207">
        <v>-8.9999999999999993E-3</v>
      </c>
      <c r="AA44" s="207">
        <v>0</v>
      </c>
      <c r="AB44" s="207">
        <v>0</v>
      </c>
      <c r="AC44" s="207">
        <v>0</v>
      </c>
      <c r="AD44" s="207">
        <v>0</v>
      </c>
      <c r="AE44" s="207">
        <v>-5.2999999999999999E-2</v>
      </c>
      <c r="AF44" s="207">
        <v>0</v>
      </c>
      <c r="AG44" s="207">
        <v>0</v>
      </c>
      <c r="AH44" s="207">
        <v>0</v>
      </c>
      <c r="AI44" s="207">
        <v>0</v>
      </c>
      <c r="AJ44" s="207">
        <v>0</v>
      </c>
      <c r="AK44" s="207">
        <v>0</v>
      </c>
      <c r="AL44" s="207">
        <v>0</v>
      </c>
      <c r="AM44" s="207">
        <v>0</v>
      </c>
      <c r="AN44" s="207">
        <v>0</v>
      </c>
      <c r="AO44" s="207">
        <v>0</v>
      </c>
      <c r="AP44" s="207">
        <v>0</v>
      </c>
      <c r="AQ44" s="207">
        <v>0</v>
      </c>
      <c r="AR44" s="207">
        <v>0</v>
      </c>
      <c r="AS44" s="207">
        <v>0</v>
      </c>
      <c r="AT44" s="207">
        <v>0</v>
      </c>
      <c r="AU44" s="207">
        <v>0</v>
      </c>
      <c r="AV44" s="207">
        <v>0</v>
      </c>
      <c r="AW44" s="207">
        <v>0</v>
      </c>
      <c r="AX44" s="207">
        <v>0</v>
      </c>
      <c r="AY44" s="207">
        <v>0</v>
      </c>
      <c r="AZ44" s="207">
        <v>0</v>
      </c>
      <c r="BA44" s="207">
        <v>0</v>
      </c>
      <c r="BB44" s="207">
        <v>0</v>
      </c>
      <c r="BC44" s="207">
        <v>0</v>
      </c>
      <c r="BD44" s="207">
        <v>0</v>
      </c>
      <c r="BE44" s="207">
        <v>0</v>
      </c>
      <c r="BF44" s="207">
        <v>0</v>
      </c>
      <c r="BG44" s="207">
        <v>0</v>
      </c>
      <c r="BH44" s="207">
        <v>0</v>
      </c>
      <c r="BI44" s="207">
        <v>0</v>
      </c>
      <c r="BJ44" s="207">
        <v>-207.59599999999998</v>
      </c>
      <c r="BK44" s="207">
        <v>-22.581</v>
      </c>
      <c r="BL44" s="208"/>
      <c r="BM44" s="208"/>
    </row>
    <row r="45" spans="2:65" collapsed="1">
      <c r="B45" s="114" t="s">
        <v>320</v>
      </c>
      <c r="C45" s="115" t="s">
        <v>321</v>
      </c>
      <c r="D45" s="102">
        <v>0</v>
      </c>
      <c r="E45" s="102">
        <v>0</v>
      </c>
      <c r="F45" s="102">
        <v>0</v>
      </c>
      <c r="G45" s="102">
        <v>0</v>
      </c>
      <c r="H45" s="102">
        <v>0</v>
      </c>
      <c r="I45" s="102">
        <v>0</v>
      </c>
      <c r="J45" s="102">
        <v>0</v>
      </c>
      <c r="K45" s="102">
        <v>0</v>
      </c>
      <c r="L45" s="102">
        <v>0</v>
      </c>
      <c r="M45" s="102">
        <v>0</v>
      </c>
      <c r="N45" s="102">
        <v>0</v>
      </c>
      <c r="O45" s="102">
        <v>0</v>
      </c>
      <c r="P45" s="102">
        <v>0</v>
      </c>
      <c r="Q45" s="102">
        <v>0</v>
      </c>
      <c r="R45" s="102">
        <v>0</v>
      </c>
      <c r="S45" s="102">
        <v>0</v>
      </c>
      <c r="T45" s="102">
        <v>0</v>
      </c>
      <c r="U45" s="102">
        <v>0</v>
      </c>
      <c r="V45" s="102">
        <v>0</v>
      </c>
      <c r="W45" s="102">
        <v>0</v>
      </c>
      <c r="X45" s="102">
        <v>0</v>
      </c>
      <c r="Y45" s="102">
        <v>0</v>
      </c>
      <c r="Z45" s="102">
        <v>0</v>
      </c>
      <c r="AA45" s="102">
        <v>0</v>
      </c>
      <c r="AB45" s="102">
        <v>0</v>
      </c>
      <c r="AC45" s="102">
        <v>0</v>
      </c>
      <c r="AD45" s="102">
        <v>0</v>
      </c>
      <c r="AE45" s="102">
        <v>0</v>
      </c>
      <c r="AF45" s="102">
        <v>0</v>
      </c>
      <c r="AG45" s="102">
        <v>0</v>
      </c>
      <c r="AH45" s="102">
        <v>0</v>
      </c>
      <c r="AI45" s="102">
        <v>0</v>
      </c>
      <c r="AJ45" s="102">
        <v>0</v>
      </c>
      <c r="AK45" s="102">
        <v>0</v>
      </c>
      <c r="AL45" s="102">
        <v>0</v>
      </c>
      <c r="AM45" s="102">
        <v>0</v>
      </c>
      <c r="AN45" s="102">
        <v>0</v>
      </c>
      <c r="AO45" s="102">
        <v>0</v>
      </c>
      <c r="AP45" s="102">
        <v>0</v>
      </c>
      <c r="AQ45" s="102">
        <v>0</v>
      </c>
      <c r="AR45" s="102">
        <v>0</v>
      </c>
      <c r="AS45" s="102">
        <v>0</v>
      </c>
      <c r="AT45" s="102">
        <v>0</v>
      </c>
      <c r="AU45" s="102">
        <v>0</v>
      </c>
      <c r="AV45" s="102">
        <v>0</v>
      </c>
      <c r="AW45" s="102">
        <v>0</v>
      </c>
      <c r="AX45" s="102">
        <v>0</v>
      </c>
      <c r="AY45" s="102">
        <v>0</v>
      </c>
      <c r="AZ45" s="102">
        <v>0</v>
      </c>
      <c r="BA45" s="102">
        <v>0</v>
      </c>
      <c r="BB45" s="102">
        <v>0</v>
      </c>
      <c r="BC45" s="102">
        <v>0</v>
      </c>
      <c r="BD45" s="102">
        <v>0</v>
      </c>
      <c r="BE45" s="102">
        <v>0</v>
      </c>
      <c r="BF45" s="102">
        <v>0</v>
      </c>
      <c r="BG45" s="102">
        <v>0</v>
      </c>
      <c r="BH45" s="102">
        <v>0</v>
      </c>
      <c r="BI45" s="102">
        <v>0</v>
      </c>
      <c r="BJ45" s="102">
        <v>0</v>
      </c>
      <c r="BK45" s="102">
        <v>0</v>
      </c>
      <c r="BL45" s="104"/>
      <c r="BM45" s="104"/>
    </row>
    <row r="46" spans="2:65" collapsed="1">
      <c r="B46" s="114" t="s">
        <v>322</v>
      </c>
      <c r="C46" s="115" t="s">
        <v>323</v>
      </c>
      <c r="D46" s="102">
        <v>0</v>
      </c>
      <c r="E46" s="102">
        <v>0</v>
      </c>
      <c r="F46" s="102">
        <v>0</v>
      </c>
      <c r="G46" s="102">
        <v>0</v>
      </c>
      <c r="H46" s="102">
        <v>0</v>
      </c>
      <c r="I46" s="102">
        <v>0</v>
      </c>
      <c r="J46" s="102">
        <v>0</v>
      </c>
      <c r="K46" s="102">
        <v>0</v>
      </c>
      <c r="L46" s="102">
        <v>0</v>
      </c>
      <c r="M46" s="102">
        <v>0</v>
      </c>
      <c r="N46" s="102">
        <v>0</v>
      </c>
      <c r="O46" s="102">
        <v>0</v>
      </c>
      <c r="P46" s="102">
        <v>0</v>
      </c>
      <c r="Q46" s="102">
        <v>0</v>
      </c>
      <c r="R46" s="102">
        <v>0</v>
      </c>
      <c r="S46" s="102">
        <v>0</v>
      </c>
      <c r="T46" s="102">
        <v>0</v>
      </c>
      <c r="U46" s="102">
        <v>0</v>
      </c>
      <c r="V46" s="102">
        <v>0</v>
      </c>
      <c r="W46" s="102">
        <v>0</v>
      </c>
      <c r="X46" s="102">
        <v>-84.948999999999998</v>
      </c>
      <c r="Y46" s="102">
        <v>-10.778</v>
      </c>
      <c r="Z46" s="102">
        <v>-0.217</v>
      </c>
      <c r="AA46" s="102">
        <v>0</v>
      </c>
      <c r="AB46" s="102">
        <v>0</v>
      </c>
      <c r="AC46" s="102">
        <v>0</v>
      </c>
      <c r="AD46" s="102">
        <v>-1.54</v>
      </c>
      <c r="AE46" s="102">
        <v>-10.728999999999999</v>
      </c>
      <c r="AF46" s="102">
        <v>-0.09</v>
      </c>
      <c r="AG46" s="102">
        <v>-0.17399999999999999</v>
      </c>
      <c r="AH46" s="102">
        <v>-17.282</v>
      </c>
      <c r="AI46" s="102">
        <v>0</v>
      </c>
      <c r="AJ46" s="102">
        <v>0</v>
      </c>
      <c r="AK46" s="102">
        <v>0</v>
      </c>
      <c r="AL46" s="102">
        <v>0</v>
      </c>
      <c r="AM46" s="102">
        <v>0</v>
      </c>
      <c r="AN46" s="102">
        <v>0</v>
      </c>
      <c r="AO46" s="102">
        <v>0</v>
      </c>
      <c r="AP46" s="102">
        <v>0</v>
      </c>
      <c r="AQ46" s="102">
        <v>0</v>
      </c>
      <c r="AR46" s="102">
        <v>-14.236000000000001</v>
      </c>
      <c r="AS46" s="102">
        <v>0</v>
      </c>
      <c r="AT46" s="102">
        <v>0</v>
      </c>
      <c r="AU46" s="102">
        <v>0</v>
      </c>
      <c r="AV46" s="102">
        <v>0</v>
      </c>
      <c r="AW46" s="102">
        <v>0</v>
      </c>
      <c r="AX46" s="102">
        <v>0</v>
      </c>
      <c r="AY46" s="102">
        <v>0</v>
      </c>
      <c r="AZ46" s="102">
        <v>0</v>
      </c>
      <c r="BA46" s="102">
        <v>0</v>
      </c>
      <c r="BB46" s="102">
        <v>0</v>
      </c>
      <c r="BC46" s="102">
        <v>0</v>
      </c>
      <c r="BD46" s="102">
        <v>0</v>
      </c>
      <c r="BE46" s="102">
        <v>0</v>
      </c>
      <c r="BF46" s="102">
        <v>0</v>
      </c>
      <c r="BG46" s="102">
        <v>0</v>
      </c>
      <c r="BH46" s="102">
        <v>-49.695</v>
      </c>
      <c r="BI46" s="102">
        <v>0</v>
      </c>
      <c r="BJ46" s="102">
        <v>-189.69</v>
      </c>
      <c r="BK46" s="102">
        <v>-14.236000000000001</v>
      </c>
      <c r="BL46" s="104"/>
      <c r="BM46" s="104"/>
    </row>
    <row r="47" spans="2:65">
      <c r="B47" s="107" t="s">
        <v>324</v>
      </c>
      <c r="C47" s="121" t="s">
        <v>325</v>
      </c>
      <c r="D47" s="109">
        <v>0</v>
      </c>
      <c r="E47" s="109">
        <v>0</v>
      </c>
      <c r="F47" s="109">
        <v>0</v>
      </c>
      <c r="G47" s="109">
        <v>0</v>
      </c>
      <c r="H47" s="109">
        <v>0</v>
      </c>
      <c r="I47" s="109">
        <v>0</v>
      </c>
      <c r="J47" s="109">
        <v>0</v>
      </c>
      <c r="K47" s="109">
        <v>0</v>
      </c>
      <c r="L47" s="109">
        <v>0</v>
      </c>
      <c r="M47" s="109">
        <v>0</v>
      </c>
      <c r="N47" s="109">
        <v>0</v>
      </c>
      <c r="O47" s="109">
        <v>0</v>
      </c>
      <c r="P47" s="109">
        <v>0</v>
      </c>
      <c r="Q47" s="109">
        <v>-10.571999999999999</v>
      </c>
      <c r="R47" s="109">
        <v>0</v>
      </c>
      <c r="S47" s="109">
        <v>0</v>
      </c>
      <c r="T47" s="109">
        <v>0</v>
      </c>
      <c r="U47" s="109">
        <v>0</v>
      </c>
      <c r="V47" s="109">
        <v>0</v>
      </c>
      <c r="W47" s="109">
        <v>0</v>
      </c>
      <c r="X47" s="109">
        <v>0</v>
      </c>
      <c r="Y47" s="109">
        <v>0</v>
      </c>
      <c r="Z47" s="109">
        <v>0</v>
      </c>
      <c r="AA47" s="109">
        <v>0</v>
      </c>
      <c r="AB47" s="109">
        <v>0</v>
      </c>
      <c r="AC47" s="109">
        <v>0</v>
      </c>
      <c r="AD47" s="109">
        <v>0</v>
      </c>
      <c r="AE47" s="109">
        <v>0</v>
      </c>
      <c r="AF47" s="109">
        <v>0</v>
      </c>
      <c r="AG47" s="109">
        <v>0</v>
      </c>
      <c r="AH47" s="109">
        <v>0</v>
      </c>
      <c r="AI47" s="109">
        <v>0</v>
      </c>
      <c r="AJ47" s="109">
        <v>0</v>
      </c>
      <c r="AK47" s="109">
        <v>0</v>
      </c>
      <c r="AL47" s="109">
        <v>0</v>
      </c>
      <c r="AM47" s="109">
        <v>0</v>
      </c>
      <c r="AN47" s="109">
        <v>0</v>
      </c>
      <c r="AO47" s="109">
        <v>0</v>
      </c>
      <c r="AP47" s="109">
        <v>0</v>
      </c>
      <c r="AQ47" s="109">
        <v>0</v>
      </c>
      <c r="AR47" s="109">
        <v>0</v>
      </c>
      <c r="AS47" s="109">
        <v>0</v>
      </c>
      <c r="AT47" s="109">
        <v>0</v>
      </c>
      <c r="AU47" s="109">
        <v>0</v>
      </c>
      <c r="AV47" s="109">
        <v>0</v>
      </c>
      <c r="AW47" s="109">
        <v>0</v>
      </c>
      <c r="AX47" s="109">
        <v>0</v>
      </c>
      <c r="AY47" s="109">
        <v>0</v>
      </c>
      <c r="AZ47" s="109">
        <v>0</v>
      </c>
      <c r="BA47" s="109">
        <v>0</v>
      </c>
      <c r="BB47" s="109">
        <v>0</v>
      </c>
      <c r="BC47" s="109">
        <v>0</v>
      </c>
      <c r="BD47" s="109">
        <v>0</v>
      </c>
      <c r="BE47" s="109">
        <v>0</v>
      </c>
      <c r="BF47" s="109">
        <v>0</v>
      </c>
      <c r="BG47" s="109">
        <v>0</v>
      </c>
      <c r="BH47" s="109">
        <v>-1373.2840000000001</v>
      </c>
      <c r="BI47" s="109">
        <v>-406.53100000000001</v>
      </c>
      <c r="BJ47" s="109">
        <v>-1790.3869999999999</v>
      </c>
      <c r="BK47" s="109">
        <v>0</v>
      </c>
      <c r="BL47" s="104"/>
      <c r="BM47" s="104"/>
    </row>
    <row r="48" spans="2:65">
      <c r="B48" s="118" t="s">
        <v>326</v>
      </c>
      <c r="C48" s="119" t="s">
        <v>327</v>
      </c>
      <c r="D48" s="120">
        <v>0</v>
      </c>
      <c r="E48" s="120">
        <v>3083.4180000000001</v>
      </c>
      <c r="F48" s="120">
        <v>0</v>
      </c>
      <c r="G48" s="120">
        <v>3678.4540000000002</v>
      </c>
      <c r="H48" s="120">
        <v>0</v>
      </c>
      <c r="I48" s="120">
        <v>3.1E-2</v>
      </c>
      <c r="J48" s="120">
        <v>15.398999999999999</v>
      </c>
      <c r="K48" s="120">
        <v>472.84699999999998</v>
      </c>
      <c r="L48" s="120">
        <v>719.91099999999994</v>
      </c>
      <c r="M48" s="120">
        <v>560.74099999999999</v>
      </c>
      <c r="N48" s="120">
        <v>1842.117</v>
      </c>
      <c r="O48" s="120">
        <v>44.777999999999999</v>
      </c>
      <c r="P48" s="120">
        <v>353.68299999999999</v>
      </c>
      <c r="Q48" s="120">
        <v>1012.348</v>
      </c>
      <c r="R48" s="120">
        <v>22937.118999999999</v>
      </c>
      <c r="S48" s="120">
        <v>0</v>
      </c>
      <c r="T48" s="120">
        <v>0</v>
      </c>
      <c r="U48" s="120">
        <v>0</v>
      </c>
      <c r="V48" s="120">
        <v>0</v>
      </c>
      <c r="W48" s="120">
        <v>798.55499999999995</v>
      </c>
      <c r="X48" s="120">
        <v>6459.8239999999996</v>
      </c>
      <c r="Y48" s="120">
        <v>4732.0469999999996</v>
      </c>
      <c r="Z48" s="120">
        <v>10285.4</v>
      </c>
      <c r="AA48" s="120">
        <v>3.1269999999999998</v>
      </c>
      <c r="AB48" s="120">
        <v>0</v>
      </c>
      <c r="AC48" s="120">
        <v>3110.91</v>
      </c>
      <c r="AD48" s="120">
        <v>2328.5859999999998</v>
      </c>
      <c r="AE48" s="120">
        <v>23494.794000000002</v>
      </c>
      <c r="AF48" s="120">
        <v>188.023</v>
      </c>
      <c r="AG48" s="120">
        <v>63.146000000000001</v>
      </c>
      <c r="AH48" s="120">
        <v>974.49900000000002</v>
      </c>
      <c r="AI48" s="120">
        <v>43804.417999999998</v>
      </c>
      <c r="AJ48" s="120">
        <v>211.721</v>
      </c>
      <c r="AK48" s="120">
        <v>850.15899999999999</v>
      </c>
      <c r="AL48" s="120">
        <v>1684.0940000000001</v>
      </c>
      <c r="AM48" s="120">
        <v>19.649000000000001</v>
      </c>
      <c r="AN48" s="120">
        <v>796.53300000000002</v>
      </c>
      <c r="AO48" s="120">
        <v>1104.4090000000001</v>
      </c>
      <c r="AP48" s="120">
        <v>1571.8409999999999</v>
      </c>
      <c r="AQ48" s="120">
        <v>837.86300000000006</v>
      </c>
      <c r="AR48" s="120">
        <v>413.19600000000003</v>
      </c>
      <c r="AS48" s="120">
        <v>820.68799999999999</v>
      </c>
      <c r="AT48" s="120">
        <v>52.807000000000002</v>
      </c>
      <c r="AU48" s="120">
        <v>6.6980000000000004</v>
      </c>
      <c r="AV48" s="120">
        <v>0</v>
      </c>
      <c r="AW48" s="120">
        <v>685.42399999999998</v>
      </c>
      <c r="AX48" s="120">
        <v>0</v>
      </c>
      <c r="AY48" s="120">
        <v>0</v>
      </c>
      <c r="AZ48" s="120">
        <v>0</v>
      </c>
      <c r="BA48" s="120">
        <v>0</v>
      </c>
      <c r="BB48" s="120">
        <v>224.72200000000001</v>
      </c>
      <c r="BC48" s="120">
        <v>0</v>
      </c>
      <c r="BD48" s="120">
        <v>26.911999999999999</v>
      </c>
      <c r="BE48" s="120">
        <v>0</v>
      </c>
      <c r="BF48" s="120">
        <v>0</v>
      </c>
      <c r="BG48" s="120">
        <v>0</v>
      </c>
      <c r="BH48" s="120">
        <v>46365.828999999998</v>
      </c>
      <c r="BI48" s="120">
        <v>5903.866</v>
      </c>
      <c r="BJ48" s="120">
        <v>192540.58600000004</v>
      </c>
      <c r="BK48" s="120">
        <v>5837.1679999999997</v>
      </c>
      <c r="BL48" s="104"/>
      <c r="BM48" s="104"/>
    </row>
    <row r="49" spans="2:65" collapsed="1">
      <c r="B49" s="114" t="s">
        <v>328</v>
      </c>
      <c r="C49" s="122" t="s">
        <v>329</v>
      </c>
      <c r="D49" s="102">
        <v>0</v>
      </c>
      <c r="E49" s="102">
        <v>3083.4180000000001</v>
      </c>
      <c r="F49" s="102">
        <v>0</v>
      </c>
      <c r="G49" s="102">
        <v>3678.4540000000002</v>
      </c>
      <c r="H49" s="102">
        <v>0</v>
      </c>
      <c r="I49" s="102">
        <v>3.1E-2</v>
      </c>
      <c r="J49" s="102">
        <v>0</v>
      </c>
      <c r="K49" s="102">
        <v>472.84699999999998</v>
      </c>
      <c r="L49" s="102">
        <v>719.91099999999994</v>
      </c>
      <c r="M49" s="102">
        <v>0</v>
      </c>
      <c r="N49" s="102">
        <v>1842.117</v>
      </c>
      <c r="O49" s="102">
        <v>44.777999999999999</v>
      </c>
      <c r="P49" s="102">
        <v>353.68299999999999</v>
      </c>
      <c r="Q49" s="102">
        <v>679.79499999999996</v>
      </c>
      <c r="R49" s="102">
        <v>22937.118999999999</v>
      </c>
      <c r="S49" s="102">
        <v>0</v>
      </c>
      <c r="T49" s="102">
        <v>0</v>
      </c>
      <c r="U49" s="102">
        <v>0</v>
      </c>
      <c r="V49" s="102">
        <v>0</v>
      </c>
      <c r="W49" s="102">
        <v>798.55499999999995</v>
      </c>
      <c r="X49" s="102">
        <v>2584.5749999999998</v>
      </c>
      <c r="Y49" s="102">
        <v>3962.8090000000002</v>
      </c>
      <c r="Z49" s="102">
        <v>10285.4</v>
      </c>
      <c r="AA49" s="102">
        <v>3.1269999999999998</v>
      </c>
      <c r="AB49" s="102">
        <v>0</v>
      </c>
      <c r="AC49" s="102">
        <v>3110.91</v>
      </c>
      <c r="AD49" s="102">
        <v>2328.5859999999998</v>
      </c>
      <c r="AE49" s="102">
        <v>23494.794000000002</v>
      </c>
      <c r="AF49" s="102">
        <v>188.023</v>
      </c>
      <c r="AG49" s="102">
        <v>63.146000000000001</v>
      </c>
      <c r="AH49" s="102">
        <v>974.49900000000002</v>
      </c>
      <c r="AI49" s="102">
        <v>0</v>
      </c>
      <c r="AJ49" s="102">
        <v>0</v>
      </c>
      <c r="AK49" s="102">
        <v>0</v>
      </c>
      <c r="AL49" s="102">
        <v>0</v>
      </c>
      <c r="AM49" s="102">
        <v>0</v>
      </c>
      <c r="AN49" s="102">
        <v>0</v>
      </c>
      <c r="AO49" s="102">
        <v>0</v>
      </c>
      <c r="AP49" s="102">
        <v>1571.8409999999999</v>
      </c>
      <c r="AQ49" s="102">
        <v>837.86300000000006</v>
      </c>
      <c r="AR49" s="102">
        <v>413.19600000000003</v>
      </c>
      <c r="AS49" s="102">
        <v>820.68799999999999</v>
      </c>
      <c r="AT49" s="102">
        <v>52.807000000000002</v>
      </c>
      <c r="AU49" s="102">
        <v>6.6980000000000004</v>
      </c>
      <c r="AV49" s="102">
        <v>0</v>
      </c>
      <c r="AW49" s="102">
        <v>685.42399999999998</v>
      </c>
      <c r="AX49" s="102">
        <v>0</v>
      </c>
      <c r="AY49" s="102">
        <v>0</v>
      </c>
      <c r="AZ49" s="102">
        <v>0</v>
      </c>
      <c r="BA49" s="102">
        <v>0</v>
      </c>
      <c r="BB49" s="102">
        <v>224.72200000000001</v>
      </c>
      <c r="BC49" s="102">
        <v>0</v>
      </c>
      <c r="BD49" s="102">
        <v>26.911999999999999</v>
      </c>
      <c r="BE49" s="102">
        <v>0</v>
      </c>
      <c r="BF49" s="102">
        <v>0</v>
      </c>
      <c r="BG49" s="102">
        <v>0</v>
      </c>
      <c r="BH49" s="102">
        <v>46365.828999999998</v>
      </c>
      <c r="BI49" s="102">
        <v>5903.866</v>
      </c>
      <c r="BJ49" s="102">
        <v>138516.42299999998</v>
      </c>
      <c r="BK49" s="102">
        <v>5837.1679999999997</v>
      </c>
      <c r="BL49" s="104"/>
      <c r="BM49" s="104"/>
    </row>
    <row r="50" spans="2:65" collapsed="1">
      <c r="B50" s="116" t="s">
        <v>119</v>
      </c>
      <c r="C50" s="123" t="s">
        <v>330</v>
      </c>
      <c r="D50" s="102">
        <v>0</v>
      </c>
      <c r="E50" s="102">
        <v>3083.4180000000001</v>
      </c>
      <c r="F50" s="102">
        <v>0</v>
      </c>
      <c r="G50" s="102">
        <v>3678.4540000000002</v>
      </c>
      <c r="H50" s="102">
        <v>0</v>
      </c>
      <c r="I50" s="102">
        <v>3.1E-2</v>
      </c>
      <c r="J50" s="102">
        <v>0</v>
      </c>
      <c r="K50" s="102">
        <v>56.987000000000002</v>
      </c>
      <c r="L50" s="102">
        <v>719.91099999999994</v>
      </c>
      <c r="M50" s="102">
        <v>0</v>
      </c>
      <c r="N50" s="102">
        <v>1842.117</v>
      </c>
      <c r="O50" s="102">
        <v>44.777999999999999</v>
      </c>
      <c r="P50" s="102">
        <v>353.68299999999999</v>
      </c>
      <c r="Q50" s="102">
        <v>679.79499999999996</v>
      </c>
      <c r="R50" s="102">
        <v>7545.7860000000001</v>
      </c>
      <c r="S50" s="102">
        <v>0</v>
      </c>
      <c r="T50" s="102">
        <v>0</v>
      </c>
      <c r="U50" s="102">
        <v>0</v>
      </c>
      <c r="V50" s="102">
        <v>0</v>
      </c>
      <c r="W50" s="102">
        <v>758.91</v>
      </c>
      <c r="X50" s="102">
        <v>839.65</v>
      </c>
      <c r="Y50" s="102">
        <v>244.571</v>
      </c>
      <c r="Z50" s="102">
        <v>190.929</v>
      </c>
      <c r="AA50" s="102">
        <v>3.0000000000000001E-3</v>
      </c>
      <c r="AB50" s="102">
        <v>0</v>
      </c>
      <c r="AC50" s="102">
        <v>3.5000000000000003E-2</v>
      </c>
      <c r="AD50" s="102">
        <v>166.66399999999999</v>
      </c>
      <c r="AE50" s="102">
        <v>2292.2779999999998</v>
      </c>
      <c r="AF50" s="102">
        <v>68.031999999999996</v>
      </c>
      <c r="AG50" s="102">
        <v>31.225000000000001</v>
      </c>
      <c r="AH50" s="102">
        <v>731.93600000000004</v>
      </c>
      <c r="AI50" s="102">
        <v>0</v>
      </c>
      <c r="AJ50" s="102">
        <v>0</v>
      </c>
      <c r="AK50" s="102">
        <v>0</v>
      </c>
      <c r="AL50" s="102">
        <v>0</v>
      </c>
      <c r="AM50" s="102">
        <v>0</v>
      </c>
      <c r="AN50" s="102">
        <v>0</v>
      </c>
      <c r="AO50" s="102">
        <v>0</v>
      </c>
      <c r="AP50" s="102">
        <v>1478.117</v>
      </c>
      <c r="AQ50" s="102">
        <v>133.86099999999999</v>
      </c>
      <c r="AR50" s="102">
        <v>382.60599999999999</v>
      </c>
      <c r="AS50" s="102">
        <v>613.75900000000001</v>
      </c>
      <c r="AT50" s="102">
        <v>18.690000000000001</v>
      </c>
      <c r="AU50" s="102">
        <v>4.7380000000000004</v>
      </c>
      <c r="AV50" s="102">
        <v>0</v>
      </c>
      <c r="AW50" s="102">
        <v>0</v>
      </c>
      <c r="AX50" s="102">
        <v>0</v>
      </c>
      <c r="AY50" s="102">
        <v>0</v>
      </c>
      <c r="AZ50" s="102">
        <v>0</v>
      </c>
      <c r="BA50" s="102">
        <v>0</v>
      </c>
      <c r="BB50" s="102">
        <v>33.826999999999998</v>
      </c>
      <c r="BC50" s="102">
        <v>0</v>
      </c>
      <c r="BD50" s="102">
        <v>1</v>
      </c>
      <c r="BE50" s="102">
        <v>0</v>
      </c>
      <c r="BF50" s="102">
        <v>0</v>
      </c>
      <c r="BG50" s="102">
        <v>0</v>
      </c>
      <c r="BH50" s="102">
        <v>25386.339</v>
      </c>
      <c r="BI50" s="102">
        <v>3372.1770000000001</v>
      </c>
      <c r="BJ50" s="102">
        <v>54754.307000000008</v>
      </c>
      <c r="BK50" s="102">
        <v>3823.97</v>
      </c>
      <c r="BL50" s="104"/>
      <c r="BM50" s="104"/>
    </row>
    <row r="51" spans="2:65" s="88" customFormat="1">
      <c r="B51" s="91" t="s">
        <v>331</v>
      </c>
      <c r="C51" s="136" t="s">
        <v>332</v>
      </c>
      <c r="D51" s="89">
        <v>0</v>
      </c>
      <c r="E51" s="89">
        <v>0</v>
      </c>
      <c r="F51" s="89">
        <v>0</v>
      </c>
      <c r="G51" s="89">
        <v>0</v>
      </c>
      <c r="H51" s="89">
        <v>0</v>
      </c>
      <c r="I51" s="89">
        <v>0</v>
      </c>
      <c r="J51" s="89">
        <v>0</v>
      </c>
      <c r="K51" s="89">
        <v>55.317999999999998</v>
      </c>
      <c r="L51" s="89">
        <v>0</v>
      </c>
      <c r="M51" s="89">
        <v>0</v>
      </c>
      <c r="N51" s="89">
        <v>0</v>
      </c>
      <c r="O51" s="89">
        <v>0</v>
      </c>
      <c r="P51" s="89">
        <v>0</v>
      </c>
      <c r="Q51" s="89">
        <v>0</v>
      </c>
      <c r="R51" s="89">
        <v>4.1000000000000002E-2</v>
      </c>
      <c r="S51" s="89">
        <v>0</v>
      </c>
      <c r="T51" s="89">
        <v>0</v>
      </c>
      <c r="U51" s="89">
        <v>0</v>
      </c>
      <c r="V51" s="89">
        <v>0</v>
      </c>
      <c r="W51" s="89">
        <v>0</v>
      </c>
      <c r="X51" s="89">
        <v>4.585</v>
      </c>
      <c r="Y51" s="89">
        <v>0.13900000000000001</v>
      </c>
      <c r="Z51" s="89">
        <v>38.381</v>
      </c>
      <c r="AA51" s="89">
        <v>0</v>
      </c>
      <c r="AB51" s="89">
        <v>0</v>
      </c>
      <c r="AC51" s="89">
        <v>0</v>
      </c>
      <c r="AD51" s="89">
        <v>93.619</v>
      </c>
      <c r="AE51" s="89">
        <v>169.779</v>
      </c>
      <c r="AF51" s="89">
        <v>13.398999999999999</v>
      </c>
      <c r="AG51" s="89">
        <v>10.746</v>
      </c>
      <c r="AH51" s="89">
        <v>2.64</v>
      </c>
      <c r="AI51" s="89">
        <v>0</v>
      </c>
      <c r="AJ51" s="89">
        <v>0</v>
      </c>
      <c r="AK51" s="89">
        <v>0</v>
      </c>
      <c r="AL51" s="89">
        <v>0</v>
      </c>
      <c r="AM51" s="89">
        <v>0</v>
      </c>
      <c r="AN51" s="89">
        <v>0</v>
      </c>
      <c r="AO51" s="89">
        <v>0</v>
      </c>
      <c r="AP51" s="89">
        <v>0</v>
      </c>
      <c r="AQ51" s="89">
        <v>0.70799999999999996</v>
      </c>
      <c r="AR51" s="89">
        <v>0</v>
      </c>
      <c r="AS51" s="89">
        <v>133.76400000000001</v>
      </c>
      <c r="AT51" s="89">
        <v>0</v>
      </c>
      <c r="AU51" s="89">
        <v>0</v>
      </c>
      <c r="AV51" s="89">
        <v>0</v>
      </c>
      <c r="AW51" s="89">
        <v>0</v>
      </c>
      <c r="AX51" s="89">
        <v>0</v>
      </c>
      <c r="AY51" s="89">
        <v>0</v>
      </c>
      <c r="AZ51" s="89">
        <v>0</v>
      </c>
      <c r="BA51" s="89">
        <v>0</v>
      </c>
      <c r="BB51" s="89">
        <v>29.326000000000001</v>
      </c>
      <c r="BC51" s="89">
        <v>0</v>
      </c>
      <c r="BD51" s="89">
        <v>0</v>
      </c>
      <c r="BE51" s="89">
        <v>0</v>
      </c>
      <c r="BF51" s="89">
        <v>0</v>
      </c>
      <c r="BG51" s="89">
        <v>0</v>
      </c>
      <c r="BH51" s="89">
        <v>1218.249</v>
      </c>
      <c r="BI51" s="89">
        <v>0</v>
      </c>
      <c r="BJ51" s="89">
        <v>1770.694</v>
      </c>
      <c r="BK51" s="89">
        <v>163.798</v>
      </c>
      <c r="BL51" s="90"/>
      <c r="BM51" s="90"/>
    </row>
    <row r="52" spans="2:65" s="88" customFormat="1" collapsed="1">
      <c r="B52" s="91" t="s">
        <v>333</v>
      </c>
      <c r="C52" s="136" t="s">
        <v>334</v>
      </c>
      <c r="D52" s="89">
        <v>0</v>
      </c>
      <c r="E52" s="89">
        <v>0</v>
      </c>
      <c r="F52" s="89">
        <v>0</v>
      </c>
      <c r="G52" s="89">
        <v>0</v>
      </c>
      <c r="H52" s="89">
        <v>0</v>
      </c>
      <c r="I52" s="89">
        <v>0</v>
      </c>
      <c r="J52" s="89">
        <v>0</v>
      </c>
      <c r="K52" s="89">
        <v>0</v>
      </c>
      <c r="L52" s="89">
        <v>0</v>
      </c>
      <c r="M52" s="89">
        <v>0</v>
      </c>
      <c r="N52" s="89">
        <v>0</v>
      </c>
      <c r="O52" s="89">
        <v>0</v>
      </c>
      <c r="P52" s="89">
        <v>0</v>
      </c>
      <c r="Q52" s="89">
        <v>0</v>
      </c>
      <c r="R52" s="89">
        <v>0</v>
      </c>
      <c r="S52" s="89">
        <v>0</v>
      </c>
      <c r="T52" s="89">
        <v>0</v>
      </c>
      <c r="U52" s="89">
        <v>0</v>
      </c>
      <c r="V52" s="89">
        <v>0</v>
      </c>
      <c r="W52" s="89">
        <v>0</v>
      </c>
      <c r="X52" s="89">
        <v>1.1519999999999999</v>
      </c>
      <c r="Y52" s="89">
        <v>0</v>
      </c>
      <c r="Z52" s="89">
        <v>81.397999999999996</v>
      </c>
      <c r="AA52" s="89">
        <v>0</v>
      </c>
      <c r="AB52" s="89">
        <v>0</v>
      </c>
      <c r="AC52" s="89">
        <v>0</v>
      </c>
      <c r="AD52" s="89">
        <v>0.219</v>
      </c>
      <c r="AE52" s="89">
        <v>893.85</v>
      </c>
      <c r="AF52" s="89">
        <v>0.995</v>
      </c>
      <c r="AG52" s="89">
        <v>4.7910000000000004</v>
      </c>
      <c r="AH52" s="89">
        <v>6.6189999999999998</v>
      </c>
      <c r="AI52" s="89">
        <v>0</v>
      </c>
      <c r="AJ52" s="89">
        <v>0</v>
      </c>
      <c r="AK52" s="89">
        <v>0</v>
      </c>
      <c r="AL52" s="89">
        <v>0</v>
      </c>
      <c r="AM52" s="89">
        <v>0</v>
      </c>
      <c r="AN52" s="89">
        <v>0</v>
      </c>
      <c r="AO52" s="89">
        <v>0</v>
      </c>
      <c r="AP52" s="89">
        <v>0</v>
      </c>
      <c r="AQ52" s="89">
        <v>0</v>
      </c>
      <c r="AR52" s="89">
        <v>0</v>
      </c>
      <c r="AS52" s="89">
        <v>0</v>
      </c>
      <c r="AT52" s="89">
        <v>0</v>
      </c>
      <c r="AU52" s="89">
        <v>0</v>
      </c>
      <c r="AV52" s="89">
        <v>0</v>
      </c>
      <c r="AW52" s="89">
        <v>0</v>
      </c>
      <c r="AX52" s="89">
        <v>0</v>
      </c>
      <c r="AY52" s="89">
        <v>0</v>
      </c>
      <c r="AZ52" s="89">
        <v>0</v>
      </c>
      <c r="BA52" s="89">
        <v>0</v>
      </c>
      <c r="BB52" s="89">
        <v>0</v>
      </c>
      <c r="BC52" s="89">
        <v>0</v>
      </c>
      <c r="BD52" s="89">
        <v>0</v>
      </c>
      <c r="BE52" s="89">
        <v>0</v>
      </c>
      <c r="BF52" s="89">
        <v>0</v>
      </c>
      <c r="BG52" s="89">
        <v>0</v>
      </c>
      <c r="BH52" s="89">
        <v>269.952</v>
      </c>
      <c r="BI52" s="89">
        <v>0</v>
      </c>
      <c r="BJ52" s="89">
        <v>1258.9760000000001</v>
      </c>
      <c r="BK52" s="89">
        <v>0</v>
      </c>
      <c r="BL52" s="90"/>
      <c r="BM52" s="90"/>
    </row>
    <row r="53" spans="2:65" s="88" customFormat="1">
      <c r="B53" s="91" t="s">
        <v>335</v>
      </c>
      <c r="C53" s="136" t="s">
        <v>336</v>
      </c>
      <c r="D53" s="89">
        <v>0</v>
      </c>
      <c r="E53" s="89">
        <v>0</v>
      </c>
      <c r="F53" s="89">
        <v>0</v>
      </c>
      <c r="G53" s="89">
        <v>0</v>
      </c>
      <c r="H53" s="89">
        <v>0</v>
      </c>
      <c r="I53" s="89">
        <v>0</v>
      </c>
      <c r="J53" s="89">
        <v>0</v>
      </c>
      <c r="K53" s="89">
        <v>0</v>
      </c>
      <c r="L53" s="89">
        <v>0</v>
      </c>
      <c r="M53" s="89">
        <v>0</v>
      </c>
      <c r="N53" s="89">
        <v>0</v>
      </c>
      <c r="O53" s="89">
        <v>0</v>
      </c>
      <c r="P53" s="89">
        <v>0</v>
      </c>
      <c r="Q53" s="89">
        <v>0</v>
      </c>
      <c r="R53" s="89">
        <v>0</v>
      </c>
      <c r="S53" s="89">
        <v>0</v>
      </c>
      <c r="T53" s="89">
        <v>0</v>
      </c>
      <c r="U53" s="89">
        <v>0</v>
      </c>
      <c r="V53" s="89">
        <v>0</v>
      </c>
      <c r="W53" s="89">
        <v>0</v>
      </c>
      <c r="X53" s="89">
        <v>1.76</v>
      </c>
      <c r="Y53" s="89">
        <v>1E-3</v>
      </c>
      <c r="Z53" s="89">
        <v>0.39800000000000002</v>
      </c>
      <c r="AA53" s="89">
        <v>0</v>
      </c>
      <c r="AB53" s="89">
        <v>0</v>
      </c>
      <c r="AC53" s="89">
        <v>0</v>
      </c>
      <c r="AD53" s="89">
        <v>0.84599999999999997</v>
      </c>
      <c r="AE53" s="89">
        <v>31.888999999999999</v>
      </c>
      <c r="AF53" s="89">
        <v>2.786</v>
      </c>
      <c r="AG53" s="89">
        <v>0.55300000000000005</v>
      </c>
      <c r="AH53" s="89">
        <v>1.802</v>
      </c>
      <c r="AI53" s="89">
        <v>0</v>
      </c>
      <c r="AJ53" s="89">
        <v>0</v>
      </c>
      <c r="AK53" s="89">
        <v>0</v>
      </c>
      <c r="AL53" s="89">
        <v>0</v>
      </c>
      <c r="AM53" s="89">
        <v>0</v>
      </c>
      <c r="AN53" s="89">
        <v>0</v>
      </c>
      <c r="AO53" s="89">
        <v>0</v>
      </c>
      <c r="AP53" s="89">
        <v>0</v>
      </c>
      <c r="AQ53" s="89">
        <v>0</v>
      </c>
      <c r="AR53" s="89">
        <v>0</v>
      </c>
      <c r="AS53" s="89">
        <v>0.06</v>
      </c>
      <c r="AT53" s="89">
        <v>0</v>
      </c>
      <c r="AU53" s="89">
        <v>0</v>
      </c>
      <c r="AV53" s="89">
        <v>0</v>
      </c>
      <c r="AW53" s="89">
        <v>0</v>
      </c>
      <c r="AX53" s="89">
        <v>0</v>
      </c>
      <c r="AY53" s="89">
        <v>0</v>
      </c>
      <c r="AZ53" s="89">
        <v>0</v>
      </c>
      <c r="BA53" s="89">
        <v>0</v>
      </c>
      <c r="BB53" s="89">
        <v>0</v>
      </c>
      <c r="BC53" s="89">
        <v>0</v>
      </c>
      <c r="BD53" s="89">
        <v>0</v>
      </c>
      <c r="BE53" s="89">
        <v>0</v>
      </c>
      <c r="BF53" s="89">
        <v>0</v>
      </c>
      <c r="BG53" s="89">
        <v>0</v>
      </c>
      <c r="BH53" s="89">
        <v>128.35599999999999</v>
      </c>
      <c r="BI53" s="89">
        <v>0</v>
      </c>
      <c r="BJ53" s="89">
        <v>168.45099999999999</v>
      </c>
      <c r="BK53" s="89">
        <v>0.06</v>
      </c>
      <c r="BL53" s="90"/>
      <c r="BM53" s="90"/>
    </row>
    <row r="54" spans="2:65">
      <c r="B54" s="124" t="s">
        <v>337</v>
      </c>
      <c r="C54" s="125" t="s">
        <v>338</v>
      </c>
      <c r="D54" s="102">
        <v>0</v>
      </c>
      <c r="E54" s="102">
        <v>3083.4180000000001</v>
      </c>
      <c r="F54" s="102">
        <v>0</v>
      </c>
      <c r="G54" s="102">
        <v>3678.4540000000002</v>
      </c>
      <c r="H54" s="102">
        <v>0</v>
      </c>
      <c r="I54" s="102">
        <v>0</v>
      </c>
      <c r="J54" s="102">
        <v>0</v>
      </c>
      <c r="K54" s="102">
        <v>1.123</v>
      </c>
      <c r="L54" s="102">
        <v>719.91099999999994</v>
      </c>
      <c r="M54" s="102">
        <v>0</v>
      </c>
      <c r="N54" s="102">
        <v>1842.117</v>
      </c>
      <c r="O54" s="102">
        <v>44.777999999999999</v>
      </c>
      <c r="P54" s="102">
        <v>353.68299999999999</v>
      </c>
      <c r="Q54" s="102">
        <v>679.79499999999996</v>
      </c>
      <c r="R54" s="102">
        <v>7545.6139999999996</v>
      </c>
      <c r="S54" s="102">
        <v>0</v>
      </c>
      <c r="T54" s="102">
        <v>0</v>
      </c>
      <c r="U54" s="102">
        <v>0</v>
      </c>
      <c r="V54" s="102">
        <v>0</v>
      </c>
      <c r="W54" s="102">
        <v>758.91</v>
      </c>
      <c r="X54" s="102">
        <v>812.00599999999997</v>
      </c>
      <c r="Y54" s="102">
        <v>244.43100000000001</v>
      </c>
      <c r="Z54" s="102">
        <v>60.005000000000003</v>
      </c>
      <c r="AA54" s="102">
        <v>3.0000000000000001E-3</v>
      </c>
      <c r="AB54" s="102">
        <v>0</v>
      </c>
      <c r="AC54" s="102">
        <v>3.5000000000000003E-2</v>
      </c>
      <c r="AD54" s="102">
        <v>68.114000000000004</v>
      </c>
      <c r="AE54" s="102">
        <v>491.27100000000002</v>
      </c>
      <c r="AF54" s="102">
        <v>42.412999999999997</v>
      </c>
      <c r="AG54" s="102">
        <v>9.0220000000000002</v>
      </c>
      <c r="AH54" s="102">
        <v>716.73199999999997</v>
      </c>
      <c r="AI54" s="102">
        <v>0</v>
      </c>
      <c r="AJ54" s="102">
        <v>0</v>
      </c>
      <c r="AK54" s="102">
        <v>0</v>
      </c>
      <c r="AL54" s="102">
        <v>0</v>
      </c>
      <c r="AM54" s="102">
        <v>0</v>
      </c>
      <c r="AN54" s="102">
        <v>0</v>
      </c>
      <c r="AO54" s="102">
        <v>0</v>
      </c>
      <c r="AP54" s="102">
        <v>1466.04</v>
      </c>
      <c r="AQ54" s="102">
        <v>111.794</v>
      </c>
      <c r="AR54" s="102">
        <v>382.60599999999999</v>
      </c>
      <c r="AS54" s="102">
        <v>479.93400000000003</v>
      </c>
      <c r="AT54" s="102">
        <v>18.655999999999999</v>
      </c>
      <c r="AU54" s="102">
        <v>4.7380000000000004</v>
      </c>
      <c r="AV54" s="102">
        <v>0</v>
      </c>
      <c r="AW54" s="102">
        <v>0</v>
      </c>
      <c r="AX54" s="102">
        <v>0</v>
      </c>
      <c r="AY54" s="102">
        <v>0</v>
      </c>
      <c r="AZ54" s="102">
        <v>0</v>
      </c>
      <c r="BA54" s="102">
        <v>0</v>
      </c>
      <c r="BB54" s="102">
        <v>4.5010000000000003</v>
      </c>
      <c r="BC54" s="102">
        <v>0</v>
      </c>
      <c r="BD54" s="102">
        <v>1</v>
      </c>
      <c r="BE54" s="102">
        <v>0</v>
      </c>
      <c r="BF54" s="102">
        <v>0</v>
      </c>
      <c r="BG54" s="102">
        <v>0</v>
      </c>
      <c r="BH54" s="102">
        <v>23768.945</v>
      </c>
      <c r="BI54" s="102">
        <v>3372.1770000000001</v>
      </c>
      <c r="BJ54" s="102">
        <v>50762.226000000017</v>
      </c>
      <c r="BK54" s="102">
        <v>3626.6410000000001</v>
      </c>
      <c r="BL54" s="104"/>
      <c r="BM54" s="104"/>
    </row>
    <row r="55" spans="2:65" s="88" customFormat="1">
      <c r="B55" s="137" t="s">
        <v>339</v>
      </c>
      <c r="C55" s="138" t="s">
        <v>340</v>
      </c>
      <c r="D55" s="89">
        <v>0</v>
      </c>
      <c r="E55" s="89">
        <v>0</v>
      </c>
      <c r="F55" s="89">
        <v>0</v>
      </c>
      <c r="G55" s="89">
        <v>0</v>
      </c>
      <c r="H55" s="89">
        <v>0</v>
      </c>
      <c r="I55" s="89">
        <v>0</v>
      </c>
      <c r="J55" s="89">
        <v>0</v>
      </c>
      <c r="K55" s="89">
        <v>0</v>
      </c>
      <c r="L55" s="89">
        <v>0</v>
      </c>
      <c r="M55" s="89">
        <v>0</v>
      </c>
      <c r="N55" s="89">
        <v>0</v>
      </c>
      <c r="O55" s="89">
        <v>0</v>
      </c>
      <c r="P55" s="89">
        <v>0</v>
      </c>
      <c r="Q55" s="89">
        <v>0</v>
      </c>
      <c r="R55" s="89">
        <v>812.44100000000003</v>
      </c>
      <c r="S55" s="89">
        <v>0</v>
      </c>
      <c r="T55" s="89">
        <v>0</v>
      </c>
      <c r="U55" s="89">
        <v>0</v>
      </c>
      <c r="V55" s="89">
        <v>0</v>
      </c>
      <c r="W55" s="89">
        <v>0</v>
      </c>
      <c r="X55" s="89">
        <v>22.867999999999999</v>
      </c>
      <c r="Y55" s="89">
        <v>1.5860000000000001</v>
      </c>
      <c r="Z55" s="89">
        <v>5.0629999999999997</v>
      </c>
      <c r="AA55" s="89">
        <v>0</v>
      </c>
      <c r="AB55" s="89">
        <v>0</v>
      </c>
      <c r="AC55" s="89">
        <v>0</v>
      </c>
      <c r="AD55" s="89">
        <v>4.3049999999999997</v>
      </c>
      <c r="AE55" s="89">
        <v>28.82</v>
      </c>
      <c r="AF55" s="89">
        <v>1.1579999999999999</v>
      </c>
      <c r="AG55" s="89">
        <v>0.28299999999999997</v>
      </c>
      <c r="AH55" s="89">
        <v>21.437000000000001</v>
      </c>
      <c r="AI55" s="89">
        <v>0</v>
      </c>
      <c r="AJ55" s="89">
        <v>0</v>
      </c>
      <c r="AK55" s="89">
        <v>0</v>
      </c>
      <c r="AL55" s="89">
        <v>0</v>
      </c>
      <c r="AM55" s="89">
        <v>0</v>
      </c>
      <c r="AN55" s="89">
        <v>0</v>
      </c>
      <c r="AO55" s="89">
        <v>0</v>
      </c>
      <c r="AP55" s="89">
        <v>24.754000000000001</v>
      </c>
      <c r="AQ55" s="89">
        <v>0</v>
      </c>
      <c r="AR55" s="89">
        <v>0.85499999999999998</v>
      </c>
      <c r="AS55" s="89">
        <v>18.358000000000001</v>
      </c>
      <c r="AT55" s="89">
        <v>6.8419999999999996</v>
      </c>
      <c r="AU55" s="89">
        <v>0</v>
      </c>
      <c r="AV55" s="89">
        <v>0</v>
      </c>
      <c r="AW55" s="89">
        <v>0</v>
      </c>
      <c r="AX55" s="89">
        <v>0</v>
      </c>
      <c r="AY55" s="89">
        <v>0</v>
      </c>
      <c r="AZ55" s="89">
        <v>0</v>
      </c>
      <c r="BA55" s="89">
        <v>0</v>
      </c>
      <c r="BB55" s="89">
        <v>0</v>
      </c>
      <c r="BC55" s="89">
        <v>0</v>
      </c>
      <c r="BD55" s="89">
        <v>0</v>
      </c>
      <c r="BE55" s="89">
        <v>0</v>
      </c>
      <c r="BF55" s="89">
        <v>0</v>
      </c>
      <c r="BG55" s="89">
        <v>0</v>
      </c>
      <c r="BH55" s="89">
        <v>1179.0239999999999</v>
      </c>
      <c r="BI55" s="89">
        <v>133.989</v>
      </c>
      <c r="BJ55" s="89">
        <v>2261.7829999999999</v>
      </c>
      <c r="BK55" s="89">
        <v>50.81</v>
      </c>
      <c r="BL55" s="90"/>
      <c r="BM55" s="90"/>
    </row>
    <row r="56" spans="2:65" s="88" customFormat="1">
      <c r="B56" s="137" t="s">
        <v>341</v>
      </c>
      <c r="C56" s="138" t="s">
        <v>342</v>
      </c>
      <c r="D56" s="89">
        <v>0</v>
      </c>
      <c r="E56" s="89">
        <v>0</v>
      </c>
      <c r="F56" s="89">
        <v>0</v>
      </c>
      <c r="G56" s="89">
        <v>465.971</v>
      </c>
      <c r="H56" s="89">
        <v>0</v>
      </c>
      <c r="I56" s="89">
        <v>0</v>
      </c>
      <c r="J56" s="89">
        <v>0</v>
      </c>
      <c r="K56" s="89">
        <v>0</v>
      </c>
      <c r="L56" s="89">
        <v>0</v>
      </c>
      <c r="M56" s="89">
        <v>0</v>
      </c>
      <c r="N56" s="89">
        <v>0</v>
      </c>
      <c r="O56" s="89">
        <v>0</v>
      </c>
      <c r="P56" s="89">
        <v>0</v>
      </c>
      <c r="Q56" s="89">
        <v>0</v>
      </c>
      <c r="R56" s="89">
        <v>260.96800000000002</v>
      </c>
      <c r="S56" s="89">
        <v>0</v>
      </c>
      <c r="T56" s="89">
        <v>0</v>
      </c>
      <c r="U56" s="89">
        <v>0</v>
      </c>
      <c r="V56" s="89">
        <v>0</v>
      </c>
      <c r="W56" s="89">
        <v>0</v>
      </c>
      <c r="X56" s="89">
        <v>3.6880000000000002</v>
      </c>
      <c r="Y56" s="89">
        <v>0.218</v>
      </c>
      <c r="Z56" s="89">
        <v>8.2000000000000003E-2</v>
      </c>
      <c r="AA56" s="89">
        <v>0</v>
      </c>
      <c r="AB56" s="89">
        <v>0</v>
      </c>
      <c r="AC56" s="89">
        <v>0</v>
      </c>
      <c r="AD56" s="89">
        <v>3.323</v>
      </c>
      <c r="AE56" s="89">
        <v>3.5129999999999999</v>
      </c>
      <c r="AF56" s="89">
        <v>0.56799999999999995</v>
      </c>
      <c r="AG56" s="89">
        <v>0.60299999999999998</v>
      </c>
      <c r="AH56" s="89">
        <v>16.622</v>
      </c>
      <c r="AI56" s="89">
        <v>0</v>
      </c>
      <c r="AJ56" s="89">
        <v>0</v>
      </c>
      <c r="AK56" s="89">
        <v>0</v>
      </c>
      <c r="AL56" s="89">
        <v>0</v>
      </c>
      <c r="AM56" s="89">
        <v>0</v>
      </c>
      <c r="AN56" s="89">
        <v>0</v>
      </c>
      <c r="AO56" s="89">
        <v>0</v>
      </c>
      <c r="AP56" s="89">
        <v>27.902000000000001</v>
      </c>
      <c r="AQ56" s="89">
        <v>1.9179999999999999</v>
      </c>
      <c r="AR56" s="89">
        <v>21.628</v>
      </c>
      <c r="AS56" s="89">
        <v>53.453000000000003</v>
      </c>
      <c r="AT56" s="89">
        <v>0</v>
      </c>
      <c r="AU56" s="89">
        <v>4.7380000000000004</v>
      </c>
      <c r="AV56" s="89">
        <v>0</v>
      </c>
      <c r="AW56" s="89">
        <v>0</v>
      </c>
      <c r="AX56" s="89">
        <v>0</v>
      </c>
      <c r="AY56" s="89">
        <v>0</v>
      </c>
      <c r="AZ56" s="89">
        <v>0</v>
      </c>
      <c r="BA56" s="89">
        <v>0</v>
      </c>
      <c r="BB56" s="89">
        <v>0</v>
      </c>
      <c r="BC56" s="89">
        <v>0</v>
      </c>
      <c r="BD56" s="89">
        <v>0</v>
      </c>
      <c r="BE56" s="89">
        <v>0</v>
      </c>
      <c r="BF56" s="89">
        <v>0</v>
      </c>
      <c r="BG56" s="89">
        <v>0</v>
      </c>
      <c r="BH56" s="89">
        <v>888.39499999999998</v>
      </c>
      <c r="BI56" s="89">
        <v>253.047</v>
      </c>
      <c r="BJ56" s="89">
        <v>2006.6370000000002</v>
      </c>
      <c r="BK56" s="89">
        <v>109.64</v>
      </c>
      <c r="BL56" s="90"/>
      <c r="BM56" s="90"/>
    </row>
    <row r="57" spans="2:65" s="88" customFormat="1">
      <c r="B57" s="137" t="s">
        <v>343</v>
      </c>
      <c r="C57" s="138" t="s">
        <v>344</v>
      </c>
      <c r="D57" s="89">
        <v>0</v>
      </c>
      <c r="E57" s="89">
        <v>0</v>
      </c>
      <c r="F57" s="89">
        <v>0</v>
      </c>
      <c r="G57" s="89">
        <v>0</v>
      </c>
      <c r="H57" s="89">
        <v>0</v>
      </c>
      <c r="I57" s="89">
        <v>0</v>
      </c>
      <c r="J57" s="89">
        <v>0</v>
      </c>
      <c r="K57" s="89">
        <v>0</v>
      </c>
      <c r="L57" s="89">
        <v>0</v>
      </c>
      <c r="M57" s="89">
        <v>0</v>
      </c>
      <c r="N57" s="89">
        <v>0</v>
      </c>
      <c r="O57" s="89">
        <v>0</v>
      </c>
      <c r="P57" s="89">
        <v>0</v>
      </c>
      <c r="Q57" s="89">
        <v>0</v>
      </c>
      <c r="R57" s="89">
        <v>27</v>
      </c>
      <c r="S57" s="89">
        <v>0</v>
      </c>
      <c r="T57" s="89">
        <v>0</v>
      </c>
      <c r="U57" s="89">
        <v>0</v>
      </c>
      <c r="V57" s="89">
        <v>0</v>
      </c>
      <c r="W57" s="89">
        <v>0</v>
      </c>
      <c r="X57" s="89">
        <v>0.24099999999999999</v>
      </c>
      <c r="Y57" s="89">
        <v>0</v>
      </c>
      <c r="Z57" s="89">
        <v>2.4E-2</v>
      </c>
      <c r="AA57" s="89">
        <v>0</v>
      </c>
      <c r="AB57" s="89">
        <v>0</v>
      </c>
      <c r="AC57" s="89">
        <v>0</v>
      </c>
      <c r="AD57" s="89">
        <v>1.7999999999999999E-2</v>
      </c>
      <c r="AE57" s="89">
        <v>1.0409999999999999</v>
      </c>
      <c r="AF57" s="89">
        <v>0</v>
      </c>
      <c r="AG57" s="89">
        <v>7.3999999999999996E-2</v>
      </c>
      <c r="AH57" s="89">
        <v>1.18</v>
      </c>
      <c r="AI57" s="89">
        <v>0</v>
      </c>
      <c r="AJ57" s="89">
        <v>0</v>
      </c>
      <c r="AK57" s="89">
        <v>0</v>
      </c>
      <c r="AL57" s="89">
        <v>0</v>
      </c>
      <c r="AM57" s="89">
        <v>0</v>
      </c>
      <c r="AN57" s="89">
        <v>0</v>
      </c>
      <c r="AO57" s="89">
        <v>0</v>
      </c>
      <c r="AP57" s="89">
        <v>0</v>
      </c>
      <c r="AQ57" s="89">
        <v>0</v>
      </c>
      <c r="AR57" s="89">
        <v>5.806</v>
      </c>
      <c r="AS57" s="89">
        <v>61.811</v>
      </c>
      <c r="AT57" s="89">
        <v>0</v>
      </c>
      <c r="AU57" s="89">
        <v>0</v>
      </c>
      <c r="AV57" s="89">
        <v>0</v>
      </c>
      <c r="AW57" s="89">
        <v>0</v>
      </c>
      <c r="AX57" s="89">
        <v>0</v>
      </c>
      <c r="AY57" s="89">
        <v>0</v>
      </c>
      <c r="AZ57" s="89">
        <v>0</v>
      </c>
      <c r="BA57" s="89">
        <v>0</v>
      </c>
      <c r="BB57" s="89">
        <v>0</v>
      </c>
      <c r="BC57" s="89">
        <v>0</v>
      </c>
      <c r="BD57" s="89">
        <v>0</v>
      </c>
      <c r="BE57" s="89">
        <v>0</v>
      </c>
      <c r="BF57" s="89">
        <v>0</v>
      </c>
      <c r="BG57" s="89">
        <v>0</v>
      </c>
      <c r="BH57" s="89">
        <v>149.17099999999999</v>
      </c>
      <c r="BI57" s="89">
        <v>8.7420000000000009</v>
      </c>
      <c r="BJ57" s="89">
        <v>255.10799999999998</v>
      </c>
      <c r="BK57" s="89">
        <v>67.617000000000004</v>
      </c>
      <c r="BL57" s="90"/>
      <c r="BM57" s="90"/>
    </row>
    <row r="58" spans="2:65" s="88" customFormat="1" collapsed="1">
      <c r="B58" s="137" t="s">
        <v>345</v>
      </c>
      <c r="C58" s="138" t="s">
        <v>346</v>
      </c>
      <c r="D58" s="89">
        <v>0</v>
      </c>
      <c r="E58" s="89">
        <v>0</v>
      </c>
      <c r="F58" s="89">
        <v>0</v>
      </c>
      <c r="G58" s="89">
        <v>0</v>
      </c>
      <c r="H58" s="89">
        <v>0</v>
      </c>
      <c r="I58" s="89">
        <v>0</v>
      </c>
      <c r="J58" s="89">
        <v>0</v>
      </c>
      <c r="K58" s="89">
        <v>0</v>
      </c>
      <c r="L58" s="89">
        <v>0</v>
      </c>
      <c r="M58" s="89">
        <v>0</v>
      </c>
      <c r="N58" s="89">
        <v>0</v>
      </c>
      <c r="O58" s="89">
        <v>0</v>
      </c>
      <c r="P58" s="89">
        <v>0</v>
      </c>
      <c r="Q58" s="89">
        <v>0</v>
      </c>
      <c r="R58" s="89">
        <v>292.65300000000002</v>
      </c>
      <c r="S58" s="89">
        <v>0</v>
      </c>
      <c r="T58" s="89">
        <v>0</v>
      </c>
      <c r="U58" s="89">
        <v>0</v>
      </c>
      <c r="V58" s="89">
        <v>0</v>
      </c>
      <c r="W58" s="89">
        <v>0</v>
      </c>
      <c r="X58" s="89">
        <v>5.32</v>
      </c>
      <c r="Y58" s="89">
        <v>0</v>
      </c>
      <c r="Z58" s="89">
        <v>1.4E-2</v>
      </c>
      <c r="AA58" s="89">
        <v>0</v>
      </c>
      <c r="AB58" s="89">
        <v>0</v>
      </c>
      <c r="AC58" s="89">
        <v>0</v>
      </c>
      <c r="AD58" s="89">
        <v>0.189</v>
      </c>
      <c r="AE58" s="89">
        <v>3.1560000000000001</v>
      </c>
      <c r="AF58" s="89">
        <v>0</v>
      </c>
      <c r="AG58" s="89">
        <v>0.41099999999999998</v>
      </c>
      <c r="AH58" s="89">
        <v>17.802</v>
      </c>
      <c r="AI58" s="89">
        <v>0</v>
      </c>
      <c r="AJ58" s="89">
        <v>0</v>
      </c>
      <c r="AK58" s="89">
        <v>0</v>
      </c>
      <c r="AL58" s="89">
        <v>0</v>
      </c>
      <c r="AM58" s="89">
        <v>0</v>
      </c>
      <c r="AN58" s="89">
        <v>0</v>
      </c>
      <c r="AO58" s="89">
        <v>0</v>
      </c>
      <c r="AP58" s="89">
        <v>282.18599999999998</v>
      </c>
      <c r="AQ58" s="89">
        <v>20.359000000000002</v>
      </c>
      <c r="AR58" s="89">
        <v>116.846</v>
      </c>
      <c r="AS58" s="89">
        <v>178.86699999999999</v>
      </c>
      <c r="AT58" s="89">
        <v>1.9139999999999999</v>
      </c>
      <c r="AU58" s="89">
        <v>0</v>
      </c>
      <c r="AV58" s="89">
        <v>0</v>
      </c>
      <c r="AW58" s="89">
        <v>0</v>
      </c>
      <c r="AX58" s="89">
        <v>0</v>
      </c>
      <c r="AY58" s="89">
        <v>0</v>
      </c>
      <c r="AZ58" s="89">
        <v>0</v>
      </c>
      <c r="BA58" s="89">
        <v>0</v>
      </c>
      <c r="BB58" s="89">
        <v>0</v>
      </c>
      <c r="BC58" s="89">
        <v>0</v>
      </c>
      <c r="BD58" s="89">
        <v>0</v>
      </c>
      <c r="BE58" s="89">
        <v>0</v>
      </c>
      <c r="BF58" s="89">
        <v>0</v>
      </c>
      <c r="BG58" s="89">
        <v>0</v>
      </c>
      <c r="BH58" s="89">
        <v>851.62599999999998</v>
      </c>
      <c r="BI58" s="89">
        <v>255.476</v>
      </c>
      <c r="BJ58" s="89">
        <v>2026.819</v>
      </c>
      <c r="BK58" s="89">
        <v>600.17200000000003</v>
      </c>
      <c r="BL58" s="90"/>
      <c r="BM58" s="90"/>
    </row>
    <row r="59" spans="2:65" s="183" customFormat="1">
      <c r="B59" s="179" t="s">
        <v>347</v>
      </c>
      <c r="C59" s="180" t="s">
        <v>348</v>
      </c>
      <c r="D59" s="181">
        <v>0</v>
      </c>
      <c r="E59" s="181">
        <v>0</v>
      </c>
      <c r="F59" s="181">
        <v>0</v>
      </c>
      <c r="G59" s="181">
        <v>657.60400000000004</v>
      </c>
      <c r="H59" s="181">
        <v>0</v>
      </c>
      <c r="I59" s="181">
        <v>0</v>
      </c>
      <c r="J59" s="181">
        <v>0</v>
      </c>
      <c r="K59" s="181">
        <v>0</v>
      </c>
      <c r="L59" s="181">
        <v>0</v>
      </c>
      <c r="M59" s="181">
        <v>0</v>
      </c>
      <c r="N59" s="181">
        <v>0</v>
      </c>
      <c r="O59" s="181">
        <v>0</v>
      </c>
      <c r="P59" s="181">
        <v>0</v>
      </c>
      <c r="Q59" s="181">
        <v>0</v>
      </c>
      <c r="R59" s="181">
        <v>1788.0070000000001</v>
      </c>
      <c r="S59" s="181">
        <v>0</v>
      </c>
      <c r="T59" s="181">
        <v>0</v>
      </c>
      <c r="U59" s="181">
        <v>0</v>
      </c>
      <c r="V59" s="181">
        <v>0</v>
      </c>
      <c r="W59" s="181">
        <v>673.02599999999995</v>
      </c>
      <c r="X59" s="181">
        <v>32.597000000000001</v>
      </c>
      <c r="Y59" s="181">
        <v>83.509</v>
      </c>
      <c r="Z59" s="181">
        <v>23.651</v>
      </c>
      <c r="AA59" s="181">
        <v>0</v>
      </c>
      <c r="AB59" s="181">
        <v>0</v>
      </c>
      <c r="AC59" s="181">
        <v>0</v>
      </c>
      <c r="AD59" s="181">
        <v>9.4329999999999998</v>
      </c>
      <c r="AE59" s="181">
        <v>17.648</v>
      </c>
      <c r="AF59" s="181">
        <v>11.587999999999999</v>
      </c>
      <c r="AG59" s="181">
        <v>1.4870000000000001</v>
      </c>
      <c r="AH59" s="181">
        <v>161.374</v>
      </c>
      <c r="AI59" s="181">
        <v>0</v>
      </c>
      <c r="AJ59" s="181">
        <v>0</v>
      </c>
      <c r="AK59" s="181">
        <v>0</v>
      </c>
      <c r="AL59" s="181">
        <v>0</v>
      </c>
      <c r="AM59" s="181">
        <v>0</v>
      </c>
      <c r="AN59" s="181">
        <v>0</v>
      </c>
      <c r="AO59" s="181">
        <v>0</v>
      </c>
      <c r="AP59" s="181">
        <v>215.827</v>
      </c>
      <c r="AQ59" s="181">
        <v>6.6619999999999999</v>
      </c>
      <c r="AR59" s="181">
        <v>190.392</v>
      </c>
      <c r="AS59" s="181">
        <v>35.686999999999998</v>
      </c>
      <c r="AT59" s="181">
        <v>6.1980000000000004</v>
      </c>
      <c r="AU59" s="181">
        <v>0</v>
      </c>
      <c r="AV59" s="181">
        <v>0</v>
      </c>
      <c r="AW59" s="181">
        <v>0</v>
      </c>
      <c r="AX59" s="181">
        <v>0</v>
      </c>
      <c r="AY59" s="181">
        <v>0</v>
      </c>
      <c r="AZ59" s="181">
        <v>0</v>
      </c>
      <c r="BA59" s="181">
        <v>0</v>
      </c>
      <c r="BB59" s="181">
        <v>0</v>
      </c>
      <c r="BC59" s="181">
        <v>0</v>
      </c>
      <c r="BD59" s="181">
        <v>0</v>
      </c>
      <c r="BE59" s="181">
        <v>0</v>
      </c>
      <c r="BF59" s="181">
        <v>0</v>
      </c>
      <c r="BG59" s="181">
        <v>0</v>
      </c>
      <c r="BH59" s="181">
        <v>4716.4110000000001</v>
      </c>
      <c r="BI59" s="181">
        <v>2357.7649999999999</v>
      </c>
      <c r="BJ59" s="181">
        <v>10988.865999999998</v>
      </c>
      <c r="BK59" s="181">
        <v>1127.7929999999999</v>
      </c>
      <c r="BL59" s="182"/>
      <c r="BM59" s="182"/>
    </row>
    <row r="60" spans="2:65" s="88" customFormat="1">
      <c r="B60" s="137" t="s">
        <v>349</v>
      </c>
      <c r="C60" s="138" t="s">
        <v>350</v>
      </c>
      <c r="D60" s="89">
        <v>0</v>
      </c>
      <c r="E60" s="89">
        <v>0</v>
      </c>
      <c r="F60" s="89">
        <v>0</v>
      </c>
      <c r="G60" s="89">
        <v>2361.35</v>
      </c>
      <c r="H60" s="89">
        <v>0</v>
      </c>
      <c r="I60" s="89">
        <v>0</v>
      </c>
      <c r="J60" s="89">
        <v>0</v>
      </c>
      <c r="K60" s="89">
        <v>0</v>
      </c>
      <c r="L60" s="89">
        <v>0</v>
      </c>
      <c r="M60" s="89">
        <v>0</v>
      </c>
      <c r="N60" s="89">
        <v>0</v>
      </c>
      <c r="O60" s="89">
        <v>0</v>
      </c>
      <c r="P60" s="89">
        <v>0</v>
      </c>
      <c r="Q60" s="89">
        <v>0</v>
      </c>
      <c r="R60" s="89">
        <v>598.26900000000001</v>
      </c>
      <c r="S60" s="89">
        <v>0</v>
      </c>
      <c r="T60" s="89">
        <v>0</v>
      </c>
      <c r="U60" s="89">
        <v>0</v>
      </c>
      <c r="V60" s="89">
        <v>0</v>
      </c>
      <c r="W60" s="89">
        <v>0</v>
      </c>
      <c r="X60" s="89">
        <v>16.216000000000001</v>
      </c>
      <c r="Y60" s="89">
        <v>5.0000000000000001E-3</v>
      </c>
      <c r="Z60" s="89">
        <v>0.22900000000000001</v>
      </c>
      <c r="AA60" s="89">
        <v>0</v>
      </c>
      <c r="AB60" s="89">
        <v>0</v>
      </c>
      <c r="AC60" s="89">
        <v>0</v>
      </c>
      <c r="AD60" s="89">
        <v>1.6879999999999999</v>
      </c>
      <c r="AE60" s="89">
        <v>136.75</v>
      </c>
      <c r="AF60" s="89">
        <v>2.9169999999999998</v>
      </c>
      <c r="AG60" s="89">
        <v>4</v>
      </c>
      <c r="AH60" s="89">
        <v>257.04700000000003</v>
      </c>
      <c r="AI60" s="89">
        <v>0</v>
      </c>
      <c r="AJ60" s="89">
        <v>0</v>
      </c>
      <c r="AK60" s="89">
        <v>0</v>
      </c>
      <c r="AL60" s="89">
        <v>0</v>
      </c>
      <c r="AM60" s="89">
        <v>0</v>
      </c>
      <c r="AN60" s="89">
        <v>0</v>
      </c>
      <c r="AO60" s="89">
        <v>0</v>
      </c>
      <c r="AP60" s="89">
        <v>699.05100000000004</v>
      </c>
      <c r="AQ60" s="89">
        <v>0</v>
      </c>
      <c r="AR60" s="89">
        <v>0</v>
      </c>
      <c r="AS60" s="89">
        <v>0.44900000000000001</v>
      </c>
      <c r="AT60" s="89">
        <v>0</v>
      </c>
      <c r="AU60" s="89">
        <v>0</v>
      </c>
      <c r="AV60" s="89">
        <v>0</v>
      </c>
      <c r="AW60" s="89">
        <v>0</v>
      </c>
      <c r="AX60" s="89">
        <v>0</v>
      </c>
      <c r="AY60" s="89">
        <v>0</v>
      </c>
      <c r="AZ60" s="89">
        <v>0</v>
      </c>
      <c r="BA60" s="89">
        <v>0</v>
      </c>
      <c r="BB60" s="89">
        <v>0</v>
      </c>
      <c r="BC60" s="89">
        <v>0</v>
      </c>
      <c r="BD60" s="89">
        <v>0</v>
      </c>
      <c r="BE60" s="89">
        <v>0</v>
      </c>
      <c r="BF60" s="89">
        <v>0</v>
      </c>
      <c r="BG60" s="89">
        <v>0</v>
      </c>
      <c r="BH60" s="89">
        <v>1008.274</v>
      </c>
      <c r="BI60" s="89">
        <v>0.33400000000000002</v>
      </c>
      <c r="BJ60" s="89">
        <v>5086.5789999999997</v>
      </c>
      <c r="BK60" s="89">
        <v>699.5</v>
      </c>
      <c r="BL60" s="90"/>
      <c r="BM60" s="90"/>
    </row>
    <row r="61" spans="2:65" s="189" customFormat="1">
      <c r="B61" s="185" t="s">
        <v>351</v>
      </c>
      <c r="C61" s="186" t="s">
        <v>352</v>
      </c>
      <c r="D61" s="187">
        <v>0</v>
      </c>
      <c r="E61" s="187">
        <v>900.23</v>
      </c>
      <c r="F61" s="187">
        <v>0</v>
      </c>
      <c r="G61" s="187">
        <v>0</v>
      </c>
      <c r="H61" s="187">
        <v>0</v>
      </c>
      <c r="I61" s="187">
        <v>0</v>
      </c>
      <c r="J61" s="187">
        <v>0</v>
      </c>
      <c r="K61" s="187">
        <v>0</v>
      </c>
      <c r="L61" s="187">
        <v>719.91099999999994</v>
      </c>
      <c r="M61" s="187">
        <v>0</v>
      </c>
      <c r="N61" s="187">
        <v>1842.117</v>
      </c>
      <c r="O61" s="187">
        <v>44.777999999999999</v>
      </c>
      <c r="P61" s="187">
        <v>353.68299999999999</v>
      </c>
      <c r="Q61" s="187">
        <v>416.21199999999999</v>
      </c>
      <c r="R61" s="187">
        <v>1247.2249999999999</v>
      </c>
      <c r="S61" s="187">
        <v>0</v>
      </c>
      <c r="T61" s="187">
        <v>0</v>
      </c>
      <c r="U61" s="187">
        <v>0</v>
      </c>
      <c r="V61" s="187">
        <v>0</v>
      </c>
      <c r="W61" s="187">
        <v>0</v>
      </c>
      <c r="X61" s="187">
        <v>26.753</v>
      </c>
      <c r="Y61" s="187">
        <v>19.042999999999999</v>
      </c>
      <c r="Z61" s="187">
        <v>0.13100000000000001</v>
      </c>
      <c r="AA61" s="187">
        <v>0</v>
      </c>
      <c r="AB61" s="187">
        <v>0</v>
      </c>
      <c r="AC61" s="187">
        <v>7.0000000000000001E-3</v>
      </c>
      <c r="AD61" s="187">
        <v>0.33500000000000002</v>
      </c>
      <c r="AE61" s="187">
        <v>12.895</v>
      </c>
      <c r="AF61" s="187">
        <v>6.7489999999999997</v>
      </c>
      <c r="AG61" s="187">
        <v>3.0000000000000001E-3</v>
      </c>
      <c r="AH61" s="187">
        <v>11.083</v>
      </c>
      <c r="AI61" s="187">
        <v>0</v>
      </c>
      <c r="AJ61" s="187">
        <v>0</v>
      </c>
      <c r="AK61" s="187">
        <v>0</v>
      </c>
      <c r="AL61" s="187">
        <v>0</v>
      </c>
      <c r="AM61" s="187">
        <v>0</v>
      </c>
      <c r="AN61" s="187">
        <v>0</v>
      </c>
      <c r="AO61" s="187">
        <v>0</v>
      </c>
      <c r="AP61" s="187">
        <v>3.984</v>
      </c>
      <c r="AQ61" s="187">
        <v>0</v>
      </c>
      <c r="AR61" s="187">
        <v>0</v>
      </c>
      <c r="AS61" s="187">
        <v>7.2869999999999999</v>
      </c>
      <c r="AT61" s="187">
        <v>0</v>
      </c>
      <c r="AU61" s="187">
        <v>0</v>
      </c>
      <c r="AV61" s="187">
        <v>0</v>
      </c>
      <c r="AW61" s="187">
        <v>0</v>
      </c>
      <c r="AX61" s="187">
        <v>0</v>
      </c>
      <c r="AY61" s="187">
        <v>0</v>
      </c>
      <c r="AZ61" s="187">
        <v>0</v>
      </c>
      <c r="BA61" s="187">
        <v>0</v>
      </c>
      <c r="BB61" s="187">
        <v>0</v>
      </c>
      <c r="BC61" s="187">
        <v>0</v>
      </c>
      <c r="BD61" s="187">
        <v>0</v>
      </c>
      <c r="BE61" s="187">
        <v>0</v>
      </c>
      <c r="BF61" s="187">
        <v>0</v>
      </c>
      <c r="BG61" s="187">
        <v>0</v>
      </c>
      <c r="BH61" s="187">
        <v>4556.7380000000003</v>
      </c>
      <c r="BI61" s="187">
        <v>6.2039999999999997</v>
      </c>
      <c r="BJ61" s="187">
        <v>10175.367999999999</v>
      </c>
      <c r="BK61" s="187">
        <v>409.733</v>
      </c>
      <c r="BL61" s="188"/>
      <c r="BM61" s="188"/>
    </row>
    <row r="62" spans="2:65" s="194" customFormat="1">
      <c r="B62" s="190" t="s">
        <v>125</v>
      </c>
      <c r="C62" s="191" t="s">
        <v>353</v>
      </c>
      <c r="D62" s="192">
        <v>0</v>
      </c>
      <c r="E62" s="192">
        <v>148.309</v>
      </c>
      <c r="F62" s="192">
        <v>0</v>
      </c>
      <c r="G62" s="192">
        <v>193.52799999999999</v>
      </c>
      <c r="H62" s="192">
        <v>0</v>
      </c>
      <c r="I62" s="192">
        <v>0</v>
      </c>
      <c r="J62" s="192">
        <v>0</v>
      </c>
      <c r="K62" s="192">
        <v>0</v>
      </c>
      <c r="L62" s="192">
        <v>0</v>
      </c>
      <c r="M62" s="192">
        <v>0</v>
      </c>
      <c r="N62" s="192">
        <v>0</v>
      </c>
      <c r="O62" s="192">
        <v>0</v>
      </c>
      <c r="P62" s="192">
        <v>0</v>
      </c>
      <c r="Q62" s="192">
        <v>0</v>
      </c>
      <c r="R62" s="192">
        <v>382.57400000000001</v>
      </c>
      <c r="S62" s="192">
        <v>0</v>
      </c>
      <c r="T62" s="192">
        <v>0</v>
      </c>
      <c r="U62" s="192">
        <v>0</v>
      </c>
      <c r="V62" s="192">
        <v>0</v>
      </c>
      <c r="W62" s="192">
        <v>0</v>
      </c>
      <c r="X62" s="192">
        <v>12.01</v>
      </c>
      <c r="Y62" s="192">
        <v>0.158</v>
      </c>
      <c r="Z62" s="192">
        <v>0</v>
      </c>
      <c r="AA62" s="192">
        <v>0</v>
      </c>
      <c r="AB62" s="192">
        <v>0</v>
      </c>
      <c r="AC62" s="192">
        <v>0</v>
      </c>
      <c r="AD62" s="192">
        <v>0.10299999999999999</v>
      </c>
      <c r="AE62" s="192">
        <v>3.1560000000000001</v>
      </c>
      <c r="AF62" s="192">
        <v>0.06</v>
      </c>
      <c r="AG62" s="192">
        <v>4.5999999999999999E-2</v>
      </c>
      <c r="AH62" s="192">
        <v>12.161</v>
      </c>
      <c r="AI62" s="192">
        <v>0</v>
      </c>
      <c r="AJ62" s="192">
        <v>0</v>
      </c>
      <c r="AK62" s="192">
        <v>0</v>
      </c>
      <c r="AL62" s="192">
        <v>0</v>
      </c>
      <c r="AM62" s="192">
        <v>0</v>
      </c>
      <c r="AN62" s="192">
        <v>0</v>
      </c>
      <c r="AO62" s="192">
        <v>0</v>
      </c>
      <c r="AP62" s="192">
        <v>0</v>
      </c>
      <c r="AQ62" s="192">
        <v>0</v>
      </c>
      <c r="AR62" s="192">
        <v>0</v>
      </c>
      <c r="AS62" s="192">
        <v>0</v>
      </c>
      <c r="AT62" s="192">
        <v>0</v>
      </c>
      <c r="AU62" s="192">
        <v>0</v>
      </c>
      <c r="AV62" s="192">
        <v>0</v>
      </c>
      <c r="AW62" s="192">
        <v>0</v>
      </c>
      <c r="AX62" s="192">
        <v>0</v>
      </c>
      <c r="AY62" s="192">
        <v>0</v>
      </c>
      <c r="AZ62" s="192">
        <v>0</v>
      </c>
      <c r="BA62" s="192">
        <v>0</v>
      </c>
      <c r="BB62" s="192">
        <v>0</v>
      </c>
      <c r="BC62" s="192">
        <v>0</v>
      </c>
      <c r="BD62" s="192">
        <v>0</v>
      </c>
      <c r="BE62" s="192">
        <v>0</v>
      </c>
      <c r="BF62" s="192">
        <v>0</v>
      </c>
      <c r="BG62" s="192">
        <v>0</v>
      </c>
      <c r="BH62" s="192">
        <v>841.06600000000003</v>
      </c>
      <c r="BI62" s="192">
        <v>3.9249999999999998</v>
      </c>
      <c r="BJ62" s="192">
        <v>1597.0959999999998</v>
      </c>
      <c r="BK62" s="192">
        <v>0</v>
      </c>
      <c r="BL62" s="193"/>
      <c r="BM62" s="193"/>
    </row>
    <row r="63" spans="2:65" s="199" customFormat="1">
      <c r="B63" s="195" t="s">
        <v>354</v>
      </c>
      <c r="C63" s="196" t="s">
        <v>355</v>
      </c>
      <c r="D63" s="197">
        <v>0</v>
      </c>
      <c r="E63" s="197">
        <v>0</v>
      </c>
      <c r="F63" s="197">
        <v>0</v>
      </c>
      <c r="G63" s="197">
        <v>0</v>
      </c>
      <c r="H63" s="197">
        <v>0</v>
      </c>
      <c r="I63" s="197">
        <v>0</v>
      </c>
      <c r="J63" s="197">
        <v>0</v>
      </c>
      <c r="K63" s="197">
        <v>0</v>
      </c>
      <c r="L63" s="197">
        <v>0</v>
      </c>
      <c r="M63" s="197">
        <v>0</v>
      </c>
      <c r="N63" s="197">
        <v>0</v>
      </c>
      <c r="O63" s="197">
        <v>0</v>
      </c>
      <c r="P63" s="197">
        <v>0</v>
      </c>
      <c r="Q63" s="197">
        <v>0</v>
      </c>
      <c r="R63" s="197">
        <v>1285.3109999999999</v>
      </c>
      <c r="S63" s="197">
        <v>0</v>
      </c>
      <c r="T63" s="197">
        <v>0</v>
      </c>
      <c r="U63" s="197">
        <v>0</v>
      </c>
      <c r="V63" s="197">
        <v>0</v>
      </c>
      <c r="W63" s="197">
        <v>0</v>
      </c>
      <c r="X63" s="197">
        <v>26.971</v>
      </c>
      <c r="Y63" s="197">
        <v>0.52300000000000002</v>
      </c>
      <c r="Z63" s="197">
        <v>3.3759999999999999</v>
      </c>
      <c r="AA63" s="197">
        <v>0</v>
      </c>
      <c r="AB63" s="197">
        <v>0</v>
      </c>
      <c r="AC63" s="197">
        <v>2.8000000000000001E-2</v>
      </c>
      <c r="AD63" s="197">
        <v>5.1710000000000003</v>
      </c>
      <c r="AE63" s="197">
        <v>27.882000000000001</v>
      </c>
      <c r="AF63" s="197">
        <v>3.5649999999999999</v>
      </c>
      <c r="AG63" s="197">
        <v>0.41599999999999998</v>
      </c>
      <c r="AH63" s="197">
        <v>5.1280000000000001</v>
      </c>
      <c r="AI63" s="197">
        <v>0</v>
      </c>
      <c r="AJ63" s="197">
        <v>0</v>
      </c>
      <c r="AK63" s="197">
        <v>0</v>
      </c>
      <c r="AL63" s="197">
        <v>0</v>
      </c>
      <c r="AM63" s="197">
        <v>0</v>
      </c>
      <c r="AN63" s="197">
        <v>0</v>
      </c>
      <c r="AO63" s="197">
        <v>0</v>
      </c>
      <c r="AP63" s="197">
        <v>0</v>
      </c>
      <c r="AQ63" s="197">
        <v>0</v>
      </c>
      <c r="AR63" s="197">
        <v>1.6379999999999999</v>
      </c>
      <c r="AS63" s="197">
        <v>79.453000000000003</v>
      </c>
      <c r="AT63" s="197">
        <v>0</v>
      </c>
      <c r="AU63" s="197">
        <v>0</v>
      </c>
      <c r="AV63" s="197">
        <v>0</v>
      </c>
      <c r="AW63" s="197">
        <v>0</v>
      </c>
      <c r="AX63" s="197">
        <v>0</v>
      </c>
      <c r="AY63" s="197">
        <v>0</v>
      </c>
      <c r="AZ63" s="197">
        <v>0</v>
      </c>
      <c r="BA63" s="197">
        <v>0</v>
      </c>
      <c r="BB63" s="197">
        <v>0</v>
      </c>
      <c r="BC63" s="197">
        <v>0</v>
      </c>
      <c r="BD63" s="197">
        <v>0</v>
      </c>
      <c r="BE63" s="197">
        <v>0</v>
      </c>
      <c r="BF63" s="197">
        <v>0</v>
      </c>
      <c r="BG63" s="197">
        <v>0</v>
      </c>
      <c r="BH63" s="197">
        <v>7321.2389999999996</v>
      </c>
      <c r="BI63" s="197">
        <v>305.09800000000001</v>
      </c>
      <c r="BJ63" s="197">
        <v>9065.7989999999991</v>
      </c>
      <c r="BK63" s="197">
        <v>81.090999999999994</v>
      </c>
      <c r="BL63" s="198"/>
      <c r="BM63" s="198"/>
    </row>
    <row r="64" spans="2:65" s="199" customFormat="1">
      <c r="B64" s="195" t="s">
        <v>356</v>
      </c>
      <c r="C64" s="196" t="s">
        <v>357</v>
      </c>
      <c r="D64" s="197">
        <v>0</v>
      </c>
      <c r="E64" s="197">
        <v>0</v>
      </c>
      <c r="F64" s="197">
        <v>0</v>
      </c>
      <c r="G64" s="197">
        <v>0</v>
      </c>
      <c r="H64" s="197">
        <v>0</v>
      </c>
      <c r="I64" s="197">
        <v>0</v>
      </c>
      <c r="J64" s="197">
        <v>0</v>
      </c>
      <c r="K64" s="197">
        <v>0</v>
      </c>
      <c r="L64" s="197">
        <v>0</v>
      </c>
      <c r="M64" s="197">
        <v>0</v>
      </c>
      <c r="N64" s="197">
        <v>0</v>
      </c>
      <c r="O64" s="197">
        <v>0</v>
      </c>
      <c r="P64" s="197">
        <v>0</v>
      </c>
      <c r="Q64" s="197">
        <v>33.320999999999998</v>
      </c>
      <c r="R64" s="197">
        <v>699.03399999999999</v>
      </c>
      <c r="S64" s="197">
        <v>0</v>
      </c>
      <c r="T64" s="197">
        <v>0</v>
      </c>
      <c r="U64" s="197">
        <v>0</v>
      </c>
      <c r="V64" s="197">
        <v>0</v>
      </c>
      <c r="W64" s="197">
        <v>0</v>
      </c>
      <c r="X64" s="197">
        <v>28.260999999999999</v>
      </c>
      <c r="Y64" s="197">
        <v>1.8819999999999999</v>
      </c>
      <c r="Z64" s="197">
        <v>23.181000000000001</v>
      </c>
      <c r="AA64" s="197">
        <v>3.0000000000000001E-3</v>
      </c>
      <c r="AB64" s="197">
        <v>0</v>
      </c>
      <c r="AC64" s="197">
        <v>0</v>
      </c>
      <c r="AD64" s="197">
        <v>0.96099999999999997</v>
      </c>
      <c r="AE64" s="197">
        <v>101.648</v>
      </c>
      <c r="AF64" s="197">
        <v>12.209</v>
      </c>
      <c r="AG64" s="197">
        <v>0.27100000000000002</v>
      </c>
      <c r="AH64" s="197">
        <v>62.631999999999998</v>
      </c>
      <c r="AI64" s="197">
        <v>0</v>
      </c>
      <c r="AJ64" s="197">
        <v>0</v>
      </c>
      <c r="AK64" s="197">
        <v>0</v>
      </c>
      <c r="AL64" s="197">
        <v>0</v>
      </c>
      <c r="AM64" s="197">
        <v>0</v>
      </c>
      <c r="AN64" s="197">
        <v>0</v>
      </c>
      <c r="AO64" s="197">
        <v>0</v>
      </c>
      <c r="AP64" s="197">
        <v>0</v>
      </c>
      <c r="AQ64" s="197">
        <v>0</v>
      </c>
      <c r="AR64" s="197">
        <v>12.000999999999999</v>
      </c>
      <c r="AS64" s="197">
        <v>0.19500000000000001</v>
      </c>
      <c r="AT64" s="197">
        <v>0</v>
      </c>
      <c r="AU64" s="197">
        <v>0</v>
      </c>
      <c r="AV64" s="197">
        <v>0</v>
      </c>
      <c r="AW64" s="197">
        <v>0</v>
      </c>
      <c r="AX64" s="197">
        <v>0</v>
      </c>
      <c r="AY64" s="197">
        <v>0</v>
      </c>
      <c r="AZ64" s="197">
        <v>0</v>
      </c>
      <c r="BA64" s="197">
        <v>0</v>
      </c>
      <c r="BB64" s="197">
        <v>0</v>
      </c>
      <c r="BC64" s="197">
        <v>0</v>
      </c>
      <c r="BD64" s="197">
        <v>0</v>
      </c>
      <c r="BE64" s="197">
        <v>0</v>
      </c>
      <c r="BF64" s="197">
        <v>0</v>
      </c>
      <c r="BG64" s="197">
        <v>0</v>
      </c>
      <c r="BH64" s="197">
        <v>1881.2349999999999</v>
      </c>
      <c r="BI64" s="197">
        <v>47.548000000000002</v>
      </c>
      <c r="BJ64" s="197">
        <v>2904.3819999999996</v>
      </c>
      <c r="BK64" s="197">
        <v>12.196</v>
      </c>
      <c r="BL64" s="198"/>
      <c r="BM64" s="198"/>
    </row>
    <row r="65" spans="2:65" s="88" customFormat="1">
      <c r="B65" s="137" t="s">
        <v>128</v>
      </c>
      <c r="C65" s="138" t="s">
        <v>358</v>
      </c>
      <c r="D65" s="89">
        <v>0</v>
      </c>
      <c r="E65" s="89">
        <v>2034.8789999999999</v>
      </c>
      <c r="F65" s="89">
        <v>0</v>
      </c>
      <c r="G65" s="89">
        <v>0</v>
      </c>
      <c r="H65" s="89">
        <v>0</v>
      </c>
      <c r="I65" s="89">
        <v>0</v>
      </c>
      <c r="J65" s="89">
        <v>0</v>
      </c>
      <c r="K65" s="89">
        <v>1.123</v>
      </c>
      <c r="L65" s="89">
        <v>0</v>
      </c>
      <c r="M65" s="89">
        <v>0</v>
      </c>
      <c r="N65" s="89">
        <v>0</v>
      </c>
      <c r="O65" s="89">
        <v>0</v>
      </c>
      <c r="P65" s="89">
        <v>0</v>
      </c>
      <c r="Q65" s="89">
        <v>230.262</v>
      </c>
      <c r="R65" s="89">
        <v>152.13300000000001</v>
      </c>
      <c r="S65" s="89">
        <v>0</v>
      </c>
      <c r="T65" s="89">
        <v>0</v>
      </c>
      <c r="U65" s="89">
        <v>0</v>
      </c>
      <c r="V65" s="89">
        <v>0</v>
      </c>
      <c r="W65" s="89">
        <v>85.884</v>
      </c>
      <c r="X65" s="89">
        <v>637.08000000000004</v>
      </c>
      <c r="Y65" s="89">
        <v>137.50700000000001</v>
      </c>
      <c r="Z65" s="89">
        <v>4.2539999999999996</v>
      </c>
      <c r="AA65" s="89">
        <v>0</v>
      </c>
      <c r="AB65" s="89">
        <v>0</v>
      </c>
      <c r="AC65" s="89">
        <v>0</v>
      </c>
      <c r="AD65" s="89">
        <v>42.588999999999999</v>
      </c>
      <c r="AE65" s="89">
        <v>154.76</v>
      </c>
      <c r="AF65" s="89">
        <v>3.5979999999999999</v>
      </c>
      <c r="AG65" s="89">
        <v>1.427</v>
      </c>
      <c r="AH65" s="89">
        <v>150.268</v>
      </c>
      <c r="AI65" s="89">
        <v>0</v>
      </c>
      <c r="AJ65" s="89">
        <v>0</v>
      </c>
      <c r="AK65" s="89">
        <v>0</v>
      </c>
      <c r="AL65" s="89">
        <v>0</v>
      </c>
      <c r="AM65" s="89">
        <v>0</v>
      </c>
      <c r="AN65" s="89">
        <v>0</v>
      </c>
      <c r="AO65" s="89">
        <v>0</v>
      </c>
      <c r="AP65" s="89">
        <v>212.33500000000001</v>
      </c>
      <c r="AQ65" s="89">
        <v>82.855000000000004</v>
      </c>
      <c r="AR65" s="89">
        <v>33.439</v>
      </c>
      <c r="AS65" s="89">
        <v>44.372999999999998</v>
      </c>
      <c r="AT65" s="89">
        <v>3.702</v>
      </c>
      <c r="AU65" s="89">
        <v>0</v>
      </c>
      <c r="AV65" s="89">
        <v>0</v>
      </c>
      <c r="AW65" s="89">
        <v>0</v>
      </c>
      <c r="AX65" s="89">
        <v>0</v>
      </c>
      <c r="AY65" s="89">
        <v>0</v>
      </c>
      <c r="AZ65" s="89">
        <v>0</v>
      </c>
      <c r="BA65" s="89">
        <v>0</v>
      </c>
      <c r="BB65" s="89">
        <v>4.5010000000000003</v>
      </c>
      <c r="BC65" s="89">
        <v>0</v>
      </c>
      <c r="BD65" s="89">
        <v>1</v>
      </c>
      <c r="BE65" s="89">
        <v>0</v>
      </c>
      <c r="BF65" s="89">
        <v>0</v>
      </c>
      <c r="BG65" s="89">
        <v>0</v>
      </c>
      <c r="BH65" s="89">
        <v>375.76600000000002</v>
      </c>
      <c r="BI65" s="89">
        <v>4.9000000000000002E-2</v>
      </c>
      <c r="BJ65" s="89">
        <v>4393.7839999999997</v>
      </c>
      <c r="BK65" s="89">
        <v>468.089</v>
      </c>
      <c r="BL65" s="90"/>
      <c r="BM65" s="90"/>
    </row>
    <row r="66" spans="2:65" s="88" customFormat="1">
      <c r="B66" s="91" t="s">
        <v>130</v>
      </c>
      <c r="C66" s="136" t="s">
        <v>359</v>
      </c>
      <c r="D66" s="89">
        <v>0</v>
      </c>
      <c r="E66" s="89">
        <v>0</v>
      </c>
      <c r="F66" s="89">
        <v>0</v>
      </c>
      <c r="G66" s="89">
        <v>0</v>
      </c>
      <c r="H66" s="89">
        <v>0</v>
      </c>
      <c r="I66" s="89">
        <v>3.1E-2</v>
      </c>
      <c r="J66" s="89">
        <v>0</v>
      </c>
      <c r="K66" s="89">
        <v>0.54600000000000004</v>
      </c>
      <c r="L66" s="89">
        <v>0</v>
      </c>
      <c r="M66" s="89">
        <v>0</v>
      </c>
      <c r="N66" s="89">
        <v>0</v>
      </c>
      <c r="O66" s="89">
        <v>0</v>
      </c>
      <c r="P66" s="89">
        <v>0</v>
      </c>
      <c r="Q66" s="89">
        <v>0</v>
      </c>
      <c r="R66" s="89">
        <v>0.13</v>
      </c>
      <c r="S66" s="89">
        <v>0</v>
      </c>
      <c r="T66" s="89">
        <v>0</v>
      </c>
      <c r="U66" s="89">
        <v>0</v>
      </c>
      <c r="V66" s="89">
        <v>0</v>
      </c>
      <c r="W66" s="89">
        <v>0</v>
      </c>
      <c r="X66" s="89">
        <v>20.148</v>
      </c>
      <c r="Y66" s="89">
        <v>0</v>
      </c>
      <c r="Z66" s="89">
        <v>10.747</v>
      </c>
      <c r="AA66" s="89">
        <v>0</v>
      </c>
      <c r="AB66" s="89">
        <v>0</v>
      </c>
      <c r="AC66" s="89">
        <v>0</v>
      </c>
      <c r="AD66" s="89">
        <v>3.8650000000000002</v>
      </c>
      <c r="AE66" s="89">
        <v>705.48800000000006</v>
      </c>
      <c r="AF66" s="89">
        <v>8.4380000000000006</v>
      </c>
      <c r="AG66" s="89">
        <v>6.1130000000000004</v>
      </c>
      <c r="AH66" s="89">
        <v>4.1440000000000001</v>
      </c>
      <c r="AI66" s="89">
        <v>0</v>
      </c>
      <c r="AJ66" s="89">
        <v>0</v>
      </c>
      <c r="AK66" s="89">
        <v>0</v>
      </c>
      <c r="AL66" s="89">
        <v>0</v>
      </c>
      <c r="AM66" s="89">
        <v>0</v>
      </c>
      <c r="AN66" s="89">
        <v>0</v>
      </c>
      <c r="AO66" s="89">
        <v>0</v>
      </c>
      <c r="AP66" s="89">
        <v>12.077</v>
      </c>
      <c r="AQ66" s="89">
        <v>21.359000000000002</v>
      </c>
      <c r="AR66" s="89">
        <v>0</v>
      </c>
      <c r="AS66" s="89">
        <v>0</v>
      </c>
      <c r="AT66" s="89">
        <v>3.4000000000000002E-2</v>
      </c>
      <c r="AU66" s="89">
        <v>0</v>
      </c>
      <c r="AV66" s="89">
        <v>0</v>
      </c>
      <c r="AW66" s="89">
        <v>0</v>
      </c>
      <c r="AX66" s="89">
        <v>0</v>
      </c>
      <c r="AY66" s="89">
        <v>0</v>
      </c>
      <c r="AZ66" s="89">
        <v>0</v>
      </c>
      <c r="BA66" s="89">
        <v>0</v>
      </c>
      <c r="BB66" s="89">
        <v>0</v>
      </c>
      <c r="BC66" s="89">
        <v>0</v>
      </c>
      <c r="BD66" s="89">
        <v>0</v>
      </c>
      <c r="BE66" s="89">
        <v>0</v>
      </c>
      <c r="BF66" s="89">
        <v>0</v>
      </c>
      <c r="BG66" s="89">
        <v>0</v>
      </c>
      <c r="BH66" s="89">
        <v>0.83599999999999997</v>
      </c>
      <c r="BI66" s="89">
        <v>0</v>
      </c>
      <c r="BJ66" s="89">
        <v>793.95600000000013</v>
      </c>
      <c r="BK66" s="89">
        <v>33.47</v>
      </c>
      <c r="BL66" s="90"/>
      <c r="BM66" s="90"/>
    </row>
    <row r="67" spans="2:65">
      <c r="B67" s="116" t="s">
        <v>121</v>
      </c>
      <c r="C67" s="117" t="s">
        <v>360</v>
      </c>
      <c r="D67" s="102">
        <v>0</v>
      </c>
      <c r="E67" s="102">
        <v>0</v>
      </c>
      <c r="F67" s="102">
        <v>0</v>
      </c>
      <c r="G67" s="102">
        <v>0</v>
      </c>
      <c r="H67" s="102">
        <v>0</v>
      </c>
      <c r="I67" s="102">
        <v>0</v>
      </c>
      <c r="J67" s="102">
        <v>0</v>
      </c>
      <c r="K67" s="102">
        <v>0</v>
      </c>
      <c r="L67" s="102">
        <v>0</v>
      </c>
      <c r="M67" s="102">
        <v>0</v>
      </c>
      <c r="N67" s="102">
        <v>0</v>
      </c>
      <c r="O67" s="102">
        <v>0</v>
      </c>
      <c r="P67" s="102">
        <v>0</v>
      </c>
      <c r="Q67" s="102">
        <v>0</v>
      </c>
      <c r="R67" s="102">
        <v>1215.556</v>
      </c>
      <c r="S67" s="102">
        <v>0</v>
      </c>
      <c r="T67" s="102">
        <v>0</v>
      </c>
      <c r="U67" s="102">
        <v>0</v>
      </c>
      <c r="V67" s="102">
        <v>0</v>
      </c>
      <c r="W67" s="102">
        <v>0</v>
      </c>
      <c r="X67" s="102">
        <v>5.2140000000000004</v>
      </c>
      <c r="Y67" s="102">
        <v>3586.989</v>
      </c>
      <c r="Z67" s="102">
        <v>10007.453</v>
      </c>
      <c r="AA67" s="102">
        <v>0.01</v>
      </c>
      <c r="AB67" s="102">
        <v>0</v>
      </c>
      <c r="AC67" s="102">
        <v>2657.922</v>
      </c>
      <c r="AD67" s="102">
        <v>24.895</v>
      </c>
      <c r="AE67" s="102">
        <v>19447.017</v>
      </c>
      <c r="AF67" s="102">
        <v>81.055999999999997</v>
      </c>
      <c r="AG67" s="102">
        <v>14.747999999999999</v>
      </c>
      <c r="AH67" s="102">
        <v>130.364</v>
      </c>
      <c r="AI67" s="102">
        <v>0</v>
      </c>
      <c r="AJ67" s="102">
        <v>0</v>
      </c>
      <c r="AK67" s="102">
        <v>0</v>
      </c>
      <c r="AL67" s="102">
        <v>0</v>
      </c>
      <c r="AM67" s="102">
        <v>0</v>
      </c>
      <c r="AN67" s="102">
        <v>0</v>
      </c>
      <c r="AO67" s="102">
        <v>0</v>
      </c>
      <c r="AP67" s="102">
        <v>0</v>
      </c>
      <c r="AQ67" s="102">
        <v>0</v>
      </c>
      <c r="AR67" s="102">
        <v>0</v>
      </c>
      <c r="AS67" s="102">
        <v>0</v>
      </c>
      <c r="AT67" s="102">
        <v>0</v>
      </c>
      <c r="AU67" s="102">
        <v>0</v>
      </c>
      <c r="AV67" s="102">
        <v>0</v>
      </c>
      <c r="AW67" s="102">
        <v>685.42399999999998</v>
      </c>
      <c r="AX67" s="102">
        <v>0</v>
      </c>
      <c r="AY67" s="102">
        <v>0</v>
      </c>
      <c r="AZ67" s="102">
        <v>0</v>
      </c>
      <c r="BA67" s="102">
        <v>0</v>
      </c>
      <c r="BB67" s="102">
        <v>0</v>
      </c>
      <c r="BC67" s="102">
        <v>0</v>
      </c>
      <c r="BD67" s="102">
        <v>0</v>
      </c>
      <c r="BE67" s="102">
        <v>0</v>
      </c>
      <c r="BF67" s="102">
        <v>0</v>
      </c>
      <c r="BG67" s="102">
        <v>0</v>
      </c>
      <c r="BH67" s="102">
        <v>250.14599999999999</v>
      </c>
      <c r="BI67" s="102">
        <v>0</v>
      </c>
      <c r="BJ67" s="102">
        <v>38106.793999999994</v>
      </c>
      <c r="BK67" s="102">
        <v>685.42399999999998</v>
      </c>
      <c r="BL67" s="104"/>
      <c r="BM67" s="104"/>
    </row>
    <row r="68" spans="2:65">
      <c r="B68" s="124" t="s">
        <v>361</v>
      </c>
      <c r="C68" s="126" t="s">
        <v>362</v>
      </c>
      <c r="D68" s="102">
        <v>0</v>
      </c>
      <c r="E68" s="102">
        <v>0</v>
      </c>
      <c r="F68" s="102">
        <v>0</v>
      </c>
      <c r="G68" s="102">
        <v>0</v>
      </c>
      <c r="H68" s="102">
        <v>0</v>
      </c>
      <c r="I68" s="102">
        <v>0</v>
      </c>
      <c r="J68" s="102">
        <v>0</v>
      </c>
      <c r="K68" s="102">
        <v>0</v>
      </c>
      <c r="L68" s="102">
        <v>0</v>
      </c>
      <c r="M68" s="102">
        <v>0</v>
      </c>
      <c r="N68" s="102">
        <v>0</v>
      </c>
      <c r="O68" s="102">
        <v>0</v>
      </c>
      <c r="P68" s="102">
        <v>0</v>
      </c>
      <c r="Q68" s="102">
        <v>0</v>
      </c>
      <c r="R68" s="102">
        <v>0</v>
      </c>
      <c r="S68" s="102">
        <v>0</v>
      </c>
      <c r="T68" s="102">
        <v>0</v>
      </c>
      <c r="U68" s="102">
        <v>0</v>
      </c>
      <c r="V68" s="102">
        <v>0</v>
      </c>
      <c r="W68" s="102">
        <v>0</v>
      </c>
      <c r="X68" s="102">
        <v>7.0000000000000001E-3</v>
      </c>
      <c r="Y68" s="102">
        <v>0</v>
      </c>
      <c r="Z68" s="102">
        <v>0</v>
      </c>
      <c r="AA68" s="102">
        <v>0</v>
      </c>
      <c r="AB68" s="102">
        <v>0</v>
      </c>
      <c r="AC68" s="102">
        <v>0</v>
      </c>
      <c r="AD68" s="102">
        <v>0</v>
      </c>
      <c r="AE68" s="102">
        <v>95.352000000000004</v>
      </c>
      <c r="AF68" s="102">
        <v>0</v>
      </c>
      <c r="AG68" s="102">
        <v>0</v>
      </c>
      <c r="AH68" s="102">
        <v>0</v>
      </c>
      <c r="AI68" s="102">
        <v>0</v>
      </c>
      <c r="AJ68" s="102">
        <v>0</v>
      </c>
      <c r="AK68" s="102">
        <v>0</v>
      </c>
      <c r="AL68" s="102">
        <v>0</v>
      </c>
      <c r="AM68" s="102">
        <v>0</v>
      </c>
      <c r="AN68" s="102">
        <v>0</v>
      </c>
      <c r="AO68" s="102">
        <v>0</v>
      </c>
      <c r="AP68" s="102">
        <v>0</v>
      </c>
      <c r="AQ68" s="102">
        <v>0</v>
      </c>
      <c r="AR68" s="102">
        <v>0</v>
      </c>
      <c r="AS68" s="102">
        <v>0</v>
      </c>
      <c r="AT68" s="102">
        <v>0</v>
      </c>
      <c r="AU68" s="102">
        <v>0</v>
      </c>
      <c r="AV68" s="102">
        <v>0</v>
      </c>
      <c r="AW68" s="102">
        <v>0</v>
      </c>
      <c r="AX68" s="102">
        <v>0</v>
      </c>
      <c r="AY68" s="102">
        <v>0</v>
      </c>
      <c r="AZ68" s="102">
        <v>0</v>
      </c>
      <c r="BA68" s="102">
        <v>0</v>
      </c>
      <c r="BB68" s="102">
        <v>0</v>
      </c>
      <c r="BC68" s="102">
        <v>0</v>
      </c>
      <c r="BD68" s="102">
        <v>0</v>
      </c>
      <c r="BE68" s="102">
        <v>0</v>
      </c>
      <c r="BF68" s="102">
        <v>0</v>
      </c>
      <c r="BG68" s="102">
        <v>0</v>
      </c>
      <c r="BH68" s="102">
        <v>250.14599999999999</v>
      </c>
      <c r="BI68" s="102">
        <v>0</v>
      </c>
      <c r="BJ68" s="102">
        <v>345.505</v>
      </c>
      <c r="BK68" s="102">
        <v>0</v>
      </c>
      <c r="BL68" s="104"/>
      <c r="BM68" s="104"/>
    </row>
    <row r="69" spans="2:65">
      <c r="B69" s="124" t="s">
        <v>363</v>
      </c>
      <c r="C69" s="126" t="s">
        <v>364</v>
      </c>
      <c r="D69" s="102">
        <v>0</v>
      </c>
      <c r="E69" s="102">
        <v>0</v>
      </c>
      <c r="F69" s="102">
        <v>0</v>
      </c>
      <c r="G69" s="102">
        <v>0</v>
      </c>
      <c r="H69" s="102">
        <v>0</v>
      </c>
      <c r="I69" s="102">
        <v>0</v>
      </c>
      <c r="J69" s="102">
        <v>0</v>
      </c>
      <c r="K69" s="102">
        <v>0</v>
      </c>
      <c r="L69" s="102">
        <v>0</v>
      </c>
      <c r="M69" s="102">
        <v>0</v>
      </c>
      <c r="N69" s="102">
        <v>0</v>
      </c>
      <c r="O69" s="102">
        <v>0</v>
      </c>
      <c r="P69" s="102">
        <v>0</v>
      </c>
      <c r="Q69" s="102">
        <v>0</v>
      </c>
      <c r="R69" s="102">
        <v>1215.556</v>
      </c>
      <c r="S69" s="102">
        <v>0</v>
      </c>
      <c r="T69" s="102">
        <v>0</v>
      </c>
      <c r="U69" s="102">
        <v>0</v>
      </c>
      <c r="V69" s="102">
        <v>0</v>
      </c>
      <c r="W69" s="102">
        <v>0</v>
      </c>
      <c r="X69" s="102">
        <v>3.9460000000000002</v>
      </c>
      <c r="Y69" s="102">
        <v>3586.989</v>
      </c>
      <c r="Z69" s="102">
        <v>10004.41</v>
      </c>
      <c r="AA69" s="102">
        <v>0</v>
      </c>
      <c r="AB69" s="102">
        <v>0</v>
      </c>
      <c r="AC69" s="102">
        <v>0</v>
      </c>
      <c r="AD69" s="102">
        <v>20.71</v>
      </c>
      <c r="AE69" s="102">
        <v>19211.644</v>
      </c>
      <c r="AF69" s="102">
        <v>0.97299999999999998</v>
      </c>
      <c r="AG69" s="102">
        <v>3.6999999999999998E-2</v>
      </c>
      <c r="AH69" s="102">
        <v>3.6339999999999999</v>
      </c>
      <c r="AI69" s="102">
        <v>0</v>
      </c>
      <c r="AJ69" s="102">
        <v>0</v>
      </c>
      <c r="AK69" s="102">
        <v>0</v>
      </c>
      <c r="AL69" s="102">
        <v>0</v>
      </c>
      <c r="AM69" s="102">
        <v>0</v>
      </c>
      <c r="AN69" s="102">
        <v>0</v>
      </c>
      <c r="AO69" s="102">
        <v>0</v>
      </c>
      <c r="AP69" s="102">
        <v>0</v>
      </c>
      <c r="AQ69" s="102">
        <v>0</v>
      </c>
      <c r="AR69" s="102">
        <v>0</v>
      </c>
      <c r="AS69" s="102">
        <v>0</v>
      </c>
      <c r="AT69" s="102">
        <v>0</v>
      </c>
      <c r="AU69" s="102">
        <v>0</v>
      </c>
      <c r="AV69" s="102">
        <v>0</v>
      </c>
      <c r="AW69" s="102">
        <v>685.42399999999998</v>
      </c>
      <c r="AX69" s="102">
        <v>0</v>
      </c>
      <c r="AY69" s="102">
        <v>0</v>
      </c>
      <c r="AZ69" s="102">
        <v>0</v>
      </c>
      <c r="BA69" s="102">
        <v>0</v>
      </c>
      <c r="BB69" s="102">
        <v>0</v>
      </c>
      <c r="BC69" s="102">
        <v>0</v>
      </c>
      <c r="BD69" s="102">
        <v>0</v>
      </c>
      <c r="BE69" s="102">
        <v>0</v>
      </c>
      <c r="BF69" s="102">
        <v>0</v>
      </c>
      <c r="BG69" s="102">
        <v>0</v>
      </c>
      <c r="BH69" s="102">
        <v>0</v>
      </c>
      <c r="BI69" s="102">
        <v>0</v>
      </c>
      <c r="BJ69" s="102">
        <v>34733.322999999989</v>
      </c>
      <c r="BK69" s="102">
        <v>685.42399999999998</v>
      </c>
      <c r="BL69" s="104"/>
      <c r="BM69" s="104"/>
    </row>
    <row r="70" spans="2:65">
      <c r="B70" s="124" t="s">
        <v>365</v>
      </c>
      <c r="C70" s="126" t="s">
        <v>366</v>
      </c>
      <c r="D70" s="102">
        <v>0</v>
      </c>
      <c r="E70" s="102">
        <v>0</v>
      </c>
      <c r="F70" s="102">
        <v>0</v>
      </c>
      <c r="G70" s="102">
        <v>0</v>
      </c>
      <c r="H70" s="102">
        <v>0</v>
      </c>
      <c r="I70" s="102">
        <v>0</v>
      </c>
      <c r="J70" s="102">
        <v>0</v>
      </c>
      <c r="K70" s="102">
        <v>0</v>
      </c>
      <c r="L70" s="102">
        <v>0</v>
      </c>
      <c r="M70" s="102">
        <v>0</v>
      </c>
      <c r="N70" s="102">
        <v>0</v>
      </c>
      <c r="O70" s="102">
        <v>0</v>
      </c>
      <c r="P70" s="102">
        <v>0</v>
      </c>
      <c r="Q70" s="102">
        <v>0</v>
      </c>
      <c r="R70" s="102">
        <v>0</v>
      </c>
      <c r="S70" s="102">
        <v>0</v>
      </c>
      <c r="T70" s="102">
        <v>0</v>
      </c>
      <c r="U70" s="102">
        <v>0</v>
      </c>
      <c r="V70" s="102">
        <v>0</v>
      </c>
      <c r="W70" s="102">
        <v>0</v>
      </c>
      <c r="X70" s="102">
        <v>0.93899999999999995</v>
      </c>
      <c r="Y70" s="102">
        <v>0</v>
      </c>
      <c r="Z70" s="102">
        <v>3.04</v>
      </c>
      <c r="AA70" s="102">
        <v>0</v>
      </c>
      <c r="AB70" s="102">
        <v>0</v>
      </c>
      <c r="AC70" s="102">
        <v>0</v>
      </c>
      <c r="AD70" s="102">
        <v>3.9990000000000001</v>
      </c>
      <c r="AE70" s="102">
        <v>138.947</v>
      </c>
      <c r="AF70" s="102">
        <v>80.082999999999998</v>
      </c>
      <c r="AG70" s="102">
        <v>14.711</v>
      </c>
      <c r="AH70" s="102">
        <v>126.73</v>
      </c>
      <c r="AI70" s="102">
        <v>0</v>
      </c>
      <c r="AJ70" s="102">
        <v>0</v>
      </c>
      <c r="AK70" s="102">
        <v>0</v>
      </c>
      <c r="AL70" s="102">
        <v>0</v>
      </c>
      <c r="AM70" s="102">
        <v>0</v>
      </c>
      <c r="AN70" s="102">
        <v>0</v>
      </c>
      <c r="AO70" s="102">
        <v>0</v>
      </c>
      <c r="AP70" s="102">
        <v>0</v>
      </c>
      <c r="AQ70" s="102">
        <v>0</v>
      </c>
      <c r="AR70" s="102">
        <v>0</v>
      </c>
      <c r="AS70" s="102">
        <v>0</v>
      </c>
      <c r="AT70" s="102">
        <v>0</v>
      </c>
      <c r="AU70" s="102">
        <v>0</v>
      </c>
      <c r="AV70" s="102">
        <v>0</v>
      </c>
      <c r="AW70" s="102">
        <v>0</v>
      </c>
      <c r="AX70" s="102">
        <v>0</v>
      </c>
      <c r="AY70" s="102">
        <v>0</v>
      </c>
      <c r="AZ70" s="102">
        <v>0</v>
      </c>
      <c r="BA70" s="102">
        <v>0</v>
      </c>
      <c r="BB70" s="102">
        <v>0</v>
      </c>
      <c r="BC70" s="102">
        <v>0</v>
      </c>
      <c r="BD70" s="102">
        <v>0</v>
      </c>
      <c r="BE70" s="102">
        <v>0</v>
      </c>
      <c r="BF70" s="102">
        <v>0</v>
      </c>
      <c r="BG70" s="102">
        <v>0</v>
      </c>
      <c r="BH70" s="102">
        <v>0</v>
      </c>
      <c r="BI70" s="102">
        <v>0</v>
      </c>
      <c r="BJ70" s="102">
        <v>368.44900000000001</v>
      </c>
      <c r="BK70" s="102">
        <v>0</v>
      </c>
      <c r="BL70" s="104"/>
      <c r="BM70" s="104"/>
    </row>
    <row r="71" spans="2:65">
      <c r="B71" s="124" t="s">
        <v>367</v>
      </c>
      <c r="C71" s="126" t="s">
        <v>368</v>
      </c>
      <c r="D71" s="102">
        <v>0</v>
      </c>
      <c r="E71" s="102">
        <v>0</v>
      </c>
      <c r="F71" s="102">
        <v>0</v>
      </c>
      <c r="G71" s="102">
        <v>0</v>
      </c>
      <c r="H71" s="102">
        <v>0</v>
      </c>
      <c r="I71" s="102">
        <v>0</v>
      </c>
      <c r="J71" s="102">
        <v>0</v>
      </c>
      <c r="K71" s="102">
        <v>0</v>
      </c>
      <c r="L71" s="102">
        <v>0</v>
      </c>
      <c r="M71" s="102">
        <v>0</v>
      </c>
      <c r="N71" s="102">
        <v>0</v>
      </c>
      <c r="O71" s="102">
        <v>0</v>
      </c>
      <c r="P71" s="102">
        <v>0</v>
      </c>
      <c r="Q71" s="102">
        <v>0</v>
      </c>
      <c r="R71" s="102">
        <v>0</v>
      </c>
      <c r="S71" s="102">
        <v>0</v>
      </c>
      <c r="T71" s="102">
        <v>0</v>
      </c>
      <c r="U71" s="102">
        <v>0</v>
      </c>
      <c r="V71" s="102">
        <v>0</v>
      </c>
      <c r="W71" s="102">
        <v>0</v>
      </c>
      <c r="X71" s="102">
        <v>0.32200000000000001</v>
      </c>
      <c r="Y71" s="102">
        <v>0</v>
      </c>
      <c r="Z71" s="102">
        <v>3.0000000000000001E-3</v>
      </c>
      <c r="AA71" s="102">
        <v>0.01</v>
      </c>
      <c r="AB71" s="102">
        <v>0</v>
      </c>
      <c r="AC71" s="102">
        <v>2657.922</v>
      </c>
      <c r="AD71" s="102">
        <v>0.186</v>
      </c>
      <c r="AE71" s="102">
        <v>1.075</v>
      </c>
      <c r="AF71" s="102">
        <v>0</v>
      </c>
      <c r="AG71" s="102">
        <v>0</v>
      </c>
      <c r="AH71" s="102">
        <v>0</v>
      </c>
      <c r="AI71" s="102">
        <v>0</v>
      </c>
      <c r="AJ71" s="102">
        <v>0</v>
      </c>
      <c r="AK71" s="102">
        <v>0</v>
      </c>
      <c r="AL71" s="102">
        <v>0</v>
      </c>
      <c r="AM71" s="102">
        <v>0</v>
      </c>
      <c r="AN71" s="102">
        <v>0</v>
      </c>
      <c r="AO71" s="102">
        <v>0</v>
      </c>
      <c r="AP71" s="102">
        <v>0</v>
      </c>
      <c r="AQ71" s="102">
        <v>0</v>
      </c>
      <c r="AR71" s="102">
        <v>0</v>
      </c>
      <c r="AS71" s="102">
        <v>0</v>
      </c>
      <c r="AT71" s="102">
        <v>0</v>
      </c>
      <c r="AU71" s="102">
        <v>0</v>
      </c>
      <c r="AV71" s="102">
        <v>0</v>
      </c>
      <c r="AW71" s="102">
        <v>0</v>
      </c>
      <c r="AX71" s="102">
        <v>0</v>
      </c>
      <c r="AY71" s="102">
        <v>0</v>
      </c>
      <c r="AZ71" s="102">
        <v>0</v>
      </c>
      <c r="BA71" s="102">
        <v>0</v>
      </c>
      <c r="BB71" s="102">
        <v>0</v>
      </c>
      <c r="BC71" s="102">
        <v>0</v>
      </c>
      <c r="BD71" s="102">
        <v>0</v>
      </c>
      <c r="BE71" s="102">
        <v>0</v>
      </c>
      <c r="BF71" s="102">
        <v>0</v>
      </c>
      <c r="BG71" s="102">
        <v>0</v>
      </c>
      <c r="BH71" s="102">
        <v>0</v>
      </c>
      <c r="BI71" s="102">
        <v>0</v>
      </c>
      <c r="BJ71" s="102">
        <v>2659.518</v>
      </c>
      <c r="BK71" s="102">
        <v>0</v>
      </c>
      <c r="BL71" s="104"/>
      <c r="BM71" s="104"/>
    </row>
    <row r="72" spans="2:65">
      <c r="B72" s="116" t="s">
        <v>122</v>
      </c>
      <c r="C72" s="123" t="s">
        <v>369</v>
      </c>
      <c r="D72" s="102">
        <v>0</v>
      </c>
      <c r="E72" s="102">
        <v>0</v>
      </c>
      <c r="F72" s="102">
        <v>0</v>
      </c>
      <c r="G72" s="102">
        <v>0</v>
      </c>
      <c r="H72" s="102">
        <v>0</v>
      </c>
      <c r="I72" s="102">
        <v>0</v>
      </c>
      <c r="J72" s="102">
        <v>0</v>
      </c>
      <c r="K72" s="102">
        <v>285.10599999999999</v>
      </c>
      <c r="L72" s="102">
        <v>0</v>
      </c>
      <c r="M72" s="102">
        <v>0</v>
      </c>
      <c r="N72" s="102">
        <v>0</v>
      </c>
      <c r="O72" s="102">
        <v>0</v>
      </c>
      <c r="P72" s="102">
        <v>0</v>
      </c>
      <c r="Q72" s="102">
        <v>0</v>
      </c>
      <c r="R72" s="102">
        <v>10475.422</v>
      </c>
      <c r="S72" s="102">
        <v>0</v>
      </c>
      <c r="T72" s="102">
        <v>0</v>
      </c>
      <c r="U72" s="102">
        <v>0</v>
      </c>
      <c r="V72" s="102">
        <v>0</v>
      </c>
      <c r="W72" s="102">
        <v>0</v>
      </c>
      <c r="X72" s="102">
        <v>561.08600000000001</v>
      </c>
      <c r="Y72" s="102">
        <v>21.033999999999999</v>
      </c>
      <c r="Z72" s="102">
        <v>3.1459999999999999</v>
      </c>
      <c r="AA72" s="102">
        <v>0</v>
      </c>
      <c r="AB72" s="102">
        <v>0</v>
      </c>
      <c r="AC72" s="102">
        <v>0</v>
      </c>
      <c r="AD72" s="102">
        <v>1491.3879999999999</v>
      </c>
      <c r="AE72" s="102">
        <v>37.040999999999997</v>
      </c>
      <c r="AF72" s="102">
        <v>0.85799999999999998</v>
      </c>
      <c r="AG72" s="102">
        <v>1.7000000000000001E-2</v>
      </c>
      <c r="AH72" s="102">
        <v>25.635000000000002</v>
      </c>
      <c r="AI72" s="102">
        <v>0</v>
      </c>
      <c r="AJ72" s="102">
        <v>0</v>
      </c>
      <c r="AK72" s="102">
        <v>0</v>
      </c>
      <c r="AL72" s="102">
        <v>0</v>
      </c>
      <c r="AM72" s="102">
        <v>0</v>
      </c>
      <c r="AN72" s="102">
        <v>0</v>
      </c>
      <c r="AO72" s="102">
        <v>0</v>
      </c>
      <c r="AP72" s="102">
        <v>0</v>
      </c>
      <c r="AQ72" s="102">
        <v>0</v>
      </c>
      <c r="AR72" s="102">
        <v>0</v>
      </c>
      <c r="AS72" s="102">
        <v>126.70699999999999</v>
      </c>
      <c r="AT72" s="102">
        <v>3.9140000000000001</v>
      </c>
      <c r="AU72" s="102">
        <v>1.96</v>
      </c>
      <c r="AV72" s="102">
        <v>0</v>
      </c>
      <c r="AW72" s="102">
        <v>0</v>
      </c>
      <c r="AX72" s="102">
        <v>0</v>
      </c>
      <c r="AY72" s="102">
        <v>0</v>
      </c>
      <c r="AZ72" s="102">
        <v>0</v>
      </c>
      <c r="BA72" s="102">
        <v>0</v>
      </c>
      <c r="BB72" s="102">
        <v>36.151000000000003</v>
      </c>
      <c r="BC72" s="102">
        <v>0</v>
      </c>
      <c r="BD72" s="102">
        <v>11.957000000000001</v>
      </c>
      <c r="BE72" s="102">
        <v>0</v>
      </c>
      <c r="BF72" s="102">
        <v>0</v>
      </c>
      <c r="BG72" s="102">
        <v>0</v>
      </c>
      <c r="BH72" s="102">
        <v>6114.9340000000002</v>
      </c>
      <c r="BI72" s="102">
        <v>2136.1489999999999</v>
      </c>
      <c r="BJ72" s="102">
        <v>21332.505000000001</v>
      </c>
      <c r="BK72" s="102">
        <v>180.68899999999999</v>
      </c>
      <c r="BL72" s="104"/>
      <c r="BM72" s="104"/>
    </row>
    <row r="73" spans="2:65">
      <c r="B73" s="116" t="s">
        <v>370</v>
      </c>
      <c r="C73" s="117" t="s">
        <v>371</v>
      </c>
      <c r="D73" s="102">
        <v>0</v>
      </c>
      <c r="E73" s="102">
        <v>0</v>
      </c>
      <c r="F73" s="102">
        <v>0</v>
      </c>
      <c r="G73" s="102">
        <v>0</v>
      </c>
      <c r="H73" s="102">
        <v>0</v>
      </c>
      <c r="I73" s="102">
        <v>0</v>
      </c>
      <c r="J73" s="102">
        <v>0</v>
      </c>
      <c r="K73" s="102">
        <v>116.02500000000001</v>
      </c>
      <c r="L73" s="102">
        <v>0</v>
      </c>
      <c r="M73" s="102">
        <v>0</v>
      </c>
      <c r="N73" s="102">
        <v>0</v>
      </c>
      <c r="O73" s="102">
        <v>0</v>
      </c>
      <c r="P73" s="102">
        <v>0</v>
      </c>
      <c r="Q73" s="102">
        <v>0</v>
      </c>
      <c r="R73" s="102">
        <v>3622.4290000000001</v>
      </c>
      <c r="S73" s="102">
        <v>0</v>
      </c>
      <c r="T73" s="102">
        <v>0</v>
      </c>
      <c r="U73" s="102">
        <v>0</v>
      </c>
      <c r="V73" s="102">
        <v>0</v>
      </c>
      <c r="W73" s="102">
        <v>39.645000000000003</v>
      </c>
      <c r="X73" s="102">
        <v>1155.1479999999999</v>
      </c>
      <c r="Y73" s="102">
        <v>110.038</v>
      </c>
      <c r="Z73" s="102">
        <v>45.99</v>
      </c>
      <c r="AA73" s="102">
        <v>0.78</v>
      </c>
      <c r="AB73" s="102">
        <v>0</v>
      </c>
      <c r="AC73" s="102">
        <v>13.807</v>
      </c>
      <c r="AD73" s="102">
        <v>508.43400000000003</v>
      </c>
      <c r="AE73" s="102">
        <v>1023.514</v>
      </c>
      <c r="AF73" s="102">
        <v>35.231999999999999</v>
      </c>
      <c r="AG73" s="102">
        <v>16.95</v>
      </c>
      <c r="AH73" s="102">
        <v>79.638999999999996</v>
      </c>
      <c r="AI73" s="102">
        <v>0</v>
      </c>
      <c r="AJ73" s="102">
        <v>0</v>
      </c>
      <c r="AK73" s="102">
        <v>0</v>
      </c>
      <c r="AL73" s="102">
        <v>0</v>
      </c>
      <c r="AM73" s="102">
        <v>0</v>
      </c>
      <c r="AN73" s="102">
        <v>0</v>
      </c>
      <c r="AO73" s="102">
        <v>0</v>
      </c>
      <c r="AP73" s="102">
        <v>32.323999999999998</v>
      </c>
      <c r="AQ73" s="102">
        <v>19.146999999999998</v>
      </c>
      <c r="AR73" s="102">
        <v>15.054</v>
      </c>
      <c r="AS73" s="102">
        <v>52.610999999999997</v>
      </c>
      <c r="AT73" s="102">
        <v>0</v>
      </c>
      <c r="AU73" s="102">
        <v>0</v>
      </c>
      <c r="AV73" s="102">
        <v>0</v>
      </c>
      <c r="AW73" s="102">
        <v>0</v>
      </c>
      <c r="AX73" s="102">
        <v>0</v>
      </c>
      <c r="AY73" s="102">
        <v>0</v>
      </c>
      <c r="AZ73" s="102">
        <v>0</v>
      </c>
      <c r="BA73" s="102">
        <v>0</v>
      </c>
      <c r="BB73" s="102">
        <v>3.8450000000000002</v>
      </c>
      <c r="BC73" s="102">
        <v>0</v>
      </c>
      <c r="BD73" s="102">
        <v>1.796</v>
      </c>
      <c r="BE73" s="102">
        <v>0</v>
      </c>
      <c r="BF73" s="102">
        <v>0</v>
      </c>
      <c r="BG73" s="102">
        <v>0</v>
      </c>
      <c r="BH73" s="102">
        <v>12392.861999999999</v>
      </c>
      <c r="BI73" s="102">
        <v>326.06700000000001</v>
      </c>
      <c r="BJ73" s="102">
        <v>19611.336999999996</v>
      </c>
      <c r="BK73" s="102">
        <v>164.423</v>
      </c>
      <c r="BL73" s="104"/>
      <c r="BM73" s="104"/>
    </row>
    <row r="74" spans="2:65" s="268" customFormat="1">
      <c r="B74" s="264" t="s">
        <v>372</v>
      </c>
      <c r="C74" s="265" t="s">
        <v>373</v>
      </c>
      <c r="D74" s="266">
        <v>0</v>
      </c>
      <c r="E74" s="266">
        <v>0</v>
      </c>
      <c r="F74" s="266">
        <v>0</v>
      </c>
      <c r="G74" s="266">
        <v>0</v>
      </c>
      <c r="H74" s="266">
        <v>0</v>
      </c>
      <c r="I74" s="266">
        <v>0</v>
      </c>
      <c r="J74" s="266">
        <v>0</v>
      </c>
      <c r="K74" s="266">
        <v>14.728999999999999</v>
      </c>
      <c r="L74" s="266">
        <v>0</v>
      </c>
      <c r="M74" s="266">
        <v>0</v>
      </c>
      <c r="N74" s="266">
        <v>0</v>
      </c>
      <c r="O74" s="266">
        <v>0</v>
      </c>
      <c r="P74" s="266">
        <v>0</v>
      </c>
      <c r="Q74" s="266">
        <v>0</v>
      </c>
      <c r="R74" s="266">
        <v>77.927000000000007</v>
      </c>
      <c r="S74" s="266">
        <v>0</v>
      </c>
      <c r="T74" s="266">
        <v>0</v>
      </c>
      <c r="U74" s="266">
        <v>0</v>
      </c>
      <c r="V74" s="266">
        <v>0</v>
      </c>
      <c r="W74" s="266">
        <v>0</v>
      </c>
      <c r="X74" s="266">
        <v>23.475999999999999</v>
      </c>
      <c r="Y74" s="266">
        <v>0.17699999999999999</v>
      </c>
      <c r="Z74" s="266">
        <v>37.881</v>
      </c>
      <c r="AA74" s="266">
        <v>2.335</v>
      </c>
      <c r="AB74" s="266">
        <v>0</v>
      </c>
      <c r="AC74" s="266">
        <v>439.14600000000002</v>
      </c>
      <c r="AD74" s="266">
        <v>137.20500000000001</v>
      </c>
      <c r="AE74" s="266">
        <v>694.94399999999996</v>
      </c>
      <c r="AF74" s="266">
        <v>2.8450000000000002</v>
      </c>
      <c r="AG74" s="266">
        <v>0.20599999999999999</v>
      </c>
      <c r="AH74" s="266">
        <v>6.9240000000000004</v>
      </c>
      <c r="AI74" s="266">
        <v>0</v>
      </c>
      <c r="AJ74" s="266">
        <v>0</v>
      </c>
      <c r="AK74" s="266">
        <v>0</v>
      </c>
      <c r="AL74" s="266">
        <v>0</v>
      </c>
      <c r="AM74" s="266">
        <v>0</v>
      </c>
      <c r="AN74" s="266">
        <v>0</v>
      </c>
      <c r="AO74" s="266">
        <v>0</v>
      </c>
      <c r="AP74" s="266">
        <v>61.4</v>
      </c>
      <c r="AQ74" s="266">
        <v>684.85500000000002</v>
      </c>
      <c r="AR74" s="266">
        <v>15.536</v>
      </c>
      <c r="AS74" s="266">
        <v>27.611000000000001</v>
      </c>
      <c r="AT74" s="266">
        <v>30.202999999999999</v>
      </c>
      <c r="AU74" s="266">
        <v>0</v>
      </c>
      <c r="AV74" s="266">
        <v>0</v>
      </c>
      <c r="AW74" s="266">
        <v>0</v>
      </c>
      <c r="AX74" s="266">
        <v>0</v>
      </c>
      <c r="AY74" s="266">
        <v>0</v>
      </c>
      <c r="AZ74" s="266">
        <v>0</v>
      </c>
      <c r="BA74" s="266">
        <v>0</v>
      </c>
      <c r="BB74" s="266">
        <v>150.899</v>
      </c>
      <c r="BC74" s="266">
        <v>0</v>
      </c>
      <c r="BD74" s="266">
        <v>12.157999999999999</v>
      </c>
      <c r="BE74" s="266">
        <v>0</v>
      </c>
      <c r="BF74" s="266">
        <v>0</v>
      </c>
      <c r="BG74" s="266">
        <v>0</v>
      </c>
      <c r="BH74" s="266">
        <v>2221.5479999999998</v>
      </c>
      <c r="BI74" s="266">
        <v>69.474000000000004</v>
      </c>
      <c r="BJ74" s="266">
        <v>4711.4789999999994</v>
      </c>
      <c r="BK74" s="266">
        <v>982.66200000000003</v>
      </c>
      <c r="BL74" s="267"/>
      <c r="BM74" s="267"/>
    </row>
    <row r="75" spans="2:65">
      <c r="B75" s="127" t="s">
        <v>374</v>
      </c>
      <c r="C75" s="128" t="s">
        <v>375</v>
      </c>
      <c r="D75" s="129">
        <v>0</v>
      </c>
      <c r="E75" s="129">
        <v>0</v>
      </c>
      <c r="F75" s="129">
        <v>0</v>
      </c>
      <c r="G75" s="129">
        <v>0</v>
      </c>
      <c r="H75" s="129">
        <v>0</v>
      </c>
      <c r="I75" s="129">
        <v>0</v>
      </c>
      <c r="J75" s="129">
        <v>15.398999999999999</v>
      </c>
      <c r="K75" s="129">
        <v>0</v>
      </c>
      <c r="L75" s="129">
        <v>0</v>
      </c>
      <c r="M75" s="129">
        <v>560.74099999999999</v>
      </c>
      <c r="N75" s="129">
        <v>0</v>
      </c>
      <c r="O75" s="129">
        <v>0</v>
      </c>
      <c r="P75" s="129">
        <v>0</v>
      </c>
      <c r="Q75" s="129">
        <v>332.553</v>
      </c>
      <c r="R75" s="129">
        <v>0</v>
      </c>
      <c r="S75" s="129">
        <v>0</v>
      </c>
      <c r="T75" s="129">
        <v>0</v>
      </c>
      <c r="U75" s="129">
        <v>0</v>
      </c>
      <c r="V75" s="129">
        <v>0</v>
      </c>
      <c r="W75" s="129">
        <v>0</v>
      </c>
      <c r="X75" s="129">
        <v>3875.25</v>
      </c>
      <c r="Y75" s="129">
        <v>769.23800000000006</v>
      </c>
      <c r="Z75" s="129">
        <v>0</v>
      </c>
      <c r="AA75" s="129">
        <v>0</v>
      </c>
      <c r="AB75" s="129">
        <v>0</v>
      </c>
      <c r="AC75" s="129">
        <v>0</v>
      </c>
      <c r="AD75" s="129">
        <v>0</v>
      </c>
      <c r="AE75" s="129">
        <v>0</v>
      </c>
      <c r="AF75" s="129">
        <v>0</v>
      </c>
      <c r="AG75" s="129">
        <v>0</v>
      </c>
      <c r="AH75" s="129">
        <v>0</v>
      </c>
      <c r="AI75" s="129">
        <v>43804.417999999998</v>
      </c>
      <c r="AJ75" s="129">
        <v>211.721</v>
      </c>
      <c r="AK75" s="129">
        <v>850.15899999999999</v>
      </c>
      <c r="AL75" s="129">
        <v>1684.0940000000001</v>
      </c>
      <c r="AM75" s="129">
        <v>19.649000000000001</v>
      </c>
      <c r="AN75" s="129">
        <v>796.53300000000002</v>
      </c>
      <c r="AO75" s="129">
        <v>1104.4090000000001</v>
      </c>
      <c r="AP75" s="129">
        <v>0</v>
      </c>
      <c r="AQ75" s="129">
        <v>0</v>
      </c>
      <c r="AR75" s="129">
        <v>0</v>
      </c>
      <c r="AS75" s="129">
        <v>0</v>
      </c>
      <c r="AT75" s="129">
        <v>0</v>
      </c>
      <c r="AU75" s="129">
        <v>0</v>
      </c>
      <c r="AV75" s="129">
        <v>0</v>
      </c>
      <c r="AW75" s="129">
        <v>0</v>
      </c>
      <c r="AX75" s="129">
        <v>0</v>
      </c>
      <c r="AY75" s="129">
        <v>0</v>
      </c>
      <c r="AZ75" s="129">
        <v>0</v>
      </c>
      <c r="BA75" s="129">
        <v>0</v>
      </c>
      <c r="BB75" s="129">
        <v>0</v>
      </c>
      <c r="BC75" s="129">
        <v>0</v>
      </c>
      <c r="BD75" s="129">
        <v>0</v>
      </c>
      <c r="BE75" s="129">
        <v>0</v>
      </c>
      <c r="BF75" s="129">
        <v>0</v>
      </c>
      <c r="BG75" s="129">
        <v>0</v>
      </c>
      <c r="BH75" s="129">
        <v>0</v>
      </c>
      <c r="BI75" s="129">
        <v>0</v>
      </c>
      <c r="BJ75" s="129">
        <v>54024.163999999997</v>
      </c>
      <c r="BK75" s="129">
        <v>0</v>
      </c>
      <c r="BL75" s="104"/>
      <c r="BM75" s="104"/>
    </row>
    <row r="76" spans="2:65" collapsed="1">
      <c r="B76" s="116" t="s">
        <v>376</v>
      </c>
      <c r="C76" s="130" t="s">
        <v>377</v>
      </c>
      <c r="D76" s="102">
        <v>0</v>
      </c>
      <c r="E76" s="102">
        <v>0</v>
      </c>
      <c r="F76" s="102">
        <v>0</v>
      </c>
      <c r="G76" s="102">
        <v>0</v>
      </c>
      <c r="H76" s="102">
        <v>0</v>
      </c>
      <c r="I76" s="102">
        <v>0</v>
      </c>
      <c r="J76" s="102">
        <v>15.398999999999999</v>
      </c>
      <c r="K76" s="102">
        <v>0</v>
      </c>
      <c r="L76" s="102">
        <v>0</v>
      </c>
      <c r="M76" s="102">
        <v>560.74099999999999</v>
      </c>
      <c r="N76" s="102">
        <v>0</v>
      </c>
      <c r="O76" s="102">
        <v>0</v>
      </c>
      <c r="P76" s="102">
        <v>0</v>
      </c>
      <c r="Q76" s="102">
        <v>332.553</v>
      </c>
      <c r="R76" s="102">
        <v>0</v>
      </c>
      <c r="S76" s="102">
        <v>0</v>
      </c>
      <c r="T76" s="102">
        <v>0</v>
      </c>
      <c r="U76" s="102">
        <v>0</v>
      </c>
      <c r="V76" s="102">
        <v>0</v>
      </c>
      <c r="W76" s="102">
        <v>0</v>
      </c>
      <c r="X76" s="102">
        <v>3875.25</v>
      </c>
      <c r="Y76" s="102">
        <v>769.23800000000006</v>
      </c>
      <c r="Z76" s="102">
        <v>0</v>
      </c>
      <c r="AA76" s="102">
        <v>0</v>
      </c>
      <c r="AB76" s="102">
        <v>0</v>
      </c>
      <c r="AC76" s="102">
        <v>0</v>
      </c>
      <c r="AD76" s="102">
        <v>0</v>
      </c>
      <c r="AE76" s="102">
        <v>0</v>
      </c>
      <c r="AF76" s="102">
        <v>0</v>
      </c>
      <c r="AG76" s="102">
        <v>0</v>
      </c>
      <c r="AH76" s="102">
        <v>0</v>
      </c>
      <c r="AI76" s="102">
        <v>43804.417999999998</v>
      </c>
      <c r="AJ76" s="102">
        <v>181.26</v>
      </c>
      <c r="AK76" s="102">
        <v>850.15899999999999</v>
      </c>
      <c r="AL76" s="102">
        <v>1684.0940000000001</v>
      </c>
      <c r="AM76" s="102">
        <v>19.649000000000001</v>
      </c>
      <c r="AN76" s="102">
        <v>796.53300000000002</v>
      </c>
      <c r="AO76" s="102">
        <v>1016.807</v>
      </c>
      <c r="AP76" s="102">
        <v>0</v>
      </c>
      <c r="AQ76" s="102">
        <v>0</v>
      </c>
      <c r="AR76" s="102">
        <v>0</v>
      </c>
      <c r="AS76" s="102">
        <v>0</v>
      </c>
      <c r="AT76" s="102">
        <v>0</v>
      </c>
      <c r="AU76" s="102">
        <v>0</v>
      </c>
      <c r="AV76" s="102">
        <v>0</v>
      </c>
      <c r="AW76" s="102">
        <v>0</v>
      </c>
      <c r="AX76" s="102">
        <v>0</v>
      </c>
      <c r="AY76" s="102">
        <v>0</v>
      </c>
      <c r="AZ76" s="102">
        <v>0</v>
      </c>
      <c r="BA76" s="102">
        <v>0</v>
      </c>
      <c r="BB76" s="102">
        <v>0</v>
      </c>
      <c r="BC76" s="102">
        <v>0</v>
      </c>
      <c r="BD76" s="102">
        <v>0</v>
      </c>
      <c r="BE76" s="102">
        <v>0</v>
      </c>
      <c r="BF76" s="102">
        <v>0</v>
      </c>
      <c r="BG76" s="102">
        <v>0</v>
      </c>
      <c r="BH76" s="102">
        <v>0</v>
      </c>
      <c r="BI76" s="102">
        <v>0</v>
      </c>
      <c r="BJ76" s="102">
        <v>53906.101000000002</v>
      </c>
      <c r="BK76" s="102">
        <v>0</v>
      </c>
      <c r="BL76" s="104"/>
      <c r="BM76" s="104"/>
    </row>
    <row r="77" spans="2:65">
      <c r="B77" s="116" t="s">
        <v>378</v>
      </c>
      <c r="C77" s="130" t="s">
        <v>379</v>
      </c>
      <c r="D77" s="102">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0</v>
      </c>
      <c r="AH77" s="102">
        <v>0</v>
      </c>
      <c r="AI77" s="102">
        <v>0</v>
      </c>
      <c r="AJ77" s="102">
        <v>1E-3</v>
      </c>
      <c r="AK77" s="102">
        <v>0</v>
      </c>
      <c r="AL77" s="102">
        <v>0</v>
      </c>
      <c r="AM77" s="102">
        <v>0</v>
      </c>
      <c r="AN77" s="102">
        <v>0</v>
      </c>
      <c r="AO77" s="102">
        <v>0</v>
      </c>
      <c r="AP77" s="102">
        <v>0</v>
      </c>
      <c r="AQ77" s="102">
        <v>0</v>
      </c>
      <c r="AR77" s="102">
        <v>0</v>
      </c>
      <c r="AS77" s="102">
        <v>0</v>
      </c>
      <c r="AT77" s="102">
        <v>0</v>
      </c>
      <c r="AU77" s="102">
        <v>0</v>
      </c>
      <c r="AV77" s="102">
        <v>0</v>
      </c>
      <c r="AW77" s="102">
        <v>0</v>
      </c>
      <c r="AX77" s="102">
        <v>0</v>
      </c>
      <c r="AY77" s="102">
        <v>0</v>
      </c>
      <c r="AZ77" s="102">
        <v>0</v>
      </c>
      <c r="BA77" s="102">
        <v>0</v>
      </c>
      <c r="BB77" s="102">
        <v>0</v>
      </c>
      <c r="BC77" s="102">
        <v>0</v>
      </c>
      <c r="BD77" s="102">
        <v>0</v>
      </c>
      <c r="BE77" s="102">
        <v>0</v>
      </c>
      <c r="BF77" s="102">
        <v>0</v>
      </c>
      <c r="BG77" s="102">
        <v>0</v>
      </c>
      <c r="BH77" s="102">
        <v>0</v>
      </c>
      <c r="BI77" s="102">
        <v>0</v>
      </c>
      <c r="BJ77" s="102">
        <v>1E-3</v>
      </c>
      <c r="BK77" s="102">
        <v>0</v>
      </c>
      <c r="BL77" s="104"/>
      <c r="BM77" s="104"/>
    </row>
    <row r="78" spans="2:65">
      <c r="B78" s="116" t="s">
        <v>380</v>
      </c>
      <c r="C78" s="130" t="s">
        <v>381</v>
      </c>
      <c r="D78" s="102">
        <v>0</v>
      </c>
      <c r="E78" s="102">
        <v>0</v>
      </c>
      <c r="F78" s="102">
        <v>0</v>
      </c>
      <c r="G78" s="102">
        <v>0</v>
      </c>
      <c r="H78" s="102">
        <v>0</v>
      </c>
      <c r="I78" s="102">
        <v>0</v>
      </c>
      <c r="J78" s="102">
        <v>0</v>
      </c>
      <c r="K78" s="102">
        <v>0</v>
      </c>
      <c r="L78" s="102">
        <v>0</v>
      </c>
      <c r="M78" s="102">
        <v>0</v>
      </c>
      <c r="N78" s="102">
        <v>0</v>
      </c>
      <c r="O78" s="102">
        <v>0</v>
      </c>
      <c r="P78" s="102">
        <v>0</v>
      </c>
      <c r="Q78" s="102">
        <v>0</v>
      </c>
      <c r="R78" s="102">
        <v>0</v>
      </c>
      <c r="S78" s="102">
        <v>0</v>
      </c>
      <c r="T78" s="102">
        <v>0</v>
      </c>
      <c r="U78" s="102">
        <v>0</v>
      </c>
      <c r="V78" s="102">
        <v>0</v>
      </c>
      <c r="W78" s="102">
        <v>0</v>
      </c>
      <c r="X78" s="102">
        <v>0</v>
      </c>
      <c r="Y78" s="102">
        <v>0</v>
      </c>
      <c r="Z78" s="102">
        <v>0</v>
      </c>
      <c r="AA78" s="102">
        <v>0</v>
      </c>
      <c r="AB78" s="102">
        <v>0</v>
      </c>
      <c r="AC78" s="102">
        <v>0</v>
      </c>
      <c r="AD78" s="102">
        <v>0</v>
      </c>
      <c r="AE78" s="102">
        <v>0</v>
      </c>
      <c r="AF78" s="102">
        <v>0</v>
      </c>
      <c r="AG78" s="102">
        <v>0</v>
      </c>
      <c r="AH78" s="102">
        <v>0</v>
      </c>
      <c r="AI78" s="102">
        <v>0</v>
      </c>
      <c r="AJ78" s="102">
        <v>0</v>
      </c>
      <c r="AK78" s="102">
        <v>0</v>
      </c>
      <c r="AL78" s="102">
        <v>0</v>
      </c>
      <c r="AM78" s="102">
        <v>0</v>
      </c>
      <c r="AN78" s="102">
        <v>0</v>
      </c>
      <c r="AO78" s="102">
        <v>0</v>
      </c>
      <c r="AP78" s="102">
        <v>0</v>
      </c>
      <c r="AQ78" s="102">
        <v>0</v>
      </c>
      <c r="AR78" s="102">
        <v>0</v>
      </c>
      <c r="AS78" s="102">
        <v>0</v>
      </c>
      <c r="AT78" s="102">
        <v>0</v>
      </c>
      <c r="AU78" s="102">
        <v>0</v>
      </c>
      <c r="AV78" s="102">
        <v>0</v>
      </c>
      <c r="AW78" s="102">
        <v>0</v>
      </c>
      <c r="AX78" s="102">
        <v>0</v>
      </c>
      <c r="AY78" s="102">
        <v>0</v>
      </c>
      <c r="AZ78" s="102">
        <v>0</v>
      </c>
      <c r="BA78" s="102">
        <v>0</v>
      </c>
      <c r="BB78" s="102">
        <v>0</v>
      </c>
      <c r="BC78" s="102">
        <v>0</v>
      </c>
      <c r="BD78" s="102">
        <v>0</v>
      </c>
      <c r="BE78" s="102">
        <v>0</v>
      </c>
      <c r="BF78" s="102">
        <v>0</v>
      </c>
      <c r="BG78" s="102">
        <v>0</v>
      </c>
      <c r="BH78" s="102">
        <v>0</v>
      </c>
      <c r="BI78" s="102">
        <v>0</v>
      </c>
      <c r="BJ78" s="102">
        <v>0</v>
      </c>
      <c r="BK78" s="102">
        <v>0</v>
      </c>
      <c r="BL78" s="104"/>
      <c r="BM78" s="104"/>
    </row>
    <row r="79" spans="2:65">
      <c r="B79" s="116" t="s">
        <v>382</v>
      </c>
      <c r="C79" s="130" t="s">
        <v>383</v>
      </c>
      <c r="D79" s="102">
        <v>0</v>
      </c>
      <c r="E79" s="102">
        <v>0</v>
      </c>
      <c r="F79" s="102">
        <v>0</v>
      </c>
      <c r="G79" s="102">
        <v>0</v>
      </c>
      <c r="H79" s="102">
        <v>0</v>
      </c>
      <c r="I79" s="102">
        <v>0</v>
      </c>
      <c r="J79" s="102">
        <v>0</v>
      </c>
      <c r="K79" s="102">
        <v>0</v>
      </c>
      <c r="L79" s="102">
        <v>0</v>
      </c>
      <c r="M79" s="102">
        <v>0</v>
      </c>
      <c r="N79" s="102">
        <v>0</v>
      </c>
      <c r="O79" s="102">
        <v>0</v>
      </c>
      <c r="P79" s="102">
        <v>0</v>
      </c>
      <c r="Q79" s="102">
        <v>0</v>
      </c>
      <c r="R79" s="102">
        <v>0</v>
      </c>
      <c r="S79" s="102">
        <v>0</v>
      </c>
      <c r="T79" s="102">
        <v>0</v>
      </c>
      <c r="U79" s="102">
        <v>0</v>
      </c>
      <c r="V79" s="102">
        <v>0</v>
      </c>
      <c r="W79" s="102">
        <v>0</v>
      </c>
      <c r="X79" s="102">
        <v>0</v>
      </c>
      <c r="Y79" s="102">
        <v>0</v>
      </c>
      <c r="Z79" s="102">
        <v>0</v>
      </c>
      <c r="AA79" s="102">
        <v>0</v>
      </c>
      <c r="AB79" s="102">
        <v>0</v>
      </c>
      <c r="AC79" s="102">
        <v>0</v>
      </c>
      <c r="AD79" s="102">
        <v>0</v>
      </c>
      <c r="AE79" s="102">
        <v>0</v>
      </c>
      <c r="AF79" s="102">
        <v>0</v>
      </c>
      <c r="AG79" s="102">
        <v>0</v>
      </c>
      <c r="AH79" s="102">
        <v>0</v>
      </c>
      <c r="AI79" s="102">
        <v>0</v>
      </c>
      <c r="AJ79" s="102">
        <v>30.202999999999999</v>
      </c>
      <c r="AK79" s="102">
        <v>0</v>
      </c>
      <c r="AL79" s="102">
        <v>0</v>
      </c>
      <c r="AM79" s="102">
        <v>0</v>
      </c>
      <c r="AN79" s="102">
        <v>0</v>
      </c>
      <c r="AO79" s="102">
        <v>87.602000000000004</v>
      </c>
      <c r="AP79" s="102">
        <v>0</v>
      </c>
      <c r="AQ79" s="102">
        <v>0</v>
      </c>
      <c r="AR79" s="102">
        <v>0</v>
      </c>
      <c r="AS79" s="102">
        <v>0</v>
      </c>
      <c r="AT79" s="102">
        <v>0</v>
      </c>
      <c r="AU79" s="102">
        <v>0</v>
      </c>
      <c r="AV79" s="102">
        <v>0</v>
      </c>
      <c r="AW79" s="102">
        <v>0</v>
      </c>
      <c r="AX79" s="102">
        <v>0</v>
      </c>
      <c r="AY79" s="102">
        <v>0</v>
      </c>
      <c r="AZ79" s="102">
        <v>0</v>
      </c>
      <c r="BA79" s="102">
        <v>0</v>
      </c>
      <c r="BB79" s="102">
        <v>0</v>
      </c>
      <c r="BC79" s="102">
        <v>0</v>
      </c>
      <c r="BD79" s="102">
        <v>0</v>
      </c>
      <c r="BE79" s="102">
        <v>0</v>
      </c>
      <c r="BF79" s="102">
        <v>0</v>
      </c>
      <c r="BG79" s="102">
        <v>0</v>
      </c>
      <c r="BH79" s="102">
        <v>0</v>
      </c>
      <c r="BI79" s="102">
        <v>0</v>
      </c>
      <c r="BJ79" s="102">
        <v>117.80500000000001</v>
      </c>
      <c r="BK79" s="102">
        <v>0</v>
      </c>
      <c r="BL79" s="104"/>
      <c r="BM79" s="104"/>
    </row>
    <row r="80" spans="2:65" collapsed="1">
      <c r="B80" s="116" t="s">
        <v>384</v>
      </c>
      <c r="C80" s="130" t="s">
        <v>385</v>
      </c>
      <c r="D80" s="102">
        <v>0</v>
      </c>
      <c r="E80" s="102">
        <v>0</v>
      </c>
      <c r="F80" s="102">
        <v>0</v>
      </c>
      <c r="G80" s="102">
        <v>0</v>
      </c>
      <c r="H80" s="102">
        <v>0</v>
      </c>
      <c r="I80" s="102">
        <v>0</v>
      </c>
      <c r="J80" s="102">
        <v>0</v>
      </c>
      <c r="K80" s="102">
        <v>0</v>
      </c>
      <c r="L80" s="102">
        <v>0</v>
      </c>
      <c r="M80" s="102">
        <v>0</v>
      </c>
      <c r="N80" s="102">
        <v>0</v>
      </c>
      <c r="O80" s="102">
        <v>0</v>
      </c>
      <c r="P80" s="102">
        <v>0</v>
      </c>
      <c r="Q80" s="102">
        <v>0</v>
      </c>
      <c r="R80" s="102">
        <v>0</v>
      </c>
      <c r="S80" s="102">
        <v>0</v>
      </c>
      <c r="T80" s="102">
        <v>0</v>
      </c>
      <c r="U80" s="102">
        <v>0</v>
      </c>
      <c r="V80" s="102">
        <v>0</v>
      </c>
      <c r="W80" s="102">
        <v>0</v>
      </c>
      <c r="X80" s="102">
        <v>0</v>
      </c>
      <c r="Y80" s="102">
        <v>0</v>
      </c>
      <c r="Z80" s="102">
        <v>0</v>
      </c>
      <c r="AA80" s="102">
        <v>0</v>
      </c>
      <c r="AB80" s="102">
        <v>0</v>
      </c>
      <c r="AC80" s="102">
        <v>0</v>
      </c>
      <c r="AD80" s="102">
        <v>0</v>
      </c>
      <c r="AE80" s="102">
        <v>0</v>
      </c>
      <c r="AF80" s="102">
        <v>0</v>
      </c>
      <c r="AG80" s="102">
        <v>0</v>
      </c>
      <c r="AH80" s="102">
        <v>0</v>
      </c>
      <c r="AI80" s="102">
        <v>0</v>
      </c>
      <c r="AJ80" s="102">
        <v>0.25600000000000001</v>
      </c>
      <c r="AK80" s="102">
        <v>0</v>
      </c>
      <c r="AL80" s="102">
        <v>0</v>
      </c>
      <c r="AM80" s="102">
        <v>0</v>
      </c>
      <c r="AN80" s="102">
        <v>0</v>
      </c>
      <c r="AO80" s="102">
        <v>0</v>
      </c>
      <c r="AP80" s="102">
        <v>0</v>
      </c>
      <c r="AQ80" s="102">
        <v>0</v>
      </c>
      <c r="AR80" s="102">
        <v>0</v>
      </c>
      <c r="AS80" s="102">
        <v>0</v>
      </c>
      <c r="AT80" s="102">
        <v>0</v>
      </c>
      <c r="AU80" s="102">
        <v>0</v>
      </c>
      <c r="AV80" s="102">
        <v>0</v>
      </c>
      <c r="AW80" s="102">
        <v>0</v>
      </c>
      <c r="AX80" s="102">
        <v>0</v>
      </c>
      <c r="AY80" s="102">
        <v>0</v>
      </c>
      <c r="AZ80" s="102">
        <v>0</v>
      </c>
      <c r="BA80" s="102">
        <v>0</v>
      </c>
      <c r="BB80" s="102">
        <v>0</v>
      </c>
      <c r="BC80" s="102">
        <v>0</v>
      </c>
      <c r="BD80" s="102">
        <v>0</v>
      </c>
      <c r="BE80" s="102">
        <v>0</v>
      </c>
      <c r="BF80" s="102">
        <v>0</v>
      </c>
      <c r="BG80" s="102">
        <v>0</v>
      </c>
      <c r="BH80" s="102">
        <v>0</v>
      </c>
      <c r="BI80" s="102">
        <v>0</v>
      </c>
      <c r="BJ80" s="102">
        <v>0.25600000000000001</v>
      </c>
      <c r="BK80" s="102">
        <v>0</v>
      </c>
      <c r="BL80" s="104"/>
      <c r="BM80" s="104"/>
    </row>
    <row r="81" spans="2:65">
      <c r="B81" s="116" t="s">
        <v>386</v>
      </c>
      <c r="C81" s="130" t="s">
        <v>387</v>
      </c>
      <c r="D81" s="102">
        <v>0</v>
      </c>
      <c r="E81" s="102">
        <v>0</v>
      </c>
      <c r="F81" s="102">
        <v>0</v>
      </c>
      <c r="G81" s="102">
        <v>0</v>
      </c>
      <c r="H81" s="102">
        <v>0</v>
      </c>
      <c r="I81" s="102">
        <v>0</v>
      </c>
      <c r="J81" s="102">
        <v>0</v>
      </c>
      <c r="K81" s="102">
        <v>0</v>
      </c>
      <c r="L81" s="102">
        <v>0</v>
      </c>
      <c r="M81" s="102">
        <v>560.74099999999999</v>
      </c>
      <c r="N81" s="102">
        <v>0</v>
      </c>
      <c r="O81" s="102">
        <v>0</v>
      </c>
      <c r="P81" s="102">
        <v>0</v>
      </c>
      <c r="Q81" s="102">
        <v>0</v>
      </c>
      <c r="R81" s="102">
        <v>0</v>
      </c>
      <c r="S81" s="102">
        <v>0</v>
      </c>
      <c r="T81" s="102">
        <v>0</v>
      </c>
      <c r="U81" s="102">
        <v>0</v>
      </c>
      <c r="V81" s="102">
        <v>0</v>
      </c>
      <c r="W81" s="102">
        <v>0</v>
      </c>
      <c r="X81" s="102">
        <v>3875.25</v>
      </c>
      <c r="Y81" s="102">
        <v>769.23800000000006</v>
      </c>
      <c r="Z81" s="102">
        <v>0</v>
      </c>
      <c r="AA81" s="102">
        <v>0</v>
      </c>
      <c r="AB81" s="102">
        <v>0</v>
      </c>
      <c r="AC81" s="102">
        <v>0</v>
      </c>
      <c r="AD81" s="102">
        <v>0</v>
      </c>
      <c r="AE81" s="102">
        <v>0</v>
      </c>
      <c r="AF81" s="102">
        <v>0</v>
      </c>
      <c r="AG81" s="102">
        <v>0</v>
      </c>
      <c r="AH81" s="102">
        <v>0</v>
      </c>
      <c r="AI81" s="102">
        <v>44795.69</v>
      </c>
      <c r="AJ81" s="102">
        <v>0</v>
      </c>
      <c r="AK81" s="102">
        <v>0</v>
      </c>
      <c r="AL81" s="102">
        <v>0</v>
      </c>
      <c r="AM81" s="102">
        <v>0</v>
      </c>
      <c r="AN81" s="102">
        <v>0</v>
      </c>
      <c r="AO81" s="102">
        <v>0</v>
      </c>
      <c r="AP81" s="102">
        <v>0</v>
      </c>
      <c r="AQ81" s="102">
        <v>0</v>
      </c>
      <c r="AR81" s="102">
        <v>0</v>
      </c>
      <c r="AS81" s="102">
        <v>0</v>
      </c>
      <c r="AT81" s="102">
        <v>0</v>
      </c>
      <c r="AU81" s="102">
        <v>0</v>
      </c>
      <c r="AV81" s="102">
        <v>0</v>
      </c>
      <c r="AW81" s="102">
        <v>0</v>
      </c>
      <c r="AX81" s="102">
        <v>0</v>
      </c>
      <c r="AY81" s="102">
        <v>0</v>
      </c>
      <c r="AZ81" s="102">
        <v>0</v>
      </c>
      <c r="BA81" s="102">
        <v>0</v>
      </c>
      <c r="BB81" s="102">
        <v>0</v>
      </c>
      <c r="BC81" s="102">
        <v>0</v>
      </c>
      <c r="BD81" s="102">
        <v>0</v>
      </c>
      <c r="BE81" s="102">
        <v>0</v>
      </c>
      <c r="BF81" s="102">
        <v>0</v>
      </c>
      <c r="BG81" s="102">
        <v>0</v>
      </c>
      <c r="BH81" s="102">
        <v>0</v>
      </c>
      <c r="BI81" s="102">
        <v>0</v>
      </c>
      <c r="BJ81" s="102">
        <v>50000.919000000002</v>
      </c>
      <c r="BK81" s="102">
        <v>0</v>
      </c>
      <c r="BL81" s="104"/>
      <c r="BM81" s="104"/>
    </row>
    <row r="82" spans="2:65">
      <c r="B82" s="131" t="s">
        <v>388</v>
      </c>
      <c r="C82" s="132" t="s">
        <v>389</v>
      </c>
      <c r="D82" s="133">
        <v>817.97</v>
      </c>
      <c r="E82" s="133">
        <v>1671.86</v>
      </c>
      <c r="F82" s="133">
        <v>0</v>
      </c>
      <c r="G82" s="133">
        <v>222875.106</v>
      </c>
      <c r="H82" s="133">
        <v>3969.067</v>
      </c>
      <c r="I82" s="133">
        <v>0</v>
      </c>
      <c r="J82" s="133">
        <v>0</v>
      </c>
      <c r="K82" s="133">
        <v>0</v>
      </c>
      <c r="L82" s="133">
        <v>0</v>
      </c>
      <c r="M82" s="133">
        <v>0</v>
      </c>
      <c r="N82" s="133">
        <v>4061.6709999999998</v>
      </c>
      <c r="O82" s="133">
        <v>16735.858</v>
      </c>
      <c r="P82" s="133">
        <v>4202.3329999999996</v>
      </c>
      <c r="Q82" s="133">
        <v>148751.098</v>
      </c>
      <c r="R82" s="133">
        <v>1401.6759999999999</v>
      </c>
      <c r="S82" s="133">
        <v>0</v>
      </c>
      <c r="T82" s="133">
        <v>0</v>
      </c>
      <c r="U82" s="133">
        <v>0</v>
      </c>
      <c r="V82" s="133">
        <v>0</v>
      </c>
      <c r="W82" s="133">
        <v>806.94399999999996</v>
      </c>
      <c r="X82" s="133">
        <v>74.757000000000005</v>
      </c>
      <c r="Y82" s="133">
        <v>0</v>
      </c>
      <c r="Z82" s="133">
        <v>0</v>
      </c>
      <c r="AA82" s="133">
        <v>0</v>
      </c>
      <c r="AB82" s="133">
        <v>0</v>
      </c>
      <c r="AC82" s="133">
        <v>0</v>
      </c>
      <c r="AD82" s="133">
        <v>2.1589999999999998</v>
      </c>
      <c r="AE82" s="133">
        <v>1294.366</v>
      </c>
      <c r="AF82" s="133">
        <v>0</v>
      </c>
      <c r="AG82" s="133">
        <v>0</v>
      </c>
      <c r="AH82" s="133">
        <v>2423.366</v>
      </c>
      <c r="AI82" s="133">
        <v>4691.8599999999997</v>
      </c>
      <c r="AJ82" s="133">
        <v>0</v>
      </c>
      <c r="AK82" s="133">
        <v>0</v>
      </c>
      <c r="AL82" s="133">
        <v>0</v>
      </c>
      <c r="AM82" s="133">
        <v>0</v>
      </c>
      <c r="AN82" s="133">
        <v>0</v>
      </c>
      <c r="AO82" s="133">
        <v>332.53</v>
      </c>
      <c r="AP82" s="133">
        <v>398.06400000000002</v>
      </c>
      <c r="AQ82" s="133">
        <v>362.12700000000001</v>
      </c>
      <c r="AR82" s="133">
        <v>490.59899999999999</v>
      </c>
      <c r="AS82" s="133">
        <v>7473.0770000000002</v>
      </c>
      <c r="AT82" s="133">
        <v>195.24700000000001</v>
      </c>
      <c r="AU82" s="133">
        <v>239.52699999999999</v>
      </c>
      <c r="AV82" s="133">
        <v>0</v>
      </c>
      <c r="AW82" s="133">
        <v>0</v>
      </c>
      <c r="AX82" s="133">
        <v>2295.1979999999999</v>
      </c>
      <c r="AY82" s="133">
        <v>0</v>
      </c>
      <c r="AZ82" s="133">
        <v>145909.66899999999</v>
      </c>
      <c r="BA82" s="133">
        <v>2791.076</v>
      </c>
      <c r="BB82" s="133">
        <v>0</v>
      </c>
      <c r="BC82" s="133">
        <v>12996.018</v>
      </c>
      <c r="BD82" s="133">
        <v>0</v>
      </c>
      <c r="BE82" s="133">
        <v>474.32100000000003</v>
      </c>
      <c r="BF82" s="133">
        <v>2679.1579999999999</v>
      </c>
      <c r="BG82" s="133">
        <v>2284.5709999999999</v>
      </c>
      <c r="BH82" s="133">
        <v>0</v>
      </c>
      <c r="BI82" s="133">
        <v>161.815</v>
      </c>
      <c r="BJ82" s="133">
        <v>592863.08799999987</v>
      </c>
      <c r="BK82" s="133">
        <v>57739.961000000003</v>
      </c>
      <c r="BL82" s="104"/>
      <c r="BM82" s="104"/>
    </row>
    <row r="83" spans="2:65" collapsed="1">
      <c r="B83" s="114" t="s">
        <v>390</v>
      </c>
      <c r="C83" s="115" t="s">
        <v>391</v>
      </c>
      <c r="D83" s="102">
        <v>817.97</v>
      </c>
      <c r="E83" s="102">
        <v>1671.86</v>
      </c>
      <c r="F83" s="102">
        <v>0</v>
      </c>
      <c r="G83" s="102">
        <v>211591.46799999999</v>
      </c>
      <c r="H83" s="102">
        <v>3969.067</v>
      </c>
      <c r="I83" s="102">
        <v>0</v>
      </c>
      <c r="J83" s="102">
        <v>0</v>
      </c>
      <c r="K83" s="102">
        <v>0</v>
      </c>
      <c r="L83" s="102">
        <v>0</v>
      </c>
      <c r="M83" s="102">
        <v>0</v>
      </c>
      <c r="N83" s="102">
        <v>1850.5029999999999</v>
      </c>
      <c r="O83" s="102">
        <v>5086.2160000000003</v>
      </c>
      <c r="P83" s="102">
        <v>1740.922</v>
      </c>
      <c r="Q83" s="102">
        <v>111870.136</v>
      </c>
      <c r="R83" s="102">
        <v>0</v>
      </c>
      <c r="S83" s="102">
        <v>0</v>
      </c>
      <c r="T83" s="102">
        <v>0</v>
      </c>
      <c r="U83" s="102">
        <v>0</v>
      </c>
      <c r="V83" s="102">
        <v>0</v>
      </c>
      <c r="W83" s="102">
        <v>0</v>
      </c>
      <c r="X83" s="102">
        <v>0</v>
      </c>
      <c r="Y83" s="102">
        <v>0</v>
      </c>
      <c r="Z83" s="102">
        <v>0</v>
      </c>
      <c r="AA83" s="102">
        <v>0</v>
      </c>
      <c r="AB83" s="102">
        <v>0</v>
      </c>
      <c r="AC83" s="102">
        <v>0</v>
      </c>
      <c r="AD83" s="102">
        <v>0</v>
      </c>
      <c r="AE83" s="102">
        <v>1293.652</v>
      </c>
      <c r="AF83" s="102">
        <v>0</v>
      </c>
      <c r="AG83" s="102">
        <v>0</v>
      </c>
      <c r="AH83" s="102">
        <v>1644.45</v>
      </c>
      <c r="AI83" s="102">
        <v>0</v>
      </c>
      <c r="AJ83" s="102">
        <v>0</v>
      </c>
      <c r="AK83" s="102">
        <v>0</v>
      </c>
      <c r="AL83" s="102">
        <v>0</v>
      </c>
      <c r="AM83" s="102">
        <v>0</v>
      </c>
      <c r="AN83" s="102">
        <v>0</v>
      </c>
      <c r="AO83" s="102">
        <v>0</v>
      </c>
      <c r="AP83" s="102">
        <v>305.56599999999997</v>
      </c>
      <c r="AQ83" s="102">
        <v>24.951000000000001</v>
      </c>
      <c r="AR83" s="102">
        <v>219.62</v>
      </c>
      <c r="AS83" s="102">
        <v>4111.4870000000001</v>
      </c>
      <c r="AT83" s="102">
        <v>168.40899999999999</v>
      </c>
      <c r="AU83" s="102">
        <v>239.52699999999999</v>
      </c>
      <c r="AV83" s="102">
        <v>0</v>
      </c>
      <c r="AW83" s="102">
        <v>0</v>
      </c>
      <c r="AX83" s="102">
        <v>2295.1979999999999</v>
      </c>
      <c r="AY83" s="102">
        <v>0</v>
      </c>
      <c r="AZ83" s="102">
        <v>145909.66899999999</v>
      </c>
      <c r="BA83" s="102">
        <v>2788.6790000000001</v>
      </c>
      <c r="BB83" s="102">
        <v>0</v>
      </c>
      <c r="BC83" s="102">
        <v>11800.967000000001</v>
      </c>
      <c r="BD83" s="102">
        <v>0</v>
      </c>
      <c r="BE83" s="102">
        <v>474.32100000000003</v>
      </c>
      <c r="BF83" s="102">
        <v>2669.4690000000001</v>
      </c>
      <c r="BG83" s="102">
        <v>2256.808</v>
      </c>
      <c r="BH83" s="102">
        <v>0</v>
      </c>
      <c r="BI83" s="102">
        <v>0</v>
      </c>
      <c r="BJ83" s="102">
        <v>514800.91499999998</v>
      </c>
      <c r="BK83" s="102">
        <v>37470.218999999997</v>
      </c>
      <c r="BL83" s="104"/>
      <c r="BM83" s="104"/>
    </row>
    <row r="84" spans="2:65" collapsed="1">
      <c r="B84" s="114" t="s">
        <v>392</v>
      </c>
      <c r="C84" s="115" t="s">
        <v>393</v>
      </c>
      <c r="D84" s="102">
        <v>0</v>
      </c>
      <c r="E84" s="102">
        <v>0</v>
      </c>
      <c r="F84" s="102">
        <v>0</v>
      </c>
      <c r="G84" s="102">
        <v>0</v>
      </c>
      <c r="H84" s="102">
        <v>0</v>
      </c>
      <c r="I84" s="102">
        <v>0</v>
      </c>
      <c r="J84" s="102">
        <v>0</v>
      </c>
      <c r="K84" s="102">
        <v>0</v>
      </c>
      <c r="L84" s="102">
        <v>0</v>
      </c>
      <c r="M84" s="102">
        <v>0</v>
      </c>
      <c r="N84" s="102">
        <v>2211.1689999999999</v>
      </c>
      <c r="O84" s="102">
        <v>11649.642</v>
      </c>
      <c r="P84" s="102">
        <v>2461.4110000000001</v>
      </c>
      <c r="Q84" s="102">
        <v>4175.6980000000003</v>
      </c>
      <c r="R84" s="102">
        <v>65.995999999999995</v>
      </c>
      <c r="S84" s="102">
        <v>0</v>
      </c>
      <c r="T84" s="102">
        <v>0</v>
      </c>
      <c r="U84" s="102">
        <v>0</v>
      </c>
      <c r="V84" s="102">
        <v>0</v>
      </c>
      <c r="W84" s="102">
        <v>0</v>
      </c>
      <c r="X84" s="102">
        <v>0</v>
      </c>
      <c r="Y84" s="102">
        <v>0</v>
      </c>
      <c r="Z84" s="102">
        <v>0</v>
      </c>
      <c r="AA84" s="102">
        <v>0</v>
      </c>
      <c r="AB84" s="102">
        <v>0</v>
      </c>
      <c r="AC84" s="102">
        <v>0</v>
      </c>
      <c r="AD84" s="102">
        <v>0</v>
      </c>
      <c r="AE84" s="102">
        <v>0.71399999999999997</v>
      </c>
      <c r="AF84" s="102">
        <v>0</v>
      </c>
      <c r="AG84" s="102">
        <v>0</v>
      </c>
      <c r="AH84" s="102">
        <v>240.827</v>
      </c>
      <c r="AI84" s="102">
        <v>1155.3879999999999</v>
      </c>
      <c r="AJ84" s="102">
        <v>0</v>
      </c>
      <c r="AK84" s="102">
        <v>0</v>
      </c>
      <c r="AL84" s="102">
        <v>0</v>
      </c>
      <c r="AM84" s="102">
        <v>0</v>
      </c>
      <c r="AN84" s="102">
        <v>0</v>
      </c>
      <c r="AO84" s="102">
        <v>0</v>
      </c>
      <c r="AP84" s="102">
        <v>55.747</v>
      </c>
      <c r="AQ84" s="102">
        <v>33.478000000000002</v>
      </c>
      <c r="AR84" s="102">
        <v>10.989000000000001</v>
      </c>
      <c r="AS84" s="102">
        <v>4.7409999999999997</v>
      </c>
      <c r="AT84" s="102">
        <v>16.457999999999998</v>
      </c>
      <c r="AU84" s="102">
        <v>0</v>
      </c>
      <c r="AV84" s="102">
        <v>0</v>
      </c>
      <c r="AW84" s="102">
        <v>0</v>
      </c>
      <c r="AX84" s="102">
        <v>0</v>
      </c>
      <c r="AY84" s="102">
        <v>0</v>
      </c>
      <c r="AZ84" s="102">
        <v>0</v>
      </c>
      <c r="BA84" s="102">
        <v>2.3969999999999998</v>
      </c>
      <c r="BB84" s="102">
        <v>0</v>
      </c>
      <c r="BC84" s="102">
        <v>1195.0509999999999</v>
      </c>
      <c r="BD84" s="102">
        <v>0</v>
      </c>
      <c r="BE84" s="102">
        <v>0</v>
      </c>
      <c r="BF84" s="102">
        <v>9.6890000000000001</v>
      </c>
      <c r="BG84" s="102">
        <v>27.763999999999999</v>
      </c>
      <c r="BH84" s="102">
        <v>0</v>
      </c>
      <c r="BI84" s="102">
        <v>0</v>
      </c>
      <c r="BJ84" s="102">
        <v>23317.158999999996</v>
      </c>
      <c r="BK84" s="102">
        <v>15495.129000000001</v>
      </c>
      <c r="BL84" s="104"/>
      <c r="BM84" s="104"/>
    </row>
    <row r="85" spans="2:65">
      <c r="B85" s="114" t="s">
        <v>394</v>
      </c>
      <c r="C85" s="115" t="s">
        <v>395</v>
      </c>
      <c r="D85" s="102">
        <v>0</v>
      </c>
      <c r="E85" s="102">
        <v>0</v>
      </c>
      <c r="F85" s="102">
        <v>0</v>
      </c>
      <c r="G85" s="102">
        <v>0</v>
      </c>
      <c r="H85" s="102">
        <v>0</v>
      </c>
      <c r="I85" s="102">
        <v>0</v>
      </c>
      <c r="J85" s="102">
        <v>0</v>
      </c>
      <c r="K85" s="102">
        <v>0</v>
      </c>
      <c r="L85" s="102">
        <v>0</v>
      </c>
      <c r="M85" s="102">
        <v>0</v>
      </c>
      <c r="N85" s="102">
        <v>0</v>
      </c>
      <c r="O85" s="102">
        <v>0</v>
      </c>
      <c r="P85" s="102">
        <v>0</v>
      </c>
      <c r="Q85" s="102">
        <v>29072.046999999999</v>
      </c>
      <c r="R85" s="102">
        <v>1006.412</v>
      </c>
      <c r="S85" s="102">
        <v>0</v>
      </c>
      <c r="T85" s="102">
        <v>0</v>
      </c>
      <c r="U85" s="102">
        <v>0</v>
      </c>
      <c r="V85" s="102">
        <v>0</v>
      </c>
      <c r="W85" s="102">
        <v>0</v>
      </c>
      <c r="X85" s="102">
        <v>0</v>
      </c>
      <c r="Y85" s="102">
        <v>0</v>
      </c>
      <c r="Z85" s="102">
        <v>0</v>
      </c>
      <c r="AA85" s="102">
        <v>0</v>
      </c>
      <c r="AB85" s="102">
        <v>0</v>
      </c>
      <c r="AC85" s="102">
        <v>0</v>
      </c>
      <c r="AD85" s="102">
        <v>0.17599999999999999</v>
      </c>
      <c r="AE85" s="102">
        <v>0</v>
      </c>
      <c r="AF85" s="102">
        <v>0</v>
      </c>
      <c r="AG85" s="102">
        <v>0</v>
      </c>
      <c r="AH85" s="102">
        <v>302.89299999999997</v>
      </c>
      <c r="AI85" s="102">
        <v>0</v>
      </c>
      <c r="AJ85" s="102">
        <v>0</v>
      </c>
      <c r="AK85" s="102">
        <v>0</v>
      </c>
      <c r="AL85" s="102">
        <v>0</v>
      </c>
      <c r="AM85" s="102">
        <v>0</v>
      </c>
      <c r="AN85" s="102">
        <v>0</v>
      </c>
      <c r="AO85" s="102">
        <v>0</v>
      </c>
      <c r="AP85" s="102">
        <v>19.803000000000001</v>
      </c>
      <c r="AQ85" s="102">
        <v>113.67400000000001</v>
      </c>
      <c r="AR85" s="102">
        <v>3.4000000000000002E-2</v>
      </c>
      <c r="AS85" s="102">
        <v>77.599999999999994</v>
      </c>
      <c r="AT85" s="102">
        <v>1.157</v>
      </c>
      <c r="AU85" s="102">
        <v>0</v>
      </c>
      <c r="AV85" s="102">
        <v>0</v>
      </c>
      <c r="AW85" s="102">
        <v>0</v>
      </c>
      <c r="AX85" s="102">
        <v>0</v>
      </c>
      <c r="AY85" s="102">
        <v>0</v>
      </c>
      <c r="AZ85" s="102">
        <v>0</v>
      </c>
      <c r="BA85" s="102">
        <v>0</v>
      </c>
      <c r="BB85" s="102">
        <v>0</v>
      </c>
      <c r="BC85" s="102">
        <v>0</v>
      </c>
      <c r="BD85" s="102">
        <v>0</v>
      </c>
      <c r="BE85" s="102">
        <v>0</v>
      </c>
      <c r="BF85" s="102">
        <v>0</v>
      </c>
      <c r="BG85" s="102">
        <v>0</v>
      </c>
      <c r="BH85" s="102">
        <v>0</v>
      </c>
      <c r="BI85" s="102">
        <v>0</v>
      </c>
      <c r="BJ85" s="102">
        <v>30593.795999999995</v>
      </c>
      <c r="BK85" s="102">
        <v>212.267</v>
      </c>
      <c r="BL85" s="104"/>
      <c r="BM85" s="104"/>
    </row>
    <row r="86" spans="2:65" collapsed="1">
      <c r="B86" s="114" t="s">
        <v>396</v>
      </c>
      <c r="C86" s="115" t="s">
        <v>397</v>
      </c>
      <c r="D86" s="102">
        <v>0</v>
      </c>
      <c r="E86" s="102">
        <v>0</v>
      </c>
      <c r="F86" s="102">
        <v>0</v>
      </c>
      <c r="G86" s="102">
        <v>11283.638000000001</v>
      </c>
      <c r="H86" s="102">
        <v>0</v>
      </c>
      <c r="I86" s="102">
        <v>0</v>
      </c>
      <c r="J86" s="102">
        <v>0</v>
      </c>
      <c r="K86" s="102">
        <v>0</v>
      </c>
      <c r="L86" s="102">
        <v>0</v>
      </c>
      <c r="M86" s="102">
        <v>0</v>
      </c>
      <c r="N86" s="102">
        <v>0</v>
      </c>
      <c r="O86" s="102">
        <v>0</v>
      </c>
      <c r="P86" s="102">
        <v>0</v>
      </c>
      <c r="Q86" s="102">
        <v>3633.2170000000001</v>
      </c>
      <c r="R86" s="102">
        <v>329.26799999999997</v>
      </c>
      <c r="S86" s="102">
        <v>0</v>
      </c>
      <c r="T86" s="102">
        <v>0</v>
      </c>
      <c r="U86" s="102">
        <v>0</v>
      </c>
      <c r="V86" s="102">
        <v>0</v>
      </c>
      <c r="W86" s="102">
        <v>806.94399999999996</v>
      </c>
      <c r="X86" s="102">
        <v>74.757000000000005</v>
      </c>
      <c r="Y86" s="102">
        <v>0</v>
      </c>
      <c r="Z86" s="102">
        <v>0</v>
      </c>
      <c r="AA86" s="102">
        <v>0</v>
      </c>
      <c r="AB86" s="102">
        <v>0</v>
      </c>
      <c r="AC86" s="102">
        <v>0</v>
      </c>
      <c r="AD86" s="102">
        <v>1.9830000000000001</v>
      </c>
      <c r="AE86" s="102">
        <v>0</v>
      </c>
      <c r="AF86" s="102">
        <v>0</v>
      </c>
      <c r="AG86" s="102">
        <v>0</v>
      </c>
      <c r="AH86" s="102">
        <v>235.196</v>
      </c>
      <c r="AI86" s="102">
        <v>3536.4720000000002</v>
      </c>
      <c r="AJ86" s="102">
        <v>0</v>
      </c>
      <c r="AK86" s="102">
        <v>0</v>
      </c>
      <c r="AL86" s="102">
        <v>0</v>
      </c>
      <c r="AM86" s="102">
        <v>0</v>
      </c>
      <c r="AN86" s="102">
        <v>0</v>
      </c>
      <c r="AO86" s="102">
        <v>332.53</v>
      </c>
      <c r="AP86" s="102">
        <v>16.948</v>
      </c>
      <c r="AQ86" s="102">
        <v>190.024</v>
      </c>
      <c r="AR86" s="102">
        <v>259.95699999999999</v>
      </c>
      <c r="AS86" s="102">
        <v>3279.2489999999998</v>
      </c>
      <c r="AT86" s="102">
        <v>9.2230000000000008</v>
      </c>
      <c r="AU86" s="102">
        <v>0</v>
      </c>
      <c r="AV86" s="102">
        <v>0</v>
      </c>
      <c r="AW86" s="102">
        <v>0</v>
      </c>
      <c r="AX86" s="102">
        <v>0</v>
      </c>
      <c r="AY86" s="102">
        <v>0</v>
      </c>
      <c r="AZ86" s="102">
        <v>0</v>
      </c>
      <c r="BA86" s="102">
        <v>0</v>
      </c>
      <c r="BB86" s="102">
        <v>0</v>
      </c>
      <c r="BC86" s="102">
        <v>0</v>
      </c>
      <c r="BD86" s="102">
        <v>0</v>
      </c>
      <c r="BE86" s="102">
        <v>0</v>
      </c>
      <c r="BF86" s="102">
        <v>0</v>
      </c>
      <c r="BG86" s="102">
        <v>0</v>
      </c>
      <c r="BH86" s="102">
        <v>0</v>
      </c>
      <c r="BI86" s="102">
        <v>0</v>
      </c>
      <c r="BJ86" s="102">
        <v>23989.406000000003</v>
      </c>
      <c r="BK86" s="102">
        <v>4562.3450000000003</v>
      </c>
      <c r="BL86" s="104"/>
      <c r="BM86" s="104"/>
    </row>
    <row r="87" spans="2:65">
      <c r="B87" s="114" t="s">
        <v>398</v>
      </c>
      <c r="C87" s="115" t="s">
        <v>399</v>
      </c>
      <c r="D87" s="102">
        <v>0</v>
      </c>
      <c r="E87" s="102">
        <v>0</v>
      </c>
      <c r="F87" s="102">
        <v>0</v>
      </c>
      <c r="G87" s="102">
        <v>0</v>
      </c>
      <c r="H87" s="102">
        <v>0</v>
      </c>
      <c r="I87" s="102">
        <v>0</v>
      </c>
      <c r="J87" s="102">
        <v>0</v>
      </c>
      <c r="K87" s="102">
        <v>0</v>
      </c>
      <c r="L87" s="102">
        <v>0</v>
      </c>
      <c r="M87" s="102">
        <v>0</v>
      </c>
      <c r="N87" s="102">
        <v>0</v>
      </c>
      <c r="O87" s="102">
        <v>0</v>
      </c>
      <c r="P87" s="102">
        <v>0</v>
      </c>
      <c r="Q87" s="102">
        <v>0</v>
      </c>
      <c r="R87" s="102">
        <v>0</v>
      </c>
      <c r="S87" s="102">
        <v>0</v>
      </c>
      <c r="T87" s="102">
        <v>0</v>
      </c>
      <c r="U87" s="102">
        <v>0</v>
      </c>
      <c r="V87" s="102">
        <v>0</v>
      </c>
      <c r="W87" s="102">
        <v>0</v>
      </c>
      <c r="X87" s="102">
        <v>0</v>
      </c>
      <c r="Y87" s="102">
        <v>0</v>
      </c>
      <c r="Z87" s="102">
        <v>0</v>
      </c>
      <c r="AA87" s="102">
        <v>0</v>
      </c>
      <c r="AB87" s="102">
        <v>0</v>
      </c>
      <c r="AC87" s="102">
        <v>0</v>
      </c>
      <c r="AD87" s="102">
        <v>0</v>
      </c>
      <c r="AE87" s="102">
        <v>0</v>
      </c>
      <c r="AF87" s="102">
        <v>0</v>
      </c>
      <c r="AG87" s="102">
        <v>0</v>
      </c>
      <c r="AH87" s="102">
        <v>0</v>
      </c>
      <c r="AI87" s="102">
        <v>0</v>
      </c>
      <c r="AJ87" s="102">
        <v>0</v>
      </c>
      <c r="AK87" s="102">
        <v>0</v>
      </c>
      <c r="AL87" s="102">
        <v>0</v>
      </c>
      <c r="AM87" s="102">
        <v>0</v>
      </c>
      <c r="AN87" s="102">
        <v>0</v>
      </c>
      <c r="AO87" s="102">
        <v>0</v>
      </c>
      <c r="AP87" s="102">
        <v>0</v>
      </c>
      <c r="AQ87" s="102">
        <v>0</v>
      </c>
      <c r="AR87" s="102">
        <v>0</v>
      </c>
      <c r="AS87" s="102">
        <v>0</v>
      </c>
      <c r="AT87" s="102">
        <v>0</v>
      </c>
      <c r="AU87" s="102">
        <v>0</v>
      </c>
      <c r="AV87" s="102">
        <v>0</v>
      </c>
      <c r="AW87" s="102">
        <v>0</v>
      </c>
      <c r="AX87" s="102">
        <v>0</v>
      </c>
      <c r="AY87" s="102">
        <v>0</v>
      </c>
      <c r="AZ87" s="102">
        <v>0</v>
      </c>
      <c r="BA87" s="102">
        <v>0</v>
      </c>
      <c r="BB87" s="102">
        <v>0</v>
      </c>
      <c r="BC87" s="102">
        <v>0</v>
      </c>
      <c r="BD87" s="102">
        <v>0</v>
      </c>
      <c r="BE87" s="102">
        <v>0</v>
      </c>
      <c r="BF87" s="102">
        <v>0</v>
      </c>
      <c r="BG87" s="102">
        <v>0</v>
      </c>
      <c r="BH87" s="102">
        <v>0</v>
      </c>
      <c r="BI87" s="102">
        <v>161.815</v>
      </c>
      <c r="BJ87" s="102">
        <v>161.815</v>
      </c>
      <c r="BK87" s="102">
        <v>0</v>
      </c>
      <c r="BL87" s="104"/>
      <c r="BM87" s="104"/>
    </row>
    <row r="88" spans="2:65">
      <c r="B88" s="100" t="s">
        <v>400</v>
      </c>
      <c r="C88" s="134" t="s">
        <v>401</v>
      </c>
      <c r="D88" s="102">
        <v>0</v>
      </c>
      <c r="E88" s="102">
        <v>0</v>
      </c>
      <c r="F88" s="102">
        <v>0</v>
      </c>
      <c r="G88" s="102">
        <v>73459.394</v>
      </c>
      <c r="H88" s="102">
        <v>0</v>
      </c>
      <c r="I88" s="102">
        <v>0</v>
      </c>
      <c r="J88" s="102">
        <v>0</v>
      </c>
      <c r="K88" s="102">
        <v>0</v>
      </c>
      <c r="L88" s="102">
        <v>0</v>
      </c>
      <c r="M88" s="102">
        <v>0</v>
      </c>
      <c r="N88" s="102">
        <v>0</v>
      </c>
      <c r="O88" s="102">
        <v>0</v>
      </c>
      <c r="P88" s="102">
        <v>0</v>
      </c>
      <c r="Q88" s="102">
        <v>48750.644999999997</v>
      </c>
      <c r="R88" s="102">
        <v>18294.847000000002</v>
      </c>
      <c r="S88" s="102">
        <v>0</v>
      </c>
      <c r="T88" s="102">
        <v>0</v>
      </c>
      <c r="U88" s="102">
        <v>0</v>
      </c>
      <c r="V88" s="102">
        <v>0</v>
      </c>
      <c r="W88" s="102">
        <v>10315.831</v>
      </c>
      <c r="X88" s="102">
        <v>2268.9029999999998</v>
      </c>
      <c r="Y88" s="102">
        <v>0</v>
      </c>
      <c r="Z88" s="102">
        <v>0</v>
      </c>
      <c r="AA88" s="102">
        <v>0</v>
      </c>
      <c r="AB88" s="102">
        <v>0</v>
      </c>
      <c r="AC88" s="102">
        <v>0</v>
      </c>
      <c r="AD88" s="102">
        <v>1069.4349999999999</v>
      </c>
      <c r="AE88" s="102">
        <v>6.8659999999999997</v>
      </c>
      <c r="AF88" s="102">
        <v>0</v>
      </c>
      <c r="AG88" s="102">
        <v>0</v>
      </c>
      <c r="AH88" s="102">
        <v>8946.3459999999995</v>
      </c>
      <c r="AI88" s="102">
        <v>11716.834000000001</v>
      </c>
      <c r="AJ88" s="102">
        <v>0</v>
      </c>
      <c r="AK88" s="102">
        <v>0</v>
      </c>
      <c r="AL88" s="102">
        <v>0</v>
      </c>
      <c r="AM88" s="102">
        <v>0</v>
      </c>
      <c r="AN88" s="102">
        <v>0</v>
      </c>
      <c r="AO88" s="102">
        <v>23983.702000000001</v>
      </c>
      <c r="AP88" s="102">
        <v>7618.4210000000003</v>
      </c>
      <c r="AQ88" s="102">
        <v>3766.8009999999999</v>
      </c>
      <c r="AR88" s="102">
        <v>4862.5450000000001</v>
      </c>
      <c r="AS88" s="102">
        <v>14056.771000000001</v>
      </c>
      <c r="AT88" s="102">
        <v>169.44800000000001</v>
      </c>
      <c r="AU88" s="102">
        <v>661.18499999999995</v>
      </c>
      <c r="AV88" s="102">
        <v>0</v>
      </c>
      <c r="AW88" s="102">
        <v>0</v>
      </c>
      <c r="AX88" s="102">
        <v>0</v>
      </c>
      <c r="AY88" s="102">
        <v>0</v>
      </c>
      <c r="AZ88" s="102">
        <v>0</v>
      </c>
      <c r="BA88" s="102">
        <v>0</v>
      </c>
      <c r="BB88" s="102">
        <v>0</v>
      </c>
      <c r="BC88" s="102">
        <v>0</v>
      </c>
      <c r="BD88" s="102">
        <v>0</v>
      </c>
      <c r="BE88" s="102">
        <v>0</v>
      </c>
      <c r="BF88" s="102">
        <v>0</v>
      </c>
      <c r="BG88" s="102">
        <v>0</v>
      </c>
      <c r="BH88" s="102">
        <v>0</v>
      </c>
      <c r="BI88" s="102">
        <v>53788.718999999997</v>
      </c>
      <c r="BJ88" s="102">
        <v>283736.69300000003</v>
      </c>
      <c r="BK88" s="102">
        <v>41451.002</v>
      </c>
      <c r="BL88" s="104"/>
      <c r="BM88" s="104"/>
    </row>
    <row r="89" spans="2:65">
      <c r="B89" s="114" t="s">
        <v>402</v>
      </c>
      <c r="C89" s="115" t="s">
        <v>395</v>
      </c>
      <c r="D89" s="102">
        <v>0</v>
      </c>
      <c r="E89" s="102">
        <v>0</v>
      </c>
      <c r="F89" s="102">
        <v>0</v>
      </c>
      <c r="G89" s="102">
        <v>0</v>
      </c>
      <c r="H89" s="102">
        <v>0</v>
      </c>
      <c r="I89" s="102">
        <v>0</v>
      </c>
      <c r="J89" s="102">
        <v>0</v>
      </c>
      <c r="K89" s="102">
        <v>0</v>
      </c>
      <c r="L89" s="102">
        <v>0</v>
      </c>
      <c r="M89" s="102">
        <v>0</v>
      </c>
      <c r="N89" s="102">
        <v>0</v>
      </c>
      <c r="O89" s="102">
        <v>0</v>
      </c>
      <c r="P89" s="102">
        <v>0</v>
      </c>
      <c r="Q89" s="102">
        <v>46915.595000000001</v>
      </c>
      <c r="R89" s="102">
        <v>6002.2439999999997</v>
      </c>
      <c r="S89" s="102">
        <v>0</v>
      </c>
      <c r="T89" s="102">
        <v>0</v>
      </c>
      <c r="U89" s="102">
        <v>0</v>
      </c>
      <c r="V89" s="102">
        <v>0</v>
      </c>
      <c r="W89" s="102">
        <v>0</v>
      </c>
      <c r="X89" s="102">
        <v>0</v>
      </c>
      <c r="Y89" s="102">
        <v>0</v>
      </c>
      <c r="Z89" s="102">
        <v>0</v>
      </c>
      <c r="AA89" s="102">
        <v>0</v>
      </c>
      <c r="AB89" s="102">
        <v>0</v>
      </c>
      <c r="AC89" s="102">
        <v>0</v>
      </c>
      <c r="AD89" s="102">
        <v>1.579</v>
      </c>
      <c r="AE89" s="102">
        <v>0</v>
      </c>
      <c r="AF89" s="102">
        <v>0</v>
      </c>
      <c r="AG89" s="102">
        <v>0</v>
      </c>
      <c r="AH89" s="102">
        <v>2644.5439999999999</v>
      </c>
      <c r="AI89" s="102">
        <v>0</v>
      </c>
      <c r="AJ89" s="102">
        <v>0</v>
      </c>
      <c r="AK89" s="102">
        <v>0</v>
      </c>
      <c r="AL89" s="102">
        <v>0</v>
      </c>
      <c r="AM89" s="102">
        <v>0</v>
      </c>
      <c r="AN89" s="102">
        <v>0</v>
      </c>
      <c r="AO89" s="102">
        <v>0</v>
      </c>
      <c r="AP89" s="102">
        <v>2815.0070000000001</v>
      </c>
      <c r="AQ89" s="102">
        <v>2624.75</v>
      </c>
      <c r="AR89" s="102">
        <v>455.07799999999997</v>
      </c>
      <c r="AS89" s="102">
        <v>2016.98</v>
      </c>
      <c r="AT89" s="102">
        <v>37.625999999999998</v>
      </c>
      <c r="AU89" s="102">
        <v>0</v>
      </c>
      <c r="AV89" s="102">
        <v>0</v>
      </c>
      <c r="AW89" s="102">
        <v>0</v>
      </c>
      <c r="AX89" s="102">
        <v>0</v>
      </c>
      <c r="AY89" s="102">
        <v>0</v>
      </c>
      <c r="AZ89" s="102">
        <v>0</v>
      </c>
      <c r="BA89" s="102">
        <v>0</v>
      </c>
      <c r="BB89" s="102">
        <v>0</v>
      </c>
      <c r="BC89" s="102">
        <v>0</v>
      </c>
      <c r="BD89" s="102">
        <v>0</v>
      </c>
      <c r="BE89" s="102">
        <v>0</v>
      </c>
      <c r="BF89" s="102">
        <v>0</v>
      </c>
      <c r="BG89" s="102">
        <v>0</v>
      </c>
      <c r="BH89" s="102">
        <v>0</v>
      </c>
      <c r="BI89" s="102">
        <v>43948.228999999999</v>
      </c>
      <c r="BJ89" s="102">
        <v>107461.632</v>
      </c>
      <c r="BK89" s="102">
        <v>7949.4409999999998</v>
      </c>
      <c r="BL89" s="104"/>
      <c r="BM89" s="104"/>
    </row>
    <row r="90" spans="2:65" collapsed="1">
      <c r="B90" s="114" t="s">
        <v>403</v>
      </c>
      <c r="C90" s="115" t="s">
        <v>397</v>
      </c>
      <c r="D90" s="102">
        <v>0</v>
      </c>
      <c r="E90" s="102">
        <v>0</v>
      </c>
      <c r="F90" s="102">
        <v>0</v>
      </c>
      <c r="G90" s="102">
        <v>73459.394</v>
      </c>
      <c r="H90" s="102">
        <v>0</v>
      </c>
      <c r="I90" s="102">
        <v>0</v>
      </c>
      <c r="J90" s="102">
        <v>0</v>
      </c>
      <c r="K90" s="102">
        <v>0</v>
      </c>
      <c r="L90" s="102">
        <v>0</v>
      </c>
      <c r="M90" s="102">
        <v>0</v>
      </c>
      <c r="N90" s="102">
        <v>0</v>
      </c>
      <c r="O90" s="102">
        <v>0</v>
      </c>
      <c r="P90" s="102">
        <v>0</v>
      </c>
      <c r="Q90" s="102">
        <v>723.45</v>
      </c>
      <c r="R90" s="102">
        <v>5197.3370000000004</v>
      </c>
      <c r="S90" s="102">
        <v>0</v>
      </c>
      <c r="T90" s="102">
        <v>0</v>
      </c>
      <c r="U90" s="102">
        <v>0</v>
      </c>
      <c r="V90" s="102">
        <v>0</v>
      </c>
      <c r="W90" s="102">
        <v>10315.831</v>
      </c>
      <c r="X90" s="102">
        <v>2197.6759999999999</v>
      </c>
      <c r="Y90" s="102">
        <v>0</v>
      </c>
      <c r="Z90" s="102">
        <v>0</v>
      </c>
      <c r="AA90" s="102">
        <v>0</v>
      </c>
      <c r="AB90" s="102">
        <v>0</v>
      </c>
      <c r="AC90" s="102">
        <v>0</v>
      </c>
      <c r="AD90" s="102">
        <v>0.20399999999999999</v>
      </c>
      <c r="AE90" s="102">
        <v>0</v>
      </c>
      <c r="AF90" s="102">
        <v>0</v>
      </c>
      <c r="AG90" s="102">
        <v>0</v>
      </c>
      <c r="AH90" s="102">
        <v>3310.6329999999998</v>
      </c>
      <c r="AI90" s="102">
        <v>11716.834000000001</v>
      </c>
      <c r="AJ90" s="102">
        <v>0</v>
      </c>
      <c r="AK90" s="102">
        <v>0</v>
      </c>
      <c r="AL90" s="102">
        <v>0</v>
      </c>
      <c r="AM90" s="102">
        <v>0</v>
      </c>
      <c r="AN90" s="102">
        <v>0</v>
      </c>
      <c r="AO90" s="102">
        <v>23387.542000000001</v>
      </c>
      <c r="AP90" s="102">
        <v>0</v>
      </c>
      <c r="AQ90" s="102">
        <v>1142.05</v>
      </c>
      <c r="AR90" s="102">
        <v>3832.7310000000002</v>
      </c>
      <c r="AS90" s="102">
        <v>11439.884</v>
      </c>
      <c r="AT90" s="102">
        <v>0</v>
      </c>
      <c r="AU90" s="102">
        <v>0</v>
      </c>
      <c r="AV90" s="102">
        <v>0</v>
      </c>
      <c r="AW90" s="102">
        <v>0</v>
      </c>
      <c r="AX90" s="102">
        <v>0</v>
      </c>
      <c r="AY90" s="102">
        <v>0</v>
      </c>
      <c r="AZ90" s="102">
        <v>0</v>
      </c>
      <c r="BA90" s="102">
        <v>0</v>
      </c>
      <c r="BB90" s="102">
        <v>0</v>
      </c>
      <c r="BC90" s="102">
        <v>0</v>
      </c>
      <c r="BD90" s="102">
        <v>0</v>
      </c>
      <c r="BE90" s="102">
        <v>0</v>
      </c>
      <c r="BF90" s="102">
        <v>0</v>
      </c>
      <c r="BG90" s="102">
        <v>0</v>
      </c>
      <c r="BH90" s="102">
        <v>0</v>
      </c>
      <c r="BI90" s="102">
        <v>7064.4309999999996</v>
      </c>
      <c r="BJ90" s="102">
        <v>153787.997</v>
      </c>
      <c r="BK90" s="102">
        <v>26730.495999999999</v>
      </c>
      <c r="BL90" s="104"/>
      <c r="BM90" s="104"/>
    </row>
    <row r="91" spans="2:65">
      <c r="B91" s="114" t="s">
        <v>404</v>
      </c>
      <c r="C91" s="115" t="s">
        <v>405</v>
      </c>
      <c r="D91" s="102">
        <v>0</v>
      </c>
      <c r="E91" s="102">
        <v>0</v>
      </c>
      <c r="F91" s="102">
        <v>0</v>
      </c>
      <c r="G91" s="102">
        <v>0</v>
      </c>
      <c r="H91" s="102">
        <v>0</v>
      </c>
      <c r="I91" s="102">
        <v>0</v>
      </c>
      <c r="J91" s="102">
        <v>0</v>
      </c>
      <c r="K91" s="102">
        <v>0</v>
      </c>
      <c r="L91" s="102">
        <v>0</v>
      </c>
      <c r="M91" s="102">
        <v>0</v>
      </c>
      <c r="N91" s="102">
        <v>0</v>
      </c>
      <c r="O91" s="102">
        <v>0</v>
      </c>
      <c r="P91" s="102">
        <v>0</v>
      </c>
      <c r="Q91" s="102">
        <v>1111.5999999999999</v>
      </c>
      <c r="R91" s="102">
        <v>6695.299</v>
      </c>
      <c r="S91" s="102">
        <v>0</v>
      </c>
      <c r="T91" s="102">
        <v>0</v>
      </c>
      <c r="U91" s="102">
        <v>0</v>
      </c>
      <c r="V91" s="102">
        <v>0</v>
      </c>
      <c r="W91" s="102">
        <v>0</v>
      </c>
      <c r="X91" s="102">
        <v>30.082999999999998</v>
      </c>
      <c r="Y91" s="102">
        <v>0</v>
      </c>
      <c r="Z91" s="102">
        <v>0</v>
      </c>
      <c r="AA91" s="102">
        <v>0</v>
      </c>
      <c r="AB91" s="102">
        <v>0</v>
      </c>
      <c r="AC91" s="102">
        <v>0</v>
      </c>
      <c r="AD91" s="102">
        <v>9.8249999999999993</v>
      </c>
      <c r="AE91" s="102">
        <v>0.30299999999999999</v>
      </c>
      <c r="AF91" s="102">
        <v>0</v>
      </c>
      <c r="AG91" s="102">
        <v>0</v>
      </c>
      <c r="AH91" s="102">
        <v>1379.1120000000001</v>
      </c>
      <c r="AI91" s="102">
        <v>0</v>
      </c>
      <c r="AJ91" s="102">
        <v>0</v>
      </c>
      <c r="AK91" s="102">
        <v>0</v>
      </c>
      <c r="AL91" s="102">
        <v>0</v>
      </c>
      <c r="AM91" s="102">
        <v>0</v>
      </c>
      <c r="AN91" s="102">
        <v>0</v>
      </c>
      <c r="AO91" s="102">
        <v>0</v>
      </c>
      <c r="AP91" s="102">
        <v>0</v>
      </c>
      <c r="AQ91" s="102">
        <v>0</v>
      </c>
      <c r="AR91" s="102">
        <v>0</v>
      </c>
      <c r="AS91" s="102">
        <v>0</v>
      </c>
      <c r="AT91" s="102">
        <v>131.82300000000001</v>
      </c>
      <c r="AU91" s="102">
        <v>661.18499999999995</v>
      </c>
      <c r="AV91" s="102">
        <v>0</v>
      </c>
      <c r="AW91" s="102">
        <v>0</v>
      </c>
      <c r="AX91" s="102">
        <v>0</v>
      </c>
      <c r="AY91" s="102">
        <v>0</v>
      </c>
      <c r="AZ91" s="102">
        <v>0</v>
      </c>
      <c r="BA91" s="102">
        <v>0</v>
      </c>
      <c r="BB91" s="102">
        <v>0</v>
      </c>
      <c r="BC91" s="102">
        <v>0</v>
      </c>
      <c r="BD91" s="102">
        <v>0</v>
      </c>
      <c r="BE91" s="102">
        <v>0</v>
      </c>
      <c r="BF91" s="102">
        <v>0</v>
      </c>
      <c r="BG91" s="102">
        <v>0</v>
      </c>
      <c r="BH91" s="102">
        <v>0</v>
      </c>
      <c r="BI91" s="102">
        <v>0</v>
      </c>
      <c r="BJ91" s="102">
        <v>10019.229999999998</v>
      </c>
      <c r="BK91" s="102">
        <v>793.00800000000004</v>
      </c>
      <c r="BL91" s="104"/>
      <c r="BM91" s="104"/>
    </row>
    <row r="92" spans="2:65" collapsed="1">
      <c r="B92" s="114" t="s">
        <v>406</v>
      </c>
      <c r="C92" s="115" t="s">
        <v>407</v>
      </c>
      <c r="D92" s="102">
        <v>0</v>
      </c>
      <c r="E92" s="102">
        <v>0</v>
      </c>
      <c r="F92" s="102">
        <v>0</v>
      </c>
      <c r="G92" s="102">
        <v>0</v>
      </c>
      <c r="H92" s="102">
        <v>0</v>
      </c>
      <c r="I92" s="102">
        <v>0</v>
      </c>
      <c r="J92" s="102">
        <v>0</v>
      </c>
      <c r="K92" s="102">
        <v>0</v>
      </c>
      <c r="L92" s="102">
        <v>0</v>
      </c>
      <c r="M92" s="102">
        <v>0</v>
      </c>
      <c r="N92" s="102">
        <v>0</v>
      </c>
      <c r="O92" s="102">
        <v>0</v>
      </c>
      <c r="P92" s="102">
        <v>0</v>
      </c>
      <c r="Q92" s="102">
        <v>0</v>
      </c>
      <c r="R92" s="102">
        <v>399.96699999999998</v>
      </c>
      <c r="S92" s="102">
        <v>0</v>
      </c>
      <c r="T92" s="102">
        <v>0</v>
      </c>
      <c r="U92" s="102">
        <v>0</v>
      </c>
      <c r="V92" s="102">
        <v>0</v>
      </c>
      <c r="W92" s="102">
        <v>0</v>
      </c>
      <c r="X92" s="102">
        <v>41.145000000000003</v>
      </c>
      <c r="Y92" s="102">
        <v>0</v>
      </c>
      <c r="Z92" s="102">
        <v>0</v>
      </c>
      <c r="AA92" s="102">
        <v>0</v>
      </c>
      <c r="AB92" s="102">
        <v>0</v>
      </c>
      <c r="AC92" s="102">
        <v>0</v>
      </c>
      <c r="AD92" s="102">
        <v>1057.828</v>
      </c>
      <c r="AE92" s="102">
        <v>6.5629999999999997</v>
      </c>
      <c r="AF92" s="102">
        <v>0</v>
      </c>
      <c r="AG92" s="102">
        <v>0</v>
      </c>
      <c r="AH92" s="102">
        <v>1612.056</v>
      </c>
      <c r="AI92" s="102">
        <v>0</v>
      </c>
      <c r="AJ92" s="102">
        <v>0</v>
      </c>
      <c r="AK92" s="102">
        <v>0</v>
      </c>
      <c r="AL92" s="102">
        <v>0</v>
      </c>
      <c r="AM92" s="102">
        <v>0</v>
      </c>
      <c r="AN92" s="102">
        <v>0</v>
      </c>
      <c r="AO92" s="102">
        <v>596.16</v>
      </c>
      <c r="AP92" s="102">
        <v>4803.4139999999998</v>
      </c>
      <c r="AQ92" s="102">
        <v>0</v>
      </c>
      <c r="AR92" s="102">
        <v>574.73500000000001</v>
      </c>
      <c r="AS92" s="102">
        <v>599.90800000000002</v>
      </c>
      <c r="AT92" s="102">
        <v>0</v>
      </c>
      <c r="AU92" s="102">
        <v>0</v>
      </c>
      <c r="AV92" s="102">
        <v>0</v>
      </c>
      <c r="AW92" s="102">
        <v>0</v>
      </c>
      <c r="AX92" s="102">
        <v>0</v>
      </c>
      <c r="AY92" s="102">
        <v>0</v>
      </c>
      <c r="AZ92" s="102">
        <v>0</v>
      </c>
      <c r="BA92" s="102">
        <v>0</v>
      </c>
      <c r="BB92" s="102">
        <v>0</v>
      </c>
      <c r="BC92" s="102">
        <v>0</v>
      </c>
      <c r="BD92" s="102">
        <v>0</v>
      </c>
      <c r="BE92" s="102">
        <v>0</v>
      </c>
      <c r="BF92" s="102">
        <v>0</v>
      </c>
      <c r="BG92" s="102">
        <v>0</v>
      </c>
      <c r="BH92" s="102">
        <v>0</v>
      </c>
      <c r="BI92" s="102">
        <v>0</v>
      </c>
      <c r="BJ92" s="102">
        <v>9691.7759999999998</v>
      </c>
      <c r="BK92" s="102">
        <v>5978.058</v>
      </c>
      <c r="BL92" s="104"/>
      <c r="BM92" s="104"/>
    </row>
    <row r="93" spans="2:65">
      <c r="B93" s="114" t="s">
        <v>408</v>
      </c>
      <c r="C93" s="115" t="s">
        <v>409</v>
      </c>
      <c r="D93" s="102">
        <v>0</v>
      </c>
      <c r="E93" s="102">
        <v>0</v>
      </c>
      <c r="F93" s="102">
        <v>0</v>
      </c>
      <c r="G93" s="102">
        <v>0</v>
      </c>
      <c r="H93" s="102">
        <v>0</v>
      </c>
      <c r="I93" s="102">
        <v>0</v>
      </c>
      <c r="J93" s="102">
        <v>0</v>
      </c>
      <c r="K93" s="102">
        <v>0</v>
      </c>
      <c r="L93" s="102">
        <v>0</v>
      </c>
      <c r="M93" s="102">
        <v>0</v>
      </c>
      <c r="N93" s="102">
        <v>0</v>
      </c>
      <c r="O93" s="102">
        <v>0</v>
      </c>
      <c r="P93" s="102">
        <v>0</v>
      </c>
      <c r="Q93" s="102">
        <v>0</v>
      </c>
      <c r="R93" s="102">
        <v>0</v>
      </c>
      <c r="S93" s="102">
        <v>0</v>
      </c>
      <c r="T93" s="102">
        <v>0</v>
      </c>
      <c r="U93" s="102">
        <v>0</v>
      </c>
      <c r="V93" s="102">
        <v>0</v>
      </c>
      <c r="W93" s="102">
        <v>0</v>
      </c>
      <c r="X93" s="102">
        <v>0</v>
      </c>
      <c r="Y93" s="102">
        <v>0</v>
      </c>
      <c r="Z93" s="102">
        <v>0</v>
      </c>
      <c r="AA93" s="102">
        <v>0</v>
      </c>
      <c r="AB93" s="102">
        <v>0</v>
      </c>
      <c r="AC93" s="102">
        <v>0</v>
      </c>
      <c r="AD93" s="102">
        <v>0</v>
      </c>
      <c r="AE93" s="102">
        <v>0</v>
      </c>
      <c r="AF93" s="102">
        <v>0</v>
      </c>
      <c r="AG93" s="102">
        <v>0</v>
      </c>
      <c r="AH93" s="102">
        <v>0</v>
      </c>
      <c r="AI93" s="102">
        <v>0</v>
      </c>
      <c r="AJ93" s="102">
        <v>0</v>
      </c>
      <c r="AK93" s="102">
        <v>0</v>
      </c>
      <c r="AL93" s="102">
        <v>0</v>
      </c>
      <c r="AM93" s="102">
        <v>0</v>
      </c>
      <c r="AN93" s="102">
        <v>0</v>
      </c>
      <c r="AO93" s="102">
        <v>0</v>
      </c>
      <c r="AP93" s="102">
        <v>0</v>
      </c>
      <c r="AQ93" s="102">
        <v>0</v>
      </c>
      <c r="AR93" s="102">
        <v>0</v>
      </c>
      <c r="AS93" s="102">
        <v>0</v>
      </c>
      <c r="AT93" s="102">
        <v>0</v>
      </c>
      <c r="AU93" s="102">
        <v>0</v>
      </c>
      <c r="AV93" s="102">
        <v>0</v>
      </c>
      <c r="AW93" s="102">
        <v>0</v>
      </c>
      <c r="AX93" s="102">
        <v>0</v>
      </c>
      <c r="AY93" s="102">
        <v>0</v>
      </c>
      <c r="AZ93" s="102">
        <v>0</v>
      </c>
      <c r="BA93" s="102">
        <v>0</v>
      </c>
      <c r="BB93" s="102">
        <v>0</v>
      </c>
      <c r="BC93" s="102">
        <v>0</v>
      </c>
      <c r="BD93" s="102">
        <v>0</v>
      </c>
      <c r="BE93" s="102">
        <v>0</v>
      </c>
      <c r="BF93" s="102">
        <v>0</v>
      </c>
      <c r="BG93" s="102">
        <v>0</v>
      </c>
      <c r="BH93" s="102">
        <v>0</v>
      </c>
      <c r="BI93" s="102">
        <v>2776.0590000000002</v>
      </c>
      <c r="BJ93" s="102">
        <v>2776.0590000000002</v>
      </c>
      <c r="BK93" s="102">
        <v>0</v>
      </c>
      <c r="BL93" s="104"/>
      <c r="BM93" s="104"/>
    </row>
  </sheetData>
  <mergeCells count="9">
    <mergeCell ref="AY1:BG1"/>
    <mergeCell ref="D1:P1"/>
    <mergeCell ref="Q1:R1"/>
    <mergeCell ref="AP1:AX1"/>
    <mergeCell ref="AI1:AO1"/>
    <mergeCell ref="T1:V1"/>
    <mergeCell ref="Z1:AE1"/>
    <mergeCell ref="AF1:AH1"/>
    <mergeCell ref="W1:Y1"/>
  </mergeCells>
  <phoneticPr fontId="3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B0C71-C645-47F9-AF05-C4D7144C975B}">
  <dimension ref="A1:BM94"/>
  <sheetViews>
    <sheetView zoomScale="38" workbookViewId="0">
      <selection activeCell="D1" sqref="D1:BI4"/>
    </sheetView>
  </sheetViews>
  <sheetFormatPr defaultRowHeight="16.5"/>
  <cols>
    <col min="1" max="1" width="6.125" customWidth="1"/>
    <col min="2" max="2" width="25.625" customWidth="1"/>
    <col min="3" max="3" width="36.5" customWidth="1"/>
    <col min="4" max="4" width="9.375" bestFit="1" customWidth="1"/>
    <col min="5" max="5" width="10.125" bestFit="1" customWidth="1"/>
    <col min="6" max="7" width="12.375" bestFit="1" customWidth="1"/>
    <col min="8" max="8" width="9.375" bestFit="1" customWidth="1"/>
    <col min="9" max="11" width="8.875" bestFit="1" customWidth="1"/>
    <col min="12" max="12" width="9.5" bestFit="1" customWidth="1"/>
    <col min="13" max="13" width="8.875" bestFit="1" customWidth="1"/>
    <col min="14" max="15" width="10.125" bestFit="1" customWidth="1"/>
    <col min="16" max="16" width="8.875" bestFit="1" customWidth="1"/>
    <col min="17" max="17" width="12.375" bestFit="1" customWidth="1"/>
    <col min="18" max="18" width="11.5" bestFit="1" customWidth="1"/>
    <col min="19" max="19" width="13.625" bestFit="1" customWidth="1"/>
    <col min="20" max="20" width="12.375" bestFit="1" customWidth="1"/>
    <col min="21" max="21" width="8.875" bestFit="1" customWidth="1"/>
    <col min="22" max="22" width="9.375" bestFit="1" customWidth="1"/>
    <col min="23" max="25" width="10.125" bestFit="1" customWidth="1"/>
    <col min="26" max="26" width="12.375" bestFit="1" customWidth="1"/>
    <col min="27" max="28" width="8.875" bestFit="1" customWidth="1"/>
    <col min="29" max="29" width="12.375" bestFit="1" customWidth="1"/>
    <col min="30" max="30" width="11.125" bestFit="1" customWidth="1"/>
    <col min="31" max="31" width="12.375" bestFit="1" customWidth="1"/>
  </cols>
  <sheetData>
    <row r="1" spans="1:65" ht="17.25" thickBot="1">
      <c r="C1" s="2"/>
      <c r="D1" s="508" t="s">
        <v>425</v>
      </c>
      <c r="E1" s="508"/>
      <c r="F1" s="508"/>
      <c r="G1" s="508"/>
      <c r="H1" s="508"/>
      <c r="I1" s="508"/>
      <c r="J1" s="508"/>
      <c r="K1" s="508"/>
      <c r="L1" s="508"/>
      <c r="M1" s="508"/>
      <c r="N1" s="508"/>
      <c r="O1" s="508"/>
      <c r="P1" s="508"/>
      <c r="Q1" s="509" t="s">
        <v>426</v>
      </c>
      <c r="R1" s="509"/>
      <c r="S1" s="142" t="s">
        <v>430</v>
      </c>
      <c r="T1" s="510" t="s">
        <v>432</v>
      </c>
      <c r="U1" s="510"/>
      <c r="V1" s="510"/>
      <c r="W1" s="509" t="s">
        <v>436</v>
      </c>
      <c r="X1" s="509"/>
      <c r="Y1" s="509"/>
      <c r="Z1" s="508" t="s">
        <v>433</v>
      </c>
      <c r="AA1" s="508"/>
      <c r="AB1" s="508"/>
      <c r="AC1" s="508"/>
      <c r="AD1" s="508"/>
      <c r="AE1" s="508"/>
      <c r="AF1" s="509" t="s">
        <v>435</v>
      </c>
      <c r="AG1" s="509"/>
      <c r="AH1" s="509"/>
      <c r="AI1" s="508" t="s">
        <v>429</v>
      </c>
      <c r="AJ1" s="508"/>
      <c r="AK1" s="508"/>
      <c r="AL1" s="508"/>
      <c r="AM1" s="508"/>
      <c r="AN1" s="508"/>
      <c r="AO1" s="508"/>
      <c r="AP1" s="509" t="s">
        <v>427</v>
      </c>
      <c r="AQ1" s="509"/>
      <c r="AR1" s="509"/>
      <c r="AS1" s="509"/>
      <c r="AT1" s="509"/>
      <c r="AU1" s="509"/>
      <c r="AV1" s="509"/>
      <c r="AW1" s="509"/>
      <c r="AX1" s="509"/>
      <c r="AY1" s="508" t="s">
        <v>439</v>
      </c>
      <c r="AZ1" s="508"/>
      <c r="BA1" s="508"/>
      <c r="BB1" s="508"/>
      <c r="BC1" s="508"/>
      <c r="BD1" s="508"/>
      <c r="BE1" s="508"/>
      <c r="BF1" s="508"/>
      <c r="BG1" s="508"/>
      <c r="BH1" s="216" t="s">
        <v>43</v>
      </c>
      <c r="BI1" s="143" t="s">
        <v>434</v>
      </c>
    </row>
    <row r="2" spans="1:65">
      <c r="C2" s="2"/>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row>
    <row r="3" spans="1:65">
      <c r="A3" s="437"/>
      <c r="B3" s="96" t="s">
        <v>882</v>
      </c>
      <c r="C3" s="97"/>
      <c r="D3" s="97" t="s">
        <v>883</v>
      </c>
      <c r="E3" s="97" t="s">
        <v>546</v>
      </c>
      <c r="F3" s="97" t="s">
        <v>884</v>
      </c>
      <c r="G3" s="97" t="s">
        <v>885</v>
      </c>
      <c r="H3" s="97" t="s">
        <v>886</v>
      </c>
      <c r="I3" s="97" t="s">
        <v>887</v>
      </c>
      <c r="J3" s="97" t="s">
        <v>888</v>
      </c>
      <c r="K3" s="97" t="s">
        <v>889</v>
      </c>
      <c r="L3" s="97" t="s">
        <v>890</v>
      </c>
      <c r="M3" s="97" t="s">
        <v>891</v>
      </c>
      <c r="N3" s="97" t="s">
        <v>892</v>
      </c>
      <c r="O3" s="97" t="s">
        <v>893</v>
      </c>
      <c r="P3" s="97" t="s">
        <v>894</v>
      </c>
      <c r="Q3" s="97" t="s">
        <v>895</v>
      </c>
      <c r="R3" s="97" t="s">
        <v>105</v>
      </c>
      <c r="S3" s="97" t="s">
        <v>896</v>
      </c>
      <c r="T3" s="97" t="s">
        <v>897</v>
      </c>
      <c r="U3" s="97" t="s">
        <v>898</v>
      </c>
      <c r="V3" s="97" t="s">
        <v>899</v>
      </c>
      <c r="W3" s="97" t="s">
        <v>900</v>
      </c>
      <c r="X3" s="97" t="s">
        <v>565</v>
      </c>
      <c r="Y3" s="97" t="s">
        <v>566</v>
      </c>
      <c r="Z3" s="97" t="s">
        <v>560</v>
      </c>
      <c r="AA3" s="97" t="s">
        <v>901</v>
      </c>
      <c r="AB3" s="97" t="s">
        <v>902</v>
      </c>
      <c r="AC3" s="97" t="s">
        <v>903</v>
      </c>
      <c r="AD3" s="97" t="s">
        <v>561</v>
      </c>
      <c r="AE3" s="97" t="s">
        <v>562</v>
      </c>
      <c r="AF3" s="97" t="s">
        <v>904</v>
      </c>
      <c r="AG3" s="97" t="s">
        <v>905</v>
      </c>
      <c r="AH3" s="97" t="s">
        <v>906</v>
      </c>
      <c r="AI3" s="97" t="s">
        <v>567</v>
      </c>
      <c r="AJ3" s="97" t="s">
        <v>907</v>
      </c>
      <c r="AK3" s="97" t="s">
        <v>908</v>
      </c>
      <c r="AL3" s="97" t="s">
        <v>909</v>
      </c>
      <c r="AM3" s="97" t="s">
        <v>910</v>
      </c>
      <c r="AN3" s="97" t="s">
        <v>911</v>
      </c>
      <c r="AO3" s="97" t="s">
        <v>912</v>
      </c>
      <c r="AP3" s="97" t="s">
        <v>913</v>
      </c>
      <c r="AQ3" s="97" t="s">
        <v>914</v>
      </c>
      <c r="AR3" s="97" t="s">
        <v>915</v>
      </c>
      <c r="AS3" s="97" t="s">
        <v>916</v>
      </c>
      <c r="AT3" s="97" t="s">
        <v>917</v>
      </c>
      <c r="AU3" s="97" t="s">
        <v>918</v>
      </c>
      <c r="AV3" s="97" t="s">
        <v>919</v>
      </c>
      <c r="AW3" s="97" t="s">
        <v>920</v>
      </c>
      <c r="AX3" s="97" t="s">
        <v>921</v>
      </c>
      <c r="AY3" s="97" t="s">
        <v>922</v>
      </c>
      <c r="AZ3" s="97" t="s">
        <v>923</v>
      </c>
      <c r="BA3" s="97" t="s">
        <v>924</v>
      </c>
      <c r="BB3" s="97" t="s">
        <v>925</v>
      </c>
      <c r="BC3" s="97" t="s">
        <v>926</v>
      </c>
      <c r="BD3" s="97" t="s">
        <v>927</v>
      </c>
      <c r="BE3" s="97" t="s">
        <v>928</v>
      </c>
      <c r="BF3" s="97" t="s">
        <v>929</v>
      </c>
      <c r="BG3" s="97" t="s">
        <v>930</v>
      </c>
      <c r="BH3" s="97" t="s">
        <v>931</v>
      </c>
      <c r="BI3" s="97" t="s">
        <v>932</v>
      </c>
      <c r="BJ3" s="97" t="s">
        <v>933</v>
      </c>
      <c r="BK3" s="97" t="s">
        <v>934</v>
      </c>
      <c r="BL3" s="94"/>
      <c r="BM3" s="94"/>
    </row>
    <row r="4" spans="1:65">
      <c r="A4" s="437"/>
      <c r="B4" s="96">
        <v>2022</v>
      </c>
      <c r="C4" s="97"/>
      <c r="D4" s="97" t="s">
        <v>935</v>
      </c>
      <c r="E4" s="97" t="s">
        <v>936</v>
      </c>
      <c r="F4" s="97" t="s">
        <v>937</v>
      </c>
      <c r="G4" s="97" t="s">
        <v>938</v>
      </c>
      <c r="H4" s="97" t="s">
        <v>939</v>
      </c>
      <c r="I4" s="97" t="s">
        <v>940</v>
      </c>
      <c r="J4" s="97" t="s">
        <v>941</v>
      </c>
      <c r="K4" s="97" t="s">
        <v>942</v>
      </c>
      <c r="L4" s="97" t="s">
        <v>943</v>
      </c>
      <c r="M4" s="97" t="s">
        <v>944</v>
      </c>
      <c r="N4" s="97" t="s">
        <v>945</v>
      </c>
      <c r="O4" s="97" t="s">
        <v>946</v>
      </c>
      <c r="P4" s="97" t="s">
        <v>947</v>
      </c>
      <c r="Q4" s="97" t="s">
        <v>948</v>
      </c>
      <c r="R4" s="97" t="s">
        <v>949</v>
      </c>
      <c r="S4" s="97" t="s">
        <v>950</v>
      </c>
      <c r="T4" s="97" t="s">
        <v>951</v>
      </c>
      <c r="U4" s="97" t="s">
        <v>952</v>
      </c>
      <c r="V4" s="97" t="s">
        <v>953</v>
      </c>
      <c r="W4" s="97" t="s">
        <v>954</v>
      </c>
      <c r="X4" s="97" t="s">
        <v>955</v>
      </c>
      <c r="Y4" s="97" t="s">
        <v>113</v>
      </c>
      <c r="Z4" s="97" t="s">
        <v>956</v>
      </c>
      <c r="AA4" s="97" t="s">
        <v>957</v>
      </c>
      <c r="AB4" s="97" t="s">
        <v>958</v>
      </c>
      <c r="AC4" s="97" t="s">
        <v>959</v>
      </c>
      <c r="AD4" s="97" t="s">
        <v>960</v>
      </c>
      <c r="AE4" s="97" t="s">
        <v>961</v>
      </c>
      <c r="AF4" s="97" t="s">
        <v>904</v>
      </c>
      <c r="AG4" s="97" t="s">
        <v>905</v>
      </c>
      <c r="AH4" s="97" t="s">
        <v>906</v>
      </c>
      <c r="AI4" s="97" t="s">
        <v>962</v>
      </c>
      <c r="AJ4" s="97" t="s">
        <v>963</v>
      </c>
      <c r="AK4" s="97" t="s">
        <v>964</v>
      </c>
      <c r="AL4" s="97" t="s">
        <v>965</v>
      </c>
      <c r="AM4" s="97" t="s">
        <v>966</v>
      </c>
      <c r="AN4" s="97" t="s">
        <v>967</v>
      </c>
      <c r="AO4" s="97" t="s">
        <v>968</v>
      </c>
      <c r="AP4" s="97" t="s">
        <v>969</v>
      </c>
      <c r="AQ4" s="97" t="s">
        <v>970</v>
      </c>
      <c r="AR4" s="97" t="s">
        <v>971</v>
      </c>
      <c r="AS4" s="97" t="s">
        <v>972</v>
      </c>
      <c r="AT4" s="97" t="s">
        <v>973</v>
      </c>
      <c r="AU4" s="97" t="s">
        <v>974</v>
      </c>
      <c r="AV4" s="97" t="s">
        <v>975</v>
      </c>
      <c r="AW4" s="97" t="s">
        <v>976</v>
      </c>
      <c r="AX4" s="97" t="s">
        <v>977</v>
      </c>
      <c r="AY4" s="97" t="s">
        <v>978</v>
      </c>
      <c r="AZ4" s="97" t="s">
        <v>979</v>
      </c>
      <c r="BA4" s="97" t="s">
        <v>980</v>
      </c>
      <c r="BB4" s="97" t="s">
        <v>981</v>
      </c>
      <c r="BC4" s="97" t="s">
        <v>982</v>
      </c>
      <c r="BD4" s="97" t="s">
        <v>983</v>
      </c>
      <c r="BE4" s="97" t="s">
        <v>984</v>
      </c>
      <c r="BF4" s="97" t="s">
        <v>985</v>
      </c>
      <c r="BG4" s="97" t="s">
        <v>986</v>
      </c>
      <c r="BH4" s="97" t="s">
        <v>987</v>
      </c>
      <c r="BI4" s="97" t="s">
        <v>988</v>
      </c>
      <c r="BJ4" s="97" t="s">
        <v>989</v>
      </c>
      <c r="BK4" s="97" t="s">
        <v>990</v>
      </c>
      <c r="BL4" s="94"/>
      <c r="BM4" s="94"/>
    </row>
    <row r="5" spans="1:65" ht="17.25" thickBot="1">
      <c r="A5" s="437"/>
      <c r="B5" s="98" t="s">
        <v>991</v>
      </c>
      <c r="C5" s="99"/>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99"/>
      <c r="BL5" s="94"/>
      <c r="BM5" s="94"/>
    </row>
    <row r="6" spans="1:65">
      <c r="A6" s="438"/>
      <c r="B6" s="439" t="s">
        <v>992</v>
      </c>
      <c r="C6" s="134" t="s">
        <v>993</v>
      </c>
      <c r="D6" s="102">
        <v>386.22</v>
      </c>
      <c r="E6" s="102">
        <v>0</v>
      </c>
      <c r="F6" s="102">
        <v>0</v>
      </c>
      <c r="G6" s="102">
        <v>0</v>
      </c>
      <c r="H6" s="102">
        <v>0</v>
      </c>
      <c r="I6" s="102">
        <v>0</v>
      </c>
      <c r="J6" s="102">
        <v>0</v>
      </c>
      <c r="K6" s="102">
        <v>0</v>
      </c>
      <c r="L6" s="102">
        <v>0</v>
      </c>
      <c r="M6" s="102">
        <v>0</v>
      </c>
      <c r="N6" s="102">
        <v>0</v>
      </c>
      <c r="O6" s="102">
        <v>0</v>
      </c>
      <c r="P6" s="102">
        <v>0</v>
      </c>
      <c r="Q6" s="103">
        <v>0</v>
      </c>
      <c r="R6" s="102">
        <v>0</v>
      </c>
      <c r="S6" s="103">
        <v>2.4980000000000002</v>
      </c>
      <c r="T6" s="102">
        <v>0</v>
      </c>
      <c r="U6" s="102">
        <v>0</v>
      </c>
      <c r="V6" s="102">
        <v>0</v>
      </c>
      <c r="W6" s="102">
        <v>0</v>
      </c>
      <c r="X6" s="102">
        <v>0</v>
      </c>
      <c r="Y6" s="102">
        <v>0</v>
      </c>
      <c r="Z6" s="102">
        <v>0</v>
      </c>
      <c r="AA6" s="102">
        <v>0</v>
      </c>
      <c r="AB6" s="102">
        <v>0</v>
      </c>
      <c r="AC6" s="102">
        <v>0</v>
      </c>
      <c r="AD6" s="102">
        <v>0</v>
      </c>
      <c r="AE6" s="102">
        <v>0</v>
      </c>
      <c r="AF6" s="102">
        <v>0</v>
      </c>
      <c r="AG6" s="102">
        <v>0</v>
      </c>
      <c r="AH6" s="102">
        <v>0</v>
      </c>
      <c r="AI6" s="102">
        <v>0</v>
      </c>
      <c r="AJ6" s="102">
        <v>0</v>
      </c>
      <c r="AK6" s="102">
        <v>0</v>
      </c>
      <c r="AL6" s="102">
        <v>0</v>
      </c>
      <c r="AM6" s="102">
        <v>0</v>
      </c>
      <c r="AN6" s="102">
        <v>0</v>
      </c>
      <c r="AO6" s="102">
        <v>0</v>
      </c>
      <c r="AP6" s="102">
        <v>2153.37</v>
      </c>
      <c r="AQ6" s="102">
        <v>984.68200000000002</v>
      </c>
      <c r="AR6" s="102">
        <v>742.01400000000001</v>
      </c>
      <c r="AS6" s="102">
        <v>3166.317</v>
      </c>
      <c r="AT6" s="102">
        <v>101.807</v>
      </c>
      <c r="AU6" s="102">
        <v>69.388999999999996</v>
      </c>
      <c r="AV6" s="103">
        <v>0</v>
      </c>
      <c r="AW6" s="103">
        <v>681.101</v>
      </c>
      <c r="AX6" s="102">
        <v>352.34</v>
      </c>
      <c r="AY6" s="102">
        <v>0</v>
      </c>
      <c r="AZ6" s="102">
        <v>37499.504999999997</v>
      </c>
      <c r="BA6" s="102">
        <v>755.05600000000004</v>
      </c>
      <c r="BB6" s="102">
        <v>279.64999999999998</v>
      </c>
      <c r="BC6" s="102">
        <v>6544.6930000000002</v>
      </c>
      <c r="BD6" s="102">
        <v>25.035</v>
      </c>
      <c r="BE6" s="102">
        <v>90.278999999999996</v>
      </c>
      <c r="BF6" s="102">
        <v>717.69399999999996</v>
      </c>
      <c r="BG6" s="102">
        <v>0</v>
      </c>
      <c r="BH6" s="102">
        <v>0</v>
      </c>
      <c r="BI6" s="102">
        <v>69.334000000000003</v>
      </c>
      <c r="BJ6" s="102">
        <v>54620.984000000004</v>
      </c>
      <c r="BK6" s="102">
        <v>16663.427</v>
      </c>
      <c r="BL6" s="104"/>
      <c r="BM6" s="104"/>
    </row>
    <row r="7" spans="1:65">
      <c r="A7" s="438"/>
      <c r="B7" s="439" t="s">
        <v>994</v>
      </c>
      <c r="C7" s="134" t="s">
        <v>995</v>
      </c>
      <c r="D7" s="102">
        <v>0</v>
      </c>
      <c r="E7" s="102">
        <v>2961.2620000000002</v>
      </c>
      <c r="F7" s="102">
        <v>15653.102000000001</v>
      </c>
      <c r="G7" s="102">
        <v>55954.497000000003</v>
      </c>
      <c r="H7" s="102">
        <v>991.73</v>
      </c>
      <c r="I7" s="102">
        <v>3.2000000000000001E-2</v>
      </c>
      <c r="J7" s="102">
        <v>27.039000000000001</v>
      </c>
      <c r="K7" s="102">
        <v>2.1999999999999999E-2</v>
      </c>
      <c r="L7" s="102">
        <v>205.84299999999999</v>
      </c>
      <c r="M7" s="102">
        <v>0</v>
      </c>
      <c r="N7" s="102">
        <v>0</v>
      </c>
      <c r="O7" s="102">
        <v>0</v>
      </c>
      <c r="P7" s="102">
        <v>0</v>
      </c>
      <c r="Q7" s="102">
        <v>60683.487000000001</v>
      </c>
      <c r="R7" s="102">
        <v>0</v>
      </c>
      <c r="S7" s="102">
        <v>153637.247</v>
      </c>
      <c r="T7" s="102">
        <v>3030.3789999999999</v>
      </c>
      <c r="U7" s="102">
        <v>0</v>
      </c>
      <c r="V7" s="102">
        <v>22.119</v>
      </c>
      <c r="W7" s="102">
        <v>0</v>
      </c>
      <c r="X7" s="102">
        <v>8321.0339999999997</v>
      </c>
      <c r="Y7" s="102">
        <v>2300.2489999999998</v>
      </c>
      <c r="Z7" s="102">
        <v>10.536</v>
      </c>
      <c r="AA7" s="102">
        <v>0.34200000000000003</v>
      </c>
      <c r="AB7" s="102">
        <v>0</v>
      </c>
      <c r="AC7" s="102">
        <v>0</v>
      </c>
      <c r="AD7" s="102">
        <v>5.242</v>
      </c>
      <c r="AE7" s="102">
        <v>42.991</v>
      </c>
      <c r="AF7" s="102">
        <v>0</v>
      </c>
      <c r="AG7" s="102">
        <v>0</v>
      </c>
      <c r="AH7" s="102">
        <v>3300.33</v>
      </c>
      <c r="AI7" s="102">
        <v>28965.014999999999</v>
      </c>
      <c r="AJ7" s="102">
        <v>1.159</v>
      </c>
      <c r="AK7" s="102">
        <v>241.143</v>
      </c>
      <c r="AL7" s="102">
        <v>87.983999999999995</v>
      </c>
      <c r="AM7" s="102">
        <v>0</v>
      </c>
      <c r="AN7" s="102">
        <v>0</v>
      </c>
      <c r="AO7" s="102">
        <v>0</v>
      </c>
      <c r="AP7" s="102">
        <v>0</v>
      </c>
      <c r="AQ7" s="102">
        <v>0</v>
      </c>
      <c r="AR7" s="102">
        <v>0</v>
      </c>
      <c r="AS7" s="102">
        <v>0</v>
      </c>
      <c r="AT7" s="102">
        <v>0</v>
      </c>
      <c r="AU7" s="102">
        <v>0</v>
      </c>
      <c r="AV7" s="102">
        <v>0</v>
      </c>
      <c r="AW7" s="102">
        <v>0</v>
      </c>
      <c r="AX7" s="102">
        <v>0</v>
      </c>
      <c r="AY7" s="102">
        <v>0</v>
      </c>
      <c r="AZ7" s="102">
        <v>0</v>
      </c>
      <c r="BA7" s="102">
        <v>0</v>
      </c>
      <c r="BB7" s="102">
        <v>0</v>
      </c>
      <c r="BC7" s="102">
        <v>0</v>
      </c>
      <c r="BD7" s="102">
        <v>0</v>
      </c>
      <c r="BE7" s="102">
        <v>0</v>
      </c>
      <c r="BF7" s="102">
        <v>0</v>
      </c>
      <c r="BG7" s="102">
        <v>0</v>
      </c>
      <c r="BH7" s="102">
        <v>0</v>
      </c>
      <c r="BI7" s="102">
        <v>0</v>
      </c>
      <c r="BJ7" s="102">
        <v>336442.78400000004</v>
      </c>
      <c r="BK7" s="102">
        <v>0</v>
      </c>
      <c r="BL7" s="104"/>
      <c r="BM7" s="104"/>
    </row>
    <row r="8" spans="1:65">
      <c r="A8" s="438"/>
      <c r="B8" s="439" t="s">
        <v>996</v>
      </c>
      <c r="C8" s="134" t="s">
        <v>997</v>
      </c>
      <c r="D8" s="102">
        <v>0</v>
      </c>
      <c r="E8" s="102">
        <v>-0.20599999999999999</v>
      </c>
      <c r="F8" s="102">
        <v>0</v>
      </c>
      <c r="G8" s="102">
        <v>0</v>
      </c>
      <c r="H8" s="102">
        <v>-4.0000000000000001E-3</v>
      </c>
      <c r="I8" s="102">
        <v>0</v>
      </c>
      <c r="J8" s="102">
        <v>-5.0000000000000001E-3</v>
      </c>
      <c r="K8" s="102">
        <v>0</v>
      </c>
      <c r="L8" s="102">
        <v>-19.279</v>
      </c>
      <c r="M8" s="102">
        <v>0</v>
      </c>
      <c r="N8" s="102">
        <v>0</v>
      </c>
      <c r="O8" s="102">
        <v>0</v>
      </c>
      <c r="P8" s="102">
        <v>0</v>
      </c>
      <c r="Q8" s="102">
        <v>0</v>
      </c>
      <c r="R8" s="102">
        <v>0</v>
      </c>
      <c r="S8" s="102">
        <v>0</v>
      </c>
      <c r="T8" s="102">
        <v>-147.87700000000001</v>
      </c>
      <c r="U8" s="102">
        <v>0</v>
      </c>
      <c r="V8" s="102">
        <v>-183.434</v>
      </c>
      <c r="W8" s="102">
        <v>0</v>
      </c>
      <c r="X8" s="102">
        <v>-58.795000000000002</v>
      </c>
      <c r="Y8" s="102">
        <v>-10.414999999999999</v>
      </c>
      <c r="Z8" s="102">
        <v>-12362.558000000001</v>
      </c>
      <c r="AA8" s="102">
        <v>-14.483000000000001</v>
      </c>
      <c r="AB8" s="102">
        <v>0</v>
      </c>
      <c r="AC8" s="102">
        <v>-11876.423000000001</v>
      </c>
      <c r="AD8" s="102">
        <v>-696.69500000000005</v>
      </c>
      <c r="AE8" s="102">
        <v>-29186.992999999999</v>
      </c>
      <c r="AF8" s="102">
        <v>-4.6429999999999998</v>
      </c>
      <c r="AG8" s="102">
        <v>0</v>
      </c>
      <c r="AH8" s="102">
        <v>-2020.3230000000001</v>
      </c>
      <c r="AI8" s="102">
        <v>-4155.384</v>
      </c>
      <c r="AJ8" s="102">
        <v>-137.154</v>
      </c>
      <c r="AK8" s="102">
        <v>-3817.942</v>
      </c>
      <c r="AL8" s="102">
        <v>-2204.4029999999998</v>
      </c>
      <c r="AM8" s="102">
        <v>0</v>
      </c>
      <c r="AN8" s="102">
        <v>0</v>
      </c>
      <c r="AO8" s="102">
        <v>-2440.924</v>
      </c>
      <c r="AP8" s="102">
        <v>0</v>
      </c>
      <c r="AQ8" s="102">
        <v>0</v>
      </c>
      <c r="AR8" s="102">
        <v>0</v>
      </c>
      <c r="AS8" s="102">
        <v>0</v>
      </c>
      <c r="AT8" s="102">
        <v>0</v>
      </c>
      <c r="AU8" s="102">
        <v>0</v>
      </c>
      <c r="AV8" s="102">
        <v>0</v>
      </c>
      <c r="AW8" s="102">
        <v>0</v>
      </c>
      <c r="AX8" s="102">
        <v>0</v>
      </c>
      <c r="AY8" s="102">
        <v>0</v>
      </c>
      <c r="AZ8" s="102">
        <v>0</v>
      </c>
      <c r="BA8" s="102">
        <v>0</v>
      </c>
      <c r="BB8" s="102">
        <v>0</v>
      </c>
      <c r="BC8" s="102">
        <v>0</v>
      </c>
      <c r="BD8" s="102">
        <v>0</v>
      </c>
      <c r="BE8" s="102">
        <v>0</v>
      </c>
      <c r="BF8" s="102">
        <v>0</v>
      </c>
      <c r="BG8" s="102">
        <v>0</v>
      </c>
      <c r="BH8" s="102">
        <v>0</v>
      </c>
      <c r="BI8" s="102">
        <v>0</v>
      </c>
      <c r="BJ8" s="102">
        <v>-69337.94</v>
      </c>
      <c r="BK8" s="102">
        <v>0</v>
      </c>
      <c r="BL8" s="104"/>
      <c r="BM8" s="104"/>
    </row>
    <row r="9" spans="1:65">
      <c r="A9" s="438"/>
      <c r="B9" s="439" t="s">
        <v>998</v>
      </c>
      <c r="C9" s="134" t="s">
        <v>999</v>
      </c>
      <c r="D9" s="102">
        <v>0</v>
      </c>
      <c r="E9" s="102">
        <v>0</v>
      </c>
      <c r="F9" s="102">
        <v>0</v>
      </c>
      <c r="G9" s="102">
        <v>0</v>
      </c>
      <c r="H9" s="102">
        <v>0</v>
      </c>
      <c r="I9" s="102">
        <v>0</v>
      </c>
      <c r="J9" s="102">
        <v>0</v>
      </c>
      <c r="K9" s="102">
        <v>0</v>
      </c>
      <c r="L9" s="102">
        <v>0</v>
      </c>
      <c r="M9" s="102">
        <v>0</v>
      </c>
      <c r="N9" s="102">
        <v>0</v>
      </c>
      <c r="O9" s="102">
        <v>0</v>
      </c>
      <c r="P9" s="102">
        <v>0</v>
      </c>
      <c r="Q9" s="102">
        <v>-10.452</v>
      </c>
      <c r="R9" s="102">
        <v>0</v>
      </c>
      <c r="S9" s="102">
        <v>0</v>
      </c>
      <c r="T9" s="102">
        <v>0</v>
      </c>
      <c r="U9" s="102">
        <v>0</v>
      </c>
      <c r="V9" s="102">
        <v>0</v>
      </c>
      <c r="W9" s="102">
        <v>0</v>
      </c>
      <c r="X9" s="102">
        <v>-1.0999999999999999E-2</v>
      </c>
      <c r="Y9" s="102">
        <v>0</v>
      </c>
      <c r="Z9" s="102">
        <v>-1.9E-2</v>
      </c>
      <c r="AA9" s="102">
        <v>0</v>
      </c>
      <c r="AB9" s="102">
        <v>0</v>
      </c>
      <c r="AC9" s="102">
        <v>0</v>
      </c>
      <c r="AD9" s="102">
        <v>0</v>
      </c>
      <c r="AE9" s="102">
        <v>-2208.7840000000001</v>
      </c>
      <c r="AF9" s="102">
        <v>-15.345000000000001</v>
      </c>
      <c r="AG9" s="102">
        <v>-2.8000000000000001E-2</v>
      </c>
      <c r="AH9" s="102">
        <v>-9833.6560000000009</v>
      </c>
      <c r="AI9" s="102">
        <v>0</v>
      </c>
      <c r="AJ9" s="102">
        <v>-3.0000000000000001E-3</v>
      </c>
      <c r="AK9" s="102">
        <v>0</v>
      </c>
      <c r="AL9" s="102">
        <v>0</v>
      </c>
      <c r="AM9" s="102">
        <v>0</v>
      </c>
      <c r="AN9" s="102">
        <v>0</v>
      </c>
      <c r="AO9" s="102">
        <v>0</v>
      </c>
      <c r="AP9" s="102">
        <v>0</v>
      </c>
      <c r="AQ9" s="102">
        <v>0</v>
      </c>
      <c r="AR9" s="102">
        <v>0</v>
      </c>
      <c r="AS9" s="102">
        <v>0</v>
      </c>
      <c r="AT9" s="102">
        <v>0</v>
      </c>
      <c r="AU9" s="102">
        <v>0</v>
      </c>
      <c r="AV9" s="102">
        <v>0</v>
      </c>
      <c r="AW9" s="102">
        <v>0</v>
      </c>
      <c r="AX9" s="102">
        <v>0</v>
      </c>
      <c r="AY9" s="102">
        <v>0</v>
      </c>
      <c r="AZ9" s="102">
        <v>0</v>
      </c>
      <c r="BA9" s="102">
        <v>0</v>
      </c>
      <c r="BB9" s="102">
        <v>0</v>
      </c>
      <c r="BC9" s="102">
        <v>0</v>
      </c>
      <c r="BD9" s="102">
        <v>0</v>
      </c>
      <c r="BE9" s="102">
        <v>0</v>
      </c>
      <c r="BF9" s="102">
        <v>0</v>
      </c>
      <c r="BG9" s="102">
        <v>0</v>
      </c>
      <c r="BH9" s="102">
        <v>0</v>
      </c>
      <c r="BI9" s="102">
        <v>0</v>
      </c>
      <c r="BJ9" s="102">
        <v>-12068.298000000001</v>
      </c>
      <c r="BK9" s="102">
        <v>0</v>
      </c>
      <c r="BL9" s="104"/>
      <c r="BM9" s="104"/>
    </row>
    <row r="10" spans="1:65">
      <c r="A10" s="438"/>
      <c r="B10" s="439" t="s">
        <v>1000</v>
      </c>
      <c r="C10" s="134" t="s">
        <v>1001</v>
      </c>
      <c r="D10" s="102">
        <v>0</v>
      </c>
      <c r="E10" s="102">
        <v>0</v>
      </c>
      <c r="F10" s="102">
        <v>0</v>
      </c>
      <c r="G10" s="102">
        <v>0</v>
      </c>
      <c r="H10" s="102">
        <v>0</v>
      </c>
      <c r="I10" s="102">
        <v>0</v>
      </c>
      <c r="J10" s="102">
        <v>0</v>
      </c>
      <c r="K10" s="102">
        <v>0</v>
      </c>
      <c r="L10" s="102">
        <v>0</v>
      </c>
      <c r="M10" s="102">
        <v>0</v>
      </c>
      <c r="N10" s="102">
        <v>0</v>
      </c>
      <c r="O10" s="102">
        <v>0</v>
      </c>
      <c r="P10" s="102">
        <v>0</v>
      </c>
      <c r="Q10" s="102">
        <v>0</v>
      </c>
      <c r="R10" s="102">
        <v>0</v>
      </c>
      <c r="S10" s="102">
        <v>0</v>
      </c>
      <c r="T10" s="102">
        <v>0</v>
      </c>
      <c r="U10" s="102">
        <v>0</v>
      </c>
      <c r="V10" s="102">
        <v>0</v>
      </c>
      <c r="W10" s="102">
        <v>0</v>
      </c>
      <c r="X10" s="102">
        <v>0</v>
      </c>
      <c r="Y10" s="102">
        <v>0</v>
      </c>
      <c r="Z10" s="102">
        <v>0</v>
      </c>
      <c r="AA10" s="102">
        <v>0</v>
      </c>
      <c r="AB10" s="102">
        <v>0</v>
      </c>
      <c r="AC10" s="102">
        <v>-3445.0129999999999</v>
      </c>
      <c r="AD10" s="102">
        <v>0</v>
      </c>
      <c r="AE10" s="102">
        <v>-0.20499999999999999</v>
      </c>
      <c r="AF10" s="102">
        <v>0</v>
      </c>
      <c r="AG10" s="102">
        <v>0</v>
      </c>
      <c r="AH10" s="102">
        <v>0</v>
      </c>
      <c r="AI10" s="102">
        <v>0</v>
      </c>
      <c r="AJ10" s="102">
        <v>0</v>
      </c>
      <c r="AK10" s="102">
        <v>0</v>
      </c>
      <c r="AL10" s="102">
        <v>0</v>
      </c>
      <c r="AM10" s="102">
        <v>0</v>
      </c>
      <c r="AN10" s="102">
        <v>0</v>
      </c>
      <c r="AO10" s="102">
        <v>0</v>
      </c>
      <c r="AP10" s="102">
        <v>0</v>
      </c>
      <c r="AQ10" s="102">
        <v>0</v>
      </c>
      <c r="AR10" s="102">
        <v>0</v>
      </c>
      <c r="AS10" s="102">
        <v>0</v>
      </c>
      <c r="AT10" s="102">
        <v>0</v>
      </c>
      <c r="AU10" s="102">
        <v>0</v>
      </c>
      <c r="AV10" s="102">
        <v>0</v>
      </c>
      <c r="AW10" s="102">
        <v>0</v>
      </c>
      <c r="AX10" s="102">
        <v>0</v>
      </c>
      <c r="AY10" s="102">
        <v>0</v>
      </c>
      <c r="AZ10" s="102">
        <v>0</v>
      </c>
      <c r="BA10" s="102">
        <v>0</v>
      </c>
      <c r="BB10" s="102">
        <v>0</v>
      </c>
      <c r="BC10" s="102">
        <v>0</v>
      </c>
      <c r="BD10" s="102">
        <v>0</v>
      </c>
      <c r="BE10" s="102">
        <v>0</v>
      </c>
      <c r="BF10" s="102">
        <v>0</v>
      </c>
      <c r="BG10" s="102">
        <v>0</v>
      </c>
      <c r="BH10" s="102">
        <v>0</v>
      </c>
      <c r="BI10" s="102">
        <v>0</v>
      </c>
      <c r="BJ10" s="102">
        <v>-3445.2179999999998</v>
      </c>
      <c r="BK10" s="102">
        <v>0</v>
      </c>
      <c r="BL10" s="104"/>
      <c r="BM10" s="104"/>
    </row>
    <row r="11" spans="1:65">
      <c r="A11" s="438"/>
      <c r="B11" s="439" t="s">
        <v>1002</v>
      </c>
      <c r="C11" s="134" t="s">
        <v>1003</v>
      </c>
      <c r="D11" s="102">
        <v>1.413</v>
      </c>
      <c r="E11" s="102">
        <v>0</v>
      </c>
      <c r="F11" s="102">
        <v>-47.689</v>
      </c>
      <c r="G11" s="102">
        <v>-245.435</v>
      </c>
      <c r="H11" s="102">
        <v>0</v>
      </c>
      <c r="I11" s="102">
        <v>0</v>
      </c>
      <c r="J11" s="102">
        <v>0</v>
      </c>
      <c r="K11" s="102">
        <v>0</v>
      </c>
      <c r="L11" s="102">
        <v>-49.68</v>
      </c>
      <c r="M11" s="102">
        <v>0</v>
      </c>
      <c r="N11" s="102">
        <v>0</v>
      </c>
      <c r="O11" s="102">
        <v>0</v>
      </c>
      <c r="P11" s="102">
        <v>0</v>
      </c>
      <c r="Q11" s="102">
        <v>-1470.182</v>
      </c>
      <c r="R11" s="102">
        <v>0</v>
      </c>
      <c r="S11" s="102">
        <v>-343.67399999999998</v>
      </c>
      <c r="T11" s="102">
        <v>-171.101</v>
      </c>
      <c r="U11" s="102">
        <v>-0.752</v>
      </c>
      <c r="V11" s="102">
        <v>-10.385999999999999</v>
      </c>
      <c r="W11" s="102">
        <v>0</v>
      </c>
      <c r="X11" s="102">
        <v>-78.953999999999994</v>
      </c>
      <c r="Y11" s="102">
        <v>-45.512</v>
      </c>
      <c r="Z11" s="102">
        <v>-48.762999999999998</v>
      </c>
      <c r="AA11" s="102">
        <v>-1.2090000000000001</v>
      </c>
      <c r="AB11" s="102">
        <v>0</v>
      </c>
      <c r="AC11" s="102">
        <v>-6.8440000000000003</v>
      </c>
      <c r="AD11" s="102">
        <v>53.709000000000003</v>
      </c>
      <c r="AE11" s="102">
        <v>-75.7</v>
      </c>
      <c r="AF11" s="102">
        <v>13.414</v>
      </c>
      <c r="AG11" s="102">
        <v>-0.63700000000000001</v>
      </c>
      <c r="AH11" s="102">
        <v>96.212000000000003</v>
      </c>
      <c r="AI11" s="102">
        <v>130.797</v>
      </c>
      <c r="AJ11" s="102">
        <v>9.625</v>
      </c>
      <c r="AK11" s="102">
        <v>-46.926000000000002</v>
      </c>
      <c r="AL11" s="102">
        <v>52.652000000000001</v>
      </c>
      <c r="AM11" s="102">
        <v>-5.0999999999999997E-2</v>
      </c>
      <c r="AN11" s="102">
        <v>-6.0140000000000002</v>
      </c>
      <c r="AO11" s="102">
        <v>9.5489999999999995</v>
      </c>
      <c r="AP11" s="102">
        <v>0</v>
      </c>
      <c r="AQ11" s="102">
        <v>0</v>
      </c>
      <c r="AR11" s="102">
        <v>0</v>
      </c>
      <c r="AS11" s="102">
        <v>0</v>
      </c>
      <c r="AT11" s="102">
        <v>0</v>
      </c>
      <c r="AU11" s="102">
        <v>0</v>
      </c>
      <c r="AV11" s="102">
        <v>0</v>
      </c>
      <c r="AW11" s="102">
        <v>0.52200000000000002</v>
      </c>
      <c r="AX11" s="102">
        <v>0</v>
      </c>
      <c r="AY11" s="102">
        <v>0</v>
      </c>
      <c r="AZ11" s="102">
        <v>0</v>
      </c>
      <c r="BA11" s="102">
        <v>0</v>
      </c>
      <c r="BB11" s="102">
        <v>0</v>
      </c>
      <c r="BC11" s="102">
        <v>0</v>
      </c>
      <c r="BD11" s="102">
        <v>0</v>
      </c>
      <c r="BE11" s="102">
        <v>0</v>
      </c>
      <c r="BF11" s="102">
        <v>0</v>
      </c>
      <c r="BG11" s="102">
        <v>0</v>
      </c>
      <c r="BH11" s="102">
        <v>0</v>
      </c>
      <c r="BI11" s="102">
        <v>0</v>
      </c>
      <c r="BJ11" s="102">
        <v>-2281.6160000000004</v>
      </c>
      <c r="BK11" s="102">
        <v>0.52200000000000002</v>
      </c>
      <c r="BL11" s="104"/>
      <c r="BM11" s="104"/>
    </row>
    <row r="12" spans="1:65">
      <c r="A12" s="438"/>
      <c r="B12" s="440" t="s">
        <v>1004</v>
      </c>
      <c r="C12" s="121" t="s">
        <v>1005</v>
      </c>
      <c r="D12" s="109">
        <v>387.63299999999998</v>
      </c>
      <c r="E12" s="109">
        <v>2961.056</v>
      </c>
      <c r="F12" s="109">
        <v>15605.413</v>
      </c>
      <c r="G12" s="109">
        <v>55709.061999999998</v>
      </c>
      <c r="H12" s="109">
        <v>991.72699999999998</v>
      </c>
      <c r="I12" s="109">
        <v>3.2000000000000001E-2</v>
      </c>
      <c r="J12" s="109">
        <v>27.033999999999999</v>
      </c>
      <c r="K12" s="109">
        <v>2.1999999999999999E-2</v>
      </c>
      <c r="L12" s="109">
        <v>136.88300000000001</v>
      </c>
      <c r="M12" s="109">
        <v>0</v>
      </c>
      <c r="N12" s="109">
        <v>0</v>
      </c>
      <c r="O12" s="109">
        <v>0</v>
      </c>
      <c r="P12" s="109">
        <v>0</v>
      </c>
      <c r="Q12" s="109">
        <v>59202.853000000003</v>
      </c>
      <c r="R12" s="109">
        <v>0</v>
      </c>
      <c r="S12" s="109">
        <v>153296.071</v>
      </c>
      <c r="T12" s="109">
        <v>2711.4</v>
      </c>
      <c r="U12" s="109">
        <v>-0.752</v>
      </c>
      <c r="V12" s="109">
        <v>-171.70099999999999</v>
      </c>
      <c r="W12" s="109">
        <v>0</v>
      </c>
      <c r="X12" s="109">
        <v>8183.2740000000003</v>
      </c>
      <c r="Y12" s="109">
        <v>2244.3220000000001</v>
      </c>
      <c r="Z12" s="109">
        <v>-12400.803</v>
      </c>
      <c r="AA12" s="109">
        <v>-15.35</v>
      </c>
      <c r="AB12" s="109">
        <v>0</v>
      </c>
      <c r="AC12" s="109">
        <v>-15328.281000000001</v>
      </c>
      <c r="AD12" s="109">
        <v>-637.745</v>
      </c>
      <c r="AE12" s="109">
        <v>-31428.691999999999</v>
      </c>
      <c r="AF12" s="109">
        <v>-6.5739999999999998</v>
      </c>
      <c r="AG12" s="109">
        <v>-0.66500000000000004</v>
      </c>
      <c r="AH12" s="109">
        <v>-8457.4369999999999</v>
      </c>
      <c r="AI12" s="109">
        <v>24940.428</v>
      </c>
      <c r="AJ12" s="109">
        <v>-126.373</v>
      </c>
      <c r="AK12" s="109">
        <v>-3623.7249999999999</v>
      </c>
      <c r="AL12" s="109">
        <v>-2063.7669999999998</v>
      </c>
      <c r="AM12" s="109">
        <v>-5.0999999999999997E-2</v>
      </c>
      <c r="AN12" s="109">
        <v>-6.0140000000000002</v>
      </c>
      <c r="AO12" s="109">
        <v>-2431.3760000000002</v>
      </c>
      <c r="AP12" s="109">
        <v>2153.37</v>
      </c>
      <c r="AQ12" s="109">
        <v>984.68200000000002</v>
      </c>
      <c r="AR12" s="109">
        <v>742.01400000000001</v>
      </c>
      <c r="AS12" s="109">
        <v>3166.317</v>
      </c>
      <c r="AT12" s="109">
        <v>101.807</v>
      </c>
      <c r="AU12" s="109">
        <v>69.388999999999996</v>
      </c>
      <c r="AV12" s="109">
        <v>0</v>
      </c>
      <c r="AW12" s="109">
        <v>681.62300000000005</v>
      </c>
      <c r="AX12" s="109">
        <v>352.34</v>
      </c>
      <c r="AY12" s="109">
        <v>0</v>
      </c>
      <c r="AZ12" s="109">
        <v>37499.504999999997</v>
      </c>
      <c r="BA12" s="109">
        <v>755.05600000000004</v>
      </c>
      <c r="BB12" s="109">
        <v>279.64999999999998</v>
      </c>
      <c r="BC12" s="109">
        <v>6544.6930000000002</v>
      </c>
      <c r="BD12" s="109">
        <v>25.035</v>
      </c>
      <c r="BE12" s="109">
        <v>90.278999999999996</v>
      </c>
      <c r="BF12" s="109">
        <v>717.69399999999996</v>
      </c>
      <c r="BG12" s="109">
        <v>0</v>
      </c>
      <c r="BH12" s="109">
        <v>0</v>
      </c>
      <c r="BI12" s="109">
        <v>69.334000000000003</v>
      </c>
      <c r="BJ12" s="109">
        <v>303930.69199999992</v>
      </c>
      <c r="BK12" s="109">
        <v>16663.949000000001</v>
      </c>
      <c r="BL12" s="104"/>
      <c r="BM12" s="104"/>
    </row>
    <row r="13" spans="1:65">
      <c r="A13" s="438"/>
      <c r="B13" s="439" t="s">
        <v>1006</v>
      </c>
      <c r="C13" s="451" t="s">
        <v>1007</v>
      </c>
      <c r="D13" s="102">
        <v>0</v>
      </c>
      <c r="E13" s="102">
        <v>0</v>
      </c>
      <c r="F13" s="102">
        <v>0</v>
      </c>
      <c r="G13" s="102">
        <v>0</v>
      </c>
      <c r="H13" s="102">
        <v>0</v>
      </c>
      <c r="I13" s="102">
        <v>0</v>
      </c>
      <c r="J13" s="102">
        <v>0</v>
      </c>
      <c r="K13" s="102">
        <v>0</v>
      </c>
      <c r="L13" s="102">
        <v>0</v>
      </c>
      <c r="M13" s="102">
        <v>0</v>
      </c>
      <c r="N13" s="102">
        <v>0</v>
      </c>
      <c r="O13" s="102">
        <v>0</v>
      </c>
      <c r="P13" s="102">
        <v>0</v>
      </c>
      <c r="Q13" s="102">
        <v>0</v>
      </c>
      <c r="R13" s="102">
        <v>0</v>
      </c>
      <c r="S13" s="102">
        <v>0</v>
      </c>
      <c r="T13" s="102">
        <v>21681.38</v>
      </c>
      <c r="U13" s="102">
        <v>0</v>
      </c>
      <c r="V13" s="102">
        <v>0</v>
      </c>
      <c r="W13" s="102">
        <v>-8.8510000000000009</v>
      </c>
      <c r="X13" s="102">
        <v>-403.68700000000001</v>
      </c>
      <c r="Y13" s="102">
        <v>-113.39700000000001</v>
      </c>
      <c r="Z13" s="102">
        <v>612.34299999999996</v>
      </c>
      <c r="AA13" s="102">
        <v>16.663</v>
      </c>
      <c r="AB13" s="102">
        <v>0</v>
      </c>
      <c r="AC13" s="102">
        <v>446.423</v>
      </c>
      <c r="AD13" s="102">
        <v>-3628.9059999999999</v>
      </c>
      <c r="AE13" s="102">
        <v>1198</v>
      </c>
      <c r="AF13" s="102">
        <v>4.7590000000000003</v>
      </c>
      <c r="AG13" s="102">
        <v>10.423</v>
      </c>
      <c r="AH13" s="102">
        <v>-4929.8040000000001</v>
      </c>
      <c r="AI13" s="102">
        <v>-8778.7929999999997</v>
      </c>
      <c r="AJ13" s="102">
        <v>-119.721</v>
      </c>
      <c r="AK13" s="102">
        <v>-265.50799999999998</v>
      </c>
      <c r="AL13" s="102">
        <v>597.67700000000002</v>
      </c>
      <c r="AM13" s="102">
        <v>-8.3339999999999996</v>
      </c>
      <c r="AN13" s="102">
        <v>0</v>
      </c>
      <c r="AO13" s="102">
        <v>-61.962000000000003</v>
      </c>
      <c r="AP13" s="102">
        <v>0</v>
      </c>
      <c r="AQ13" s="102">
        <v>0</v>
      </c>
      <c r="AR13" s="102">
        <v>0</v>
      </c>
      <c r="AS13" s="102">
        <v>0</v>
      </c>
      <c r="AT13" s="102">
        <v>0</v>
      </c>
      <c r="AU13" s="102">
        <v>0</v>
      </c>
      <c r="AV13" s="102">
        <v>0</v>
      </c>
      <c r="AW13" s="102">
        <v>0</v>
      </c>
      <c r="AX13" s="102">
        <v>0</v>
      </c>
      <c r="AY13" s="102">
        <v>0</v>
      </c>
      <c r="AZ13" s="102">
        <v>0</v>
      </c>
      <c r="BA13" s="102">
        <v>0</v>
      </c>
      <c r="BB13" s="102">
        <v>0</v>
      </c>
      <c r="BC13" s="102">
        <v>0</v>
      </c>
      <c r="BD13" s="102">
        <v>0</v>
      </c>
      <c r="BE13" s="102">
        <v>0</v>
      </c>
      <c r="BF13" s="102">
        <v>0</v>
      </c>
      <c r="BG13" s="102">
        <v>0</v>
      </c>
      <c r="BH13" s="102">
        <v>0</v>
      </c>
      <c r="BI13" s="102">
        <v>0</v>
      </c>
      <c r="BJ13" s="102">
        <v>6248.7049999999981</v>
      </c>
      <c r="BK13" s="102">
        <v>-8.8510000000000009</v>
      </c>
      <c r="BL13" s="104"/>
      <c r="BM13" s="104"/>
    </row>
    <row r="14" spans="1:65">
      <c r="A14" s="438"/>
      <c r="B14" s="441" t="s">
        <v>1008</v>
      </c>
      <c r="C14" s="452" t="s">
        <v>1009</v>
      </c>
      <c r="D14" s="113">
        <v>0.94199999999999995</v>
      </c>
      <c r="E14" s="113">
        <v>0.20599999999999999</v>
      </c>
      <c r="F14" s="113">
        <v>987.30200000000002</v>
      </c>
      <c r="G14" s="442">
        <v>-1723.2139999999999</v>
      </c>
      <c r="H14" s="113">
        <v>4.0000000000000001E-3</v>
      </c>
      <c r="I14" s="113">
        <v>0</v>
      </c>
      <c r="J14" s="113">
        <v>0</v>
      </c>
      <c r="K14" s="113">
        <v>0</v>
      </c>
      <c r="L14" s="113">
        <v>47.948</v>
      </c>
      <c r="M14" s="113">
        <v>0</v>
      </c>
      <c r="N14" s="113">
        <v>0</v>
      </c>
      <c r="O14" s="113">
        <v>0</v>
      </c>
      <c r="P14" s="113">
        <v>0</v>
      </c>
      <c r="Q14" s="113">
        <v>279.09399999999999</v>
      </c>
      <c r="R14" s="113">
        <v>-66.091999999999999</v>
      </c>
      <c r="S14" s="113">
        <v>-430.61099999999999</v>
      </c>
      <c r="T14" s="113">
        <v>-41.933</v>
      </c>
      <c r="U14" s="113">
        <v>-0.185</v>
      </c>
      <c r="V14" s="113">
        <v>0.68400000000000005</v>
      </c>
      <c r="W14" s="113">
        <v>412.36799999999999</v>
      </c>
      <c r="X14" s="113">
        <v>345.42200000000003</v>
      </c>
      <c r="Y14" s="113">
        <v>0.48099999999999998</v>
      </c>
      <c r="Z14" s="113">
        <v>25.585999999999999</v>
      </c>
      <c r="AA14" s="113">
        <v>-7.0999999999999994E-2</v>
      </c>
      <c r="AB14" s="113">
        <v>0</v>
      </c>
      <c r="AC14" s="113">
        <v>12.255000000000001</v>
      </c>
      <c r="AD14" s="113">
        <v>-6.21</v>
      </c>
      <c r="AE14" s="113">
        <v>16.036999999999999</v>
      </c>
      <c r="AF14" s="113">
        <v>-0.2</v>
      </c>
      <c r="AG14" s="113">
        <v>6.0999999999999999E-2</v>
      </c>
      <c r="AH14" s="113">
        <v>13.275</v>
      </c>
      <c r="AI14" s="113">
        <v>-66.192999999999998</v>
      </c>
      <c r="AJ14" s="113">
        <v>-0.191</v>
      </c>
      <c r="AK14" s="113">
        <v>-65.823999999999998</v>
      </c>
      <c r="AL14" s="113">
        <v>12.909000000000001</v>
      </c>
      <c r="AM14" s="113">
        <v>7.0999999999999994E-2</v>
      </c>
      <c r="AN14" s="113">
        <v>-0.40400000000000003</v>
      </c>
      <c r="AO14" s="113">
        <v>-3.109</v>
      </c>
      <c r="AP14" s="113">
        <v>0</v>
      </c>
      <c r="AQ14" s="113">
        <v>0</v>
      </c>
      <c r="AR14" s="113">
        <v>0</v>
      </c>
      <c r="AS14" s="113">
        <v>0</v>
      </c>
      <c r="AT14" s="113">
        <v>0</v>
      </c>
      <c r="AU14" s="113">
        <v>0</v>
      </c>
      <c r="AV14" s="113">
        <v>0</v>
      </c>
      <c r="AW14" s="113">
        <v>8.9999999999999993E-3</v>
      </c>
      <c r="AX14" s="113">
        <v>0</v>
      </c>
      <c r="AY14" s="113">
        <v>0</v>
      </c>
      <c r="AZ14" s="113">
        <v>0</v>
      </c>
      <c r="BA14" s="113">
        <v>0</v>
      </c>
      <c r="BB14" s="113">
        <v>0</v>
      </c>
      <c r="BC14" s="113">
        <v>0</v>
      </c>
      <c r="BD14" s="113">
        <v>0</v>
      </c>
      <c r="BE14" s="113">
        <v>0</v>
      </c>
      <c r="BF14" s="113">
        <v>0</v>
      </c>
      <c r="BG14" s="113">
        <v>0</v>
      </c>
      <c r="BH14" s="113">
        <v>0</v>
      </c>
      <c r="BI14" s="113">
        <v>0</v>
      </c>
      <c r="BJ14" s="442">
        <v>-249.58299999999983</v>
      </c>
      <c r="BK14" s="113">
        <v>412.37700000000001</v>
      </c>
      <c r="BL14" s="104"/>
      <c r="BM14" s="104"/>
    </row>
    <row r="15" spans="1:65">
      <c r="A15" s="438"/>
      <c r="B15" s="440" t="s">
        <v>1010</v>
      </c>
      <c r="C15" s="121" t="s">
        <v>1011</v>
      </c>
      <c r="D15" s="109">
        <v>388.57499999999999</v>
      </c>
      <c r="E15" s="109">
        <v>2961.2620000000002</v>
      </c>
      <c r="F15" s="109">
        <v>16592.715</v>
      </c>
      <c r="G15" s="443">
        <v>53985.847999999998</v>
      </c>
      <c r="H15" s="109">
        <v>991.73</v>
      </c>
      <c r="I15" s="109">
        <v>3.2000000000000001E-2</v>
      </c>
      <c r="J15" s="109">
        <v>27.033999999999999</v>
      </c>
      <c r="K15" s="109">
        <v>2.1999999999999999E-2</v>
      </c>
      <c r="L15" s="109">
        <v>184.83199999999999</v>
      </c>
      <c r="M15" s="109">
        <v>0</v>
      </c>
      <c r="N15" s="109">
        <v>0</v>
      </c>
      <c r="O15" s="109">
        <v>0</v>
      </c>
      <c r="P15" s="109">
        <v>0</v>
      </c>
      <c r="Q15" s="109">
        <v>59481.947</v>
      </c>
      <c r="R15" s="109">
        <v>-66.091999999999999</v>
      </c>
      <c r="S15" s="109">
        <v>152865.46</v>
      </c>
      <c r="T15" s="109">
        <v>24350.847000000002</v>
      </c>
      <c r="U15" s="109">
        <v>-0.93700000000000006</v>
      </c>
      <c r="V15" s="109">
        <v>-171.018</v>
      </c>
      <c r="W15" s="109">
        <v>403.517</v>
      </c>
      <c r="X15" s="109">
        <v>8125.009</v>
      </c>
      <c r="Y15" s="109">
        <v>2131.4050000000002</v>
      </c>
      <c r="Z15" s="109">
        <v>-11762.874</v>
      </c>
      <c r="AA15" s="109">
        <v>1.2410000000000001</v>
      </c>
      <c r="AB15" s="109">
        <v>0</v>
      </c>
      <c r="AC15" s="109">
        <v>-14869.602999999999</v>
      </c>
      <c r="AD15" s="109">
        <v>-4272.8599999999997</v>
      </c>
      <c r="AE15" s="109">
        <v>-30214.654999999999</v>
      </c>
      <c r="AF15" s="109">
        <v>-2.0150000000000001</v>
      </c>
      <c r="AG15" s="109">
        <v>9.8190000000000008</v>
      </c>
      <c r="AH15" s="109">
        <v>-13373.967000000001</v>
      </c>
      <c r="AI15" s="109">
        <v>16095.442999999999</v>
      </c>
      <c r="AJ15" s="109">
        <v>-246.285</v>
      </c>
      <c r="AK15" s="109">
        <v>-3955.056</v>
      </c>
      <c r="AL15" s="109">
        <v>-1453.181</v>
      </c>
      <c r="AM15" s="109">
        <v>-8.3140000000000001</v>
      </c>
      <c r="AN15" s="109">
        <v>-6.4189999999999996</v>
      </c>
      <c r="AO15" s="109">
        <v>-2496.4459999999999</v>
      </c>
      <c r="AP15" s="109">
        <v>2153.37</v>
      </c>
      <c r="AQ15" s="109">
        <v>984.68200000000002</v>
      </c>
      <c r="AR15" s="109">
        <v>742.01400000000001</v>
      </c>
      <c r="AS15" s="109">
        <v>3166.317</v>
      </c>
      <c r="AT15" s="109">
        <v>101.807</v>
      </c>
      <c r="AU15" s="109">
        <v>69.388999999999996</v>
      </c>
      <c r="AV15" s="109">
        <v>0</v>
      </c>
      <c r="AW15" s="109">
        <v>681.63199999999995</v>
      </c>
      <c r="AX15" s="109">
        <v>352.34</v>
      </c>
      <c r="AY15" s="109">
        <v>0</v>
      </c>
      <c r="AZ15" s="109">
        <v>37499.504999999997</v>
      </c>
      <c r="BA15" s="109">
        <v>755.05600000000004</v>
      </c>
      <c r="BB15" s="109">
        <v>279.64999999999998</v>
      </c>
      <c r="BC15" s="109">
        <v>6544.6930000000002</v>
      </c>
      <c r="BD15" s="109">
        <v>25.035</v>
      </c>
      <c r="BE15" s="109">
        <v>90.278999999999996</v>
      </c>
      <c r="BF15" s="109">
        <v>717.69399999999996</v>
      </c>
      <c r="BG15" s="109">
        <v>0</v>
      </c>
      <c r="BH15" s="109">
        <v>0</v>
      </c>
      <c r="BI15" s="109">
        <v>69.334000000000003</v>
      </c>
      <c r="BJ15" s="443">
        <v>309929.81300000002</v>
      </c>
      <c r="BK15" s="109">
        <v>17067.475999999999</v>
      </c>
      <c r="BL15" s="104"/>
      <c r="BM15" s="104"/>
    </row>
    <row r="16" spans="1:65">
      <c r="A16" s="438"/>
      <c r="B16" s="440" t="s">
        <v>1012</v>
      </c>
      <c r="C16" s="121" t="s">
        <v>1013</v>
      </c>
      <c r="D16" s="109">
        <v>-388.57499999999999</v>
      </c>
      <c r="E16" s="109">
        <v>-281.57900000000001</v>
      </c>
      <c r="F16" s="109">
        <v>-16592.715</v>
      </c>
      <c r="G16" s="443">
        <v>-50226.423000000003</v>
      </c>
      <c r="H16" s="109">
        <v>-991.73</v>
      </c>
      <c r="I16" s="109">
        <v>0</v>
      </c>
      <c r="J16" s="109">
        <v>0</v>
      </c>
      <c r="K16" s="109">
        <v>195.5</v>
      </c>
      <c r="L16" s="109">
        <v>511.74</v>
      </c>
      <c r="M16" s="109">
        <v>505.601</v>
      </c>
      <c r="N16" s="109">
        <v>2567.1869999999999</v>
      </c>
      <c r="O16" s="109">
        <v>2173.64</v>
      </c>
      <c r="P16" s="109">
        <v>155.696</v>
      </c>
      <c r="Q16" s="109">
        <v>-56679.084000000003</v>
      </c>
      <c r="R16" s="109">
        <v>24617.707999999999</v>
      </c>
      <c r="S16" s="109">
        <v>-152865.46</v>
      </c>
      <c r="T16" s="109">
        <v>-24263.627</v>
      </c>
      <c r="U16" s="109">
        <v>0.93700000000000006</v>
      </c>
      <c r="V16" s="109">
        <v>171.018</v>
      </c>
      <c r="W16" s="109">
        <v>2418.3879999999999</v>
      </c>
      <c r="X16" s="109">
        <v>-456.35899999999998</v>
      </c>
      <c r="Y16" s="109">
        <v>1894.5730000000001</v>
      </c>
      <c r="Z16" s="109">
        <v>22651.091</v>
      </c>
      <c r="AA16" s="109">
        <v>0</v>
      </c>
      <c r="AB16" s="109">
        <v>0</v>
      </c>
      <c r="AC16" s="109">
        <v>17031.932000000001</v>
      </c>
      <c r="AD16" s="109">
        <v>6389.0810000000001</v>
      </c>
      <c r="AE16" s="109">
        <v>51982.148000000001</v>
      </c>
      <c r="AF16" s="109">
        <v>148.57300000000001</v>
      </c>
      <c r="AG16" s="109">
        <v>14.683999999999999</v>
      </c>
      <c r="AH16" s="109">
        <v>14201.264999999999</v>
      </c>
      <c r="AI16" s="109">
        <v>27483.276999999998</v>
      </c>
      <c r="AJ16" s="109">
        <v>420.99599999999998</v>
      </c>
      <c r="AK16" s="109">
        <v>5096.0110000000004</v>
      </c>
      <c r="AL16" s="109">
        <v>2791.1979999999999</v>
      </c>
      <c r="AM16" s="109">
        <v>32.198999999999998</v>
      </c>
      <c r="AN16" s="109">
        <v>496.20499999999998</v>
      </c>
      <c r="AO16" s="109">
        <v>5206.5820000000003</v>
      </c>
      <c r="AP16" s="109">
        <v>-408.11799999999999</v>
      </c>
      <c r="AQ16" s="109">
        <v>-284.74799999999999</v>
      </c>
      <c r="AR16" s="109">
        <v>-305.303</v>
      </c>
      <c r="AS16" s="109">
        <v>-2310.9839999999999</v>
      </c>
      <c r="AT16" s="109">
        <v>-44.061999999999998</v>
      </c>
      <c r="AU16" s="109">
        <v>-69.204999999999998</v>
      </c>
      <c r="AV16" s="109">
        <v>0</v>
      </c>
      <c r="AW16" s="109">
        <v>0</v>
      </c>
      <c r="AX16" s="109">
        <v>-352.34</v>
      </c>
      <c r="AY16" s="109">
        <v>0</v>
      </c>
      <c r="AZ16" s="109">
        <v>-37499.504999999997</v>
      </c>
      <c r="BA16" s="109">
        <v>-755.05600000000004</v>
      </c>
      <c r="BB16" s="109">
        <v>0</v>
      </c>
      <c r="BC16" s="109">
        <v>-6544.6930000000002</v>
      </c>
      <c r="BD16" s="109">
        <v>0</v>
      </c>
      <c r="BE16" s="109">
        <v>-90.278999999999996</v>
      </c>
      <c r="BF16" s="109">
        <v>-717.69399999999996</v>
      </c>
      <c r="BG16" s="109">
        <v>0</v>
      </c>
      <c r="BH16" s="443">
        <v>54386.06</v>
      </c>
      <c r="BI16" s="109">
        <v>7120.8280000000004</v>
      </c>
      <c r="BJ16" s="443">
        <v>-101463.42100000007</v>
      </c>
      <c r="BK16" s="109">
        <v>-4567.5730000000003</v>
      </c>
      <c r="BL16" s="104"/>
      <c r="BM16" s="104"/>
    </row>
    <row r="17" spans="1:65">
      <c r="A17" s="438"/>
      <c r="B17" s="444" t="s">
        <v>1014</v>
      </c>
      <c r="C17" s="134" t="s">
        <v>1015</v>
      </c>
      <c r="D17" s="102">
        <v>-188.4</v>
      </c>
      <c r="E17" s="102">
        <v>-281.57900000000001</v>
      </c>
      <c r="F17" s="102">
        <v>0</v>
      </c>
      <c r="G17" s="266">
        <v>-42353.292000000001</v>
      </c>
      <c r="H17" s="102">
        <v>-991.73</v>
      </c>
      <c r="I17" s="102">
        <v>0</v>
      </c>
      <c r="J17" s="102">
        <v>0</v>
      </c>
      <c r="K17" s="102">
        <v>0</v>
      </c>
      <c r="L17" s="102">
        <v>0</v>
      </c>
      <c r="M17" s="102">
        <v>0</v>
      </c>
      <c r="N17" s="102">
        <v>-679.89599999999996</v>
      </c>
      <c r="O17" s="102">
        <v>-2731.0030000000002</v>
      </c>
      <c r="P17" s="102">
        <v>-898.37199999999996</v>
      </c>
      <c r="Q17" s="102">
        <v>-21372.273000000001</v>
      </c>
      <c r="R17" s="102">
        <v>-4.1539999999999999</v>
      </c>
      <c r="S17" s="102">
        <v>0</v>
      </c>
      <c r="T17" s="102">
        <v>0</v>
      </c>
      <c r="U17" s="102">
        <v>0</v>
      </c>
      <c r="V17" s="102">
        <v>0</v>
      </c>
      <c r="W17" s="102">
        <v>-339.685</v>
      </c>
      <c r="X17" s="102">
        <v>-86.629000000000005</v>
      </c>
      <c r="Y17" s="102">
        <v>-0.50600000000000001</v>
      </c>
      <c r="Z17" s="102">
        <v>-1.7000000000000001E-2</v>
      </c>
      <c r="AA17" s="102">
        <v>0</v>
      </c>
      <c r="AB17" s="102">
        <v>0</v>
      </c>
      <c r="AC17" s="102">
        <v>0</v>
      </c>
      <c r="AD17" s="102">
        <v>-201.78299999999999</v>
      </c>
      <c r="AE17" s="102">
        <v>-138.215</v>
      </c>
      <c r="AF17" s="102">
        <v>0</v>
      </c>
      <c r="AG17" s="102">
        <v>0</v>
      </c>
      <c r="AH17" s="102">
        <v>-135.274</v>
      </c>
      <c r="AI17" s="102">
        <v>0</v>
      </c>
      <c r="AJ17" s="102">
        <v>0</v>
      </c>
      <c r="AK17" s="102">
        <v>0</v>
      </c>
      <c r="AL17" s="102">
        <v>0</v>
      </c>
      <c r="AM17" s="102">
        <v>0</v>
      </c>
      <c r="AN17" s="102">
        <v>0</v>
      </c>
      <c r="AO17" s="102">
        <v>0</v>
      </c>
      <c r="AP17" s="102">
        <v>-160.24600000000001</v>
      </c>
      <c r="AQ17" s="102">
        <v>-101.533</v>
      </c>
      <c r="AR17" s="102">
        <v>-26.895</v>
      </c>
      <c r="AS17" s="102">
        <v>-1288.354</v>
      </c>
      <c r="AT17" s="102">
        <v>-39.857999999999997</v>
      </c>
      <c r="AU17" s="102">
        <v>-44.04</v>
      </c>
      <c r="AV17" s="102">
        <v>0</v>
      </c>
      <c r="AW17" s="102">
        <v>0</v>
      </c>
      <c r="AX17" s="102">
        <v>-352.34</v>
      </c>
      <c r="AY17" s="102">
        <v>0</v>
      </c>
      <c r="AZ17" s="102">
        <v>-37499.504999999997</v>
      </c>
      <c r="BA17" s="102">
        <v>-755.05600000000004</v>
      </c>
      <c r="BB17" s="102">
        <v>0</v>
      </c>
      <c r="BC17" s="102">
        <v>-6544.6930000000002</v>
      </c>
      <c r="BD17" s="102">
        <v>0</v>
      </c>
      <c r="BE17" s="102">
        <v>-90.278999999999996</v>
      </c>
      <c r="BF17" s="102">
        <v>-717.69399999999996</v>
      </c>
      <c r="BG17" s="102">
        <v>-1153.529</v>
      </c>
      <c r="BH17" s="266">
        <v>48693.067999999999</v>
      </c>
      <c r="BI17" s="102">
        <v>0</v>
      </c>
      <c r="BJ17" s="266">
        <v>-70483.761999999988</v>
      </c>
      <c r="BK17" s="102">
        <v>-16341.981</v>
      </c>
      <c r="BL17" s="104"/>
      <c r="BM17" s="104"/>
    </row>
    <row r="18" spans="1:65">
      <c r="A18" s="438"/>
      <c r="B18" s="445" t="s">
        <v>1016</v>
      </c>
      <c r="C18" s="134" t="s">
        <v>1017</v>
      </c>
      <c r="D18" s="102">
        <v>-188.4</v>
      </c>
      <c r="E18" s="102">
        <v>-281.57900000000001</v>
      </c>
      <c r="F18" s="102">
        <v>0</v>
      </c>
      <c r="G18" s="266">
        <v>-42325.224000000002</v>
      </c>
      <c r="H18" s="102">
        <v>-991.73</v>
      </c>
      <c r="I18" s="102">
        <v>0</v>
      </c>
      <c r="J18" s="102">
        <v>0</v>
      </c>
      <c r="K18" s="102">
        <v>0</v>
      </c>
      <c r="L18" s="102">
        <v>0</v>
      </c>
      <c r="M18" s="102">
        <v>0</v>
      </c>
      <c r="N18" s="102">
        <v>0</v>
      </c>
      <c r="O18" s="102">
        <v>0</v>
      </c>
      <c r="P18" s="102">
        <v>-418.50799999999998</v>
      </c>
      <c r="Q18" s="102">
        <v>-21052.742999999999</v>
      </c>
      <c r="R18" s="102">
        <v>0</v>
      </c>
      <c r="S18" s="102">
        <v>0</v>
      </c>
      <c r="T18" s="102">
        <v>0</v>
      </c>
      <c r="U18" s="102">
        <v>0</v>
      </c>
      <c r="V18" s="102">
        <v>0</v>
      </c>
      <c r="W18" s="102">
        <v>0</v>
      </c>
      <c r="X18" s="102">
        <v>-86.629000000000005</v>
      </c>
      <c r="Y18" s="102">
        <v>-0.50600000000000001</v>
      </c>
      <c r="Z18" s="102">
        <v>-1.7000000000000001E-2</v>
      </c>
      <c r="AA18" s="102">
        <v>0</v>
      </c>
      <c r="AB18" s="102">
        <v>0</v>
      </c>
      <c r="AC18" s="102">
        <v>0</v>
      </c>
      <c r="AD18" s="102">
        <v>-201.78299999999999</v>
      </c>
      <c r="AE18" s="102">
        <v>-138.209</v>
      </c>
      <c r="AF18" s="102">
        <v>0</v>
      </c>
      <c r="AG18" s="102">
        <v>0</v>
      </c>
      <c r="AH18" s="102">
        <v>-118.94499999999999</v>
      </c>
      <c r="AI18" s="102">
        <v>0</v>
      </c>
      <c r="AJ18" s="102">
        <v>0</v>
      </c>
      <c r="AK18" s="102">
        <v>0</v>
      </c>
      <c r="AL18" s="102">
        <v>0</v>
      </c>
      <c r="AM18" s="102">
        <v>0</v>
      </c>
      <c r="AN18" s="102">
        <v>0</v>
      </c>
      <c r="AO18" s="102">
        <v>0</v>
      </c>
      <c r="AP18" s="102">
        <v>-87.105999999999995</v>
      </c>
      <c r="AQ18" s="102">
        <v>-54.85</v>
      </c>
      <c r="AR18" s="102">
        <v>-26.895</v>
      </c>
      <c r="AS18" s="102">
        <v>-1250.6610000000001</v>
      </c>
      <c r="AT18" s="102">
        <v>-30.96</v>
      </c>
      <c r="AU18" s="102">
        <v>-44.04</v>
      </c>
      <c r="AV18" s="102">
        <v>0</v>
      </c>
      <c r="AW18" s="102">
        <v>0</v>
      </c>
      <c r="AX18" s="102">
        <v>-352.34</v>
      </c>
      <c r="AY18" s="102">
        <v>0</v>
      </c>
      <c r="AZ18" s="102">
        <v>-37499.504999999997</v>
      </c>
      <c r="BA18" s="102">
        <v>-754.27099999999996</v>
      </c>
      <c r="BB18" s="102">
        <v>0</v>
      </c>
      <c r="BC18" s="102">
        <v>-5745.57</v>
      </c>
      <c r="BD18" s="102">
        <v>0</v>
      </c>
      <c r="BE18" s="102">
        <v>-90.278999999999996</v>
      </c>
      <c r="BF18" s="102">
        <v>-715.43600000000004</v>
      </c>
      <c r="BG18" s="102">
        <v>-1135.223</v>
      </c>
      <c r="BH18" s="266">
        <v>46149.03</v>
      </c>
      <c r="BI18" s="102">
        <v>0</v>
      </c>
      <c r="BJ18" s="266">
        <v>-67442.379000000015</v>
      </c>
      <c r="BK18" s="102">
        <v>-11124.647000000001</v>
      </c>
      <c r="BL18" s="104"/>
      <c r="BM18" s="104"/>
    </row>
    <row r="19" spans="1:65">
      <c r="A19" s="438"/>
      <c r="B19" s="445" t="s">
        <v>1018</v>
      </c>
      <c r="C19" s="134" t="s">
        <v>1019</v>
      </c>
      <c r="D19" s="102">
        <v>0</v>
      </c>
      <c r="E19" s="102">
        <v>0</v>
      </c>
      <c r="F19" s="102">
        <v>0</v>
      </c>
      <c r="G19" s="102">
        <v>-28.067</v>
      </c>
      <c r="H19" s="102">
        <v>0</v>
      </c>
      <c r="I19" s="102">
        <v>0</v>
      </c>
      <c r="J19" s="102">
        <v>0</v>
      </c>
      <c r="K19" s="102">
        <v>0</v>
      </c>
      <c r="L19" s="102">
        <v>0</v>
      </c>
      <c r="M19" s="102">
        <v>0</v>
      </c>
      <c r="N19" s="102">
        <v>-679.89599999999996</v>
      </c>
      <c r="O19" s="102">
        <v>-2731.0030000000002</v>
      </c>
      <c r="P19" s="102">
        <v>-479.863</v>
      </c>
      <c r="Q19" s="102">
        <v>-319.52999999999997</v>
      </c>
      <c r="R19" s="102">
        <v>-4.1539999999999999</v>
      </c>
      <c r="S19" s="102">
        <v>0</v>
      </c>
      <c r="T19" s="102">
        <v>0</v>
      </c>
      <c r="U19" s="102">
        <v>0</v>
      </c>
      <c r="V19" s="102">
        <v>0</v>
      </c>
      <c r="W19" s="102">
        <v>-339.685</v>
      </c>
      <c r="X19" s="102">
        <v>0</v>
      </c>
      <c r="Y19" s="102">
        <v>0</v>
      </c>
      <c r="Z19" s="102">
        <v>0</v>
      </c>
      <c r="AA19" s="102">
        <v>0</v>
      </c>
      <c r="AB19" s="102">
        <v>0</v>
      </c>
      <c r="AC19" s="102">
        <v>0</v>
      </c>
      <c r="AD19" s="102">
        <v>0</v>
      </c>
      <c r="AE19" s="102">
        <v>-7.0000000000000001E-3</v>
      </c>
      <c r="AF19" s="102">
        <v>0</v>
      </c>
      <c r="AG19" s="102">
        <v>0</v>
      </c>
      <c r="AH19" s="102">
        <v>-16.329000000000001</v>
      </c>
      <c r="AI19" s="102">
        <v>0</v>
      </c>
      <c r="AJ19" s="102">
        <v>0</v>
      </c>
      <c r="AK19" s="102">
        <v>0</v>
      </c>
      <c r="AL19" s="102">
        <v>0</v>
      </c>
      <c r="AM19" s="102">
        <v>0</v>
      </c>
      <c r="AN19" s="102">
        <v>0</v>
      </c>
      <c r="AO19" s="102">
        <v>0</v>
      </c>
      <c r="AP19" s="102">
        <v>-73.14</v>
      </c>
      <c r="AQ19" s="102">
        <v>-46.683999999999997</v>
      </c>
      <c r="AR19" s="102">
        <v>0</v>
      </c>
      <c r="AS19" s="102">
        <v>-37.692999999999998</v>
      </c>
      <c r="AT19" s="102">
        <v>-8.8970000000000002</v>
      </c>
      <c r="AU19" s="102">
        <v>0</v>
      </c>
      <c r="AV19" s="102">
        <v>0</v>
      </c>
      <c r="AW19" s="102">
        <v>0</v>
      </c>
      <c r="AX19" s="102">
        <v>0</v>
      </c>
      <c r="AY19" s="102">
        <v>0</v>
      </c>
      <c r="AZ19" s="102">
        <v>0</v>
      </c>
      <c r="BA19" s="102">
        <v>-0.78500000000000003</v>
      </c>
      <c r="BB19" s="102">
        <v>0</v>
      </c>
      <c r="BC19" s="102">
        <v>-799.12300000000005</v>
      </c>
      <c r="BD19" s="102">
        <v>0</v>
      </c>
      <c r="BE19" s="102">
        <v>0</v>
      </c>
      <c r="BF19" s="102">
        <v>-2.258</v>
      </c>
      <c r="BG19" s="102">
        <v>-18.306999999999999</v>
      </c>
      <c r="BH19" s="102">
        <v>2544.0369999999998</v>
      </c>
      <c r="BI19" s="102">
        <v>0</v>
      </c>
      <c r="BJ19" s="102">
        <v>-3041.3840000000014</v>
      </c>
      <c r="BK19" s="102">
        <v>-5217.3339999999998</v>
      </c>
      <c r="BL19" s="104"/>
      <c r="BM19" s="104"/>
    </row>
    <row r="20" spans="1:65">
      <c r="A20" s="438"/>
      <c r="B20" s="444" t="s">
        <v>1020</v>
      </c>
      <c r="C20" s="134" t="s">
        <v>1021</v>
      </c>
      <c r="D20" s="102">
        <v>0</v>
      </c>
      <c r="E20" s="102">
        <v>0</v>
      </c>
      <c r="F20" s="102">
        <v>0</v>
      </c>
      <c r="G20" s="102">
        <v>-3234.4650000000001</v>
      </c>
      <c r="H20" s="102">
        <v>0</v>
      </c>
      <c r="I20" s="102">
        <v>0</v>
      </c>
      <c r="J20" s="102">
        <v>0</v>
      </c>
      <c r="K20" s="102">
        <v>0</v>
      </c>
      <c r="L20" s="102">
        <v>0</v>
      </c>
      <c r="M20" s="102">
        <v>0</v>
      </c>
      <c r="N20" s="102">
        <v>0</v>
      </c>
      <c r="O20" s="102">
        <v>0</v>
      </c>
      <c r="P20" s="102">
        <v>0</v>
      </c>
      <c r="Q20" s="102">
        <v>-9592.3510000000006</v>
      </c>
      <c r="R20" s="102">
        <v>-459.149</v>
      </c>
      <c r="S20" s="102">
        <v>0</v>
      </c>
      <c r="T20" s="102">
        <v>0</v>
      </c>
      <c r="U20" s="102">
        <v>0</v>
      </c>
      <c r="V20" s="102">
        <v>0</v>
      </c>
      <c r="W20" s="102">
        <v>-690.37800000000004</v>
      </c>
      <c r="X20" s="102">
        <v>-193.11699999999999</v>
      </c>
      <c r="Y20" s="102">
        <v>0</v>
      </c>
      <c r="Z20" s="102">
        <v>0</v>
      </c>
      <c r="AA20" s="102">
        <v>0</v>
      </c>
      <c r="AB20" s="102">
        <v>0</v>
      </c>
      <c r="AC20" s="102">
        <v>0</v>
      </c>
      <c r="AD20" s="102">
        <v>-0.20499999999999999</v>
      </c>
      <c r="AE20" s="102">
        <v>-1.7999999999999999E-2</v>
      </c>
      <c r="AF20" s="102">
        <v>0</v>
      </c>
      <c r="AG20" s="102">
        <v>0</v>
      </c>
      <c r="AH20" s="102">
        <v>-70.132000000000005</v>
      </c>
      <c r="AI20" s="102">
        <v>0</v>
      </c>
      <c r="AJ20" s="102">
        <v>0</v>
      </c>
      <c r="AK20" s="102">
        <v>0</v>
      </c>
      <c r="AL20" s="102">
        <v>0</v>
      </c>
      <c r="AM20" s="102">
        <v>0</v>
      </c>
      <c r="AN20" s="102">
        <v>0</v>
      </c>
      <c r="AO20" s="102">
        <v>-966.78499999999997</v>
      </c>
      <c r="AP20" s="102">
        <v>-8.984</v>
      </c>
      <c r="AQ20" s="102">
        <v>-183.215</v>
      </c>
      <c r="AR20" s="102">
        <v>-246.29400000000001</v>
      </c>
      <c r="AS20" s="102">
        <v>-740.94399999999996</v>
      </c>
      <c r="AT20" s="102">
        <v>-2.1840000000000002</v>
      </c>
      <c r="AU20" s="102">
        <v>-0.82499999999999996</v>
      </c>
      <c r="AV20" s="102">
        <v>0</v>
      </c>
      <c r="AW20" s="102">
        <v>0</v>
      </c>
      <c r="AX20" s="102">
        <v>0</v>
      </c>
      <c r="AY20" s="102">
        <v>0</v>
      </c>
      <c r="AZ20" s="102">
        <v>0</v>
      </c>
      <c r="BA20" s="102">
        <v>0</v>
      </c>
      <c r="BB20" s="102">
        <v>0</v>
      </c>
      <c r="BC20" s="102">
        <v>0</v>
      </c>
      <c r="BD20" s="102">
        <v>0</v>
      </c>
      <c r="BE20" s="102">
        <v>0</v>
      </c>
      <c r="BF20" s="102">
        <v>0</v>
      </c>
      <c r="BG20" s="102">
        <v>0</v>
      </c>
      <c r="BH20" s="102">
        <v>5678.683</v>
      </c>
      <c r="BI20" s="102">
        <v>6580.2820000000002</v>
      </c>
      <c r="BJ20" s="102">
        <v>-4130.081000000001</v>
      </c>
      <c r="BK20" s="102">
        <v>-1872.8240000000001</v>
      </c>
      <c r="BL20" s="104"/>
      <c r="BM20" s="104"/>
    </row>
    <row r="21" spans="1:65">
      <c r="A21" s="438"/>
      <c r="B21" s="445" t="s">
        <v>1022</v>
      </c>
      <c r="C21" s="134" t="s">
        <v>1023</v>
      </c>
      <c r="D21" s="102">
        <v>0</v>
      </c>
      <c r="E21" s="102">
        <v>0</v>
      </c>
      <c r="F21" s="102">
        <v>0</v>
      </c>
      <c r="G21" s="102">
        <v>0</v>
      </c>
      <c r="H21" s="102">
        <v>0</v>
      </c>
      <c r="I21" s="102">
        <v>0</v>
      </c>
      <c r="J21" s="102">
        <v>0</v>
      </c>
      <c r="K21" s="102">
        <v>0</v>
      </c>
      <c r="L21" s="102">
        <v>0</v>
      </c>
      <c r="M21" s="102">
        <v>0</v>
      </c>
      <c r="N21" s="102">
        <v>0</v>
      </c>
      <c r="O21" s="102">
        <v>0</v>
      </c>
      <c r="P21" s="102">
        <v>0</v>
      </c>
      <c r="Q21" s="102">
        <v>-8585.4339999999993</v>
      </c>
      <c r="R21" s="102">
        <v>-372.447</v>
      </c>
      <c r="S21" s="102">
        <v>0</v>
      </c>
      <c r="T21" s="102">
        <v>0</v>
      </c>
      <c r="U21" s="102">
        <v>0</v>
      </c>
      <c r="V21" s="102">
        <v>0</v>
      </c>
      <c r="W21" s="102">
        <v>0</v>
      </c>
      <c r="X21" s="102">
        <v>-82.128</v>
      </c>
      <c r="Y21" s="102">
        <v>0</v>
      </c>
      <c r="Z21" s="102">
        <v>0</v>
      </c>
      <c r="AA21" s="102">
        <v>0</v>
      </c>
      <c r="AB21" s="102">
        <v>0</v>
      </c>
      <c r="AC21" s="102">
        <v>0</v>
      </c>
      <c r="AD21" s="102">
        <v>-0.20499999999999999</v>
      </c>
      <c r="AE21" s="102">
        <v>-1.7999999999999999E-2</v>
      </c>
      <c r="AF21" s="102">
        <v>0</v>
      </c>
      <c r="AG21" s="102">
        <v>0</v>
      </c>
      <c r="AH21" s="102">
        <v>-18.768999999999998</v>
      </c>
      <c r="AI21" s="102">
        <v>0</v>
      </c>
      <c r="AJ21" s="102">
        <v>0</v>
      </c>
      <c r="AK21" s="102">
        <v>0</v>
      </c>
      <c r="AL21" s="102">
        <v>0</v>
      </c>
      <c r="AM21" s="102">
        <v>0</v>
      </c>
      <c r="AN21" s="102">
        <v>0</v>
      </c>
      <c r="AO21" s="102">
        <v>0</v>
      </c>
      <c r="AP21" s="102">
        <v>-4.5469999999999997</v>
      </c>
      <c r="AQ21" s="102">
        <v>-171.17099999999999</v>
      </c>
      <c r="AR21" s="102">
        <v>-20.013000000000002</v>
      </c>
      <c r="AS21" s="102">
        <v>-24.492000000000001</v>
      </c>
      <c r="AT21" s="102">
        <v>-1.0349999999999999</v>
      </c>
      <c r="AU21" s="102">
        <v>0</v>
      </c>
      <c r="AV21" s="102">
        <v>0</v>
      </c>
      <c r="AW21" s="102">
        <v>0</v>
      </c>
      <c r="AX21" s="102">
        <v>0</v>
      </c>
      <c r="AY21" s="102">
        <v>0</v>
      </c>
      <c r="AZ21" s="102">
        <v>0</v>
      </c>
      <c r="BA21" s="102">
        <v>0</v>
      </c>
      <c r="BB21" s="102">
        <v>0</v>
      </c>
      <c r="BC21" s="102">
        <v>0</v>
      </c>
      <c r="BD21" s="102">
        <v>0</v>
      </c>
      <c r="BE21" s="102">
        <v>0</v>
      </c>
      <c r="BF21" s="102">
        <v>0</v>
      </c>
      <c r="BG21" s="102">
        <v>0</v>
      </c>
      <c r="BH21" s="102">
        <v>3713.866</v>
      </c>
      <c r="BI21" s="102">
        <v>2886.7240000000002</v>
      </c>
      <c r="BJ21" s="102">
        <v>-2679.6690000000017</v>
      </c>
      <c r="BK21" s="102">
        <v>-221.25800000000001</v>
      </c>
      <c r="BL21" s="104"/>
      <c r="BM21" s="104"/>
    </row>
    <row r="22" spans="1:65">
      <c r="A22" s="438"/>
      <c r="B22" s="445" t="s">
        <v>1024</v>
      </c>
      <c r="C22" s="134" t="s">
        <v>1025</v>
      </c>
      <c r="D22" s="102">
        <v>0</v>
      </c>
      <c r="E22" s="102">
        <v>0</v>
      </c>
      <c r="F22" s="102">
        <v>0</v>
      </c>
      <c r="G22" s="102">
        <v>-3234.4650000000001</v>
      </c>
      <c r="H22" s="102">
        <v>0</v>
      </c>
      <c r="I22" s="102">
        <v>0</v>
      </c>
      <c r="J22" s="102">
        <v>0</v>
      </c>
      <c r="K22" s="102">
        <v>0</v>
      </c>
      <c r="L22" s="102">
        <v>0</v>
      </c>
      <c r="M22" s="102">
        <v>0</v>
      </c>
      <c r="N22" s="102">
        <v>0</v>
      </c>
      <c r="O22" s="102">
        <v>0</v>
      </c>
      <c r="P22" s="102">
        <v>0</v>
      </c>
      <c r="Q22" s="102">
        <v>-1006.917</v>
      </c>
      <c r="R22" s="102">
        <v>-86.701999999999998</v>
      </c>
      <c r="S22" s="102">
        <v>0</v>
      </c>
      <c r="T22" s="102">
        <v>0</v>
      </c>
      <c r="U22" s="102">
        <v>0</v>
      </c>
      <c r="V22" s="102">
        <v>0</v>
      </c>
      <c r="W22" s="102">
        <v>-690.37800000000004</v>
      </c>
      <c r="X22" s="102">
        <v>-110.989</v>
      </c>
      <c r="Y22" s="102">
        <v>0</v>
      </c>
      <c r="Z22" s="102">
        <v>0</v>
      </c>
      <c r="AA22" s="102">
        <v>0</v>
      </c>
      <c r="AB22" s="102">
        <v>0</v>
      </c>
      <c r="AC22" s="102">
        <v>0</v>
      </c>
      <c r="AD22" s="102">
        <v>0</v>
      </c>
      <c r="AE22" s="102">
        <v>0</v>
      </c>
      <c r="AF22" s="102">
        <v>0</v>
      </c>
      <c r="AG22" s="102">
        <v>0</v>
      </c>
      <c r="AH22" s="102">
        <v>-51.363</v>
      </c>
      <c r="AI22" s="102">
        <v>0</v>
      </c>
      <c r="AJ22" s="102">
        <v>0</v>
      </c>
      <c r="AK22" s="102">
        <v>0</v>
      </c>
      <c r="AL22" s="102">
        <v>0</v>
      </c>
      <c r="AM22" s="102">
        <v>0</v>
      </c>
      <c r="AN22" s="102">
        <v>0</v>
      </c>
      <c r="AO22" s="102">
        <v>-966.78499999999997</v>
      </c>
      <c r="AP22" s="102">
        <v>-4.4370000000000003</v>
      </c>
      <c r="AQ22" s="102">
        <v>-12.044</v>
      </c>
      <c r="AR22" s="102">
        <v>-226.28100000000001</v>
      </c>
      <c r="AS22" s="102">
        <v>-716.45100000000002</v>
      </c>
      <c r="AT22" s="102">
        <v>-1.149</v>
      </c>
      <c r="AU22" s="102">
        <v>-0.82499999999999996</v>
      </c>
      <c r="AV22" s="102">
        <v>0</v>
      </c>
      <c r="AW22" s="102">
        <v>0</v>
      </c>
      <c r="AX22" s="102">
        <v>0</v>
      </c>
      <c r="AY22" s="102">
        <v>0</v>
      </c>
      <c r="AZ22" s="102">
        <v>0</v>
      </c>
      <c r="BA22" s="102">
        <v>0</v>
      </c>
      <c r="BB22" s="102">
        <v>0</v>
      </c>
      <c r="BC22" s="102">
        <v>0</v>
      </c>
      <c r="BD22" s="102">
        <v>0</v>
      </c>
      <c r="BE22" s="102">
        <v>0</v>
      </c>
      <c r="BF22" s="102">
        <v>0</v>
      </c>
      <c r="BG22" s="102">
        <v>0</v>
      </c>
      <c r="BH22" s="102">
        <v>1964.817</v>
      </c>
      <c r="BI22" s="102">
        <v>3693.5590000000002</v>
      </c>
      <c r="BJ22" s="102">
        <v>-1450.4099999999999</v>
      </c>
      <c r="BK22" s="102">
        <v>-1651.5650000000001</v>
      </c>
      <c r="BL22" s="104"/>
      <c r="BM22" s="104"/>
    </row>
    <row r="23" spans="1:65">
      <c r="A23" s="438"/>
      <c r="B23" s="444" t="s">
        <v>1026</v>
      </c>
      <c r="C23" s="134" t="s">
        <v>1027</v>
      </c>
      <c r="D23" s="102">
        <v>0</v>
      </c>
      <c r="E23" s="102">
        <v>0</v>
      </c>
      <c r="F23" s="102">
        <v>0</v>
      </c>
      <c r="G23" s="102">
        <v>0</v>
      </c>
      <c r="H23" s="102">
        <v>0</v>
      </c>
      <c r="I23" s="102">
        <v>0</v>
      </c>
      <c r="J23" s="102">
        <v>0</v>
      </c>
      <c r="K23" s="102">
        <v>0</v>
      </c>
      <c r="L23" s="102">
        <v>0</v>
      </c>
      <c r="M23" s="102">
        <v>0</v>
      </c>
      <c r="N23" s="102">
        <v>0</v>
      </c>
      <c r="O23" s="102">
        <v>0</v>
      </c>
      <c r="P23" s="102">
        <v>0</v>
      </c>
      <c r="Q23" s="102">
        <v>-20.867000000000001</v>
      </c>
      <c r="R23" s="102">
        <v>-339.69</v>
      </c>
      <c r="S23" s="102">
        <v>0</v>
      </c>
      <c r="T23" s="102">
        <v>0</v>
      </c>
      <c r="U23" s="102">
        <v>0</v>
      </c>
      <c r="V23" s="102">
        <v>0</v>
      </c>
      <c r="W23" s="102">
        <v>0</v>
      </c>
      <c r="X23" s="102">
        <v>-57.845999999999997</v>
      </c>
      <c r="Y23" s="102">
        <v>0</v>
      </c>
      <c r="Z23" s="102">
        <v>0</v>
      </c>
      <c r="AA23" s="102">
        <v>0</v>
      </c>
      <c r="AB23" s="102">
        <v>0</v>
      </c>
      <c r="AC23" s="102">
        <v>0</v>
      </c>
      <c r="AD23" s="102">
        <v>-33.557000000000002</v>
      </c>
      <c r="AE23" s="102">
        <v>-0.21199999999999999</v>
      </c>
      <c r="AF23" s="102">
        <v>0</v>
      </c>
      <c r="AG23" s="102">
        <v>0</v>
      </c>
      <c r="AH23" s="102">
        <v>-259.904</v>
      </c>
      <c r="AI23" s="102">
        <v>0</v>
      </c>
      <c r="AJ23" s="102">
        <v>0</v>
      </c>
      <c r="AK23" s="102">
        <v>0</v>
      </c>
      <c r="AL23" s="102">
        <v>0</v>
      </c>
      <c r="AM23" s="102">
        <v>0</v>
      </c>
      <c r="AN23" s="102">
        <v>0</v>
      </c>
      <c r="AO23" s="102">
        <v>-16.885999999999999</v>
      </c>
      <c r="AP23" s="102">
        <v>-238.88800000000001</v>
      </c>
      <c r="AQ23" s="102">
        <v>0</v>
      </c>
      <c r="AR23" s="102">
        <v>-32.113</v>
      </c>
      <c r="AS23" s="102">
        <v>-281.68700000000001</v>
      </c>
      <c r="AT23" s="102">
        <v>-2.0209999999999999</v>
      </c>
      <c r="AU23" s="102">
        <v>-24.338999999999999</v>
      </c>
      <c r="AV23" s="102">
        <v>0</v>
      </c>
      <c r="AW23" s="102">
        <v>0</v>
      </c>
      <c r="AX23" s="102">
        <v>0</v>
      </c>
      <c r="AY23" s="102">
        <v>0</v>
      </c>
      <c r="AZ23" s="102">
        <v>0</v>
      </c>
      <c r="BA23" s="102">
        <v>0</v>
      </c>
      <c r="BB23" s="102">
        <v>0</v>
      </c>
      <c r="BC23" s="102">
        <v>0</v>
      </c>
      <c r="BD23" s="102">
        <v>0</v>
      </c>
      <c r="BE23" s="102">
        <v>0</v>
      </c>
      <c r="BF23" s="102">
        <v>0</v>
      </c>
      <c r="BG23" s="102">
        <v>0</v>
      </c>
      <c r="BH23" s="102">
        <v>0</v>
      </c>
      <c r="BI23" s="102">
        <v>609.88</v>
      </c>
      <c r="BJ23" s="102">
        <v>-698.13</v>
      </c>
      <c r="BK23" s="102">
        <v>-579.04999999999995</v>
      </c>
      <c r="BL23" s="104"/>
      <c r="BM23" s="104"/>
    </row>
    <row r="24" spans="1:65">
      <c r="A24" s="438"/>
      <c r="B24" s="445" t="s">
        <v>1028</v>
      </c>
      <c r="C24" s="134" t="s">
        <v>1029</v>
      </c>
      <c r="D24" s="102">
        <v>0</v>
      </c>
      <c r="E24" s="102">
        <v>0</v>
      </c>
      <c r="F24" s="102">
        <v>0</v>
      </c>
      <c r="G24" s="102">
        <v>0</v>
      </c>
      <c r="H24" s="102">
        <v>0</v>
      </c>
      <c r="I24" s="102">
        <v>0</v>
      </c>
      <c r="J24" s="102">
        <v>0</v>
      </c>
      <c r="K24" s="102">
        <v>0</v>
      </c>
      <c r="L24" s="102">
        <v>0</v>
      </c>
      <c r="M24" s="102">
        <v>0</v>
      </c>
      <c r="N24" s="102">
        <v>0</v>
      </c>
      <c r="O24" s="102">
        <v>0</v>
      </c>
      <c r="P24" s="102">
        <v>0</v>
      </c>
      <c r="Q24" s="102">
        <v>-20.047000000000001</v>
      </c>
      <c r="R24" s="102">
        <v>-316.52600000000001</v>
      </c>
      <c r="S24" s="102">
        <v>0</v>
      </c>
      <c r="T24" s="102">
        <v>0</v>
      </c>
      <c r="U24" s="102">
        <v>0</v>
      </c>
      <c r="V24" s="102">
        <v>0</v>
      </c>
      <c r="W24" s="102">
        <v>0</v>
      </c>
      <c r="X24" s="102">
        <v>-50.042999999999999</v>
      </c>
      <c r="Y24" s="102">
        <v>0</v>
      </c>
      <c r="Z24" s="102">
        <v>0</v>
      </c>
      <c r="AA24" s="102">
        <v>0</v>
      </c>
      <c r="AB24" s="102">
        <v>0</v>
      </c>
      <c r="AC24" s="102">
        <v>0</v>
      </c>
      <c r="AD24" s="102">
        <v>-2.3149999999999999</v>
      </c>
      <c r="AE24" s="102">
        <v>0</v>
      </c>
      <c r="AF24" s="102">
        <v>0</v>
      </c>
      <c r="AG24" s="102">
        <v>0</v>
      </c>
      <c r="AH24" s="102">
        <v>-182.52099999999999</v>
      </c>
      <c r="AI24" s="102">
        <v>0</v>
      </c>
      <c r="AJ24" s="102">
        <v>0</v>
      </c>
      <c r="AK24" s="102">
        <v>0</v>
      </c>
      <c r="AL24" s="102">
        <v>0</v>
      </c>
      <c r="AM24" s="102">
        <v>0</v>
      </c>
      <c r="AN24" s="102">
        <v>0</v>
      </c>
      <c r="AO24" s="102">
        <v>0</v>
      </c>
      <c r="AP24" s="102">
        <v>0</v>
      </c>
      <c r="AQ24" s="102">
        <v>0</v>
      </c>
      <c r="AR24" s="102">
        <v>0</v>
      </c>
      <c r="AS24" s="102">
        <v>0</v>
      </c>
      <c r="AT24" s="102">
        <v>0</v>
      </c>
      <c r="AU24" s="102">
        <v>-24.338999999999999</v>
      </c>
      <c r="AV24" s="102">
        <v>0</v>
      </c>
      <c r="AW24" s="102">
        <v>0</v>
      </c>
      <c r="AX24" s="102">
        <v>0</v>
      </c>
      <c r="AY24" s="102">
        <v>0</v>
      </c>
      <c r="AZ24" s="102">
        <v>0</v>
      </c>
      <c r="BA24" s="102">
        <v>0</v>
      </c>
      <c r="BB24" s="102">
        <v>0</v>
      </c>
      <c r="BC24" s="102">
        <v>0</v>
      </c>
      <c r="BD24" s="102">
        <v>0</v>
      </c>
      <c r="BE24" s="102">
        <v>0</v>
      </c>
      <c r="BF24" s="102">
        <v>0</v>
      </c>
      <c r="BG24" s="102">
        <v>0</v>
      </c>
      <c r="BH24" s="102">
        <v>0</v>
      </c>
      <c r="BI24" s="102">
        <v>338.38200000000001</v>
      </c>
      <c r="BJ24" s="102">
        <v>-257.40899999999993</v>
      </c>
      <c r="BK24" s="102">
        <v>-24.338999999999999</v>
      </c>
      <c r="BL24" s="104"/>
      <c r="BM24" s="104"/>
    </row>
    <row r="25" spans="1:65">
      <c r="A25" s="438"/>
      <c r="B25" s="445" t="s">
        <v>1030</v>
      </c>
      <c r="C25" s="134" t="s">
        <v>1031</v>
      </c>
      <c r="D25" s="102">
        <v>0</v>
      </c>
      <c r="E25" s="102">
        <v>0</v>
      </c>
      <c r="F25" s="102">
        <v>0</v>
      </c>
      <c r="G25" s="102">
        <v>0</v>
      </c>
      <c r="H25" s="102">
        <v>0</v>
      </c>
      <c r="I25" s="102">
        <v>0</v>
      </c>
      <c r="J25" s="102">
        <v>0</v>
      </c>
      <c r="K25" s="102">
        <v>0</v>
      </c>
      <c r="L25" s="102">
        <v>0</v>
      </c>
      <c r="M25" s="102">
        <v>0</v>
      </c>
      <c r="N25" s="102">
        <v>0</v>
      </c>
      <c r="O25" s="102">
        <v>0</v>
      </c>
      <c r="P25" s="102">
        <v>0</v>
      </c>
      <c r="Q25" s="102">
        <v>-0.81899999999999995</v>
      </c>
      <c r="R25" s="102">
        <v>-23.164000000000001</v>
      </c>
      <c r="S25" s="102">
        <v>0</v>
      </c>
      <c r="T25" s="102">
        <v>0</v>
      </c>
      <c r="U25" s="102">
        <v>0</v>
      </c>
      <c r="V25" s="102">
        <v>0</v>
      </c>
      <c r="W25" s="102">
        <v>0</v>
      </c>
      <c r="X25" s="102">
        <v>-7.8040000000000003</v>
      </c>
      <c r="Y25" s="102">
        <v>0</v>
      </c>
      <c r="Z25" s="102">
        <v>0</v>
      </c>
      <c r="AA25" s="102">
        <v>0</v>
      </c>
      <c r="AB25" s="102">
        <v>0</v>
      </c>
      <c r="AC25" s="102">
        <v>0</v>
      </c>
      <c r="AD25" s="102">
        <v>-31.242000000000001</v>
      </c>
      <c r="AE25" s="102">
        <v>-0.21199999999999999</v>
      </c>
      <c r="AF25" s="102">
        <v>0</v>
      </c>
      <c r="AG25" s="102">
        <v>0</v>
      </c>
      <c r="AH25" s="102">
        <v>-77.382000000000005</v>
      </c>
      <c r="AI25" s="102">
        <v>0</v>
      </c>
      <c r="AJ25" s="102">
        <v>0</v>
      </c>
      <c r="AK25" s="102">
        <v>0</v>
      </c>
      <c r="AL25" s="102">
        <v>0</v>
      </c>
      <c r="AM25" s="102">
        <v>0</v>
      </c>
      <c r="AN25" s="102">
        <v>0</v>
      </c>
      <c r="AO25" s="102">
        <v>-16.885999999999999</v>
      </c>
      <c r="AP25" s="102">
        <v>-238.88800000000001</v>
      </c>
      <c r="AQ25" s="102">
        <v>0</v>
      </c>
      <c r="AR25" s="102">
        <v>-32.113</v>
      </c>
      <c r="AS25" s="102">
        <v>-281.68700000000001</v>
      </c>
      <c r="AT25" s="102">
        <v>-2.0209999999999999</v>
      </c>
      <c r="AU25" s="102">
        <v>0</v>
      </c>
      <c r="AV25" s="102">
        <v>0</v>
      </c>
      <c r="AW25" s="102">
        <v>0</v>
      </c>
      <c r="AX25" s="102">
        <v>0</v>
      </c>
      <c r="AY25" s="102">
        <v>0</v>
      </c>
      <c r="AZ25" s="102">
        <v>0</v>
      </c>
      <c r="BA25" s="102">
        <v>0</v>
      </c>
      <c r="BB25" s="102">
        <v>0</v>
      </c>
      <c r="BC25" s="102">
        <v>0</v>
      </c>
      <c r="BD25" s="102">
        <v>0</v>
      </c>
      <c r="BE25" s="102">
        <v>0</v>
      </c>
      <c r="BF25" s="102">
        <v>0</v>
      </c>
      <c r="BG25" s="102">
        <v>0</v>
      </c>
      <c r="BH25" s="102">
        <v>0</v>
      </c>
      <c r="BI25" s="102">
        <v>271.49700000000001</v>
      </c>
      <c r="BJ25" s="102">
        <v>-440.72099999999995</v>
      </c>
      <c r="BK25" s="102">
        <v>-554.71</v>
      </c>
      <c r="BL25" s="104"/>
      <c r="BM25" s="104"/>
    </row>
    <row r="26" spans="1:65">
      <c r="A26" s="438"/>
      <c r="B26" s="444" t="s">
        <v>1032</v>
      </c>
      <c r="C26" s="134" t="s">
        <v>1033</v>
      </c>
      <c r="D26" s="102">
        <v>0</v>
      </c>
      <c r="E26" s="102">
        <v>0</v>
      </c>
      <c r="F26" s="102">
        <v>0</v>
      </c>
      <c r="G26" s="102">
        <v>0</v>
      </c>
      <c r="H26" s="102">
        <v>0</v>
      </c>
      <c r="I26" s="102">
        <v>0</v>
      </c>
      <c r="J26" s="102">
        <v>0</v>
      </c>
      <c r="K26" s="102">
        <v>0</v>
      </c>
      <c r="L26" s="102">
        <v>0</v>
      </c>
      <c r="M26" s="102">
        <v>0</v>
      </c>
      <c r="N26" s="102">
        <v>0</v>
      </c>
      <c r="O26" s="102">
        <v>0</v>
      </c>
      <c r="P26" s="102">
        <v>0</v>
      </c>
      <c r="Q26" s="102">
        <v>0</v>
      </c>
      <c r="R26" s="102">
        <v>0</v>
      </c>
      <c r="S26" s="102">
        <v>0</v>
      </c>
      <c r="T26" s="102">
        <v>0</v>
      </c>
      <c r="U26" s="102">
        <v>0</v>
      </c>
      <c r="V26" s="102">
        <v>0</v>
      </c>
      <c r="W26" s="102">
        <v>0</v>
      </c>
      <c r="X26" s="102">
        <v>0</v>
      </c>
      <c r="Y26" s="102">
        <v>0</v>
      </c>
      <c r="Z26" s="102">
        <v>0</v>
      </c>
      <c r="AA26" s="102">
        <v>0</v>
      </c>
      <c r="AB26" s="102">
        <v>0</v>
      </c>
      <c r="AC26" s="102">
        <v>0</v>
      </c>
      <c r="AD26" s="102">
        <v>0</v>
      </c>
      <c r="AE26" s="102">
        <v>0</v>
      </c>
      <c r="AF26" s="102">
        <v>0</v>
      </c>
      <c r="AG26" s="102">
        <v>0</v>
      </c>
      <c r="AH26" s="102">
        <v>0</v>
      </c>
      <c r="AI26" s="102">
        <v>0</v>
      </c>
      <c r="AJ26" s="102">
        <v>0</v>
      </c>
      <c r="AK26" s="102">
        <v>0</v>
      </c>
      <c r="AL26" s="102">
        <v>0</v>
      </c>
      <c r="AM26" s="102">
        <v>0</v>
      </c>
      <c r="AN26" s="102">
        <v>0</v>
      </c>
      <c r="AO26" s="102">
        <v>0</v>
      </c>
      <c r="AP26" s="102">
        <v>0</v>
      </c>
      <c r="AQ26" s="102">
        <v>0</v>
      </c>
      <c r="AR26" s="102">
        <v>0</v>
      </c>
      <c r="AS26" s="102">
        <v>0</v>
      </c>
      <c r="AT26" s="102">
        <v>0</v>
      </c>
      <c r="AU26" s="102">
        <v>0</v>
      </c>
      <c r="AV26" s="102">
        <v>0</v>
      </c>
      <c r="AW26" s="102">
        <v>0</v>
      </c>
      <c r="AX26" s="102">
        <v>0</v>
      </c>
      <c r="AY26" s="102">
        <v>0</v>
      </c>
      <c r="AZ26" s="102">
        <v>0</v>
      </c>
      <c r="BA26" s="102">
        <v>0</v>
      </c>
      <c r="BB26" s="102">
        <v>0</v>
      </c>
      <c r="BC26" s="102">
        <v>0</v>
      </c>
      <c r="BD26" s="102">
        <v>0</v>
      </c>
      <c r="BE26" s="102">
        <v>0</v>
      </c>
      <c r="BF26" s="102">
        <v>0</v>
      </c>
      <c r="BG26" s="102">
        <v>0</v>
      </c>
      <c r="BH26" s="102">
        <v>14.308999999999999</v>
      </c>
      <c r="BI26" s="102">
        <v>-69.334000000000003</v>
      </c>
      <c r="BJ26" s="102">
        <v>-55.025000000000006</v>
      </c>
      <c r="BK26" s="102">
        <v>0</v>
      </c>
      <c r="BL26" s="104"/>
      <c r="BM26" s="104"/>
    </row>
    <row r="27" spans="1:65">
      <c r="A27" s="438"/>
      <c r="B27" s="444" t="s">
        <v>1034</v>
      </c>
      <c r="C27" s="134" t="s">
        <v>1035</v>
      </c>
      <c r="D27" s="102">
        <v>0</v>
      </c>
      <c r="E27" s="102">
        <v>0</v>
      </c>
      <c r="F27" s="102">
        <v>-15693.069</v>
      </c>
      <c r="G27" s="102">
        <v>0</v>
      </c>
      <c r="H27" s="102">
        <v>0</v>
      </c>
      <c r="I27" s="102">
        <v>0</v>
      </c>
      <c r="J27" s="102">
        <v>0</v>
      </c>
      <c r="K27" s="102">
        <v>0</v>
      </c>
      <c r="L27" s="102">
        <v>10341.072</v>
      </c>
      <c r="M27" s="102">
        <v>505.601</v>
      </c>
      <c r="N27" s="102">
        <v>3247.0830000000001</v>
      </c>
      <c r="O27" s="102">
        <v>0</v>
      </c>
      <c r="P27" s="102">
        <v>0</v>
      </c>
      <c r="Q27" s="102">
        <v>0</v>
      </c>
      <c r="R27" s="102">
        <v>0</v>
      </c>
      <c r="S27" s="102">
        <v>0</v>
      </c>
      <c r="T27" s="102">
        <v>0</v>
      </c>
      <c r="U27" s="102">
        <v>0</v>
      </c>
      <c r="V27" s="102">
        <v>0</v>
      </c>
      <c r="W27" s="102">
        <v>0</v>
      </c>
      <c r="X27" s="102">
        <v>0</v>
      </c>
      <c r="Y27" s="102">
        <v>0</v>
      </c>
      <c r="Z27" s="102">
        <v>0</v>
      </c>
      <c r="AA27" s="102">
        <v>0</v>
      </c>
      <c r="AB27" s="102">
        <v>0</v>
      </c>
      <c r="AC27" s="102">
        <v>0</v>
      </c>
      <c r="AD27" s="102">
        <v>0</v>
      </c>
      <c r="AE27" s="102">
        <v>0</v>
      </c>
      <c r="AF27" s="102">
        <v>0</v>
      </c>
      <c r="AG27" s="102">
        <v>0</v>
      </c>
      <c r="AH27" s="102">
        <v>0</v>
      </c>
      <c r="AI27" s="102">
        <v>0</v>
      </c>
      <c r="AJ27" s="102">
        <v>0</v>
      </c>
      <c r="AK27" s="102">
        <v>0</v>
      </c>
      <c r="AL27" s="102">
        <v>0</v>
      </c>
      <c r="AM27" s="102">
        <v>0</v>
      </c>
      <c r="AN27" s="102">
        <v>0</v>
      </c>
      <c r="AO27" s="102">
        <v>0</v>
      </c>
      <c r="AP27" s="102">
        <v>0</v>
      </c>
      <c r="AQ27" s="102">
        <v>0</v>
      </c>
      <c r="AR27" s="102">
        <v>0</v>
      </c>
      <c r="AS27" s="102">
        <v>0</v>
      </c>
      <c r="AT27" s="102">
        <v>0</v>
      </c>
      <c r="AU27" s="102">
        <v>0</v>
      </c>
      <c r="AV27" s="102">
        <v>0</v>
      </c>
      <c r="AW27" s="102">
        <v>0</v>
      </c>
      <c r="AX27" s="102">
        <v>0</v>
      </c>
      <c r="AY27" s="102">
        <v>0</v>
      </c>
      <c r="AZ27" s="102">
        <v>0</v>
      </c>
      <c r="BA27" s="102">
        <v>0</v>
      </c>
      <c r="BB27" s="102">
        <v>0</v>
      </c>
      <c r="BC27" s="102">
        <v>0</v>
      </c>
      <c r="BD27" s="102">
        <v>0</v>
      </c>
      <c r="BE27" s="102">
        <v>0</v>
      </c>
      <c r="BF27" s="102">
        <v>0</v>
      </c>
      <c r="BG27" s="102">
        <v>0</v>
      </c>
      <c r="BH27" s="102">
        <v>0</v>
      </c>
      <c r="BI27" s="102">
        <v>0</v>
      </c>
      <c r="BJ27" s="102">
        <v>-1599.3129999999996</v>
      </c>
      <c r="BK27" s="102">
        <v>0</v>
      </c>
      <c r="BL27" s="104"/>
      <c r="BM27" s="104"/>
    </row>
    <row r="28" spans="1:65">
      <c r="A28" s="438"/>
      <c r="B28" s="444" t="s">
        <v>1036</v>
      </c>
      <c r="C28" s="134" t="s">
        <v>1037</v>
      </c>
      <c r="D28" s="102">
        <v>0</v>
      </c>
      <c r="E28" s="102">
        <v>0</v>
      </c>
      <c r="F28" s="102">
        <v>-899.64599999999996</v>
      </c>
      <c r="G28" s="102">
        <v>-4134.1779999999999</v>
      </c>
      <c r="H28" s="102">
        <v>0</v>
      </c>
      <c r="I28" s="102">
        <v>0</v>
      </c>
      <c r="J28" s="102">
        <v>0</v>
      </c>
      <c r="K28" s="102">
        <v>0</v>
      </c>
      <c r="L28" s="102">
        <v>-9829.3320000000003</v>
      </c>
      <c r="M28" s="102">
        <v>0</v>
      </c>
      <c r="N28" s="102">
        <v>0</v>
      </c>
      <c r="O28" s="102">
        <v>4904.643</v>
      </c>
      <c r="P28" s="102">
        <v>635.55999999999995</v>
      </c>
      <c r="Q28" s="102">
        <v>0</v>
      </c>
      <c r="R28" s="102">
        <v>0</v>
      </c>
      <c r="S28" s="102">
        <v>0</v>
      </c>
      <c r="T28" s="102">
        <v>0</v>
      </c>
      <c r="U28" s="102">
        <v>0</v>
      </c>
      <c r="V28" s="102">
        <v>0</v>
      </c>
      <c r="W28" s="102">
        <v>0</v>
      </c>
      <c r="X28" s="102">
        <v>0</v>
      </c>
      <c r="Y28" s="102">
        <v>0</v>
      </c>
      <c r="Z28" s="102">
        <v>0</v>
      </c>
      <c r="AA28" s="102">
        <v>0</v>
      </c>
      <c r="AB28" s="102">
        <v>0</v>
      </c>
      <c r="AC28" s="102">
        <v>0</v>
      </c>
      <c r="AD28" s="102">
        <v>0</v>
      </c>
      <c r="AE28" s="102">
        <v>0</v>
      </c>
      <c r="AF28" s="102">
        <v>0</v>
      </c>
      <c r="AG28" s="102">
        <v>0</v>
      </c>
      <c r="AH28" s="102">
        <v>0</v>
      </c>
      <c r="AI28" s="102">
        <v>0</v>
      </c>
      <c r="AJ28" s="102">
        <v>0</v>
      </c>
      <c r="AK28" s="102">
        <v>0</v>
      </c>
      <c r="AL28" s="102">
        <v>0</v>
      </c>
      <c r="AM28" s="102">
        <v>0</v>
      </c>
      <c r="AN28" s="102">
        <v>0</v>
      </c>
      <c r="AO28" s="102">
        <v>0</v>
      </c>
      <c r="AP28" s="102">
        <v>0</v>
      </c>
      <c r="AQ28" s="102">
        <v>0</v>
      </c>
      <c r="AR28" s="102">
        <v>0</v>
      </c>
      <c r="AS28" s="102">
        <v>0</v>
      </c>
      <c r="AT28" s="102">
        <v>0</v>
      </c>
      <c r="AU28" s="102">
        <v>0</v>
      </c>
      <c r="AV28" s="102">
        <v>0</v>
      </c>
      <c r="AW28" s="102">
        <v>0</v>
      </c>
      <c r="AX28" s="102">
        <v>0</v>
      </c>
      <c r="AY28" s="102">
        <v>0</v>
      </c>
      <c r="AZ28" s="102">
        <v>0</v>
      </c>
      <c r="BA28" s="102">
        <v>0</v>
      </c>
      <c r="BB28" s="102">
        <v>0</v>
      </c>
      <c r="BC28" s="102">
        <v>0</v>
      </c>
      <c r="BD28" s="102">
        <v>0</v>
      </c>
      <c r="BE28" s="102">
        <v>0</v>
      </c>
      <c r="BF28" s="102">
        <v>0</v>
      </c>
      <c r="BG28" s="102">
        <v>0</v>
      </c>
      <c r="BH28" s="102">
        <v>0</v>
      </c>
      <c r="BI28" s="102">
        <v>0</v>
      </c>
      <c r="BJ28" s="102">
        <v>-9322.9529999999995</v>
      </c>
      <c r="BK28" s="102">
        <v>0</v>
      </c>
      <c r="BL28" s="104"/>
      <c r="BM28" s="104"/>
    </row>
    <row r="29" spans="1:65">
      <c r="A29" s="438"/>
      <c r="B29" s="444" t="s">
        <v>1038</v>
      </c>
      <c r="C29" s="134" t="s">
        <v>1039</v>
      </c>
      <c r="D29" s="102">
        <v>-200.17500000000001</v>
      </c>
      <c r="E29" s="102">
        <v>0</v>
      </c>
      <c r="F29" s="102">
        <v>0</v>
      </c>
      <c r="G29" s="102">
        <v>0</v>
      </c>
      <c r="H29" s="102">
        <v>0</v>
      </c>
      <c r="I29" s="102">
        <v>0</v>
      </c>
      <c r="J29" s="102">
        <v>0</v>
      </c>
      <c r="K29" s="102">
        <v>195.5</v>
      </c>
      <c r="L29" s="102">
        <v>0</v>
      </c>
      <c r="M29" s="102">
        <v>0</v>
      </c>
      <c r="N29" s="102">
        <v>0</v>
      </c>
      <c r="O29" s="102">
        <v>0</v>
      </c>
      <c r="P29" s="102">
        <v>0</v>
      </c>
      <c r="Q29" s="102">
        <v>0</v>
      </c>
      <c r="R29" s="102">
        <v>0</v>
      </c>
      <c r="S29" s="102">
        <v>0</v>
      </c>
      <c r="T29" s="102">
        <v>0</v>
      </c>
      <c r="U29" s="102">
        <v>0</v>
      </c>
      <c r="V29" s="102">
        <v>0</v>
      </c>
      <c r="W29" s="102">
        <v>0</v>
      </c>
      <c r="X29" s="102">
        <v>0</v>
      </c>
      <c r="Y29" s="102">
        <v>0</v>
      </c>
      <c r="Z29" s="102">
        <v>0</v>
      </c>
      <c r="AA29" s="102">
        <v>0</v>
      </c>
      <c r="AB29" s="102">
        <v>0</v>
      </c>
      <c r="AC29" s="102">
        <v>0</v>
      </c>
      <c r="AD29" s="102">
        <v>0</v>
      </c>
      <c r="AE29" s="102">
        <v>0</v>
      </c>
      <c r="AF29" s="102">
        <v>0</v>
      </c>
      <c r="AG29" s="102">
        <v>0</v>
      </c>
      <c r="AH29" s="102">
        <v>0</v>
      </c>
      <c r="AI29" s="102">
        <v>0</v>
      </c>
      <c r="AJ29" s="102">
        <v>0</v>
      </c>
      <c r="AK29" s="102">
        <v>0</v>
      </c>
      <c r="AL29" s="102">
        <v>0</v>
      </c>
      <c r="AM29" s="102">
        <v>0</v>
      </c>
      <c r="AN29" s="102">
        <v>0</v>
      </c>
      <c r="AO29" s="102">
        <v>0</v>
      </c>
      <c r="AP29" s="102">
        <v>0</v>
      </c>
      <c r="AQ29" s="102">
        <v>0</v>
      </c>
      <c r="AR29" s="102">
        <v>0</v>
      </c>
      <c r="AS29" s="102">
        <v>0</v>
      </c>
      <c r="AT29" s="102">
        <v>0</v>
      </c>
      <c r="AU29" s="102">
        <v>0</v>
      </c>
      <c r="AV29" s="102">
        <v>0</v>
      </c>
      <c r="AW29" s="102">
        <v>0</v>
      </c>
      <c r="AX29" s="102">
        <v>0</v>
      </c>
      <c r="AY29" s="102">
        <v>0</v>
      </c>
      <c r="AZ29" s="102">
        <v>0</v>
      </c>
      <c r="BA29" s="102">
        <v>0</v>
      </c>
      <c r="BB29" s="102">
        <v>0</v>
      </c>
      <c r="BC29" s="102">
        <v>0</v>
      </c>
      <c r="BD29" s="102">
        <v>0</v>
      </c>
      <c r="BE29" s="102">
        <v>0</v>
      </c>
      <c r="BF29" s="102">
        <v>0</v>
      </c>
      <c r="BG29" s="102">
        <v>0</v>
      </c>
      <c r="BH29" s="102">
        <v>0</v>
      </c>
      <c r="BI29" s="102">
        <v>0</v>
      </c>
      <c r="BJ29" s="102">
        <v>-4.6750000000000114</v>
      </c>
      <c r="BK29" s="102">
        <v>0</v>
      </c>
      <c r="BL29" s="104"/>
      <c r="BM29" s="104"/>
    </row>
    <row r="30" spans="1:65">
      <c r="A30" s="438"/>
      <c r="B30" s="444" t="s">
        <v>1040</v>
      </c>
      <c r="C30" s="453" t="s">
        <v>1041</v>
      </c>
      <c r="D30" s="102">
        <v>0</v>
      </c>
      <c r="E30" s="102">
        <v>0</v>
      </c>
      <c r="F30" s="102">
        <v>0</v>
      </c>
      <c r="G30" s="102">
        <v>0</v>
      </c>
      <c r="H30" s="102">
        <v>0</v>
      </c>
      <c r="I30" s="102">
        <v>0</v>
      </c>
      <c r="J30" s="102">
        <v>0</v>
      </c>
      <c r="K30" s="102">
        <v>0</v>
      </c>
      <c r="L30" s="102">
        <v>0</v>
      </c>
      <c r="M30" s="102">
        <v>0</v>
      </c>
      <c r="N30" s="102">
        <v>0</v>
      </c>
      <c r="O30" s="102">
        <v>0</v>
      </c>
      <c r="P30" s="102">
        <v>0</v>
      </c>
      <c r="Q30" s="102">
        <v>0</v>
      </c>
      <c r="R30" s="102">
        <v>0</v>
      </c>
      <c r="S30" s="102">
        <v>-152865.46</v>
      </c>
      <c r="T30" s="102">
        <v>-44198.442999999999</v>
      </c>
      <c r="U30" s="102">
        <v>0.93700000000000006</v>
      </c>
      <c r="V30" s="102">
        <v>351.42899999999997</v>
      </c>
      <c r="W30" s="102">
        <v>3519.1460000000002</v>
      </c>
      <c r="X30" s="102">
        <v>1424.7370000000001</v>
      </c>
      <c r="Y30" s="102">
        <v>2101.6840000000002</v>
      </c>
      <c r="Z30" s="102">
        <v>22651.108</v>
      </c>
      <c r="AA30" s="102">
        <v>0</v>
      </c>
      <c r="AB30" s="102">
        <v>0</v>
      </c>
      <c r="AC30" s="102">
        <v>17031.932000000001</v>
      </c>
      <c r="AD30" s="102">
        <v>6624.625</v>
      </c>
      <c r="AE30" s="102">
        <v>52120.593999999997</v>
      </c>
      <c r="AF30" s="102">
        <v>148.57300000000001</v>
      </c>
      <c r="AG30" s="102">
        <v>14.683999999999999</v>
      </c>
      <c r="AH30" s="102">
        <v>14666.575000000001</v>
      </c>
      <c r="AI30" s="102">
        <v>38604.75</v>
      </c>
      <c r="AJ30" s="102">
        <v>420.99599999999998</v>
      </c>
      <c r="AK30" s="102">
        <v>5096.0110000000004</v>
      </c>
      <c r="AL30" s="102">
        <v>2791.1979999999999</v>
      </c>
      <c r="AM30" s="102">
        <v>32.198999999999998</v>
      </c>
      <c r="AN30" s="102">
        <v>496.20499999999998</v>
      </c>
      <c r="AO30" s="102">
        <v>6190.2529999999997</v>
      </c>
      <c r="AP30" s="102">
        <v>0</v>
      </c>
      <c r="AQ30" s="102">
        <v>0</v>
      </c>
      <c r="AR30" s="102">
        <v>0</v>
      </c>
      <c r="AS30" s="102">
        <v>0</v>
      </c>
      <c r="AT30" s="102">
        <v>0</v>
      </c>
      <c r="AU30" s="102">
        <v>0</v>
      </c>
      <c r="AV30" s="102">
        <v>0</v>
      </c>
      <c r="AW30" s="102">
        <v>0</v>
      </c>
      <c r="AX30" s="102">
        <v>0</v>
      </c>
      <c r="AY30" s="102">
        <v>0</v>
      </c>
      <c r="AZ30" s="102">
        <v>0</v>
      </c>
      <c r="BA30" s="102">
        <v>0</v>
      </c>
      <c r="BB30" s="102">
        <v>0</v>
      </c>
      <c r="BC30" s="102">
        <v>0</v>
      </c>
      <c r="BD30" s="102">
        <v>0</v>
      </c>
      <c r="BE30" s="102">
        <v>0</v>
      </c>
      <c r="BF30" s="102">
        <v>0</v>
      </c>
      <c r="BG30" s="102">
        <v>0</v>
      </c>
      <c r="BH30" s="102">
        <v>0</v>
      </c>
      <c r="BI30" s="102">
        <v>0</v>
      </c>
      <c r="BJ30" s="102">
        <v>-22776.266999999971</v>
      </c>
      <c r="BK30" s="102">
        <v>0</v>
      </c>
      <c r="BL30" s="104"/>
      <c r="BM30" s="104"/>
    </row>
    <row r="31" spans="1:65">
      <c r="A31" s="438"/>
      <c r="B31" s="444" t="s">
        <v>1042</v>
      </c>
      <c r="C31" s="134" t="s">
        <v>1043</v>
      </c>
      <c r="D31" s="102">
        <v>0</v>
      </c>
      <c r="E31" s="102">
        <v>0</v>
      </c>
      <c r="F31" s="102">
        <v>0</v>
      </c>
      <c r="G31" s="102">
        <v>0</v>
      </c>
      <c r="H31" s="102">
        <v>0</v>
      </c>
      <c r="I31" s="102">
        <v>0</v>
      </c>
      <c r="J31" s="102">
        <v>0</v>
      </c>
      <c r="K31" s="102">
        <v>0</v>
      </c>
      <c r="L31" s="102">
        <v>0</v>
      </c>
      <c r="M31" s="102">
        <v>0</v>
      </c>
      <c r="N31" s="102">
        <v>0</v>
      </c>
      <c r="O31" s="102">
        <v>0</v>
      </c>
      <c r="P31" s="102">
        <v>0</v>
      </c>
      <c r="Q31" s="102">
        <v>0</v>
      </c>
      <c r="R31" s="102">
        <v>0</v>
      </c>
      <c r="S31" s="102">
        <v>0</v>
      </c>
      <c r="T31" s="102">
        <v>19934.814999999999</v>
      </c>
      <c r="U31" s="102">
        <v>0</v>
      </c>
      <c r="V31" s="102">
        <v>-180.411</v>
      </c>
      <c r="W31" s="102">
        <v>-70.695999999999998</v>
      </c>
      <c r="X31" s="102">
        <v>-1209.1669999999999</v>
      </c>
      <c r="Y31" s="102">
        <v>-206.60499999999999</v>
      </c>
      <c r="Z31" s="102">
        <v>0</v>
      </c>
      <c r="AA31" s="102">
        <v>0</v>
      </c>
      <c r="AB31" s="102">
        <v>0</v>
      </c>
      <c r="AC31" s="102">
        <v>0</v>
      </c>
      <c r="AD31" s="102">
        <v>0</v>
      </c>
      <c r="AE31" s="102">
        <v>0</v>
      </c>
      <c r="AF31" s="102">
        <v>0</v>
      </c>
      <c r="AG31" s="102">
        <v>0</v>
      </c>
      <c r="AH31" s="102">
        <v>0</v>
      </c>
      <c r="AI31" s="102">
        <v>-11121.472</v>
      </c>
      <c r="AJ31" s="102">
        <v>0</v>
      </c>
      <c r="AK31" s="102">
        <v>0</v>
      </c>
      <c r="AL31" s="102">
        <v>0</v>
      </c>
      <c r="AM31" s="102">
        <v>0</v>
      </c>
      <c r="AN31" s="102">
        <v>0</v>
      </c>
      <c r="AO31" s="102">
        <v>0</v>
      </c>
      <c r="AP31" s="102">
        <v>0</v>
      </c>
      <c r="AQ31" s="102">
        <v>0</v>
      </c>
      <c r="AR31" s="102">
        <v>0</v>
      </c>
      <c r="AS31" s="102">
        <v>0</v>
      </c>
      <c r="AT31" s="102">
        <v>0</v>
      </c>
      <c r="AU31" s="102">
        <v>0</v>
      </c>
      <c r="AV31" s="102">
        <v>0</v>
      </c>
      <c r="AW31" s="102">
        <v>0</v>
      </c>
      <c r="AX31" s="102">
        <v>0</v>
      </c>
      <c r="AY31" s="102">
        <v>0</v>
      </c>
      <c r="AZ31" s="102">
        <v>0</v>
      </c>
      <c r="BA31" s="102">
        <v>0</v>
      </c>
      <c r="BB31" s="102">
        <v>0</v>
      </c>
      <c r="BC31" s="102">
        <v>0</v>
      </c>
      <c r="BD31" s="102">
        <v>0</v>
      </c>
      <c r="BE31" s="102">
        <v>0</v>
      </c>
      <c r="BF31" s="102">
        <v>0</v>
      </c>
      <c r="BG31" s="102">
        <v>0</v>
      </c>
      <c r="BH31" s="102">
        <v>0</v>
      </c>
      <c r="BI31" s="102">
        <v>0</v>
      </c>
      <c r="BJ31" s="102">
        <v>7146.4639999999981</v>
      </c>
      <c r="BK31" s="102">
        <v>0</v>
      </c>
      <c r="BL31" s="104"/>
      <c r="BM31" s="104"/>
    </row>
    <row r="32" spans="1:65">
      <c r="A32" s="438"/>
      <c r="B32" s="444" t="s">
        <v>1044</v>
      </c>
      <c r="C32" s="134" t="s">
        <v>1045</v>
      </c>
      <c r="D32" s="102">
        <v>0</v>
      </c>
      <c r="E32" s="102">
        <v>0</v>
      </c>
      <c r="F32" s="102">
        <v>0</v>
      </c>
      <c r="G32" s="102">
        <v>0</v>
      </c>
      <c r="H32" s="102">
        <v>0</v>
      </c>
      <c r="I32" s="102">
        <v>0</v>
      </c>
      <c r="J32" s="102">
        <v>0</v>
      </c>
      <c r="K32" s="102">
        <v>0</v>
      </c>
      <c r="L32" s="102">
        <v>0</v>
      </c>
      <c r="M32" s="102">
        <v>0</v>
      </c>
      <c r="N32" s="102">
        <v>0</v>
      </c>
      <c r="O32" s="102">
        <v>0</v>
      </c>
      <c r="P32" s="102">
        <v>0</v>
      </c>
      <c r="Q32" s="102">
        <v>-25693.593000000001</v>
      </c>
      <c r="R32" s="102">
        <v>26027.931</v>
      </c>
      <c r="S32" s="102">
        <v>0</v>
      </c>
      <c r="T32" s="102">
        <v>0</v>
      </c>
      <c r="U32" s="102">
        <v>0</v>
      </c>
      <c r="V32" s="102">
        <v>0</v>
      </c>
      <c r="W32" s="102">
        <v>0</v>
      </c>
      <c r="X32" s="102">
        <v>-334.33699999999999</v>
      </c>
      <c r="Y32" s="102">
        <v>0</v>
      </c>
      <c r="Z32" s="102">
        <v>0</v>
      </c>
      <c r="AA32" s="102">
        <v>0</v>
      </c>
      <c r="AB32" s="102">
        <v>0</v>
      </c>
      <c r="AC32" s="102">
        <v>0</v>
      </c>
      <c r="AD32" s="102">
        <v>0</v>
      </c>
      <c r="AE32" s="102">
        <v>0</v>
      </c>
      <c r="AF32" s="102">
        <v>0</v>
      </c>
      <c r="AG32" s="102">
        <v>0</v>
      </c>
      <c r="AH32" s="102">
        <v>0</v>
      </c>
      <c r="AI32" s="102">
        <v>0</v>
      </c>
      <c r="AJ32" s="102">
        <v>0</v>
      </c>
      <c r="AK32" s="102">
        <v>0</v>
      </c>
      <c r="AL32" s="102">
        <v>0</v>
      </c>
      <c r="AM32" s="102">
        <v>0</v>
      </c>
      <c r="AN32" s="102">
        <v>0</v>
      </c>
      <c r="AO32" s="102">
        <v>0</v>
      </c>
      <c r="AP32" s="102">
        <v>0</v>
      </c>
      <c r="AQ32" s="102">
        <v>0</v>
      </c>
      <c r="AR32" s="102">
        <v>0</v>
      </c>
      <c r="AS32" s="102">
        <v>0</v>
      </c>
      <c r="AT32" s="102">
        <v>0</v>
      </c>
      <c r="AU32" s="102">
        <v>0</v>
      </c>
      <c r="AV32" s="102">
        <v>0</v>
      </c>
      <c r="AW32" s="102">
        <v>0</v>
      </c>
      <c r="AX32" s="102">
        <v>0</v>
      </c>
      <c r="AY32" s="102">
        <v>0</v>
      </c>
      <c r="AZ32" s="102">
        <v>0</v>
      </c>
      <c r="BA32" s="102">
        <v>0</v>
      </c>
      <c r="BB32" s="102">
        <v>0</v>
      </c>
      <c r="BC32" s="102">
        <v>0</v>
      </c>
      <c r="BD32" s="102">
        <v>0</v>
      </c>
      <c r="BE32" s="102">
        <v>0</v>
      </c>
      <c r="BF32" s="102">
        <v>0</v>
      </c>
      <c r="BG32" s="102">
        <v>0</v>
      </c>
      <c r="BH32" s="102">
        <v>0</v>
      </c>
      <c r="BI32" s="102">
        <v>0</v>
      </c>
      <c r="BJ32" s="102">
        <v>9.9999999974897946E-4</v>
      </c>
      <c r="BK32" s="102">
        <v>0</v>
      </c>
      <c r="BL32" s="104"/>
      <c r="BM32" s="104"/>
    </row>
    <row r="33" spans="1:65">
      <c r="A33" s="438"/>
      <c r="B33" s="444" t="s">
        <v>1046</v>
      </c>
      <c r="C33" s="134" t="s">
        <v>1047</v>
      </c>
      <c r="D33" s="102">
        <v>0</v>
      </c>
      <c r="E33" s="102">
        <v>0</v>
      </c>
      <c r="F33" s="102">
        <v>0</v>
      </c>
      <c r="G33" s="102">
        <v>-504.48700000000002</v>
      </c>
      <c r="H33" s="102">
        <v>0</v>
      </c>
      <c r="I33" s="102">
        <v>0</v>
      </c>
      <c r="J33" s="102">
        <v>0</v>
      </c>
      <c r="K33" s="102">
        <v>0</v>
      </c>
      <c r="L33" s="102">
        <v>0</v>
      </c>
      <c r="M33" s="102">
        <v>0</v>
      </c>
      <c r="N33" s="102">
        <v>0</v>
      </c>
      <c r="O33" s="102">
        <v>0</v>
      </c>
      <c r="P33" s="102">
        <v>418.50799999999998</v>
      </c>
      <c r="Q33" s="102">
        <v>0</v>
      </c>
      <c r="R33" s="102">
        <v>0</v>
      </c>
      <c r="S33" s="102">
        <v>0</v>
      </c>
      <c r="T33" s="102">
        <v>0</v>
      </c>
      <c r="U33" s="102">
        <v>0</v>
      </c>
      <c r="V33" s="102">
        <v>0</v>
      </c>
      <c r="W33" s="102">
        <v>0</v>
      </c>
      <c r="X33" s="102">
        <v>0</v>
      </c>
      <c r="Y33" s="102">
        <v>0</v>
      </c>
      <c r="Z33" s="102">
        <v>0</v>
      </c>
      <c r="AA33" s="102">
        <v>0</v>
      </c>
      <c r="AB33" s="102">
        <v>0</v>
      </c>
      <c r="AC33" s="102">
        <v>0</v>
      </c>
      <c r="AD33" s="102">
        <v>0</v>
      </c>
      <c r="AE33" s="102">
        <v>0</v>
      </c>
      <c r="AF33" s="102">
        <v>0</v>
      </c>
      <c r="AG33" s="102">
        <v>0</v>
      </c>
      <c r="AH33" s="102">
        <v>0</v>
      </c>
      <c r="AI33" s="102">
        <v>0</v>
      </c>
      <c r="AJ33" s="102">
        <v>0</v>
      </c>
      <c r="AK33" s="102">
        <v>0</v>
      </c>
      <c r="AL33" s="102">
        <v>0</v>
      </c>
      <c r="AM33" s="102">
        <v>0</v>
      </c>
      <c r="AN33" s="102">
        <v>0</v>
      </c>
      <c r="AO33" s="102">
        <v>0</v>
      </c>
      <c r="AP33" s="102">
        <v>0</v>
      </c>
      <c r="AQ33" s="102">
        <v>0</v>
      </c>
      <c r="AR33" s="102">
        <v>0</v>
      </c>
      <c r="AS33" s="102">
        <v>0</v>
      </c>
      <c r="AT33" s="102">
        <v>0</v>
      </c>
      <c r="AU33" s="102">
        <v>0</v>
      </c>
      <c r="AV33" s="102">
        <v>0</v>
      </c>
      <c r="AW33" s="102">
        <v>0</v>
      </c>
      <c r="AX33" s="102">
        <v>0</v>
      </c>
      <c r="AY33" s="102">
        <v>0</v>
      </c>
      <c r="AZ33" s="102">
        <v>0</v>
      </c>
      <c r="BA33" s="102">
        <v>0</v>
      </c>
      <c r="BB33" s="102">
        <v>0</v>
      </c>
      <c r="BC33" s="102">
        <v>0</v>
      </c>
      <c r="BD33" s="102">
        <v>0</v>
      </c>
      <c r="BE33" s="102">
        <v>0</v>
      </c>
      <c r="BF33" s="102">
        <v>0</v>
      </c>
      <c r="BG33" s="102">
        <v>0</v>
      </c>
      <c r="BH33" s="102">
        <v>0</v>
      </c>
      <c r="BI33" s="102">
        <v>0</v>
      </c>
      <c r="BJ33" s="102">
        <v>-85.979000000000042</v>
      </c>
      <c r="BK33" s="102">
        <v>837.01599999999996</v>
      </c>
      <c r="BL33" s="104"/>
      <c r="BM33" s="104"/>
    </row>
    <row r="34" spans="1:65">
      <c r="A34" s="438"/>
      <c r="B34" s="444" t="s">
        <v>1048</v>
      </c>
      <c r="C34" s="134" t="s">
        <v>1049</v>
      </c>
      <c r="D34" s="102">
        <v>0</v>
      </c>
      <c r="E34" s="102">
        <v>0</v>
      </c>
      <c r="F34" s="102">
        <v>0</v>
      </c>
      <c r="G34" s="102">
        <v>0</v>
      </c>
      <c r="H34" s="102">
        <v>0</v>
      </c>
      <c r="I34" s="102">
        <v>0</v>
      </c>
      <c r="J34" s="102">
        <v>0</v>
      </c>
      <c r="K34" s="102">
        <v>0</v>
      </c>
      <c r="L34" s="102">
        <v>0</v>
      </c>
      <c r="M34" s="102">
        <v>0</v>
      </c>
      <c r="N34" s="102">
        <v>0</v>
      </c>
      <c r="O34" s="102">
        <v>0</v>
      </c>
      <c r="P34" s="102">
        <v>0</v>
      </c>
      <c r="Q34" s="102">
        <v>0</v>
      </c>
      <c r="R34" s="102">
        <v>-607.23</v>
      </c>
      <c r="S34" s="102">
        <v>0</v>
      </c>
      <c r="T34" s="102">
        <v>0</v>
      </c>
      <c r="U34" s="102">
        <v>0</v>
      </c>
      <c r="V34" s="102">
        <v>0</v>
      </c>
      <c r="W34" s="102">
        <v>0</v>
      </c>
      <c r="X34" s="102">
        <v>0</v>
      </c>
      <c r="Y34" s="102">
        <v>0</v>
      </c>
      <c r="Z34" s="102">
        <v>0</v>
      </c>
      <c r="AA34" s="102">
        <v>0</v>
      </c>
      <c r="AB34" s="102">
        <v>0</v>
      </c>
      <c r="AC34" s="102">
        <v>0</v>
      </c>
      <c r="AD34" s="102">
        <v>0</v>
      </c>
      <c r="AE34" s="102">
        <v>0</v>
      </c>
      <c r="AF34" s="102">
        <v>0</v>
      </c>
      <c r="AG34" s="102">
        <v>0</v>
      </c>
      <c r="AH34" s="102">
        <v>0</v>
      </c>
      <c r="AI34" s="102">
        <v>0</v>
      </c>
      <c r="AJ34" s="102">
        <v>0</v>
      </c>
      <c r="AK34" s="102">
        <v>0</v>
      </c>
      <c r="AL34" s="102">
        <v>0</v>
      </c>
      <c r="AM34" s="102">
        <v>0</v>
      </c>
      <c r="AN34" s="102">
        <v>0</v>
      </c>
      <c r="AO34" s="102">
        <v>0</v>
      </c>
      <c r="AP34" s="102">
        <v>0</v>
      </c>
      <c r="AQ34" s="102">
        <v>0</v>
      </c>
      <c r="AR34" s="102">
        <v>0</v>
      </c>
      <c r="AS34" s="102">
        <v>0</v>
      </c>
      <c r="AT34" s="102">
        <v>0</v>
      </c>
      <c r="AU34" s="102">
        <v>0</v>
      </c>
      <c r="AV34" s="102">
        <v>0</v>
      </c>
      <c r="AW34" s="102">
        <v>0</v>
      </c>
      <c r="AX34" s="102">
        <v>0</v>
      </c>
      <c r="AY34" s="102">
        <v>0</v>
      </c>
      <c r="AZ34" s="102">
        <v>0</v>
      </c>
      <c r="BA34" s="102">
        <v>0</v>
      </c>
      <c r="BB34" s="102">
        <v>0</v>
      </c>
      <c r="BC34" s="102">
        <v>0</v>
      </c>
      <c r="BD34" s="102">
        <v>0</v>
      </c>
      <c r="BE34" s="102">
        <v>0</v>
      </c>
      <c r="BF34" s="102">
        <v>0</v>
      </c>
      <c r="BG34" s="102">
        <v>1153.529</v>
      </c>
      <c r="BH34" s="102">
        <v>0</v>
      </c>
      <c r="BI34" s="102">
        <v>0</v>
      </c>
      <c r="BJ34" s="102">
        <v>546.29899999999998</v>
      </c>
      <c r="BK34" s="102">
        <v>1153.529</v>
      </c>
      <c r="BL34" s="104"/>
      <c r="BM34" s="104"/>
    </row>
    <row r="35" spans="1:65">
      <c r="A35" s="438"/>
      <c r="B35" s="446" t="s">
        <v>1050</v>
      </c>
      <c r="C35" s="454" t="s">
        <v>1051</v>
      </c>
      <c r="D35" s="102">
        <v>0</v>
      </c>
      <c r="E35" s="120">
        <v>0</v>
      </c>
      <c r="F35" s="120">
        <v>0</v>
      </c>
      <c r="G35" s="120">
        <v>0</v>
      </c>
      <c r="H35" s="120">
        <v>0</v>
      </c>
      <c r="I35" s="120">
        <v>0</v>
      </c>
      <c r="J35" s="120">
        <v>0</v>
      </c>
      <c r="K35" s="120">
        <v>0</v>
      </c>
      <c r="L35" s="120">
        <v>0</v>
      </c>
      <c r="M35" s="120">
        <v>0</v>
      </c>
      <c r="N35" s="120">
        <v>-894.67899999999997</v>
      </c>
      <c r="O35" s="120">
        <v>-2140.7179999999998</v>
      </c>
      <c r="P35" s="120">
        <v>0</v>
      </c>
      <c r="Q35" s="120">
        <v>-1120.8510000000001</v>
      </c>
      <c r="R35" s="120">
        <v>-828.74599999999998</v>
      </c>
      <c r="S35" s="120">
        <v>0</v>
      </c>
      <c r="T35" s="120">
        <v>-87.22</v>
      </c>
      <c r="U35" s="120">
        <v>0</v>
      </c>
      <c r="V35" s="120">
        <v>0</v>
      </c>
      <c r="W35" s="120">
        <v>-2528.5590000000002</v>
      </c>
      <c r="X35" s="120">
        <v>-225.49700000000001</v>
      </c>
      <c r="Y35" s="120">
        <v>-7.1</v>
      </c>
      <c r="Z35" s="120">
        <v>-0.24</v>
      </c>
      <c r="AA35" s="120">
        <v>0</v>
      </c>
      <c r="AB35" s="120">
        <v>0</v>
      </c>
      <c r="AC35" s="120">
        <v>-0.34799999999999998</v>
      </c>
      <c r="AD35" s="120">
        <v>-3.347</v>
      </c>
      <c r="AE35" s="120">
        <v>-232.547</v>
      </c>
      <c r="AF35" s="120">
        <v>-6.0000000000000001E-3</v>
      </c>
      <c r="AG35" s="120">
        <v>-1E-3</v>
      </c>
      <c r="AH35" s="120">
        <v>-27.841999999999999</v>
      </c>
      <c r="AI35" s="120">
        <v>0</v>
      </c>
      <c r="AJ35" s="120">
        <v>0</v>
      </c>
      <c r="AK35" s="120">
        <v>0</v>
      </c>
      <c r="AL35" s="120">
        <v>0</v>
      </c>
      <c r="AM35" s="120">
        <v>0</v>
      </c>
      <c r="AN35" s="120">
        <v>0</v>
      </c>
      <c r="AO35" s="120">
        <v>0</v>
      </c>
      <c r="AP35" s="120">
        <v>0</v>
      </c>
      <c r="AQ35" s="120">
        <v>0</v>
      </c>
      <c r="AR35" s="120">
        <v>0</v>
      </c>
      <c r="AS35" s="120">
        <v>0</v>
      </c>
      <c r="AT35" s="120">
        <v>0</v>
      </c>
      <c r="AU35" s="120">
        <v>0</v>
      </c>
      <c r="AV35" s="120">
        <v>0</v>
      </c>
      <c r="AW35" s="120">
        <v>0</v>
      </c>
      <c r="AX35" s="120">
        <v>0</v>
      </c>
      <c r="AY35" s="120">
        <v>0</v>
      </c>
      <c r="AZ35" s="120">
        <v>0</v>
      </c>
      <c r="BA35" s="120">
        <v>0</v>
      </c>
      <c r="BB35" s="120">
        <v>0</v>
      </c>
      <c r="BC35" s="120">
        <v>0</v>
      </c>
      <c r="BD35" s="120">
        <v>0</v>
      </c>
      <c r="BE35" s="120">
        <v>0</v>
      </c>
      <c r="BF35" s="120">
        <v>0</v>
      </c>
      <c r="BG35" s="120">
        <v>0</v>
      </c>
      <c r="BH35" s="120">
        <v>-3277.4229999999998</v>
      </c>
      <c r="BI35" s="120">
        <v>-207.17</v>
      </c>
      <c r="BJ35" s="120">
        <v>-11582.294</v>
      </c>
      <c r="BK35" s="120">
        <v>-5563.9570000000003</v>
      </c>
      <c r="BL35" s="104"/>
      <c r="BM35" s="104"/>
    </row>
    <row r="36" spans="1:65">
      <c r="B36" s="444" t="s">
        <v>1052</v>
      </c>
      <c r="C36" s="134" t="s">
        <v>1053</v>
      </c>
      <c r="D36" s="102">
        <v>0</v>
      </c>
      <c r="E36" s="102">
        <v>0</v>
      </c>
      <c r="F36" s="102">
        <v>0</v>
      </c>
      <c r="G36" s="102">
        <v>0</v>
      </c>
      <c r="H36" s="102">
        <v>0</v>
      </c>
      <c r="I36" s="102">
        <v>0</v>
      </c>
      <c r="J36" s="102">
        <v>0</v>
      </c>
      <c r="K36" s="102">
        <v>0</v>
      </c>
      <c r="L36" s="102">
        <v>0</v>
      </c>
      <c r="M36" s="102">
        <v>0</v>
      </c>
      <c r="N36" s="102">
        <v>0</v>
      </c>
      <c r="O36" s="102">
        <v>0</v>
      </c>
      <c r="P36" s="102">
        <v>0</v>
      </c>
      <c r="Q36" s="102">
        <v>0</v>
      </c>
      <c r="R36" s="102">
        <v>0</v>
      </c>
      <c r="S36" s="102">
        <v>0</v>
      </c>
      <c r="T36" s="102">
        <v>0</v>
      </c>
      <c r="U36" s="102">
        <v>0</v>
      </c>
      <c r="V36" s="102">
        <v>0</v>
      </c>
      <c r="W36" s="102">
        <v>0</v>
      </c>
      <c r="X36" s="102">
        <v>0</v>
      </c>
      <c r="Y36" s="102">
        <v>0</v>
      </c>
      <c r="Z36" s="102">
        <v>-3.2000000000000001E-2</v>
      </c>
      <c r="AA36" s="102">
        <v>0</v>
      </c>
      <c r="AB36" s="102">
        <v>0</v>
      </c>
      <c r="AC36" s="102">
        <v>0</v>
      </c>
      <c r="AD36" s="102">
        <v>-0.39500000000000002</v>
      </c>
      <c r="AE36" s="102">
        <v>-16.295999999999999</v>
      </c>
      <c r="AF36" s="102">
        <v>0</v>
      </c>
      <c r="AG36" s="102">
        <v>0</v>
      </c>
      <c r="AH36" s="102">
        <v>-0.53900000000000003</v>
      </c>
      <c r="AI36" s="102">
        <v>0</v>
      </c>
      <c r="AJ36" s="102">
        <v>0</v>
      </c>
      <c r="AK36" s="102">
        <v>0</v>
      </c>
      <c r="AL36" s="102">
        <v>0</v>
      </c>
      <c r="AM36" s="102">
        <v>0</v>
      </c>
      <c r="AN36" s="102">
        <v>0</v>
      </c>
      <c r="AO36" s="102">
        <v>0</v>
      </c>
      <c r="AP36" s="102">
        <v>0</v>
      </c>
      <c r="AQ36" s="102">
        <v>0</v>
      </c>
      <c r="AR36" s="102">
        <v>0</v>
      </c>
      <c r="AS36" s="102">
        <v>0</v>
      </c>
      <c r="AT36" s="102">
        <v>0</v>
      </c>
      <c r="AU36" s="102">
        <v>0</v>
      </c>
      <c r="AV36" s="102">
        <v>0</v>
      </c>
      <c r="AW36" s="102">
        <v>0</v>
      </c>
      <c r="AX36" s="102">
        <v>0</v>
      </c>
      <c r="AY36" s="102">
        <v>0</v>
      </c>
      <c r="AZ36" s="102">
        <v>0</v>
      </c>
      <c r="BA36" s="102">
        <v>0</v>
      </c>
      <c r="BB36" s="102">
        <v>0</v>
      </c>
      <c r="BC36" s="102">
        <v>0</v>
      </c>
      <c r="BD36" s="102">
        <v>0</v>
      </c>
      <c r="BE36" s="102">
        <v>0</v>
      </c>
      <c r="BF36" s="102">
        <v>0</v>
      </c>
      <c r="BG36" s="102">
        <v>0</v>
      </c>
      <c r="BH36" s="102">
        <v>0</v>
      </c>
      <c r="BI36" s="102">
        <v>0</v>
      </c>
      <c r="BJ36" s="102">
        <v>-17.262</v>
      </c>
      <c r="BK36" s="102">
        <v>0</v>
      </c>
      <c r="BL36" s="104"/>
      <c r="BM36" s="104"/>
    </row>
    <row r="37" spans="1:65">
      <c r="B37" s="444" t="s">
        <v>1054</v>
      </c>
      <c r="C37" s="134" t="s">
        <v>1055</v>
      </c>
      <c r="D37" s="102">
        <v>0</v>
      </c>
      <c r="E37" s="102">
        <v>0</v>
      </c>
      <c r="F37" s="102">
        <v>0</v>
      </c>
      <c r="G37" s="102">
        <v>0</v>
      </c>
      <c r="H37" s="102">
        <v>0</v>
      </c>
      <c r="I37" s="102">
        <v>0</v>
      </c>
      <c r="J37" s="102">
        <v>0</v>
      </c>
      <c r="K37" s="102">
        <v>0</v>
      </c>
      <c r="L37" s="102">
        <v>0</v>
      </c>
      <c r="M37" s="102">
        <v>0</v>
      </c>
      <c r="N37" s="102">
        <v>0</v>
      </c>
      <c r="O37" s="102">
        <v>0</v>
      </c>
      <c r="P37" s="102">
        <v>0</v>
      </c>
      <c r="Q37" s="102">
        <v>0</v>
      </c>
      <c r="R37" s="102">
        <v>0</v>
      </c>
      <c r="S37" s="102">
        <v>0</v>
      </c>
      <c r="T37" s="102">
        <v>0</v>
      </c>
      <c r="U37" s="102">
        <v>0</v>
      </c>
      <c r="V37" s="102">
        <v>0</v>
      </c>
      <c r="W37" s="102">
        <v>0</v>
      </c>
      <c r="X37" s="102">
        <v>-3.9340000000000002</v>
      </c>
      <c r="Y37" s="102">
        <v>-7.0000000000000001E-3</v>
      </c>
      <c r="Z37" s="102">
        <v>0</v>
      </c>
      <c r="AA37" s="102">
        <v>0</v>
      </c>
      <c r="AB37" s="102">
        <v>0</v>
      </c>
      <c r="AC37" s="102">
        <v>0</v>
      </c>
      <c r="AD37" s="102">
        <v>0</v>
      </c>
      <c r="AE37" s="102">
        <v>0</v>
      </c>
      <c r="AF37" s="102">
        <v>0</v>
      </c>
      <c r="AG37" s="102">
        <v>0</v>
      </c>
      <c r="AH37" s="102">
        <v>0</v>
      </c>
      <c r="AI37" s="102">
        <v>0</v>
      </c>
      <c r="AJ37" s="102">
        <v>0</v>
      </c>
      <c r="AK37" s="102">
        <v>0</v>
      </c>
      <c r="AL37" s="102">
        <v>0</v>
      </c>
      <c r="AM37" s="102">
        <v>0</v>
      </c>
      <c r="AN37" s="102">
        <v>0</v>
      </c>
      <c r="AO37" s="102">
        <v>0</v>
      </c>
      <c r="AP37" s="102">
        <v>0</v>
      </c>
      <c r="AQ37" s="102">
        <v>0</v>
      </c>
      <c r="AR37" s="102">
        <v>0</v>
      </c>
      <c r="AS37" s="102">
        <v>0</v>
      </c>
      <c r="AT37" s="102">
        <v>0</v>
      </c>
      <c r="AU37" s="102">
        <v>0</v>
      </c>
      <c r="AV37" s="102">
        <v>0</v>
      </c>
      <c r="AW37" s="102">
        <v>0</v>
      </c>
      <c r="AX37" s="102">
        <v>0</v>
      </c>
      <c r="AY37" s="102">
        <v>0</v>
      </c>
      <c r="AZ37" s="102">
        <v>0</v>
      </c>
      <c r="BA37" s="102">
        <v>0</v>
      </c>
      <c r="BB37" s="102">
        <v>0</v>
      </c>
      <c r="BC37" s="102">
        <v>0</v>
      </c>
      <c r="BD37" s="102">
        <v>0</v>
      </c>
      <c r="BE37" s="102">
        <v>0</v>
      </c>
      <c r="BF37" s="102">
        <v>0</v>
      </c>
      <c r="BG37" s="102">
        <v>0</v>
      </c>
      <c r="BH37" s="102">
        <v>0</v>
      </c>
      <c r="BI37" s="102">
        <v>0</v>
      </c>
      <c r="BJ37" s="102">
        <v>-3.9410000000000003</v>
      </c>
      <c r="BK37" s="102">
        <v>0</v>
      </c>
      <c r="BL37" s="104"/>
      <c r="BM37" s="104"/>
    </row>
    <row r="38" spans="1:65">
      <c r="A38" s="438"/>
      <c r="B38" s="444" t="s">
        <v>1056</v>
      </c>
      <c r="C38" s="134" t="s">
        <v>1057</v>
      </c>
      <c r="D38" s="102">
        <v>0</v>
      </c>
      <c r="E38" s="102">
        <v>0</v>
      </c>
      <c r="F38" s="102">
        <v>0</v>
      </c>
      <c r="G38" s="102">
        <v>0</v>
      </c>
      <c r="H38" s="102">
        <v>0</v>
      </c>
      <c r="I38" s="102">
        <v>0</v>
      </c>
      <c r="J38" s="102">
        <v>0</v>
      </c>
      <c r="K38" s="102">
        <v>0</v>
      </c>
      <c r="L38" s="102">
        <v>0</v>
      </c>
      <c r="M38" s="102">
        <v>0</v>
      </c>
      <c r="N38" s="102">
        <v>0</v>
      </c>
      <c r="O38" s="102">
        <v>0</v>
      </c>
      <c r="P38" s="102">
        <v>0</v>
      </c>
      <c r="Q38" s="102">
        <v>0</v>
      </c>
      <c r="R38" s="102">
        <v>0</v>
      </c>
      <c r="S38" s="102">
        <v>0</v>
      </c>
      <c r="T38" s="102">
        <v>0</v>
      </c>
      <c r="U38" s="102">
        <v>0</v>
      </c>
      <c r="V38" s="102">
        <v>0</v>
      </c>
      <c r="W38" s="102">
        <v>0</v>
      </c>
      <c r="X38" s="102">
        <v>0</v>
      </c>
      <c r="Y38" s="102">
        <v>0</v>
      </c>
      <c r="Z38" s="102">
        <v>0</v>
      </c>
      <c r="AA38" s="102">
        <v>0</v>
      </c>
      <c r="AB38" s="102">
        <v>0</v>
      </c>
      <c r="AC38" s="102">
        <v>0</v>
      </c>
      <c r="AD38" s="102">
        <v>0</v>
      </c>
      <c r="AE38" s="102">
        <v>0</v>
      </c>
      <c r="AF38" s="102">
        <v>0</v>
      </c>
      <c r="AG38" s="102">
        <v>0</v>
      </c>
      <c r="AH38" s="102">
        <v>0</v>
      </c>
      <c r="AI38" s="102">
        <v>0</v>
      </c>
      <c r="AJ38" s="102">
        <v>0</v>
      </c>
      <c r="AK38" s="102">
        <v>0</v>
      </c>
      <c r="AL38" s="102">
        <v>0</v>
      </c>
      <c r="AM38" s="102">
        <v>0</v>
      </c>
      <c r="AN38" s="102">
        <v>0</v>
      </c>
      <c r="AO38" s="102">
        <v>0</v>
      </c>
      <c r="AP38" s="102">
        <v>0</v>
      </c>
      <c r="AQ38" s="102">
        <v>0</v>
      </c>
      <c r="AR38" s="102">
        <v>0</v>
      </c>
      <c r="AS38" s="102">
        <v>0</v>
      </c>
      <c r="AT38" s="102">
        <v>0</v>
      </c>
      <c r="AU38" s="102">
        <v>0</v>
      </c>
      <c r="AV38" s="102">
        <v>0</v>
      </c>
      <c r="AW38" s="102">
        <v>0</v>
      </c>
      <c r="AX38" s="102">
        <v>0</v>
      </c>
      <c r="AY38" s="102">
        <v>0</v>
      </c>
      <c r="AZ38" s="102">
        <v>0</v>
      </c>
      <c r="BA38" s="102">
        <v>0</v>
      </c>
      <c r="BB38" s="102">
        <v>0</v>
      </c>
      <c r="BC38" s="102">
        <v>0</v>
      </c>
      <c r="BD38" s="102">
        <v>0</v>
      </c>
      <c r="BE38" s="102">
        <v>0</v>
      </c>
      <c r="BF38" s="102">
        <v>0</v>
      </c>
      <c r="BG38" s="102">
        <v>0</v>
      </c>
      <c r="BH38" s="102">
        <v>-1898.9849999999999</v>
      </c>
      <c r="BI38" s="102">
        <v>0</v>
      </c>
      <c r="BJ38" s="102">
        <v>-1898.9849999999999</v>
      </c>
      <c r="BK38" s="102">
        <v>0</v>
      </c>
      <c r="BL38" s="104"/>
      <c r="BM38" s="104"/>
    </row>
    <row r="39" spans="1:65">
      <c r="A39" s="438"/>
      <c r="B39" s="444" t="s">
        <v>1058</v>
      </c>
      <c r="C39" s="134" t="s">
        <v>1059</v>
      </c>
      <c r="D39" s="102">
        <v>0</v>
      </c>
      <c r="E39" s="102">
        <v>0</v>
      </c>
      <c r="F39" s="102">
        <v>0</v>
      </c>
      <c r="G39" s="102">
        <v>0</v>
      </c>
      <c r="H39" s="102">
        <v>0</v>
      </c>
      <c r="I39" s="102">
        <v>0</v>
      </c>
      <c r="J39" s="102">
        <v>0</v>
      </c>
      <c r="K39" s="102">
        <v>0</v>
      </c>
      <c r="L39" s="102">
        <v>0</v>
      </c>
      <c r="M39" s="102">
        <v>0</v>
      </c>
      <c r="N39" s="102">
        <v>0</v>
      </c>
      <c r="O39" s="102">
        <v>0</v>
      </c>
      <c r="P39" s="102">
        <v>0</v>
      </c>
      <c r="Q39" s="102">
        <v>0</v>
      </c>
      <c r="R39" s="102">
        <v>0</v>
      </c>
      <c r="S39" s="102">
        <v>0</v>
      </c>
      <c r="T39" s="102">
        <v>0</v>
      </c>
      <c r="U39" s="102">
        <v>0</v>
      </c>
      <c r="V39" s="102">
        <v>0</v>
      </c>
      <c r="W39" s="102">
        <v>0</v>
      </c>
      <c r="X39" s="102">
        <v>0</v>
      </c>
      <c r="Y39" s="102">
        <v>0</v>
      </c>
      <c r="Z39" s="102">
        <v>0</v>
      </c>
      <c r="AA39" s="102">
        <v>0</v>
      </c>
      <c r="AB39" s="102">
        <v>0</v>
      </c>
      <c r="AC39" s="102">
        <v>0</v>
      </c>
      <c r="AD39" s="102">
        <v>0</v>
      </c>
      <c r="AE39" s="102">
        <v>0</v>
      </c>
      <c r="AF39" s="102">
        <v>0</v>
      </c>
      <c r="AG39" s="102">
        <v>0</v>
      </c>
      <c r="AH39" s="102">
        <v>0</v>
      </c>
      <c r="AI39" s="102">
        <v>0</v>
      </c>
      <c r="AJ39" s="102">
        <v>0</v>
      </c>
      <c r="AK39" s="102">
        <v>0</v>
      </c>
      <c r="AL39" s="102">
        <v>0</v>
      </c>
      <c r="AM39" s="102">
        <v>0</v>
      </c>
      <c r="AN39" s="102">
        <v>0</v>
      </c>
      <c r="AO39" s="102">
        <v>0</v>
      </c>
      <c r="AP39" s="102">
        <v>0</v>
      </c>
      <c r="AQ39" s="102">
        <v>0</v>
      </c>
      <c r="AR39" s="102">
        <v>0</v>
      </c>
      <c r="AS39" s="102">
        <v>0</v>
      </c>
      <c r="AT39" s="102">
        <v>0</v>
      </c>
      <c r="AU39" s="102">
        <v>0</v>
      </c>
      <c r="AV39" s="102">
        <v>0</v>
      </c>
      <c r="AW39" s="102">
        <v>0</v>
      </c>
      <c r="AX39" s="102">
        <v>0</v>
      </c>
      <c r="AY39" s="102">
        <v>0</v>
      </c>
      <c r="AZ39" s="102">
        <v>0</v>
      </c>
      <c r="BA39" s="102">
        <v>0</v>
      </c>
      <c r="BB39" s="102">
        <v>0</v>
      </c>
      <c r="BC39" s="102">
        <v>0</v>
      </c>
      <c r="BD39" s="102">
        <v>0</v>
      </c>
      <c r="BE39" s="102">
        <v>0</v>
      </c>
      <c r="BF39" s="102">
        <v>0</v>
      </c>
      <c r="BG39" s="102">
        <v>0</v>
      </c>
      <c r="BH39" s="102">
        <v>-102.92400000000001</v>
      </c>
      <c r="BI39" s="102">
        <v>0</v>
      </c>
      <c r="BJ39" s="102">
        <v>-102.92400000000001</v>
      </c>
      <c r="BK39" s="102">
        <v>0</v>
      </c>
      <c r="BL39" s="104"/>
      <c r="BM39" s="104"/>
    </row>
    <row r="40" spans="1:65">
      <c r="A40" s="438"/>
      <c r="B40" s="444" t="s">
        <v>1060</v>
      </c>
      <c r="C40" s="134" t="s">
        <v>1061</v>
      </c>
      <c r="D40" s="102">
        <v>0</v>
      </c>
      <c r="E40" s="102">
        <v>0</v>
      </c>
      <c r="F40" s="102">
        <v>0</v>
      </c>
      <c r="G40" s="102">
        <v>0</v>
      </c>
      <c r="H40" s="102">
        <v>0</v>
      </c>
      <c r="I40" s="102">
        <v>0</v>
      </c>
      <c r="J40" s="102">
        <v>0</v>
      </c>
      <c r="K40" s="102">
        <v>0</v>
      </c>
      <c r="L40" s="102">
        <v>0</v>
      </c>
      <c r="M40" s="102">
        <v>0</v>
      </c>
      <c r="N40" s="102">
        <v>-300.26799999999997</v>
      </c>
      <c r="O40" s="102">
        <v>-1055.453</v>
      </c>
      <c r="P40" s="102">
        <v>0</v>
      </c>
      <c r="Q40" s="102">
        <v>0</v>
      </c>
      <c r="R40" s="102">
        <v>0</v>
      </c>
      <c r="S40" s="102">
        <v>0</v>
      </c>
      <c r="T40" s="102">
        <v>0</v>
      </c>
      <c r="U40" s="102">
        <v>0</v>
      </c>
      <c r="V40" s="102">
        <v>0</v>
      </c>
      <c r="W40" s="102">
        <v>0</v>
      </c>
      <c r="X40" s="102">
        <v>0</v>
      </c>
      <c r="Y40" s="102">
        <v>0</v>
      </c>
      <c r="Z40" s="102">
        <v>0</v>
      </c>
      <c r="AA40" s="102">
        <v>0</v>
      </c>
      <c r="AB40" s="102">
        <v>0</v>
      </c>
      <c r="AC40" s="102">
        <v>0</v>
      </c>
      <c r="AD40" s="102">
        <v>0</v>
      </c>
      <c r="AE40" s="102">
        <v>0</v>
      </c>
      <c r="AF40" s="102">
        <v>0</v>
      </c>
      <c r="AG40" s="102">
        <v>0</v>
      </c>
      <c r="AH40" s="102">
        <v>0</v>
      </c>
      <c r="AI40" s="102">
        <v>0</v>
      </c>
      <c r="AJ40" s="102">
        <v>0</v>
      </c>
      <c r="AK40" s="102">
        <v>0</v>
      </c>
      <c r="AL40" s="102">
        <v>0</v>
      </c>
      <c r="AM40" s="102">
        <v>0</v>
      </c>
      <c r="AN40" s="102">
        <v>0</v>
      </c>
      <c r="AO40" s="102">
        <v>0</v>
      </c>
      <c r="AP40" s="102">
        <v>0</v>
      </c>
      <c r="AQ40" s="102">
        <v>0</v>
      </c>
      <c r="AR40" s="102">
        <v>0</v>
      </c>
      <c r="AS40" s="102">
        <v>0</v>
      </c>
      <c r="AT40" s="102">
        <v>0</v>
      </c>
      <c r="AU40" s="102">
        <v>0</v>
      </c>
      <c r="AV40" s="102">
        <v>0</v>
      </c>
      <c r="AW40" s="102">
        <v>0</v>
      </c>
      <c r="AX40" s="102">
        <v>0</v>
      </c>
      <c r="AY40" s="102">
        <v>0</v>
      </c>
      <c r="AZ40" s="102">
        <v>0</v>
      </c>
      <c r="BA40" s="102">
        <v>0</v>
      </c>
      <c r="BB40" s="102">
        <v>0</v>
      </c>
      <c r="BC40" s="102">
        <v>0</v>
      </c>
      <c r="BD40" s="102">
        <v>0</v>
      </c>
      <c r="BE40" s="102">
        <v>0</v>
      </c>
      <c r="BF40" s="102">
        <v>0</v>
      </c>
      <c r="BG40" s="102">
        <v>0</v>
      </c>
      <c r="BH40" s="102">
        <v>0</v>
      </c>
      <c r="BI40" s="102">
        <v>0</v>
      </c>
      <c r="BJ40" s="102">
        <v>-1355.721</v>
      </c>
      <c r="BK40" s="102">
        <v>-1355.72</v>
      </c>
      <c r="BL40" s="104"/>
      <c r="BM40" s="104"/>
    </row>
    <row r="41" spans="1:65">
      <c r="A41" s="438"/>
      <c r="B41" s="444" t="s">
        <v>1062</v>
      </c>
      <c r="C41" s="134" t="s">
        <v>1063</v>
      </c>
      <c r="D41" s="102">
        <v>0</v>
      </c>
      <c r="E41" s="102">
        <v>0</v>
      </c>
      <c r="F41" s="102">
        <v>0</v>
      </c>
      <c r="G41" s="102">
        <v>0</v>
      </c>
      <c r="H41" s="102">
        <v>0</v>
      </c>
      <c r="I41" s="102">
        <v>0</v>
      </c>
      <c r="J41" s="102">
        <v>0</v>
      </c>
      <c r="K41" s="102">
        <v>0</v>
      </c>
      <c r="L41" s="102">
        <v>0</v>
      </c>
      <c r="M41" s="102">
        <v>0</v>
      </c>
      <c r="N41" s="102">
        <v>-594.41200000000003</v>
      </c>
      <c r="O41" s="102">
        <v>-1085.2650000000001</v>
      </c>
      <c r="P41" s="102">
        <v>0</v>
      </c>
      <c r="Q41" s="102">
        <v>0</v>
      </c>
      <c r="R41" s="102">
        <v>0</v>
      </c>
      <c r="S41" s="102">
        <v>0</v>
      </c>
      <c r="T41" s="102">
        <v>0</v>
      </c>
      <c r="U41" s="102">
        <v>0</v>
      </c>
      <c r="V41" s="102">
        <v>0</v>
      </c>
      <c r="W41" s="102">
        <v>0</v>
      </c>
      <c r="X41" s="102">
        <v>0</v>
      </c>
      <c r="Y41" s="102">
        <v>0</v>
      </c>
      <c r="Z41" s="102">
        <v>0</v>
      </c>
      <c r="AA41" s="102">
        <v>0</v>
      </c>
      <c r="AB41" s="102">
        <v>0</v>
      </c>
      <c r="AC41" s="102">
        <v>0</v>
      </c>
      <c r="AD41" s="102">
        <v>0</v>
      </c>
      <c r="AE41" s="102">
        <v>0</v>
      </c>
      <c r="AF41" s="102">
        <v>0</v>
      </c>
      <c r="AG41" s="102">
        <v>0</v>
      </c>
      <c r="AH41" s="102">
        <v>0</v>
      </c>
      <c r="AI41" s="102">
        <v>0</v>
      </c>
      <c r="AJ41" s="102">
        <v>0</v>
      </c>
      <c r="AK41" s="102">
        <v>0</v>
      </c>
      <c r="AL41" s="102">
        <v>0</v>
      </c>
      <c r="AM41" s="102">
        <v>0</v>
      </c>
      <c r="AN41" s="102">
        <v>0</v>
      </c>
      <c r="AO41" s="102">
        <v>0</v>
      </c>
      <c r="AP41" s="102">
        <v>0</v>
      </c>
      <c r="AQ41" s="102">
        <v>0</v>
      </c>
      <c r="AR41" s="102">
        <v>0</v>
      </c>
      <c r="AS41" s="102">
        <v>0</v>
      </c>
      <c r="AT41" s="102">
        <v>0</v>
      </c>
      <c r="AU41" s="102">
        <v>0</v>
      </c>
      <c r="AV41" s="102">
        <v>0</v>
      </c>
      <c r="AW41" s="102">
        <v>0</v>
      </c>
      <c r="AX41" s="102">
        <v>0</v>
      </c>
      <c r="AY41" s="102">
        <v>0</v>
      </c>
      <c r="AZ41" s="102">
        <v>0</v>
      </c>
      <c r="BA41" s="102">
        <v>0</v>
      </c>
      <c r="BB41" s="102">
        <v>0</v>
      </c>
      <c r="BC41" s="102">
        <v>0</v>
      </c>
      <c r="BD41" s="102">
        <v>0</v>
      </c>
      <c r="BE41" s="102">
        <v>0</v>
      </c>
      <c r="BF41" s="102">
        <v>0</v>
      </c>
      <c r="BG41" s="102">
        <v>0</v>
      </c>
      <c r="BH41" s="102">
        <v>0</v>
      </c>
      <c r="BI41" s="102">
        <v>0</v>
      </c>
      <c r="BJ41" s="102">
        <v>-1679.6770000000001</v>
      </c>
      <c r="BK41" s="102">
        <v>-1679.6769999999999</v>
      </c>
      <c r="BL41" s="104"/>
      <c r="BM41" s="104"/>
    </row>
    <row r="42" spans="1:65">
      <c r="A42" s="438"/>
      <c r="B42" s="444" t="s">
        <v>1064</v>
      </c>
      <c r="C42" s="134" t="s">
        <v>1065</v>
      </c>
      <c r="D42" s="102">
        <v>0</v>
      </c>
      <c r="E42" s="102">
        <v>0</v>
      </c>
      <c r="F42" s="102">
        <v>0</v>
      </c>
      <c r="G42" s="102">
        <v>0</v>
      </c>
      <c r="H42" s="102">
        <v>0</v>
      </c>
      <c r="I42" s="102">
        <v>0</v>
      </c>
      <c r="J42" s="102">
        <v>0</v>
      </c>
      <c r="K42" s="102">
        <v>0</v>
      </c>
      <c r="L42" s="102">
        <v>0</v>
      </c>
      <c r="M42" s="102">
        <v>0</v>
      </c>
      <c r="N42" s="102">
        <v>0</v>
      </c>
      <c r="O42" s="102">
        <v>0</v>
      </c>
      <c r="P42" s="102">
        <v>0</v>
      </c>
      <c r="Q42" s="102">
        <v>0</v>
      </c>
      <c r="R42" s="102">
        <v>0</v>
      </c>
      <c r="S42" s="102">
        <v>0</v>
      </c>
      <c r="T42" s="102">
        <v>0</v>
      </c>
      <c r="U42" s="102">
        <v>0</v>
      </c>
      <c r="V42" s="102">
        <v>0</v>
      </c>
      <c r="W42" s="102">
        <v>0</v>
      </c>
      <c r="X42" s="102">
        <v>0</v>
      </c>
      <c r="Y42" s="102">
        <v>0</v>
      </c>
      <c r="Z42" s="102">
        <v>0</v>
      </c>
      <c r="AA42" s="102">
        <v>0</v>
      </c>
      <c r="AB42" s="102">
        <v>0</v>
      </c>
      <c r="AC42" s="102">
        <v>0</v>
      </c>
      <c r="AD42" s="102">
        <v>0</v>
      </c>
      <c r="AE42" s="102">
        <v>0</v>
      </c>
      <c r="AF42" s="102">
        <v>0</v>
      </c>
      <c r="AG42" s="102">
        <v>0</v>
      </c>
      <c r="AH42" s="102">
        <v>0</v>
      </c>
      <c r="AI42" s="102">
        <v>0</v>
      </c>
      <c r="AJ42" s="102">
        <v>0</v>
      </c>
      <c r="AK42" s="102">
        <v>0</v>
      </c>
      <c r="AL42" s="102">
        <v>0</v>
      </c>
      <c r="AM42" s="102">
        <v>0</v>
      </c>
      <c r="AN42" s="102">
        <v>0</v>
      </c>
      <c r="AO42" s="102">
        <v>0</v>
      </c>
      <c r="AP42" s="102">
        <v>0</v>
      </c>
      <c r="AQ42" s="102">
        <v>0</v>
      </c>
      <c r="AR42" s="102">
        <v>0</v>
      </c>
      <c r="AS42" s="102">
        <v>0</v>
      </c>
      <c r="AT42" s="102">
        <v>0</v>
      </c>
      <c r="AU42" s="102">
        <v>0</v>
      </c>
      <c r="AV42" s="102">
        <v>0</v>
      </c>
      <c r="AW42" s="102">
        <v>0</v>
      </c>
      <c r="AX42" s="102">
        <v>0</v>
      </c>
      <c r="AY42" s="102">
        <v>0</v>
      </c>
      <c r="AZ42" s="102">
        <v>0</v>
      </c>
      <c r="BA42" s="102">
        <v>0</v>
      </c>
      <c r="BB42" s="102">
        <v>0</v>
      </c>
      <c r="BC42" s="102">
        <v>0</v>
      </c>
      <c r="BD42" s="102">
        <v>0</v>
      </c>
      <c r="BE42" s="102">
        <v>0</v>
      </c>
      <c r="BF42" s="102">
        <v>0</v>
      </c>
      <c r="BG42" s="102">
        <v>0</v>
      </c>
      <c r="BH42" s="102">
        <v>0</v>
      </c>
      <c r="BI42" s="102">
        <v>0</v>
      </c>
      <c r="BJ42" s="102">
        <v>0</v>
      </c>
      <c r="BK42" s="102">
        <v>0</v>
      </c>
      <c r="BL42" s="104"/>
      <c r="BM42" s="104"/>
    </row>
    <row r="43" spans="1:65">
      <c r="B43" s="444" t="s">
        <v>1066</v>
      </c>
      <c r="C43" s="134" t="s">
        <v>1067</v>
      </c>
      <c r="D43" s="102">
        <v>0</v>
      </c>
      <c r="E43" s="102">
        <v>0</v>
      </c>
      <c r="F43" s="102">
        <v>0</v>
      </c>
      <c r="G43" s="102">
        <v>0</v>
      </c>
      <c r="H43" s="102">
        <v>0</v>
      </c>
      <c r="I43" s="102">
        <v>0</v>
      </c>
      <c r="J43" s="102">
        <v>0</v>
      </c>
      <c r="K43" s="102">
        <v>0</v>
      </c>
      <c r="L43" s="102">
        <v>0</v>
      </c>
      <c r="M43" s="102">
        <v>0</v>
      </c>
      <c r="N43" s="102">
        <v>0</v>
      </c>
      <c r="O43" s="102">
        <v>0</v>
      </c>
      <c r="P43" s="102">
        <v>0</v>
      </c>
      <c r="Q43" s="102">
        <v>-953.69899999999996</v>
      </c>
      <c r="R43" s="102">
        <v>-828.74599999999998</v>
      </c>
      <c r="S43" s="102">
        <v>0</v>
      </c>
      <c r="T43" s="102">
        <v>-87.22</v>
      </c>
      <c r="U43" s="102">
        <v>0</v>
      </c>
      <c r="V43" s="102">
        <v>0</v>
      </c>
      <c r="W43" s="102">
        <v>-2500.3389999999999</v>
      </c>
      <c r="X43" s="102">
        <v>-116.68600000000001</v>
      </c>
      <c r="Y43" s="102">
        <v>-0.105</v>
      </c>
      <c r="Z43" s="102">
        <v>-0.19600000000000001</v>
      </c>
      <c r="AA43" s="102">
        <v>0</v>
      </c>
      <c r="AB43" s="102">
        <v>0</v>
      </c>
      <c r="AC43" s="102">
        <v>0</v>
      </c>
      <c r="AD43" s="102">
        <v>-0.108</v>
      </c>
      <c r="AE43" s="102">
        <v>-1.528</v>
      </c>
      <c r="AF43" s="102">
        <v>-6.0000000000000001E-3</v>
      </c>
      <c r="AG43" s="102">
        <v>-1E-3</v>
      </c>
      <c r="AH43" s="102">
        <v>-19.731999999999999</v>
      </c>
      <c r="AI43" s="102">
        <v>0</v>
      </c>
      <c r="AJ43" s="102">
        <v>0</v>
      </c>
      <c r="AK43" s="102">
        <v>0</v>
      </c>
      <c r="AL43" s="102">
        <v>0</v>
      </c>
      <c r="AM43" s="102">
        <v>0</v>
      </c>
      <c r="AN43" s="102">
        <v>0</v>
      </c>
      <c r="AO43" s="102">
        <v>0</v>
      </c>
      <c r="AP43" s="102">
        <v>0</v>
      </c>
      <c r="AQ43" s="102">
        <v>0</v>
      </c>
      <c r="AR43" s="102">
        <v>0</v>
      </c>
      <c r="AS43" s="102">
        <v>0</v>
      </c>
      <c r="AT43" s="102">
        <v>0</v>
      </c>
      <c r="AU43" s="102">
        <v>0</v>
      </c>
      <c r="AV43" s="102">
        <v>0</v>
      </c>
      <c r="AW43" s="102">
        <v>0</v>
      </c>
      <c r="AX43" s="102">
        <v>0</v>
      </c>
      <c r="AY43" s="102">
        <v>0</v>
      </c>
      <c r="AZ43" s="102">
        <v>0</v>
      </c>
      <c r="BA43" s="102">
        <v>0</v>
      </c>
      <c r="BB43" s="102">
        <v>0</v>
      </c>
      <c r="BC43" s="102">
        <v>0</v>
      </c>
      <c r="BD43" s="102">
        <v>0</v>
      </c>
      <c r="BE43" s="102">
        <v>0</v>
      </c>
      <c r="BF43" s="102">
        <v>0</v>
      </c>
      <c r="BG43" s="102">
        <v>0</v>
      </c>
      <c r="BH43" s="102">
        <v>-1268.6030000000001</v>
      </c>
      <c r="BI43" s="102">
        <v>-207.17</v>
      </c>
      <c r="BJ43" s="102">
        <v>-5984.1390000000001</v>
      </c>
      <c r="BK43" s="102">
        <v>-2500.3389999999999</v>
      </c>
      <c r="BL43" s="104"/>
      <c r="BM43" s="104"/>
    </row>
    <row r="44" spans="1:65">
      <c r="A44" s="438"/>
      <c r="B44" s="444" t="s">
        <v>1068</v>
      </c>
      <c r="C44" s="134" t="s">
        <v>1069</v>
      </c>
      <c r="D44" s="102">
        <v>0</v>
      </c>
      <c r="E44" s="102">
        <v>0</v>
      </c>
      <c r="F44" s="102">
        <v>0</v>
      </c>
      <c r="G44" s="102">
        <v>0</v>
      </c>
      <c r="H44" s="102">
        <v>0</v>
      </c>
      <c r="I44" s="102">
        <v>0</v>
      </c>
      <c r="J44" s="102">
        <v>0</v>
      </c>
      <c r="K44" s="102">
        <v>0</v>
      </c>
      <c r="L44" s="102">
        <v>0</v>
      </c>
      <c r="M44" s="102">
        <v>0</v>
      </c>
      <c r="N44" s="102">
        <v>0</v>
      </c>
      <c r="O44" s="102">
        <v>0</v>
      </c>
      <c r="P44" s="102">
        <v>0</v>
      </c>
      <c r="Q44" s="102">
        <v>-167.15199999999999</v>
      </c>
      <c r="R44" s="102">
        <v>0</v>
      </c>
      <c r="S44" s="102">
        <v>0</v>
      </c>
      <c r="T44" s="102">
        <v>0</v>
      </c>
      <c r="U44" s="102">
        <v>0</v>
      </c>
      <c r="V44" s="102">
        <v>0</v>
      </c>
      <c r="W44" s="102">
        <v>-13.882</v>
      </c>
      <c r="X44" s="102">
        <v>-94.36</v>
      </c>
      <c r="Y44" s="102">
        <v>-6.8550000000000004</v>
      </c>
      <c r="Z44" s="102">
        <v>-1.2E-2</v>
      </c>
      <c r="AA44" s="102">
        <v>0</v>
      </c>
      <c r="AB44" s="102">
        <v>0</v>
      </c>
      <c r="AC44" s="102">
        <v>0</v>
      </c>
      <c r="AD44" s="102">
        <v>0</v>
      </c>
      <c r="AE44" s="102">
        <v>-1.0999999999999999E-2</v>
      </c>
      <c r="AF44" s="102">
        <v>0</v>
      </c>
      <c r="AG44" s="102">
        <v>0</v>
      </c>
      <c r="AH44" s="102">
        <v>-0.379</v>
      </c>
      <c r="AI44" s="102">
        <v>0</v>
      </c>
      <c r="AJ44" s="102">
        <v>0</v>
      </c>
      <c r="AK44" s="102">
        <v>0</v>
      </c>
      <c r="AL44" s="102">
        <v>0</v>
      </c>
      <c r="AM44" s="102">
        <v>0</v>
      </c>
      <c r="AN44" s="102">
        <v>0</v>
      </c>
      <c r="AO44" s="102">
        <v>0</v>
      </c>
      <c r="AP44" s="102">
        <v>0</v>
      </c>
      <c r="AQ44" s="102">
        <v>0</v>
      </c>
      <c r="AR44" s="102">
        <v>0</v>
      </c>
      <c r="AS44" s="102">
        <v>0</v>
      </c>
      <c r="AT44" s="102">
        <v>0</v>
      </c>
      <c r="AU44" s="102">
        <v>0</v>
      </c>
      <c r="AV44" s="102">
        <v>0</v>
      </c>
      <c r="AW44" s="102">
        <v>0</v>
      </c>
      <c r="AX44" s="102">
        <v>0</v>
      </c>
      <c r="AY44" s="102">
        <v>0</v>
      </c>
      <c r="AZ44" s="102">
        <v>0</v>
      </c>
      <c r="BA44" s="102">
        <v>0</v>
      </c>
      <c r="BB44" s="102">
        <v>0</v>
      </c>
      <c r="BC44" s="102">
        <v>0</v>
      </c>
      <c r="BD44" s="102">
        <v>0</v>
      </c>
      <c r="BE44" s="102">
        <v>0</v>
      </c>
      <c r="BF44" s="102">
        <v>0</v>
      </c>
      <c r="BG44" s="102">
        <v>0</v>
      </c>
      <c r="BH44" s="102">
        <v>0</v>
      </c>
      <c r="BI44" s="102">
        <v>0</v>
      </c>
      <c r="BJ44" s="102">
        <v>-282.65100000000007</v>
      </c>
      <c r="BK44" s="102">
        <v>-13.882</v>
      </c>
      <c r="BL44" s="104"/>
      <c r="BM44" s="104"/>
    </row>
    <row r="45" spans="1:65">
      <c r="A45" s="438"/>
      <c r="B45" s="444" t="s">
        <v>1070</v>
      </c>
      <c r="C45" s="134" t="s">
        <v>1071</v>
      </c>
      <c r="D45" s="102">
        <v>0</v>
      </c>
      <c r="E45" s="102">
        <v>0</v>
      </c>
      <c r="F45" s="102">
        <v>0</v>
      </c>
      <c r="G45" s="102">
        <v>0</v>
      </c>
      <c r="H45" s="102">
        <v>0</v>
      </c>
      <c r="I45" s="102">
        <v>0</v>
      </c>
      <c r="J45" s="102">
        <v>0</v>
      </c>
      <c r="K45" s="102">
        <v>0</v>
      </c>
      <c r="L45" s="102">
        <v>0</v>
      </c>
      <c r="M45" s="102">
        <v>0</v>
      </c>
      <c r="N45" s="102">
        <v>0</v>
      </c>
      <c r="O45" s="102">
        <v>0</v>
      </c>
      <c r="P45" s="102">
        <v>0</v>
      </c>
      <c r="Q45" s="102">
        <v>0</v>
      </c>
      <c r="R45" s="102">
        <v>0</v>
      </c>
      <c r="S45" s="102">
        <v>0</v>
      </c>
      <c r="T45" s="102">
        <v>0</v>
      </c>
      <c r="U45" s="102">
        <v>0</v>
      </c>
      <c r="V45" s="102">
        <v>0</v>
      </c>
      <c r="W45" s="102">
        <v>0</v>
      </c>
      <c r="X45" s="102">
        <v>0</v>
      </c>
      <c r="Y45" s="102">
        <v>0</v>
      </c>
      <c r="Z45" s="102">
        <v>0</v>
      </c>
      <c r="AA45" s="102">
        <v>0</v>
      </c>
      <c r="AB45" s="102">
        <v>0</v>
      </c>
      <c r="AC45" s="102">
        <v>0</v>
      </c>
      <c r="AD45" s="102">
        <v>0</v>
      </c>
      <c r="AE45" s="102">
        <v>0</v>
      </c>
      <c r="AF45" s="102">
        <v>0</v>
      </c>
      <c r="AG45" s="102">
        <v>0</v>
      </c>
      <c r="AH45" s="102">
        <v>0</v>
      </c>
      <c r="AI45" s="102">
        <v>0</v>
      </c>
      <c r="AJ45" s="102">
        <v>0</v>
      </c>
      <c r="AK45" s="102">
        <v>0</v>
      </c>
      <c r="AL45" s="102">
        <v>0</v>
      </c>
      <c r="AM45" s="102">
        <v>0</v>
      </c>
      <c r="AN45" s="102">
        <v>0</v>
      </c>
      <c r="AO45" s="102">
        <v>0</v>
      </c>
      <c r="AP45" s="102">
        <v>0</v>
      </c>
      <c r="AQ45" s="102">
        <v>0</v>
      </c>
      <c r="AR45" s="102">
        <v>0</v>
      </c>
      <c r="AS45" s="102">
        <v>0</v>
      </c>
      <c r="AT45" s="102">
        <v>0</v>
      </c>
      <c r="AU45" s="102">
        <v>0</v>
      </c>
      <c r="AV45" s="102">
        <v>0</v>
      </c>
      <c r="AW45" s="102">
        <v>0</v>
      </c>
      <c r="AX45" s="102">
        <v>0</v>
      </c>
      <c r="AY45" s="102">
        <v>0</v>
      </c>
      <c r="AZ45" s="102">
        <v>0</v>
      </c>
      <c r="BA45" s="102">
        <v>0</v>
      </c>
      <c r="BB45" s="102">
        <v>0</v>
      </c>
      <c r="BC45" s="102">
        <v>0</v>
      </c>
      <c r="BD45" s="102">
        <v>0</v>
      </c>
      <c r="BE45" s="102">
        <v>0</v>
      </c>
      <c r="BF45" s="102">
        <v>0</v>
      </c>
      <c r="BG45" s="102">
        <v>0</v>
      </c>
      <c r="BH45" s="102">
        <v>0</v>
      </c>
      <c r="BI45" s="102">
        <v>0</v>
      </c>
      <c r="BJ45" s="102">
        <v>0</v>
      </c>
      <c r="BK45" s="102">
        <v>0</v>
      </c>
      <c r="BL45" s="104"/>
      <c r="BM45" s="104"/>
    </row>
    <row r="46" spans="1:65">
      <c r="A46" s="438"/>
      <c r="B46" s="444" t="s">
        <v>1072</v>
      </c>
      <c r="C46" s="134" t="s">
        <v>1073</v>
      </c>
      <c r="D46" s="102">
        <v>0</v>
      </c>
      <c r="E46" s="102">
        <v>0</v>
      </c>
      <c r="F46" s="102">
        <v>0</v>
      </c>
      <c r="G46" s="102">
        <v>0</v>
      </c>
      <c r="H46" s="102">
        <v>0</v>
      </c>
      <c r="I46" s="102">
        <v>0</v>
      </c>
      <c r="J46" s="102">
        <v>0</v>
      </c>
      <c r="K46" s="102">
        <v>0</v>
      </c>
      <c r="L46" s="102">
        <v>0</v>
      </c>
      <c r="M46" s="102">
        <v>0</v>
      </c>
      <c r="N46" s="102">
        <v>0</v>
      </c>
      <c r="O46" s="102">
        <v>0</v>
      </c>
      <c r="P46" s="102">
        <v>0</v>
      </c>
      <c r="Q46" s="102">
        <v>0</v>
      </c>
      <c r="R46" s="102">
        <v>0</v>
      </c>
      <c r="S46" s="102">
        <v>0</v>
      </c>
      <c r="T46" s="102">
        <v>0</v>
      </c>
      <c r="U46" s="102">
        <v>0</v>
      </c>
      <c r="V46" s="102">
        <v>0</v>
      </c>
      <c r="W46" s="102">
        <v>-14.337999999999999</v>
      </c>
      <c r="X46" s="102">
        <v>-10.516999999999999</v>
      </c>
      <c r="Y46" s="102">
        <v>-0.13300000000000001</v>
      </c>
      <c r="Z46" s="102">
        <v>0</v>
      </c>
      <c r="AA46" s="102">
        <v>0</v>
      </c>
      <c r="AB46" s="102">
        <v>0</v>
      </c>
      <c r="AC46" s="102">
        <v>-0.34799999999999998</v>
      </c>
      <c r="AD46" s="102">
        <v>-2.843</v>
      </c>
      <c r="AE46" s="102">
        <v>-214.71199999999999</v>
      </c>
      <c r="AF46" s="102">
        <v>0</v>
      </c>
      <c r="AG46" s="102">
        <v>0</v>
      </c>
      <c r="AH46" s="102">
        <v>-7.1920000000000002</v>
      </c>
      <c r="AI46" s="102">
        <v>0</v>
      </c>
      <c r="AJ46" s="102">
        <v>0</v>
      </c>
      <c r="AK46" s="102">
        <v>0</v>
      </c>
      <c r="AL46" s="102">
        <v>0</v>
      </c>
      <c r="AM46" s="102">
        <v>0</v>
      </c>
      <c r="AN46" s="102">
        <v>0</v>
      </c>
      <c r="AO46" s="102">
        <v>0</v>
      </c>
      <c r="AP46" s="102">
        <v>0</v>
      </c>
      <c r="AQ46" s="102">
        <v>0</v>
      </c>
      <c r="AR46" s="102">
        <v>0</v>
      </c>
      <c r="AS46" s="102">
        <v>0</v>
      </c>
      <c r="AT46" s="102">
        <v>0</v>
      </c>
      <c r="AU46" s="102">
        <v>0</v>
      </c>
      <c r="AV46" s="102">
        <v>0</v>
      </c>
      <c r="AW46" s="102">
        <v>0</v>
      </c>
      <c r="AX46" s="102">
        <v>0</v>
      </c>
      <c r="AY46" s="102">
        <v>0</v>
      </c>
      <c r="AZ46" s="102">
        <v>0</v>
      </c>
      <c r="BA46" s="102">
        <v>0</v>
      </c>
      <c r="BB46" s="102">
        <v>0</v>
      </c>
      <c r="BC46" s="102">
        <v>0</v>
      </c>
      <c r="BD46" s="102">
        <v>0</v>
      </c>
      <c r="BE46" s="102">
        <v>0</v>
      </c>
      <c r="BF46" s="102">
        <v>0</v>
      </c>
      <c r="BG46" s="102">
        <v>0</v>
      </c>
      <c r="BH46" s="102">
        <v>-6.9119999999999999</v>
      </c>
      <c r="BI46" s="102">
        <v>0</v>
      </c>
      <c r="BJ46" s="102">
        <v>-256.995</v>
      </c>
      <c r="BK46" s="102">
        <v>-14.337999999999999</v>
      </c>
      <c r="BL46" s="104"/>
      <c r="BM46" s="104"/>
    </row>
    <row r="47" spans="1:65">
      <c r="A47" s="438"/>
      <c r="B47" s="440" t="s">
        <v>1074</v>
      </c>
      <c r="C47" s="121" t="s">
        <v>1075</v>
      </c>
      <c r="D47" s="109">
        <v>0</v>
      </c>
      <c r="E47" s="109">
        <v>0</v>
      </c>
      <c r="F47" s="109">
        <v>0</v>
      </c>
      <c r="G47" s="109">
        <v>0</v>
      </c>
      <c r="H47" s="109">
        <v>0</v>
      </c>
      <c r="I47" s="109">
        <v>0</v>
      </c>
      <c r="J47" s="109">
        <v>0</v>
      </c>
      <c r="K47" s="109">
        <v>0</v>
      </c>
      <c r="L47" s="109">
        <v>0</v>
      </c>
      <c r="M47" s="109">
        <v>0</v>
      </c>
      <c r="N47" s="109">
        <v>0</v>
      </c>
      <c r="O47" s="109">
        <v>0</v>
      </c>
      <c r="P47" s="109">
        <v>0</v>
      </c>
      <c r="Q47" s="109">
        <v>4.6920000000000002</v>
      </c>
      <c r="R47" s="109">
        <v>0</v>
      </c>
      <c r="S47" s="109">
        <v>0</v>
      </c>
      <c r="T47" s="109">
        <v>0</v>
      </c>
      <c r="U47" s="109">
        <v>0</v>
      </c>
      <c r="V47" s="109">
        <v>0</v>
      </c>
      <c r="W47" s="109">
        <v>0</v>
      </c>
      <c r="X47" s="109">
        <v>0</v>
      </c>
      <c r="Y47" s="109">
        <v>0</v>
      </c>
      <c r="Z47" s="109">
        <v>0</v>
      </c>
      <c r="AA47" s="109">
        <v>0</v>
      </c>
      <c r="AB47" s="109">
        <v>0</v>
      </c>
      <c r="AC47" s="109">
        <v>0</v>
      </c>
      <c r="AD47" s="109">
        <v>0</v>
      </c>
      <c r="AE47" s="109">
        <v>0</v>
      </c>
      <c r="AF47" s="109">
        <v>0</v>
      </c>
      <c r="AG47" s="109">
        <v>0</v>
      </c>
      <c r="AH47" s="109">
        <v>0</v>
      </c>
      <c r="AI47" s="109">
        <v>0</v>
      </c>
      <c r="AJ47" s="109">
        <v>0</v>
      </c>
      <c r="AK47" s="109">
        <v>0</v>
      </c>
      <c r="AL47" s="109">
        <v>0</v>
      </c>
      <c r="AM47" s="109">
        <v>0</v>
      </c>
      <c r="AN47" s="109">
        <v>0</v>
      </c>
      <c r="AO47" s="109">
        <v>0</v>
      </c>
      <c r="AP47" s="109">
        <v>0</v>
      </c>
      <c r="AQ47" s="109">
        <v>0</v>
      </c>
      <c r="AR47" s="109">
        <v>0</v>
      </c>
      <c r="AS47" s="109">
        <v>0</v>
      </c>
      <c r="AT47" s="109">
        <v>0</v>
      </c>
      <c r="AU47" s="109">
        <v>0</v>
      </c>
      <c r="AV47" s="109">
        <v>0</v>
      </c>
      <c r="AW47" s="109">
        <v>0</v>
      </c>
      <c r="AX47" s="109">
        <v>0</v>
      </c>
      <c r="AY47" s="109">
        <v>0</v>
      </c>
      <c r="AZ47" s="109">
        <v>0</v>
      </c>
      <c r="BA47" s="109">
        <v>0</v>
      </c>
      <c r="BB47" s="109">
        <v>0</v>
      </c>
      <c r="BC47" s="109">
        <v>0</v>
      </c>
      <c r="BD47" s="109">
        <v>0</v>
      </c>
      <c r="BE47" s="109">
        <v>0</v>
      </c>
      <c r="BF47" s="109">
        <v>0</v>
      </c>
      <c r="BG47" s="109">
        <v>0</v>
      </c>
      <c r="BH47" s="443">
        <v>-1977.8630000000001</v>
      </c>
      <c r="BI47" s="109">
        <v>-333.36200000000002</v>
      </c>
      <c r="BJ47" s="443">
        <v>-2306.5329999999999</v>
      </c>
      <c r="BK47" s="109">
        <v>0</v>
      </c>
      <c r="BL47" s="104"/>
      <c r="BM47" s="104"/>
    </row>
    <row r="48" spans="1:65">
      <c r="A48" s="438"/>
      <c r="B48" s="446" t="s">
        <v>558</v>
      </c>
      <c r="C48" s="454" t="s">
        <v>1076</v>
      </c>
      <c r="D48" s="120">
        <v>0</v>
      </c>
      <c r="E48" s="120">
        <v>2679.683</v>
      </c>
      <c r="F48" s="120">
        <v>0</v>
      </c>
      <c r="G48" s="120">
        <v>3759.4250000000002</v>
      </c>
      <c r="H48" s="120">
        <v>0</v>
      </c>
      <c r="I48" s="120">
        <v>3.2000000000000001E-2</v>
      </c>
      <c r="J48" s="120">
        <v>27.033999999999999</v>
      </c>
      <c r="K48" s="120">
        <v>195.52199999999999</v>
      </c>
      <c r="L48" s="120">
        <v>696.572</v>
      </c>
      <c r="M48" s="120">
        <v>505.601</v>
      </c>
      <c r="N48" s="120">
        <v>1672.508</v>
      </c>
      <c r="O48" s="120">
        <v>32.920999999999999</v>
      </c>
      <c r="P48" s="120">
        <v>155.696</v>
      </c>
      <c r="Q48" s="120">
        <v>1686.703</v>
      </c>
      <c r="R48" s="120">
        <v>23722.868999999999</v>
      </c>
      <c r="S48" s="120">
        <v>0</v>
      </c>
      <c r="T48" s="120">
        <v>0</v>
      </c>
      <c r="U48" s="120">
        <v>0</v>
      </c>
      <c r="V48" s="120">
        <v>0</v>
      </c>
      <c r="W48" s="120">
        <v>293.34500000000003</v>
      </c>
      <c r="X48" s="120">
        <v>7443.1530000000002</v>
      </c>
      <c r="Y48" s="120">
        <v>4018.8780000000002</v>
      </c>
      <c r="Z48" s="120">
        <v>10887.977000000001</v>
      </c>
      <c r="AA48" s="120">
        <v>1.2410000000000001</v>
      </c>
      <c r="AB48" s="120">
        <v>0</v>
      </c>
      <c r="AC48" s="120">
        <v>2161.982</v>
      </c>
      <c r="AD48" s="120">
        <v>2112.8739999999998</v>
      </c>
      <c r="AE48" s="120">
        <v>21534.946</v>
      </c>
      <c r="AF48" s="120">
        <v>146.55199999999999</v>
      </c>
      <c r="AG48" s="120">
        <v>24.501000000000001</v>
      </c>
      <c r="AH48" s="120">
        <v>799.45600000000002</v>
      </c>
      <c r="AI48" s="120">
        <v>43578.720000000001</v>
      </c>
      <c r="AJ48" s="120">
        <v>174.71100000000001</v>
      </c>
      <c r="AK48" s="120">
        <v>1140.954</v>
      </c>
      <c r="AL48" s="120">
        <v>1338.0160000000001</v>
      </c>
      <c r="AM48" s="120">
        <v>23.885999999999999</v>
      </c>
      <c r="AN48" s="120">
        <v>489.786</v>
      </c>
      <c r="AO48" s="120">
        <v>2710.136</v>
      </c>
      <c r="AP48" s="120">
        <v>1745.252</v>
      </c>
      <c r="AQ48" s="120">
        <v>699.93299999999999</v>
      </c>
      <c r="AR48" s="120">
        <v>436.71100000000001</v>
      </c>
      <c r="AS48" s="120">
        <v>855.33299999999997</v>
      </c>
      <c r="AT48" s="120">
        <v>57.744999999999997</v>
      </c>
      <c r="AU48" s="120">
        <v>0.184</v>
      </c>
      <c r="AV48" s="120">
        <v>0</v>
      </c>
      <c r="AW48" s="120">
        <v>681.63199999999995</v>
      </c>
      <c r="AX48" s="120">
        <v>0</v>
      </c>
      <c r="AY48" s="120">
        <v>0</v>
      </c>
      <c r="AZ48" s="120">
        <v>0</v>
      </c>
      <c r="BA48" s="120">
        <v>0</v>
      </c>
      <c r="BB48" s="120">
        <v>279.64999999999998</v>
      </c>
      <c r="BC48" s="120">
        <v>0</v>
      </c>
      <c r="BD48" s="120">
        <v>25.035</v>
      </c>
      <c r="BE48" s="120">
        <v>0</v>
      </c>
      <c r="BF48" s="120">
        <v>0</v>
      </c>
      <c r="BG48" s="120">
        <v>0</v>
      </c>
      <c r="BH48" s="120">
        <v>49130.773999999998</v>
      </c>
      <c r="BI48" s="120">
        <v>6649.63</v>
      </c>
      <c r="BJ48" s="120">
        <v>194577.55900000004</v>
      </c>
      <c r="BK48" s="120">
        <v>6935.9459999999999</v>
      </c>
      <c r="BL48" s="104"/>
      <c r="BM48" s="104"/>
    </row>
    <row r="49" spans="1:65">
      <c r="A49" s="438"/>
      <c r="B49" s="444" t="s">
        <v>1077</v>
      </c>
      <c r="C49" s="134" t="s">
        <v>1078</v>
      </c>
      <c r="D49" s="102">
        <v>0</v>
      </c>
      <c r="E49" s="102">
        <v>2679.683</v>
      </c>
      <c r="F49" s="102">
        <v>0</v>
      </c>
      <c r="G49" s="102">
        <v>3759.4250000000002</v>
      </c>
      <c r="H49" s="102">
        <v>0</v>
      </c>
      <c r="I49" s="102">
        <v>3.2000000000000001E-2</v>
      </c>
      <c r="J49" s="102">
        <v>0</v>
      </c>
      <c r="K49" s="102">
        <v>195.52199999999999</v>
      </c>
      <c r="L49" s="102">
        <v>696.572</v>
      </c>
      <c r="M49" s="102">
        <v>0</v>
      </c>
      <c r="N49" s="102">
        <v>1672.508</v>
      </c>
      <c r="O49" s="102">
        <v>32.920999999999999</v>
      </c>
      <c r="P49" s="102">
        <v>155.696</v>
      </c>
      <c r="Q49" s="102">
        <v>936.58900000000006</v>
      </c>
      <c r="R49" s="102">
        <v>23722.868999999999</v>
      </c>
      <c r="S49" s="102">
        <v>0</v>
      </c>
      <c r="T49" s="102">
        <v>0</v>
      </c>
      <c r="U49" s="102">
        <v>0</v>
      </c>
      <c r="V49" s="102">
        <v>0</v>
      </c>
      <c r="W49" s="102">
        <v>293.34500000000003</v>
      </c>
      <c r="X49" s="102">
        <v>2675.3679999999999</v>
      </c>
      <c r="Y49" s="102">
        <v>3210.5360000000001</v>
      </c>
      <c r="Z49" s="102">
        <v>10887.977000000001</v>
      </c>
      <c r="AA49" s="102">
        <v>1.2410000000000001</v>
      </c>
      <c r="AB49" s="102">
        <v>0</v>
      </c>
      <c r="AC49" s="102">
        <v>2161.982</v>
      </c>
      <c r="AD49" s="102">
        <v>2112.8739999999998</v>
      </c>
      <c r="AE49" s="102">
        <v>21534.946</v>
      </c>
      <c r="AF49" s="102">
        <v>146.55199999999999</v>
      </c>
      <c r="AG49" s="102">
        <v>24.501000000000001</v>
      </c>
      <c r="AH49" s="102">
        <v>799.45600000000002</v>
      </c>
      <c r="AI49" s="102">
        <v>0</v>
      </c>
      <c r="AJ49" s="102">
        <v>0</v>
      </c>
      <c r="AK49" s="102">
        <v>0</v>
      </c>
      <c r="AL49" s="102">
        <v>0</v>
      </c>
      <c r="AM49" s="102">
        <v>0</v>
      </c>
      <c r="AN49" s="102">
        <v>0</v>
      </c>
      <c r="AO49" s="102">
        <v>0</v>
      </c>
      <c r="AP49" s="102">
        <v>1745.252</v>
      </c>
      <c r="AQ49" s="102">
        <v>699.93299999999999</v>
      </c>
      <c r="AR49" s="102">
        <v>436.71100000000001</v>
      </c>
      <c r="AS49" s="102">
        <v>855.33299999999997</v>
      </c>
      <c r="AT49" s="102">
        <v>57.744999999999997</v>
      </c>
      <c r="AU49" s="102">
        <v>0.184</v>
      </c>
      <c r="AV49" s="102">
        <v>0</v>
      </c>
      <c r="AW49" s="102">
        <v>681.63199999999995</v>
      </c>
      <c r="AX49" s="102">
        <v>0</v>
      </c>
      <c r="AY49" s="102">
        <v>0</v>
      </c>
      <c r="AZ49" s="102">
        <v>0</v>
      </c>
      <c r="BA49" s="102">
        <v>0</v>
      </c>
      <c r="BB49" s="102">
        <v>279.64999999999998</v>
      </c>
      <c r="BC49" s="102">
        <v>0</v>
      </c>
      <c r="BD49" s="102">
        <v>25.035</v>
      </c>
      <c r="BE49" s="102">
        <v>0</v>
      </c>
      <c r="BF49" s="102">
        <v>0</v>
      </c>
      <c r="BG49" s="102">
        <v>0</v>
      </c>
      <c r="BH49" s="102">
        <v>49130.773999999998</v>
      </c>
      <c r="BI49" s="102">
        <v>6649.63</v>
      </c>
      <c r="BJ49" s="102">
        <v>138262.47399999999</v>
      </c>
      <c r="BK49" s="102">
        <v>6935.9459999999999</v>
      </c>
      <c r="BL49" s="104"/>
      <c r="BM49" s="104"/>
    </row>
    <row r="50" spans="1:65">
      <c r="A50" s="438"/>
      <c r="B50" s="445" t="s">
        <v>570</v>
      </c>
      <c r="C50" s="134" t="s">
        <v>1079</v>
      </c>
      <c r="D50" s="102">
        <v>0</v>
      </c>
      <c r="E50" s="102">
        <v>2679.683</v>
      </c>
      <c r="F50" s="102">
        <v>0</v>
      </c>
      <c r="G50" s="102">
        <v>3759.4250000000002</v>
      </c>
      <c r="H50" s="102">
        <v>0</v>
      </c>
      <c r="I50" s="102">
        <v>3.2000000000000001E-2</v>
      </c>
      <c r="J50" s="102">
        <v>0</v>
      </c>
      <c r="K50" s="102">
        <v>0.85399999999999998</v>
      </c>
      <c r="L50" s="102">
        <v>696.572</v>
      </c>
      <c r="M50" s="102">
        <v>0</v>
      </c>
      <c r="N50" s="102">
        <v>1672.508</v>
      </c>
      <c r="O50" s="102">
        <v>32.920999999999999</v>
      </c>
      <c r="P50" s="102">
        <v>155.696</v>
      </c>
      <c r="Q50" s="102">
        <v>936.58900000000006</v>
      </c>
      <c r="R50" s="102">
        <v>7673.7920000000004</v>
      </c>
      <c r="S50" s="102">
        <v>0</v>
      </c>
      <c r="T50" s="102">
        <v>0</v>
      </c>
      <c r="U50" s="102">
        <v>0</v>
      </c>
      <c r="V50" s="102">
        <v>0</v>
      </c>
      <c r="W50" s="102">
        <v>293.34500000000003</v>
      </c>
      <c r="X50" s="102">
        <v>852.10699999999997</v>
      </c>
      <c r="Y50" s="102">
        <v>115.78</v>
      </c>
      <c r="Z50" s="102">
        <v>138.91999999999999</v>
      </c>
      <c r="AA50" s="102">
        <v>0</v>
      </c>
      <c r="AB50" s="102">
        <v>0</v>
      </c>
      <c r="AC50" s="102">
        <v>0.40799999999999997</v>
      </c>
      <c r="AD50" s="102">
        <v>255.994</v>
      </c>
      <c r="AE50" s="102">
        <v>1997.2049999999999</v>
      </c>
      <c r="AF50" s="102">
        <v>82.751999999999995</v>
      </c>
      <c r="AG50" s="102">
        <v>19.681999999999999</v>
      </c>
      <c r="AH50" s="102">
        <v>562.92999999999995</v>
      </c>
      <c r="AI50" s="102">
        <v>0</v>
      </c>
      <c r="AJ50" s="102">
        <v>0</v>
      </c>
      <c r="AK50" s="102">
        <v>0</v>
      </c>
      <c r="AL50" s="102">
        <v>0</v>
      </c>
      <c r="AM50" s="102">
        <v>0</v>
      </c>
      <c r="AN50" s="102">
        <v>0</v>
      </c>
      <c r="AO50" s="102">
        <v>0</v>
      </c>
      <c r="AP50" s="102">
        <v>1701.8920000000001</v>
      </c>
      <c r="AQ50" s="102">
        <v>44.195</v>
      </c>
      <c r="AR50" s="102">
        <v>393.60700000000003</v>
      </c>
      <c r="AS50" s="102">
        <v>637.71500000000003</v>
      </c>
      <c r="AT50" s="102">
        <v>19.48</v>
      </c>
      <c r="AU50" s="102">
        <v>0.184</v>
      </c>
      <c r="AV50" s="102">
        <v>0</v>
      </c>
      <c r="AW50" s="102">
        <v>0</v>
      </c>
      <c r="AX50" s="102">
        <v>0</v>
      </c>
      <c r="AY50" s="102">
        <v>0</v>
      </c>
      <c r="AZ50" s="102">
        <v>0</v>
      </c>
      <c r="BA50" s="102">
        <v>0</v>
      </c>
      <c r="BB50" s="102">
        <v>38.817999999999998</v>
      </c>
      <c r="BC50" s="102">
        <v>0</v>
      </c>
      <c r="BD50" s="102">
        <v>1.3069999999999999</v>
      </c>
      <c r="BE50" s="102">
        <v>0</v>
      </c>
      <c r="BF50" s="102">
        <v>0</v>
      </c>
      <c r="BG50" s="102">
        <v>0</v>
      </c>
      <c r="BH50" s="102">
        <v>26338.274000000001</v>
      </c>
      <c r="BI50" s="102">
        <v>3600.0790000000002</v>
      </c>
      <c r="BJ50" s="102">
        <v>54702.745999999999</v>
      </c>
      <c r="BK50" s="102">
        <v>4991.6670000000004</v>
      </c>
      <c r="BL50" s="104"/>
      <c r="BM50" s="104"/>
    </row>
    <row r="51" spans="1:65">
      <c r="B51" s="459" t="s">
        <v>1080</v>
      </c>
      <c r="C51" s="461" t="s">
        <v>1081</v>
      </c>
      <c r="D51" s="192">
        <v>0</v>
      </c>
      <c r="E51" s="192">
        <v>0</v>
      </c>
      <c r="F51" s="192">
        <v>0</v>
      </c>
      <c r="G51" s="192">
        <v>0</v>
      </c>
      <c r="H51" s="192">
        <v>0</v>
      </c>
      <c r="I51" s="192">
        <v>0</v>
      </c>
      <c r="J51" s="192">
        <v>0</v>
      </c>
      <c r="K51" s="192">
        <v>0.46500000000000002</v>
      </c>
      <c r="L51" s="192">
        <v>0</v>
      </c>
      <c r="M51" s="192">
        <v>0</v>
      </c>
      <c r="N51" s="192">
        <v>0</v>
      </c>
      <c r="O51" s="192">
        <v>0</v>
      </c>
      <c r="P51" s="192">
        <v>0</v>
      </c>
      <c r="Q51" s="192">
        <v>0</v>
      </c>
      <c r="R51" s="192">
        <v>3.448</v>
      </c>
      <c r="S51" s="192">
        <v>0</v>
      </c>
      <c r="T51" s="192">
        <v>0</v>
      </c>
      <c r="U51" s="192">
        <v>0</v>
      </c>
      <c r="V51" s="192">
        <v>0</v>
      </c>
      <c r="W51" s="192">
        <v>0</v>
      </c>
      <c r="X51" s="192">
        <v>5.173</v>
      </c>
      <c r="Y51" s="192">
        <v>0.11799999999999999</v>
      </c>
      <c r="Z51" s="192">
        <v>28.844000000000001</v>
      </c>
      <c r="AA51" s="192">
        <v>0</v>
      </c>
      <c r="AB51" s="192">
        <v>0</v>
      </c>
      <c r="AC51" s="192">
        <v>0</v>
      </c>
      <c r="AD51" s="192">
        <v>172.08199999999999</v>
      </c>
      <c r="AE51" s="192">
        <v>222.28299999999999</v>
      </c>
      <c r="AF51" s="192">
        <v>2.65</v>
      </c>
      <c r="AG51" s="192">
        <v>6.1029999999999998</v>
      </c>
      <c r="AH51" s="192">
        <v>13.11</v>
      </c>
      <c r="AI51" s="192">
        <v>0</v>
      </c>
      <c r="AJ51" s="192">
        <v>0</v>
      </c>
      <c r="AK51" s="192">
        <v>0</v>
      </c>
      <c r="AL51" s="192">
        <v>0</v>
      </c>
      <c r="AM51" s="192">
        <v>0</v>
      </c>
      <c r="AN51" s="192">
        <v>0</v>
      </c>
      <c r="AO51" s="192">
        <v>0</v>
      </c>
      <c r="AP51" s="192">
        <v>0</v>
      </c>
      <c r="AQ51" s="192">
        <v>0.55700000000000005</v>
      </c>
      <c r="AR51" s="192">
        <v>0</v>
      </c>
      <c r="AS51" s="192">
        <v>158.267</v>
      </c>
      <c r="AT51" s="192">
        <v>0</v>
      </c>
      <c r="AU51" s="192">
        <v>0</v>
      </c>
      <c r="AV51" s="192">
        <v>0</v>
      </c>
      <c r="AW51" s="192">
        <v>0</v>
      </c>
      <c r="AX51" s="192">
        <v>0</v>
      </c>
      <c r="AY51" s="192">
        <v>0</v>
      </c>
      <c r="AZ51" s="192">
        <v>0</v>
      </c>
      <c r="BA51" s="192">
        <v>0</v>
      </c>
      <c r="BB51" s="192">
        <v>33.798000000000002</v>
      </c>
      <c r="BC51" s="192">
        <v>0</v>
      </c>
      <c r="BD51" s="192">
        <v>0</v>
      </c>
      <c r="BE51" s="192">
        <v>0</v>
      </c>
      <c r="BF51" s="192">
        <v>0</v>
      </c>
      <c r="BG51" s="192">
        <v>0</v>
      </c>
      <c r="BH51" s="192">
        <v>1390.684</v>
      </c>
      <c r="BI51" s="192">
        <v>0</v>
      </c>
      <c r="BJ51" s="192">
        <v>2037.5819999999999</v>
      </c>
      <c r="BK51" s="192">
        <v>192.62200000000001</v>
      </c>
      <c r="BL51" s="104"/>
      <c r="BM51" s="104"/>
    </row>
    <row r="52" spans="1:65">
      <c r="B52" s="459" t="s">
        <v>1082</v>
      </c>
      <c r="C52" s="461" t="s">
        <v>1083</v>
      </c>
      <c r="D52" s="192">
        <v>0</v>
      </c>
      <c r="E52" s="192">
        <v>0</v>
      </c>
      <c r="F52" s="192">
        <v>0</v>
      </c>
      <c r="G52" s="192">
        <v>0</v>
      </c>
      <c r="H52" s="192">
        <v>0</v>
      </c>
      <c r="I52" s="192">
        <v>0</v>
      </c>
      <c r="J52" s="192">
        <v>0</v>
      </c>
      <c r="K52" s="192">
        <v>0</v>
      </c>
      <c r="L52" s="192">
        <v>0</v>
      </c>
      <c r="M52" s="192">
        <v>0</v>
      </c>
      <c r="N52" s="192">
        <v>0</v>
      </c>
      <c r="O52" s="192">
        <v>0</v>
      </c>
      <c r="P52" s="192">
        <v>0</v>
      </c>
      <c r="Q52" s="192">
        <v>0</v>
      </c>
      <c r="R52" s="192">
        <v>0</v>
      </c>
      <c r="S52" s="192">
        <v>0</v>
      </c>
      <c r="T52" s="192">
        <v>0</v>
      </c>
      <c r="U52" s="192">
        <v>0</v>
      </c>
      <c r="V52" s="192">
        <v>0</v>
      </c>
      <c r="W52" s="192">
        <v>0</v>
      </c>
      <c r="X52" s="192">
        <v>1.167</v>
      </c>
      <c r="Y52" s="192">
        <v>0</v>
      </c>
      <c r="Z52" s="192">
        <v>73.864999999999995</v>
      </c>
      <c r="AA52" s="192">
        <v>0</v>
      </c>
      <c r="AB52" s="192">
        <v>0</v>
      </c>
      <c r="AC52" s="192">
        <v>0</v>
      </c>
      <c r="AD52" s="192">
        <v>2.5999999999999999E-2</v>
      </c>
      <c r="AE52" s="192">
        <v>719.55499999999995</v>
      </c>
      <c r="AF52" s="192">
        <v>2.8519999999999999</v>
      </c>
      <c r="AG52" s="192">
        <v>6.6970000000000001</v>
      </c>
      <c r="AH52" s="192">
        <v>4.2300000000000004</v>
      </c>
      <c r="AI52" s="192">
        <v>0</v>
      </c>
      <c r="AJ52" s="192">
        <v>0</v>
      </c>
      <c r="AK52" s="192">
        <v>0</v>
      </c>
      <c r="AL52" s="192">
        <v>0</v>
      </c>
      <c r="AM52" s="192">
        <v>0</v>
      </c>
      <c r="AN52" s="192">
        <v>0</v>
      </c>
      <c r="AO52" s="192">
        <v>0</v>
      </c>
      <c r="AP52" s="192">
        <v>0</v>
      </c>
      <c r="AQ52" s="192">
        <v>0</v>
      </c>
      <c r="AR52" s="192">
        <v>0</v>
      </c>
      <c r="AS52" s="192">
        <v>0</v>
      </c>
      <c r="AT52" s="192">
        <v>0</v>
      </c>
      <c r="AU52" s="192">
        <v>0</v>
      </c>
      <c r="AV52" s="192">
        <v>0</v>
      </c>
      <c r="AW52" s="192">
        <v>0</v>
      </c>
      <c r="AX52" s="192">
        <v>0</v>
      </c>
      <c r="AY52" s="192">
        <v>0</v>
      </c>
      <c r="AZ52" s="192">
        <v>0</v>
      </c>
      <c r="BA52" s="192">
        <v>0</v>
      </c>
      <c r="BB52" s="192">
        <v>0</v>
      </c>
      <c r="BC52" s="192">
        <v>0</v>
      </c>
      <c r="BD52" s="192">
        <v>0</v>
      </c>
      <c r="BE52" s="192">
        <v>0</v>
      </c>
      <c r="BF52" s="192">
        <v>0</v>
      </c>
      <c r="BG52" s="192">
        <v>0</v>
      </c>
      <c r="BH52" s="192">
        <v>267.88099999999997</v>
      </c>
      <c r="BI52" s="192">
        <v>0</v>
      </c>
      <c r="BJ52" s="192">
        <v>1076.2729999999999</v>
      </c>
      <c r="BK52" s="192">
        <v>0</v>
      </c>
      <c r="BL52" s="104"/>
      <c r="BM52" s="104"/>
    </row>
    <row r="53" spans="1:65">
      <c r="B53" s="459" t="s">
        <v>1084</v>
      </c>
      <c r="C53" s="461" t="s">
        <v>1085</v>
      </c>
      <c r="D53" s="192">
        <v>0</v>
      </c>
      <c r="E53" s="192">
        <v>0</v>
      </c>
      <c r="F53" s="192">
        <v>0</v>
      </c>
      <c r="G53" s="192">
        <v>0</v>
      </c>
      <c r="H53" s="192">
        <v>0</v>
      </c>
      <c r="I53" s="192">
        <v>0</v>
      </c>
      <c r="J53" s="192">
        <v>0</v>
      </c>
      <c r="K53" s="192">
        <v>0</v>
      </c>
      <c r="L53" s="192">
        <v>0</v>
      </c>
      <c r="M53" s="192">
        <v>0</v>
      </c>
      <c r="N53" s="192">
        <v>0</v>
      </c>
      <c r="O53" s="192">
        <v>0</v>
      </c>
      <c r="P53" s="192">
        <v>0</v>
      </c>
      <c r="Q53" s="192">
        <v>0</v>
      </c>
      <c r="R53" s="192">
        <v>0</v>
      </c>
      <c r="S53" s="192">
        <v>0</v>
      </c>
      <c r="T53" s="192">
        <v>0</v>
      </c>
      <c r="U53" s="192">
        <v>0</v>
      </c>
      <c r="V53" s="192">
        <v>0</v>
      </c>
      <c r="W53" s="192">
        <v>0</v>
      </c>
      <c r="X53" s="192">
        <v>1.901</v>
      </c>
      <c r="Y53" s="192">
        <v>1E-3</v>
      </c>
      <c r="Z53" s="192">
        <v>2.8000000000000001E-2</v>
      </c>
      <c r="AA53" s="192">
        <v>0</v>
      </c>
      <c r="AB53" s="192">
        <v>0</v>
      </c>
      <c r="AC53" s="192">
        <v>0</v>
      </c>
      <c r="AD53" s="192">
        <v>0.74</v>
      </c>
      <c r="AE53" s="192">
        <v>29.876999999999999</v>
      </c>
      <c r="AF53" s="192">
        <v>3.0680000000000001</v>
      </c>
      <c r="AG53" s="192">
        <v>0.49299999999999999</v>
      </c>
      <c r="AH53" s="192">
        <v>6.2030000000000003</v>
      </c>
      <c r="AI53" s="192">
        <v>0</v>
      </c>
      <c r="AJ53" s="192">
        <v>0</v>
      </c>
      <c r="AK53" s="192">
        <v>0</v>
      </c>
      <c r="AL53" s="192">
        <v>0</v>
      </c>
      <c r="AM53" s="192">
        <v>0</v>
      </c>
      <c r="AN53" s="192">
        <v>0</v>
      </c>
      <c r="AO53" s="192">
        <v>0</v>
      </c>
      <c r="AP53" s="192">
        <v>0</v>
      </c>
      <c r="AQ53" s="192">
        <v>0</v>
      </c>
      <c r="AR53" s="192">
        <v>0</v>
      </c>
      <c r="AS53" s="192">
        <v>0</v>
      </c>
      <c r="AT53" s="192">
        <v>3.988</v>
      </c>
      <c r="AU53" s="192">
        <v>0</v>
      </c>
      <c r="AV53" s="192">
        <v>0</v>
      </c>
      <c r="AW53" s="192">
        <v>0</v>
      </c>
      <c r="AX53" s="192">
        <v>0</v>
      </c>
      <c r="AY53" s="192">
        <v>0</v>
      </c>
      <c r="AZ53" s="192">
        <v>0</v>
      </c>
      <c r="BA53" s="192">
        <v>0</v>
      </c>
      <c r="BB53" s="192">
        <v>0</v>
      </c>
      <c r="BC53" s="192">
        <v>0</v>
      </c>
      <c r="BD53" s="192">
        <v>0</v>
      </c>
      <c r="BE53" s="192">
        <v>0</v>
      </c>
      <c r="BF53" s="192">
        <v>0</v>
      </c>
      <c r="BG53" s="192">
        <v>0</v>
      </c>
      <c r="BH53" s="192">
        <v>151.28</v>
      </c>
      <c r="BI53" s="192">
        <v>0</v>
      </c>
      <c r="BJ53" s="192">
        <v>197.57900000000001</v>
      </c>
      <c r="BK53" s="192">
        <v>3.988</v>
      </c>
      <c r="BL53" s="104"/>
      <c r="BM53" s="104"/>
    </row>
    <row r="54" spans="1:65">
      <c r="B54" s="447" t="s">
        <v>1086</v>
      </c>
      <c r="C54" s="134" t="s">
        <v>1087</v>
      </c>
      <c r="D54" s="102">
        <v>0</v>
      </c>
      <c r="E54" s="102">
        <v>2679.683</v>
      </c>
      <c r="F54" s="102">
        <v>0</v>
      </c>
      <c r="G54" s="102">
        <v>3759.4250000000002</v>
      </c>
      <c r="H54" s="102">
        <v>0</v>
      </c>
      <c r="I54" s="102">
        <v>0</v>
      </c>
      <c r="J54" s="102">
        <v>0</v>
      </c>
      <c r="K54" s="102">
        <v>0.39</v>
      </c>
      <c r="L54" s="102">
        <v>696.572</v>
      </c>
      <c r="M54" s="102">
        <v>0</v>
      </c>
      <c r="N54" s="102">
        <v>1672.508</v>
      </c>
      <c r="O54" s="102">
        <v>32.920999999999999</v>
      </c>
      <c r="P54" s="102">
        <v>155.696</v>
      </c>
      <c r="Q54" s="102">
        <v>936.58900000000006</v>
      </c>
      <c r="R54" s="102">
        <v>7670.3440000000001</v>
      </c>
      <c r="S54" s="102">
        <v>0</v>
      </c>
      <c r="T54" s="102">
        <v>0</v>
      </c>
      <c r="U54" s="102">
        <v>0</v>
      </c>
      <c r="V54" s="102">
        <v>0</v>
      </c>
      <c r="W54" s="102">
        <v>293.34500000000003</v>
      </c>
      <c r="X54" s="102">
        <v>835.80899999999997</v>
      </c>
      <c r="Y54" s="102">
        <v>115.661</v>
      </c>
      <c r="Z54" s="102">
        <v>28.582999999999998</v>
      </c>
      <c r="AA54" s="102">
        <v>0</v>
      </c>
      <c r="AB54" s="102">
        <v>0</v>
      </c>
      <c r="AC54" s="102">
        <v>0.40799999999999997</v>
      </c>
      <c r="AD54" s="102">
        <v>55.447000000000003</v>
      </c>
      <c r="AE54" s="102">
        <v>433.94400000000002</v>
      </c>
      <c r="AF54" s="102">
        <v>37.325000000000003</v>
      </c>
      <c r="AG54" s="102">
        <v>6.383</v>
      </c>
      <c r="AH54" s="102">
        <v>537.44799999999998</v>
      </c>
      <c r="AI54" s="102">
        <v>0</v>
      </c>
      <c r="AJ54" s="102">
        <v>0</v>
      </c>
      <c r="AK54" s="102">
        <v>0</v>
      </c>
      <c r="AL54" s="102">
        <v>0</v>
      </c>
      <c r="AM54" s="102">
        <v>0</v>
      </c>
      <c r="AN54" s="102">
        <v>0</v>
      </c>
      <c r="AO54" s="102">
        <v>0</v>
      </c>
      <c r="AP54" s="102">
        <v>1701.883</v>
      </c>
      <c r="AQ54" s="102">
        <v>43.637999999999998</v>
      </c>
      <c r="AR54" s="102">
        <v>393.60700000000003</v>
      </c>
      <c r="AS54" s="102">
        <v>479.44799999999998</v>
      </c>
      <c r="AT54" s="102">
        <v>15.492000000000001</v>
      </c>
      <c r="AU54" s="102">
        <v>0.184</v>
      </c>
      <c r="AV54" s="102">
        <v>0</v>
      </c>
      <c r="AW54" s="102">
        <v>0</v>
      </c>
      <c r="AX54" s="102">
        <v>0</v>
      </c>
      <c r="AY54" s="102">
        <v>0</v>
      </c>
      <c r="AZ54" s="102">
        <v>0</v>
      </c>
      <c r="BA54" s="102">
        <v>0</v>
      </c>
      <c r="BB54" s="102">
        <v>5.0199999999999996</v>
      </c>
      <c r="BC54" s="102">
        <v>0</v>
      </c>
      <c r="BD54" s="102">
        <v>1.3069999999999999</v>
      </c>
      <c r="BE54" s="102">
        <v>0</v>
      </c>
      <c r="BF54" s="102">
        <v>0</v>
      </c>
      <c r="BG54" s="102">
        <v>0</v>
      </c>
      <c r="BH54" s="102">
        <v>24528.428</v>
      </c>
      <c r="BI54" s="102">
        <v>3600.0790000000002</v>
      </c>
      <c r="BJ54" s="102">
        <v>50717.567000000003</v>
      </c>
      <c r="BK54" s="102">
        <v>4795.049</v>
      </c>
      <c r="BL54" s="104"/>
      <c r="BM54" s="104"/>
    </row>
    <row r="55" spans="1:65">
      <c r="B55" s="460" t="s">
        <v>1088</v>
      </c>
      <c r="C55" s="461" t="s">
        <v>1089</v>
      </c>
      <c r="D55" s="192">
        <v>0</v>
      </c>
      <c r="E55" s="192">
        <v>0</v>
      </c>
      <c r="F55" s="192">
        <v>0</v>
      </c>
      <c r="G55" s="192">
        <v>0</v>
      </c>
      <c r="H55" s="192">
        <v>0</v>
      </c>
      <c r="I55" s="192">
        <v>0</v>
      </c>
      <c r="J55" s="192">
        <v>0</v>
      </c>
      <c r="K55" s="192">
        <v>0</v>
      </c>
      <c r="L55" s="192">
        <v>0</v>
      </c>
      <c r="M55" s="192">
        <v>0</v>
      </c>
      <c r="N55" s="192">
        <v>0</v>
      </c>
      <c r="O55" s="192">
        <v>0</v>
      </c>
      <c r="P55" s="192">
        <v>0</v>
      </c>
      <c r="Q55" s="192">
        <v>0</v>
      </c>
      <c r="R55" s="192">
        <v>912.87400000000002</v>
      </c>
      <c r="S55" s="192">
        <v>0</v>
      </c>
      <c r="T55" s="192">
        <v>0</v>
      </c>
      <c r="U55" s="192">
        <v>0</v>
      </c>
      <c r="V55" s="192">
        <v>0</v>
      </c>
      <c r="W55" s="192">
        <v>0</v>
      </c>
      <c r="X55" s="192">
        <v>21.004000000000001</v>
      </c>
      <c r="Y55" s="192">
        <v>2.5999999999999999E-2</v>
      </c>
      <c r="Z55" s="192">
        <v>0.14099999999999999</v>
      </c>
      <c r="AA55" s="192">
        <v>0</v>
      </c>
      <c r="AB55" s="192">
        <v>0</v>
      </c>
      <c r="AC55" s="192">
        <v>0</v>
      </c>
      <c r="AD55" s="192">
        <v>7.0049999999999999</v>
      </c>
      <c r="AE55" s="192">
        <v>3.0960000000000001</v>
      </c>
      <c r="AF55" s="192">
        <v>8.5000000000000006E-2</v>
      </c>
      <c r="AG55" s="192">
        <v>0.41199999999999998</v>
      </c>
      <c r="AH55" s="192">
        <v>9.4879999999999995</v>
      </c>
      <c r="AI55" s="192">
        <v>0</v>
      </c>
      <c r="AJ55" s="192">
        <v>0</v>
      </c>
      <c r="AK55" s="192">
        <v>0</v>
      </c>
      <c r="AL55" s="192">
        <v>0</v>
      </c>
      <c r="AM55" s="192">
        <v>0</v>
      </c>
      <c r="AN55" s="192">
        <v>0</v>
      </c>
      <c r="AO55" s="192">
        <v>0</v>
      </c>
      <c r="AP55" s="192">
        <v>6.6440000000000001</v>
      </c>
      <c r="AQ55" s="192">
        <v>0</v>
      </c>
      <c r="AR55" s="192">
        <v>34.226999999999997</v>
      </c>
      <c r="AS55" s="192">
        <v>6.8620000000000001</v>
      </c>
      <c r="AT55" s="192">
        <v>6.1379999999999999</v>
      </c>
      <c r="AU55" s="192">
        <v>0</v>
      </c>
      <c r="AV55" s="192">
        <v>0</v>
      </c>
      <c r="AW55" s="192">
        <v>0</v>
      </c>
      <c r="AX55" s="192">
        <v>0</v>
      </c>
      <c r="AY55" s="192">
        <v>0</v>
      </c>
      <c r="AZ55" s="192">
        <v>0</v>
      </c>
      <c r="BA55" s="192">
        <v>0</v>
      </c>
      <c r="BB55" s="192">
        <v>0</v>
      </c>
      <c r="BC55" s="192">
        <v>0</v>
      </c>
      <c r="BD55" s="192">
        <v>0</v>
      </c>
      <c r="BE55" s="192">
        <v>0</v>
      </c>
      <c r="BF55" s="192">
        <v>0</v>
      </c>
      <c r="BG55" s="192">
        <v>0</v>
      </c>
      <c r="BH55" s="192">
        <v>1202.2190000000001</v>
      </c>
      <c r="BI55" s="192">
        <v>120.166</v>
      </c>
      <c r="BJ55" s="192">
        <v>2330.3870000000002</v>
      </c>
      <c r="BK55" s="192">
        <v>53.87</v>
      </c>
      <c r="BL55" s="104"/>
      <c r="BM55" s="104"/>
    </row>
    <row r="56" spans="1:65">
      <c r="B56" s="460" t="s">
        <v>1090</v>
      </c>
      <c r="C56" s="461" t="s">
        <v>1091</v>
      </c>
      <c r="D56" s="192">
        <v>0</v>
      </c>
      <c r="E56" s="192">
        <v>0</v>
      </c>
      <c r="F56" s="192">
        <v>0</v>
      </c>
      <c r="G56" s="192">
        <v>416.65699999999998</v>
      </c>
      <c r="H56" s="192">
        <v>0</v>
      </c>
      <c r="I56" s="192">
        <v>0</v>
      </c>
      <c r="J56" s="192">
        <v>0</v>
      </c>
      <c r="K56" s="192">
        <v>0</v>
      </c>
      <c r="L56" s="192">
        <v>0</v>
      </c>
      <c r="M56" s="192">
        <v>0</v>
      </c>
      <c r="N56" s="192">
        <v>0</v>
      </c>
      <c r="O56" s="192">
        <v>0</v>
      </c>
      <c r="P56" s="192">
        <v>0</v>
      </c>
      <c r="Q56" s="192">
        <v>0</v>
      </c>
      <c r="R56" s="192">
        <v>202.077</v>
      </c>
      <c r="S56" s="192">
        <v>0</v>
      </c>
      <c r="T56" s="192">
        <v>0</v>
      </c>
      <c r="U56" s="192">
        <v>0</v>
      </c>
      <c r="V56" s="192">
        <v>0</v>
      </c>
      <c r="W56" s="192">
        <v>0</v>
      </c>
      <c r="X56" s="192">
        <v>3.9990000000000001</v>
      </c>
      <c r="Y56" s="192">
        <v>0.185</v>
      </c>
      <c r="Z56" s="192">
        <v>7.0999999999999994E-2</v>
      </c>
      <c r="AA56" s="192">
        <v>0</v>
      </c>
      <c r="AB56" s="192">
        <v>0</v>
      </c>
      <c r="AC56" s="192">
        <v>0</v>
      </c>
      <c r="AD56" s="192">
        <v>3.6949999999999998</v>
      </c>
      <c r="AE56" s="192">
        <v>1.9610000000000001</v>
      </c>
      <c r="AF56" s="192">
        <v>0.105</v>
      </c>
      <c r="AG56" s="192">
        <v>0.29799999999999999</v>
      </c>
      <c r="AH56" s="192">
        <v>9.0180000000000007</v>
      </c>
      <c r="AI56" s="192">
        <v>0</v>
      </c>
      <c r="AJ56" s="192">
        <v>0</v>
      </c>
      <c r="AK56" s="192">
        <v>0</v>
      </c>
      <c r="AL56" s="192">
        <v>0</v>
      </c>
      <c r="AM56" s="192">
        <v>0</v>
      </c>
      <c r="AN56" s="192">
        <v>0</v>
      </c>
      <c r="AO56" s="192">
        <v>0</v>
      </c>
      <c r="AP56" s="192">
        <v>34.082000000000001</v>
      </c>
      <c r="AQ56" s="192">
        <v>2.2530000000000001</v>
      </c>
      <c r="AR56" s="192">
        <v>22.692</v>
      </c>
      <c r="AS56" s="192">
        <v>28.198</v>
      </c>
      <c r="AT56" s="192">
        <v>0</v>
      </c>
      <c r="AU56" s="192">
        <v>0</v>
      </c>
      <c r="AV56" s="192">
        <v>0</v>
      </c>
      <c r="AW56" s="192">
        <v>0</v>
      </c>
      <c r="AX56" s="192">
        <v>0</v>
      </c>
      <c r="AY56" s="192">
        <v>0</v>
      </c>
      <c r="AZ56" s="192">
        <v>0</v>
      </c>
      <c r="BA56" s="192">
        <v>0</v>
      </c>
      <c r="BB56" s="192">
        <v>0</v>
      </c>
      <c r="BC56" s="192">
        <v>0</v>
      </c>
      <c r="BD56" s="192">
        <v>0</v>
      </c>
      <c r="BE56" s="192">
        <v>0</v>
      </c>
      <c r="BF56" s="192">
        <v>0</v>
      </c>
      <c r="BG56" s="192">
        <v>0</v>
      </c>
      <c r="BH56" s="192">
        <v>799.85</v>
      </c>
      <c r="BI56" s="192">
        <v>229.09</v>
      </c>
      <c r="BJ56" s="192">
        <v>1754.231</v>
      </c>
      <c r="BK56" s="192">
        <v>87.224999999999994</v>
      </c>
      <c r="BL56" s="104"/>
      <c r="BM56" s="104"/>
    </row>
    <row r="57" spans="1:65">
      <c r="B57" s="460" t="s">
        <v>1092</v>
      </c>
      <c r="C57" s="461" t="s">
        <v>1093</v>
      </c>
      <c r="D57" s="192">
        <v>0</v>
      </c>
      <c r="E57" s="192">
        <v>0</v>
      </c>
      <c r="F57" s="192">
        <v>0</v>
      </c>
      <c r="G57" s="192">
        <v>0</v>
      </c>
      <c r="H57" s="192">
        <v>0</v>
      </c>
      <c r="I57" s="192">
        <v>0</v>
      </c>
      <c r="J57" s="192">
        <v>0</v>
      </c>
      <c r="K57" s="192">
        <v>0</v>
      </c>
      <c r="L57" s="192">
        <v>0</v>
      </c>
      <c r="M57" s="192">
        <v>0</v>
      </c>
      <c r="N57" s="192">
        <v>0</v>
      </c>
      <c r="O57" s="192">
        <v>0</v>
      </c>
      <c r="P57" s="192">
        <v>0</v>
      </c>
      <c r="Q57" s="192">
        <v>0</v>
      </c>
      <c r="R57" s="192">
        <v>31.7</v>
      </c>
      <c r="S57" s="192">
        <v>0</v>
      </c>
      <c r="T57" s="192">
        <v>0</v>
      </c>
      <c r="U57" s="192">
        <v>0</v>
      </c>
      <c r="V57" s="192">
        <v>0</v>
      </c>
      <c r="W57" s="192">
        <v>0</v>
      </c>
      <c r="X57" s="192">
        <v>0.25900000000000001</v>
      </c>
      <c r="Y57" s="192">
        <v>0</v>
      </c>
      <c r="Z57" s="192">
        <v>0.21299999999999999</v>
      </c>
      <c r="AA57" s="192">
        <v>0</v>
      </c>
      <c r="AB57" s="192">
        <v>0</v>
      </c>
      <c r="AC57" s="192">
        <v>0</v>
      </c>
      <c r="AD57" s="192">
        <v>0.76300000000000001</v>
      </c>
      <c r="AE57" s="192">
        <v>3.6850000000000001</v>
      </c>
      <c r="AF57" s="192">
        <v>0</v>
      </c>
      <c r="AG57" s="192">
        <v>0</v>
      </c>
      <c r="AH57" s="192">
        <v>2.0299999999999998</v>
      </c>
      <c r="AI57" s="192">
        <v>0</v>
      </c>
      <c r="AJ57" s="192">
        <v>0</v>
      </c>
      <c r="AK57" s="192">
        <v>0</v>
      </c>
      <c r="AL57" s="192">
        <v>0</v>
      </c>
      <c r="AM57" s="192">
        <v>0</v>
      </c>
      <c r="AN57" s="192">
        <v>0</v>
      </c>
      <c r="AO57" s="192">
        <v>0</v>
      </c>
      <c r="AP57" s="192">
        <v>0</v>
      </c>
      <c r="AQ57" s="192">
        <v>0</v>
      </c>
      <c r="AR57" s="192">
        <v>2.31</v>
      </c>
      <c r="AS57" s="192">
        <v>53.234000000000002</v>
      </c>
      <c r="AT57" s="192">
        <v>0</v>
      </c>
      <c r="AU57" s="192">
        <v>0</v>
      </c>
      <c r="AV57" s="192">
        <v>0</v>
      </c>
      <c r="AW57" s="192">
        <v>0</v>
      </c>
      <c r="AX57" s="192">
        <v>0</v>
      </c>
      <c r="AY57" s="192">
        <v>0</v>
      </c>
      <c r="AZ57" s="192">
        <v>0</v>
      </c>
      <c r="BA57" s="192">
        <v>0</v>
      </c>
      <c r="BB57" s="192">
        <v>0</v>
      </c>
      <c r="BC57" s="192">
        <v>0</v>
      </c>
      <c r="BD57" s="192">
        <v>0</v>
      </c>
      <c r="BE57" s="192">
        <v>0</v>
      </c>
      <c r="BF57" s="192">
        <v>0</v>
      </c>
      <c r="BG57" s="192">
        <v>0</v>
      </c>
      <c r="BH57" s="192">
        <v>150.87799999999999</v>
      </c>
      <c r="BI57" s="192">
        <v>8.8230000000000004</v>
      </c>
      <c r="BJ57" s="192">
        <v>253.89500000000001</v>
      </c>
      <c r="BK57" s="192">
        <v>55.543999999999997</v>
      </c>
      <c r="BL57" s="104"/>
      <c r="BM57" s="104"/>
    </row>
    <row r="58" spans="1:65">
      <c r="B58" s="460" t="s">
        <v>1094</v>
      </c>
      <c r="C58" s="461" t="s">
        <v>1095</v>
      </c>
      <c r="D58" s="192">
        <v>0</v>
      </c>
      <c r="E58" s="192">
        <v>0</v>
      </c>
      <c r="F58" s="192">
        <v>0</v>
      </c>
      <c r="G58" s="192">
        <v>0</v>
      </c>
      <c r="H58" s="192">
        <v>0</v>
      </c>
      <c r="I58" s="192">
        <v>0</v>
      </c>
      <c r="J58" s="192">
        <v>0</v>
      </c>
      <c r="K58" s="192">
        <v>0</v>
      </c>
      <c r="L58" s="192">
        <v>0</v>
      </c>
      <c r="M58" s="192">
        <v>0</v>
      </c>
      <c r="N58" s="192">
        <v>0</v>
      </c>
      <c r="O58" s="192">
        <v>0</v>
      </c>
      <c r="P58" s="192">
        <v>0</v>
      </c>
      <c r="Q58" s="192">
        <v>0</v>
      </c>
      <c r="R58" s="192">
        <v>305.89699999999999</v>
      </c>
      <c r="S58" s="192">
        <v>0</v>
      </c>
      <c r="T58" s="192">
        <v>0</v>
      </c>
      <c r="U58" s="192">
        <v>0</v>
      </c>
      <c r="V58" s="192">
        <v>0</v>
      </c>
      <c r="W58" s="192">
        <v>0</v>
      </c>
      <c r="X58" s="192">
        <v>5.2949999999999999</v>
      </c>
      <c r="Y58" s="192">
        <v>0</v>
      </c>
      <c r="Z58" s="192">
        <v>6.9000000000000006E-2</v>
      </c>
      <c r="AA58" s="192">
        <v>0</v>
      </c>
      <c r="AB58" s="192">
        <v>0</v>
      </c>
      <c r="AC58" s="192">
        <v>0</v>
      </c>
      <c r="AD58" s="192">
        <v>1.0209999999999999</v>
      </c>
      <c r="AE58" s="192">
        <v>6.6689999999999996</v>
      </c>
      <c r="AF58" s="192">
        <v>6.3E-2</v>
      </c>
      <c r="AG58" s="192">
        <v>0.60399999999999998</v>
      </c>
      <c r="AH58" s="192">
        <v>9.2550000000000008</v>
      </c>
      <c r="AI58" s="192">
        <v>0</v>
      </c>
      <c r="AJ58" s="192">
        <v>0</v>
      </c>
      <c r="AK58" s="192">
        <v>0</v>
      </c>
      <c r="AL58" s="192">
        <v>0</v>
      </c>
      <c r="AM58" s="192">
        <v>0</v>
      </c>
      <c r="AN58" s="192">
        <v>0</v>
      </c>
      <c r="AO58" s="192">
        <v>0</v>
      </c>
      <c r="AP58" s="192">
        <v>259.07499999999999</v>
      </c>
      <c r="AQ58" s="192">
        <v>15.792</v>
      </c>
      <c r="AR58" s="192">
        <v>169.94800000000001</v>
      </c>
      <c r="AS58" s="192">
        <v>14.835000000000001</v>
      </c>
      <c r="AT58" s="192">
        <v>4.1870000000000003</v>
      </c>
      <c r="AU58" s="192">
        <v>0</v>
      </c>
      <c r="AV58" s="192">
        <v>0</v>
      </c>
      <c r="AW58" s="192">
        <v>0</v>
      </c>
      <c r="AX58" s="192">
        <v>0</v>
      </c>
      <c r="AY58" s="192">
        <v>0</v>
      </c>
      <c r="AZ58" s="192">
        <v>0</v>
      </c>
      <c r="BA58" s="192">
        <v>0</v>
      </c>
      <c r="BB58" s="192">
        <v>0</v>
      </c>
      <c r="BC58" s="192">
        <v>0</v>
      </c>
      <c r="BD58" s="192">
        <v>0</v>
      </c>
      <c r="BE58" s="192">
        <v>0</v>
      </c>
      <c r="BF58" s="192">
        <v>0</v>
      </c>
      <c r="BG58" s="192">
        <v>0</v>
      </c>
      <c r="BH58" s="192">
        <v>820.95699999999999</v>
      </c>
      <c r="BI58" s="192">
        <v>275.42899999999997</v>
      </c>
      <c r="BJ58" s="192">
        <v>1889.096</v>
      </c>
      <c r="BK58" s="192">
        <v>463.83699999999999</v>
      </c>
      <c r="BL58" s="104"/>
      <c r="BM58" s="104"/>
    </row>
    <row r="59" spans="1:65">
      <c r="B59" s="456" t="s">
        <v>1096</v>
      </c>
      <c r="C59" s="457" t="s">
        <v>1097</v>
      </c>
      <c r="D59" s="458">
        <v>0</v>
      </c>
      <c r="E59" s="458">
        <v>0</v>
      </c>
      <c r="F59" s="458">
        <v>0</v>
      </c>
      <c r="G59" s="458">
        <v>657.49199999999996</v>
      </c>
      <c r="H59" s="458">
        <v>0</v>
      </c>
      <c r="I59" s="458">
        <v>0</v>
      </c>
      <c r="J59" s="458">
        <v>0</v>
      </c>
      <c r="K59" s="458">
        <v>0</v>
      </c>
      <c r="L59" s="458">
        <v>0</v>
      </c>
      <c r="M59" s="458">
        <v>0</v>
      </c>
      <c r="N59" s="458">
        <v>0</v>
      </c>
      <c r="O59" s="458">
        <v>0</v>
      </c>
      <c r="P59" s="458">
        <v>0</v>
      </c>
      <c r="Q59" s="458">
        <v>220.59399999999999</v>
      </c>
      <c r="R59" s="458">
        <v>1863.222</v>
      </c>
      <c r="S59" s="458">
        <v>0</v>
      </c>
      <c r="T59" s="458">
        <v>0</v>
      </c>
      <c r="U59" s="458">
        <v>0</v>
      </c>
      <c r="V59" s="458">
        <v>0</v>
      </c>
      <c r="W59" s="458">
        <v>293.34500000000003</v>
      </c>
      <c r="X59" s="458">
        <v>4.6669999999999998</v>
      </c>
      <c r="Y59" s="458">
        <v>9.5630000000000006</v>
      </c>
      <c r="Z59" s="458">
        <v>0.155</v>
      </c>
      <c r="AA59" s="458">
        <v>0</v>
      </c>
      <c r="AB59" s="458">
        <v>0</v>
      </c>
      <c r="AC59" s="458">
        <v>0</v>
      </c>
      <c r="AD59" s="458">
        <v>7.8170000000000002</v>
      </c>
      <c r="AE59" s="458">
        <v>7.6</v>
      </c>
      <c r="AF59" s="458">
        <v>2.028</v>
      </c>
      <c r="AG59" s="458">
        <v>3.3809999999999998</v>
      </c>
      <c r="AH59" s="458">
        <v>180.613</v>
      </c>
      <c r="AI59" s="458">
        <v>0</v>
      </c>
      <c r="AJ59" s="458">
        <v>0</v>
      </c>
      <c r="AK59" s="458">
        <v>0</v>
      </c>
      <c r="AL59" s="458">
        <v>0</v>
      </c>
      <c r="AM59" s="458">
        <v>0</v>
      </c>
      <c r="AN59" s="458">
        <v>0</v>
      </c>
      <c r="AO59" s="458">
        <v>0</v>
      </c>
      <c r="AP59" s="458">
        <v>252.06800000000001</v>
      </c>
      <c r="AQ59" s="458">
        <v>0</v>
      </c>
      <c r="AR59" s="458">
        <v>138.952</v>
      </c>
      <c r="AS59" s="458">
        <v>274.30500000000001</v>
      </c>
      <c r="AT59" s="458">
        <v>0</v>
      </c>
      <c r="AU59" s="458">
        <v>0.184</v>
      </c>
      <c r="AV59" s="458">
        <v>0</v>
      </c>
      <c r="AW59" s="458">
        <v>0</v>
      </c>
      <c r="AX59" s="458">
        <v>0</v>
      </c>
      <c r="AY59" s="458">
        <v>0</v>
      </c>
      <c r="AZ59" s="458">
        <v>0</v>
      </c>
      <c r="BA59" s="458">
        <v>0</v>
      </c>
      <c r="BB59" s="458">
        <v>0</v>
      </c>
      <c r="BC59" s="458">
        <v>0</v>
      </c>
      <c r="BD59" s="458">
        <v>0</v>
      </c>
      <c r="BE59" s="458">
        <v>0</v>
      </c>
      <c r="BF59" s="458">
        <v>0</v>
      </c>
      <c r="BG59" s="458">
        <v>0</v>
      </c>
      <c r="BH59" s="458">
        <v>5236.9960000000001</v>
      </c>
      <c r="BI59" s="458">
        <v>2538.8000000000002</v>
      </c>
      <c r="BJ59" s="458">
        <v>11691.781999999999</v>
      </c>
      <c r="BK59" s="458">
        <v>958.85400000000004</v>
      </c>
      <c r="BL59" s="104"/>
      <c r="BM59" s="104"/>
    </row>
    <row r="60" spans="1:65">
      <c r="B60" s="460" t="s">
        <v>1098</v>
      </c>
      <c r="C60" s="461" t="s">
        <v>1099</v>
      </c>
      <c r="D60" s="192">
        <v>0</v>
      </c>
      <c r="E60" s="192">
        <v>0</v>
      </c>
      <c r="F60" s="192">
        <v>0</v>
      </c>
      <c r="G60" s="192">
        <v>2143.002</v>
      </c>
      <c r="H60" s="192">
        <v>0</v>
      </c>
      <c r="I60" s="192">
        <v>0</v>
      </c>
      <c r="J60" s="192">
        <v>0</v>
      </c>
      <c r="K60" s="192">
        <v>0</v>
      </c>
      <c r="L60" s="192">
        <v>0</v>
      </c>
      <c r="M60" s="192">
        <v>0</v>
      </c>
      <c r="N60" s="192">
        <v>0</v>
      </c>
      <c r="O60" s="192">
        <v>0</v>
      </c>
      <c r="P60" s="192">
        <v>0</v>
      </c>
      <c r="Q60" s="192">
        <v>0</v>
      </c>
      <c r="R60" s="192">
        <v>532.23199999999997</v>
      </c>
      <c r="S60" s="192">
        <v>0</v>
      </c>
      <c r="T60" s="192">
        <v>0</v>
      </c>
      <c r="U60" s="192">
        <v>0</v>
      </c>
      <c r="V60" s="192">
        <v>0</v>
      </c>
      <c r="W60" s="192">
        <v>0</v>
      </c>
      <c r="X60" s="192">
        <v>26.655000000000001</v>
      </c>
      <c r="Y60" s="192">
        <v>5.0000000000000001E-3</v>
      </c>
      <c r="Z60" s="192">
        <v>0.82799999999999996</v>
      </c>
      <c r="AA60" s="192">
        <v>0</v>
      </c>
      <c r="AB60" s="192">
        <v>0</v>
      </c>
      <c r="AC60" s="192">
        <v>0</v>
      </c>
      <c r="AD60" s="192">
        <v>0.92200000000000004</v>
      </c>
      <c r="AE60" s="192">
        <v>144.18799999999999</v>
      </c>
      <c r="AF60" s="192">
        <v>3.0430000000000001</v>
      </c>
      <c r="AG60" s="192">
        <v>0.14699999999999999</v>
      </c>
      <c r="AH60" s="192">
        <v>219.50899999999999</v>
      </c>
      <c r="AI60" s="192">
        <v>0</v>
      </c>
      <c r="AJ60" s="192">
        <v>0</v>
      </c>
      <c r="AK60" s="192">
        <v>0</v>
      </c>
      <c r="AL60" s="192">
        <v>0</v>
      </c>
      <c r="AM60" s="192">
        <v>0</v>
      </c>
      <c r="AN60" s="192">
        <v>0</v>
      </c>
      <c r="AO60" s="192">
        <v>0</v>
      </c>
      <c r="AP60" s="192">
        <v>991.16499999999996</v>
      </c>
      <c r="AQ60" s="192">
        <v>0</v>
      </c>
      <c r="AR60" s="192">
        <v>0</v>
      </c>
      <c r="AS60" s="192">
        <v>0</v>
      </c>
      <c r="AT60" s="192">
        <v>0</v>
      </c>
      <c r="AU60" s="192">
        <v>0</v>
      </c>
      <c r="AV60" s="192">
        <v>0</v>
      </c>
      <c r="AW60" s="192">
        <v>0</v>
      </c>
      <c r="AX60" s="192">
        <v>0</v>
      </c>
      <c r="AY60" s="192">
        <v>0</v>
      </c>
      <c r="AZ60" s="192">
        <v>0</v>
      </c>
      <c r="BA60" s="192">
        <v>0</v>
      </c>
      <c r="BB60" s="192">
        <v>0</v>
      </c>
      <c r="BC60" s="192">
        <v>0</v>
      </c>
      <c r="BD60" s="192">
        <v>0</v>
      </c>
      <c r="BE60" s="192">
        <v>0</v>
      </c>
      <c r="BF60" s="192">
        <v>0</v>
      </c>
      <c r="BG60" s="192">
        <v>0</v>
      </c>
      <c r="BH60" s="192">
        <v>1014.636</v>
      </c>
      <c r="BI60" s="192">
        <v>0.49199999999999999</v>
      </c>
      <c r="BJ60" s="192">
        <v>5076.8240000000005</v>
      </c>
      <c r="BK60" s="192">
        <v>991.16499999999996</v>
      </c>
      <c r="BL60" s="104"/>
      <c r="BM60" s="104"/>
    </row>
    <row r="61" spans="1:65">
      <c r="B61" s="456" t="s">
        <v>1100</v>
      </c>
      <c r="C61" s="457" t="s">
        <v>1101</v>
      </c>
      <c r="D61" s="458">
        <v>0</v>
      </c>
      <c r="E61" s="458">
        <v>593.94899999999996</v>
      </c>
      <c r="F61" s="458">
        <v>0</v>
      </c>
      <c r="G61" s="458">
        <v>289.166</v>
      </c>
      <c r="H61" s="458">
        <v>0</v>
      </c>
      <c r="I61" s="458">
        <v>0</v>
      </c>
      <c r="J61" s="458">
        <v>0</v>
      </c>
      <c r="K61" s="458">
        <v>0</v>
      </c>
      <c r="L61" s="458">
        <v>696.572</v>
      </c>
      <c r="M61" s="458">
        <v>0</v>
      </c>
      <c r="N61" s="458">
        <v>1672.508</v>
      </c>
      <c r="O61" s="458">
        <v>32.920999999999999</v>
      </c>
      <c r="P61" s="458">
        <v>155.696</v>
      </c>
      <c r="Q61" s="458">
        <v>457.27800000000002</v>
      </c>
      <c r="R61" s="458">
        <v>1075.836</v>
      </c>
      <c r="S61" s="458">
        <v>0</v>
      </c>
      <c r="T61" s="458">
        <v>0</v>
      </c>
      <c r="U61" s="458">
        <v>0</v>
      </c>
      <c r="V61" s="458">
        <v>0</v>
      </c>
      <c r="W61" s="458">
        <v>0</v>
      </c>
      <c r="X61" s="458">
        <v>49.366999999999997</v>
      </c>
      <c r="Y61" s="458">
        <v>2.34</v>
      </c>
      <c r="Z61" s="458">
        <v>0</v>
      </c>
      <c r="AA61" s="458">
        <v>0</v>
      </c>
      <c r="AB61" s="458">
        <v>0</v>
      </c>
      <c r="AC61" s="458">
        <v>0</v>
      </c>
      <c r="AD61" s="458">
        <v>1.026</v>
      </c>
      <c r="AE61" s="458">
        <v>2.718</v>
      </c>
      <c r="AF61" s="458">
        <v>1.4999999999999999E-2</v>
      </c>
      <c r="AG61" s="458">
        <v>1E-3</v>
      </c>
      <c r="AH61" s="458">
        <v>2E-3</v>
      </c>
      <c r="AI61" s="458">
        <v>0</v>
      </c>
      <c r="AJ61" s="458">
        <v>0</v>
      </c>
      <c r="AK61" s="458">
        <v>0</v>
      </c>
      <c r="AL61" s="458">
        <v>0</v>
      </c>
      <c r="AM61" s="458">
        <v>0</v>
      </c>
      <c r="AN61" s="458">
        <v>0</v>
      </c>
      <c r="AO61" s="458">
        <v>0</v>
      </c>
      <c r="AP61" s="458">
        <v>0</v>
      </c>
      <c r="AQ61" s="458">
        <v>0</v>
      </c>
      <c r="AR61" s="458">
        <v>0</v>
      </c>
      <c r="AS61" s="458">
        <v>3.2789999999999999</v>
      </c>
      <c r="AT61" s="458">
        <v>0</v>
      </c>
      <c r="AU61" s="458">
        <v>0</v>
      </c>
      <c r="AV61" s="458">
        <v>0</v>
      </c>
      <c r="AW61" s="458">
        <v>0</v>
      </c>
      <c r="AX61" s="458">
        <v>0</v>
      </c>
      <c r="AY61" s="458">
        <v>0</v>
      </c>
      <c r="AZ61" s="458">
        <v>0</v>
      </c>
      <c r="BA61" s="458">
        <v>0</v>
      </c>
      <c r="BB61" s="458">
        <v>0</v>
      </c>
      <c r="BC61" s="458">
        <v>0</v>
      </c>
      <c r="BD61" s="458">
        <v>0</v>
      </c>
      <c r="BE61" s="458">
        <v>0</v>
      </c>
      <c r="BF61" s="458">
        <v>0</v>
      </c>
      <c r="BG61" s="458">
        <v>0</v>
      </c>
      <c r="BH61" s="458">
        <v>4237.2790000000005</v>
      </c>
      <c r="BI61" s="458">
        <v>6.4459999999999997</v>
      </c>
      <c r="BJ61" s="458">
        <v>9276.3990000000013</v>
      </c>
      <c r="BK61" s="458">
        <v>1864.404</v>
      </c>
      <c r="BL61" s="104"/>
      <c r="BM61" s="104"/>
    </row>
    <row r="62" spans="1:65">
      <c r="B62" s="456" t="s">
        <v>1102</v>
      </c>
      <c r="C62" s="457" t="s">
        <v>1103</v>
      </c>
      <c r="D62" s="458">
        <v>0</v>
      </c>
      <c r="E62" s="458">
        <v>170.83099999999999</v>
      </c>
      <c r="F62" s="458">
        <v>0</v>
      </c>
      <c r="G62" s="458">
        <v>253.108</v>
      </c>
      <c r="H62" s="458">
        <v>0</v>
      </c>
      <c r="I62" s="458">
        <v>0</v>
      </c>
      <c r="J62" s="458">
        <v>0</v>
      </c>
      <c r="K62" s="458">
        <v>0</v>
      </c>
      <c r="L62" s="458">
        <v>0</v>
      </c>
      <c r="M62" s="458">
        <v>0</v>
      </c>
      <c r="N62" s="458">
        <v>0</v>
      </c>
      <c r="O62" s="458">
        <v>0</v>
      </c>
      <c r="P62" s="458">
        <v>0</v>
      </c>
      <c r="Q62" s="458">
        <v>0</v>
      </c>
      <c r="R62" s="458">
        <v>498.83199999999999</v>
      </c>
      <c r="S62" s="458">
        <v>0</v>
      </c>
      <c r="T62" s="458">
        <v>0</v>
      </c>
      <c r="U62" s="458">
        <v>0</v>
      </c>
      <c r="V62" s="458">
        <v>0</v>
      </c>
      <c r="W62" s="458">
        <v>0</v>
      </c>
      <c r="X62" s="458">
        <v>17.731999999999999</v>
      </c>
      <c r="Y62" s="458">
        <v>0.13100000000000001</v>
      </c>
      <c r="Z62" s="458">
        <v>0</v>
      </c>
      <c r="AA62" s="458">
        <v>0</v>
      </c>
      <c r="AB62" s="458">
        <v>0</v>
      </c>
      <c r="AC62" s="458">
        <v>0</v>
      </c>
      <c r="AD62" s="458">
        <v>6.5000000000000002E-2</v>
      </c>
      <c r="AE62" s="458">
        <v>3.1179999999999999</v>
      </c>
      <c r="AF62" s="458">
        <v>6.0000000000000001E-3</v>
      </c>
      <c r="AG62" s="458">
        <v>1.2999999999999999E-2</v>
      </c>
      <c r="AH62" s="458">
        <v>23.225000000000001</v>
      </c>
      <c r="AI62" s="458">
        <v>0</v>
      </c>
      <c r="AJ62" s="458">
        <v>0</v>
      </c>
      <c r="AK62" s="458">
        <v>0</v>
      </c>
      <c r="AL62" s="458">
        <v>0</v>
      </c>
      <c r="AM62" s="458">
        <v>0</v>
      </c>
      <c r="AN62" s="458">
        <v>0</v>
      </c>
      <c r="AO62" s="458">
        <v>0</v>
      </c>
      <c r="AP62" s="458">
        <v>0</v>
      </c>
      <c r="AQ62" s="458">
        <v>0</v>
      </c>
      <c r="AR62" s="458">
        <v>0</v>
      </c>
      <c r="AS62" s="458">
        <v>0</v>
      </c>
      <c r="AT62" s="458">
        <v>0</v>
      </c>
      <c r="AU62" s="458">
        <v>0</v>
      </c>
      <c r="AV62" s="458">
        <v>0</v>
      </c>
      <c r="AW62" s="458">
        <v>0</v>
      </c>
      <c r="AX62" s="458">
        <v>0</v>
      </c>
      <c r="AY62" s="458">
        <v>0</v>
      </c>
      <c r="AZ62" s="458">
        <v>0</v>
      </c>
      <c r="BA62" s="458">
        <v>0</v>
      </c>
      <c r="BB62" s="458">
        <v>0</v>
      </c>
      <c r="BC62" s="458">
        <v>0</v>
      </c>
      <c r="BD62" s="458">
        <v>0</v>
      </c>
      <c r="BE62" s="458">
        <v>0</v>
      </c>
      <c r="BF62" s="458">
        <v>0</v>
      </c>
      <c r="BG62" s="458">
        <v>0</v>
      </c>
      <c r="BH62" s="458">
        <v>920.91600000000005</v>
      </c>
      <c r="BI62" s="458">
        <v>72.991</v>
      </c>
      <c r="BJ62" s="458">
        <v>1960.9680000000001</v>
      </c>
      <c r="BK62" s="458">
        <v>0</v>
      </c>
      <c r="BL62" s="104"/>
      <c r="BM62" s="104"/>
    </row>
    <row r="63" spans="1:65">
      <c r="B63" s="456" t="s">
        <v>1104</v>
      </c>
      <c r="C63" s="457" t="s">
        <v>1105</v>
      </c>
      <c r="D63" s="458">
        <v>0</v>
      </c>
      <c r="E63" s="458">
        <v>0</v>
      </c>
      <c r="F63" s="458">
        <v>0</v>
      </c>
      <c r="G63" s="458">
        <v>0</v>
      </c>
      <c r="H63" s="458">
        <v>0</v>
      </c>
      <c r="I63" s="458">
        <v>0</v>
      </c>
      <c r="J63" s="458">
        <v>0</v>
      </c>
      <c r="K63" s="458">
        <v>0</v>
      </c>
      <c r="L63" s="458">
        <v>0</v>
      </c>
      <c r="M63" s="458">
        <v>0</v>
      </c>
      <c r="N63" s="458">
        <v>0</v>
      </c>
      <c r="O63" s="458">
        <v>0</v>
      </c>
      <c r="P63" s="458">
        <v>0</v>
      </c>
      <c r="Q63" s="458">
        <v>0</v>
      </c>
      <c r="R63" s="458">
        <v>1421.7139999999999</v>
      </c>
      <c r="S63" s="458">
        <v>0</v>
      </c>
      <c r="T63" s="458">
        <v>0</v>
      </c>
      <c r="U63" s="458">
        <v>0</v>
      </c>
      <c r="V63" s="458">
        <v>0</v>
      </c>
      <c r="W63" s="458">
        <v>0</v>
      </c>
      <c r="X63" s="458">
        <v>20.783999999999999</v>
      </c>
      <c r="Y63" s="458">
        <v>0.3</v>
      </c>
      <c r="Z63" s="458">
        <v>0.39600000000000002</v>
      </c>
      <c r="AA63" s="458">
        <v>0</v>
      </c>
      <c r="AB63" s="458">
        <v>0</v>
      </c>
      <c r="AC63" s="458">
        <v>0</v>
      </c>
      <c r="AD63" s="458">
        <v>10.981</v>
      </c>
      <c r="AE63" s="458">
        <v>40.145000000000003</v>
      </c>
      <c r="AF63" s="458">
        <v>4.742</v>
      </c>
      <c r="AG63" s="458">
        <v>0.60099999999999998</v>
      </c>
      <c r="AH63" s="458">
        <v>2.7639999999999998</v>
      </c>
      <c r="AI63" s="458">
        <v>0</v>
      </c>
      <c r="AJ63" s="458">
        <v>0</v>
      </c>
      <c r="AK63" s="458">
        <v>0</v>
      </c>
      <c r="AL63" s="458">
        <v>0</v>
      </c>
      <c r="AM63" s="458">
        <v>0</v>
      </c>
      <c r="AN63" s="458">
        <v>0</v>
      </c>
      <c r="AO63" s="458">
        <v>0</v>
      </c>
      <c r="AP63" s="458">
        <v>0</v>
      </c>
      <c r="AQ63" s="458">
        <v>0</v>
      </c>
      <c r="AR63" s="458">
        <v>1.944</v>
      </c>
      <c r="AS63" s="458">
        <v>37.509</v>
      </c>
      <c r="AT63" s="458">
        <v>0</v>
      </c>
      <c r="AU63" s="458">
        <v>0</v>
      </c>
      <c r="AV63" s="458">
        <v>0</v>
      </c>
      <c r="AW63" s="458">
        <v>0</v>
      </c>
      <c r="AX63" s="458">
        <v>0</v>
      </c>
      <c r="AY63" s="458">
        <v>0</v>
      </c>
      <c r="AZ63" s="458">
        <v>0</v>
      </c>
      <c r="BA63" s="458">
        <v>0</v>
      </c>
      <c r="BB63" s="458">
        <v>0</v>
      </c>
      <c r="BC63" s="458">
        <v>0</v>
      </c>
      <c r="BD63" s="458">
        <v>0</v>
      </c>
      <c r="BE63" s="458">
        <v>0</v>
      </c>
      <c r="BF63" s="458">
        <v>0</v>
      </c>
      <c r="BG63" s="458">
        <v>0</v>
      </c>
      <c r="BH63" s="458">
        <v>7869.6540000000005</v>
      </c>
      <c r="BI63" s="458">
        <v>299.85000000000002</v>
      </c>
      <c r="BJ63" s="458">
        <v>9711.384</v>
      </c>
      <c r="BK63" s="458">
        <v>39.453000000000003</v>
      </c>
      <c r="BL63" s="104"/>
      <c r="BM63" s="104"/>
    </row>
    <row r="64" spans="1:65">
      <c r="B64" s="456" t="s">
        <v>1106</v>
      </c>
      <c r="C64" s="457" t="s">
        <v>1107</v>
      </c>
      <c r="D64" s="458">
        <v>0</v>
      </c>
      <c r="E64" s="458">
        <v>0</v>
      </c>
      <c r="F64" s="458">
        <v>0</v>
      </c>
      <c r="G64" s="458">
        <v>0</v>
      </c>
      <c r="H64" s="458">
        <v>0</v>
      </c>
      <c r="I64" s="458">
        <v>0</v>
      </c>
      <c r="J64" s="458">
        <v>0</v>
      </c>
      <c r="K64" s="458">
        <v>0</v>
      </c>
      <c r="L64" s="458">
        <v>0</v>
      </c>
      <c r="M64" s="458">
        <v>0</v>
      </c>
      <c r="N64" s="458">
        <v>0</v>
      </c>
      <c r="O64" s="458">
        <v>0</v>
      </c>
      <c r="P64" s="458">
        <v>0</v>
      </c>
      <c r="Q64" s="458">
        <v>18.257999999999999</v>
      </c>
      <c r="R64" s="458">
        <v>672.70600000000002</v>
      </c>
      <c r="S64" s="458">
        <v>0</v>
      </c>
      <c r="T64" s="458">
        <v>0</v>
      </c>
      <c r="U64" s="458">
        <v>0</v>
      </c>
      <c r="V64" s="458">
        <v>0</v>
      </c>
      <c r="W64" s="458">
        <v>0</v>
      </c>
      <c r="X64" s="458">
        <v>29.553999999999998</v>
      </c>
      <c r="Y64" s="458">
        <v>1.4650000000000001</v>
      </c>
      <c r="Z64" s="458">
        <v>22.788</v>
      </c>
      <c r="AA64" s="458">
        <v>0</v>
      </c>
      <c r="AB64" s="458">
        <v>0</v>
      </c>
      <c r="AC64" s="458">
        <v>0</v>
      </c>
      <c r="AD64" s="458">
        <v>0.89100000000000001</v>
      </c>
      <c r="AE64" s="458">
        <v>93.968000000000004</v>
      </c>
      <c r="AF64" s="458">
        <v>25.452999999999999</v>
      </c>
      <c r="AG64" s="458">
        <v>1E-3</v>
      </c>
      <c r="AH64" s="458">
        <v>70.27</v>
      </c>
      <c r="AI64" s="458">
        <v>0</v>
      </c>
      <c r="AJ64" s="458">
        <v>0</v>
      </c>
      <c r="AK64" s="458">
        <v>0</v>
      </c>
      <c r="AL64" s="458">
        <v>0</v>
      </c>
      <c r="AM64" s="458">
        <v>0</v>
      </c>
      <c r="AN64" s="458">
        <v>0</v>
      </c>
      <c r="AO64" s="458">
        <v>0</v>
      </c>
      <c r="AP64" s="458">
        <v>4.3150000000000004</v>
      </c>
      <c r="AQ64" s="458">
        <v>0</v>
      </c>
      <c r="AR64" s="458">
        <v>9.6140000000000008</v>
      </c>
      <c r="AS64" s="458">
        <v>0</v>
      </c>
      <c r="AT64" s="458">
        <v>0</v>
      </c>
      <c r="AU64" s="458">
        <v>0</v>
      </c>
      <c r="AV64" s="458">
        <v>0</v>
      </c>
      <c r="AW64" s="458">
        <v>0</v>
      </c>
      <c r="AX64" s="458">
        <v>0</v>
      </c>
      <c r="AY64" s="458">
        <v>0</v>
      </c>
      <c r="AZ64" s="458">
        <v>0</v>
      </c>
      <c r="BA64" s="458">
        <v>0</v>
      </c>
      <c r="BB64" s="458">
        <v>0</v>
      </c>
      <c r="BC64" s="458">
        <v>0</v>
      </c>
      <c r="BD64" s="458">
        <v>0</v>
      </c>
      <c r="BE64" s="458">
        <v>0</v>
      </c>
      <c r="BF64" s="458">
        <v>0</v>
      </c>
      <c r="BG64" s="458">
        <v>0</v>
      </c>
      <c r="BH64" s="458">
        <v>1956.317</v>
      </c>
      <c r="BI64" s="458">
        <v>47.942</v>
      </c>
      <c r="BJ64" s="458">
        <v>2953.5419999999999</v>
      </c>
      <c r="BK64" s="458">
        <v>13.929</v>
      </c>
      <c r="BL64" s="104"/>
      <c r="BM64" s="104"/>
    </row>
    <row r="65" spans="2:65">
      <c r="B65" s="460" t="s">
        <v>1108</v>
      </c>
      <c r="C65" s="461" t="s">
        <v>1109</v>
      </c>
      <c r="D65" s="192">
        <v>0</v>
      </c>
      <c r="E65" s="192">
        <v>1914.903</v>
      </c>
      <c r="F65" s="192">
        <v>0</v>
      </c>
      <c r="G65" s="192">
        <v>0</v>
      </c>
      <c r="H65" s="192">
        <v>0</v>
      </c>
      <c r="I65" s="192">
        <v>0</v>
      </c>
      <c r="J65" s="192">
        <v>0</v>
      </c>
      <c r="K65" s="192">
        <v>0.39</v>
      </c>
      <c r="L65" s="192">
        <v>0</v>
      </c>
      <c r="M65" s="192">
        <v>0</v>
      </c>
      <c r="N65" s="192">
        <v>0</v>
      </c>
      <c r="O65" s="192">
        <v>0</v>
      </c>
      <c r="P65" s="192">
        <v>0</v>
      </c>
      <c r="Q65" s="192">
        <v>240.458</v>
      </c>
      <c r="R65" s="192">
        <v>153.25299999999999</v>
      </c>
      <c r="S65" s="192">
        <v>0</v>
      </c>
      <c r="T65" s="192">
        <v>0</v>
      </c>
      <c r="U65" s="192">
        <v>0</v>
      </c>
      <c r="V65" s="192">
        <v>0</v>
      </c>
      <c r="W65" s="192">
        <v>0</v>
      </c>
      <c r="X65" s="192">
        <v>656.49400000000003</v>
      </c>
      <c r="Y65" s="192">
        <v>101.64700000000001</v>
      </c>
      <c r="Z65" s="192">
        <v>3.9220000000000002</v>
      </c>
      <c r="AA65" s="192">
        <v>0</v>
      </c>
      <c r="AB65" s="192">
        <v>0</v>
      </c>
      <c r="AC65" s="192">
        <v>0.40799999999999997</v>
      </c>
      <c r="AD65" s="192">
        <v>21.260999999999999</v>
      </c>
      <c r="AE65" s="192">
        <v>126.795</v>
      </c>
      <c r="AF65" s="192">
        <v>1.7849999999999999</v>
      </c>
      <c r="AG65" s="192">
        <v>0.92600000000000005</v>
      </c>
      <c r="AH65" s="192">
        <v>11.273</v>
      </c>
      <c r="AI65" s="192">
        <v>0</v>
      </c>
      <c r="AJ65" s="192">
        <v>0</v>
      </c>
      <c r="AK65" s="192">
        <v>0</v>
      </c>
      <c r="AL65" s="192">
        <v>0</v>
      </c>
      <c r="AM65" s="192">
        <v>0</v>
      </c>
      <c r="AN65" s="192">
        <v>0</v>
      </c>
      <c r="AO65" s="192">
        <v>0</v>
      </c>
      <c r="AP65" s="192">
        <v>154.53399999999999</v>
      </c>
      <c r="AQ65" s="192">
        <v>25.593</v>
      </c>
      <c r="AR65" s="192">
        <v>13.92</v>
      </c>
      <c r="AS65" s="192">
        <v>61.225000000000001</v>
      </c>
      <c r="AT65" s="192">
        <v>5.1680000000000001</v>
      </c>
      <c r="AU65" s="192">
        <v>0</v>
      </c>
      <c r="AV65" s="192">
        <v>0</v>
      </c>
      <c r="AW65" s="192">
        <v>0</v>
      </c>
      <c r="AX65" s="192">
        <v>0</v>
      </c>
      <c r="AY65" s="192">
        <v>0</v>
      </c>
      <c r="AZ65" s="192">
        <v>0</v>
      </c>
      <c r="BA65" s="192">
        <v>0</v>
      </c>
      <c r="BB65" s="192">
        <v>5.0199999999999996</v>
      </c>
      <c r="BC65" s="192">
        <v>0</v>
      </c>
      <c r="BD65" s="192">
        <v>1.3069999999999999</v>
      </c>
      <c r="BE65" s="192">
        <v>0</v>
      </c>
      <c r="BF65" s="192">
        <v>0</v>
      </c>
      <c r="BG65" s="192">
        <v>0</v>
      </c>
      <c r="BH65" s="192">
        <v>318.726</v>
      </c>
      <c r="BI65" s="192">
        <v>4.9000000000000002E-2</v>
      </c>
      <c r="BJ65" s="192">
        <v>3819.0570000000002</v>
      </c>
      <c r="BK65" s="192">
        <v>266.767</v>
      </c>
      <c r="BL65" s="104"/>
      <c r="BM65" s="104"/>
    </row>
    <row r="66" spans="2:65">
      <c r="B66" s="459" t="s">
        <v>1110</v>
      </c>
      <c r="C66" s="461" t="s">
        <v>1111</v>
      </c>
      <c r="D66" s="192">
        <v>0</v>
      </c>
      <c r="E66" s="192">
        <v>0</v>
      </c>
      <c r="F66" s="192">
        <v>0</v>
      </c>
      <c r="G66" s="192">
        <v>0</v>
      </c>
      <c r="H66" s="192">
        <v>0</v>
      </c>
      <c r="I66" s="192">
        <v>3.2000000000000001E-2</v>
      </c>
      <c r="J66" s="192">
        <v>0</v>
      </c>
      <c r="K66" s="192">
        <v>0</v>
      </c>
      <c r="L66" s="192">
        <v>0</v>
      </c>
      <c r="M66" s="192">
        <v>0</v>
      </c>
      <c r="N66" s="192">
        <v>0</v>
      </c>
      <c r="O66" s="192">
        <v>0</v>
      </c>
      <c r="P66" s="192">
        <v>0</v>
      </c>
      <c r="Q66" s="192">
        <v>0</v>
      </c>
      <c r="R66" s="192">
        <v>0</v>
      </c>
      <c r="S66" s="192">
        <v>0</v>
      </c>
      <c r="T66" s="192">
        <v>0</v>
      </c>
      <c r="U66" s="192">
        <v>0</v>
      </c>
      <c r="V66" s="192">
        <v>0</v>
      </c>
      <c r="W66" s="192">
        <v>0</v>
      </c>
      <c r="X66" s="192">
        <v>8.0570000000000004</v>
      </c>
      <c r="Y66" s="192">
        <v>0</v>
      </c>
      <c r="Z66" s="192">
        <v>7.6</v>
      </c>
      <c r="AA66" s="192">
        <v>0</v>
      </c>
      <c r="AB66" s="192">
        <v>0</v>
      </c>
      <c r="AC66" s="192">
        <v>0</v>
      </c>
      <c r="AD66" s="192">
        <v>27.698</v>
      </c>
      <c r="AE66" s="192">
        <v>591.54600000000005</v>
      </c>
      <c r="AF66" s="192">
        <v>36.856999999999999</v>
      </c>
      <c r="AG66" s="192">
        <v>6.0000000000000001E-3</v>
      </c>
      <c r="AH66" s="192">
        <v>1.94</v>
      </c>
      <c r="AI66" s="192">
        <v>0</v>
      </c>
      <c r="AJ66" s="192">
        <v>0</v>
      </c>
      <c r="AK66" s="192">
        <v>0</v>
      </c>
      <c r="AL66" s="192">
        <v>0</v>
      </c>
      <c r="AM66" s="192">
        <v>0</v>
      </c>
      <c r="AN66" s="192">
        <v>0</v>
      </c>
      <c r="AO66" s="192">
        <v>0</v>
      </c>
      <c r="AP66" s="192">
        <v>8.9999999999999993E-3</v>
      </c>
      <c r="AQ66" s="192">
        <v>0</v>
      </c>
      <c r="AR66" s="192">
        <v>0</v>
      </c>
      <c r="AS66" s="192">
        <v>0</v>
      </c>
      <c r="AT66" s="192">
        <v>0</v>
      </c>
      <c r="AU66" s="192">
        <v>0</v>
      </c>
      <c r="AV66" s="192">
        <v>0</v>
      </c>
      <c r="AW66" s="192">
        <v>0</v>
      </c>
      <c r="AX66" s="192">
        <v>0</v>
      </c>
      <c r="AY66" s="192">
        <v>0</v>
      </c>
      <c r="AZ66" s="192">
        <v>0</v>
      </c>
      <c r="BA66" s="192">
        <v>0</v>
      </c>
      <c r="BB66" s="192">
        <v>0</v>
      </c>
      <c r="BC66" s="192">
        <v>0</v>
      </c>
      <c r="BD66" s="192">
        <v>0</v>
      </c>
      <c r="BE66" s="192">
        <v>0</v>
      </c>
      <c r="BF66" s="192">
        <v>0</v>
      </c>
      <c r="BG66" s="192">
        <v>0</v>
      </c>
      <c r="BH66" s="192">
        <v>0</v>
      </c>
      <c r="BI66" s="192">
        <v>0</v>
      </c>
      <c r="BJ66" s="192">
        <v>673.745</v>
      </c>
      <c r="BK66" s="192">
        <v>8.9999999999999993E-3</v>
      </c>
      <c r="BL66" s="104"/>
      <c r="BM66" s="104"/>
    </row>
    <row r="67" spans="2:65">
      <c r="B67" s="445" t="s">
        <v>536</v>
      </c>
      <c r="C67" s="134" t="s">
        <v>1112</v>
      </c>
      <c r="D67" s="102">
        <v>0</v>
      </c>
      <c r="E67" s="102">
        <v>0</v>
      </c>
      <c r="F67" s="102">
        <v>0</v>
      </c>
      <c r="G67" s="102">
        <v>0</v>
      </c>
      <c r="H67" s="102">
        <v>0</v>
      </c>
      <c r="I67" s="102">
        <v>0</v>
      </c>
      <c r="J67" s="102">
        <v>0</v>
      </c>
      <c r="K67" s="102">
        <v>0</v>
      </c>
      <c r="L67" s="102">
        <v>0</v>
      </c>
      <c r="M67" s="102">
        <v>0</v>
      </c>
      <c r="N67" s="102">
        <v>0</v>
      </c>
      <c r="O67" s="102">
        <v>0</v>
      </c>
      <c r="P67" s="102">
        <v>0</v>
      </c>
      <c r="Q67" s="102">
        <v>0</v>
      </c>
      <c r="R67" s="102">
        <v>1025.471</v>
      </c>
      <c r="S67" s="102">
        <v>0</v>
      </c>
      <c r="T67" s="102">
        <v>0</v>
      </c>
      <c r="U67" s="102">
        <v>0</v>
      </c>
      <c r="V67" s="102">
        <v>0</v>
      </c>
      <c r="W67" s="102">
        <v>0</v>
      </c>
      <c r="X67" s="102">
        <v>1.7549999999999999</v>
      </c>
      <c r="Y67" s="102">
        <v>2997.5450000000001</v>
      </c>
      <c r="Z67" s="102">
        <v>10714.218999999999</v>
      </c>
      <c r="AA67" s="102">
        <v>0.82099999999999995</v>
      </c>
      <c r="AB67" s="102">
        <v>0</v>
      </c>
      <c r="AC67" s="102">
        <v>1668.0340000000001</v>
      </c>
      <c r="AD67" s="102">
        <v>4.7560000000000002</v>
      </c>
      <c r="AE67" s="102">
        <v>18586.264999999999</v>
      </c>
      <c r="AF67" s="102">
        <v>57.237000000000002</v>
      </c>
      <c r="AG67" s="102">
        <v>3.2759999999999998</v>
      </c>
      <c r="AH67" s="102">
        <v>203.67400000000001</v>
      </c>
      <c r="AI67" s="102">
        <v>0</v>
      </c>
      <c r="AJ67" s="102">
        <v>0</v>
      </c>
      <c r="AK67" s="102">
        <v>0</v>
      </c>
      <c r="AL67" s="102">
        <v>0</v>
      </c>
      <c r="AM67" s="102">
        <v>0</v>
      </c>
      <c r="AN67" s="102">
        <v>0</v>
      </c>
      <c r="AO67" s="102">
        <v>0</v>
      </c>
      <c r="AP67" s="102">
        <v>0</v>
      </c>
      <c r="AQ67" s="102">
        <v>0</v>
      </c>
      <c r="AR67" s="102">
        <v>0</v>
      </c>
      <c r="AS67" s="102">
        <v>0</v>
      </c>
      <c r="AT67" s="102">
        <v>0</v>
      </c>
      <c r="AU67" s="102">
        <v>0</v>
      </c>
      <c r="AV67" s="102">
        <v>0</v>
      </c>
      <c r="AW67" s="102">
        <v>681.63199999999995</v>
      </c>
      <c r="AX67" s="102">
        <v>0</v>
      </c>
      <c r="AY67" s="102">
        <v>0</v>
      </c>
      <c r="AZ67" s="102">
        <v>0</v>
      </c>
      <c r="BA67" s="102">
        <v>0</v>
      </c>
      <c r="BB67" s="102">
        <v>0</v>
      </c>
      <c r="BC67" s="102">
        <v>0</v>
      </c>
      <c r="BD67" s="102">
        <v>0</v>
      </c>
      <c r="BE67" s="102">
        <v>0</v>
      </c>
      <c r="BF67" s="102">
        <v>0</v>
      </c>
      <c r="BG67" s="102">
        <v>0</v>
      </c>
      <c r="BH67" s="102">
        <v>348.56400000000002</v>
      </c>
      <c r="BI67" s="102">
        <v>0</v>
      </c>
      <c r="BJ67" s="102">
        <v>36293.248999999996</v>
      </c>
      <c r="BK67" s="102">
        <v>681.63199999999995</v>
      </c>
      <c r="BL67" s="104"/>
      <c r="BM67" s="104"/>
    </row>
    <row r="68" spans="2:65">
      <c r="B68" s="447" t="s">
        <v>66</v>
      </c>
      <c r="C68" s="134" t="s">
        <v>1113</v>
      </c>
      <c r="D68" s="102">
        <v>0</v>
      </c>
      <c r="E68" s="102">
        <v>0</v>
      </c>
      <c r="F68" s="102">
        <v>0</v>
      </c>
      <c r="G68" s="102">
        <v>0</v>
      </c>
      <c r="H68" s="102">
        <v>0</v>
      </c>
      <c r="I68" s="102">
        <v>0</v>
      </c>
      <c r="J68" s="102">
        <v>0</v>
      </c>
      <c r="K68" s="102">
        <v>0</v>
      </c>
      <c r="L68" s="102">
        <v>0</v>
      </c>
      <c r="M68" s="102">
        <v>0</v>
      </c>
      <c r="N68" s="102">
        <v>0</v>
      </c>
      <c r="O68" s="102">
        <v>0</v>
      </c>
      <c r="P68" s="102">
        <v>0</v>
      </c>
      <c r="Q68" s="102">
        <v>0</v>
      </c>
      <c r="R68" s="102">
        <v>0</v>
      </c>
      <c r="S68" s="102">
        <v>0</v>
      </c>
      <c r="T68" s="102">
        <v>0</v>
      </c>
      <c r="U68" s="102">
        <v>0</v>
      </c>
      <c r="V68" s="102">
        <v>0</v>
      </c>
      <c r="W68" s="102">
        <v>0</v>
      </c>
      <c r="X68" s="102">
        <v>6.0000000000000001E-3</v>
      </c>
      <c r="Y68" s="102">
        <v>0</v>
      </c>
      <c r="Z68" s="102">
        <v>0</v>
      </c>
      <c r="AA68" s="102">
        <v>0</v>
      </c>
      <c r="AB68" s="102">
        <v>0</v>
      </c>
      <c r="AC68" s="102">
        <v>0</v>
      </c>
      <c r="AD68" s="102">
        <v>0</v>
      </c>
      <c r="AE68" s="102">
        <v>62.991999999999997</v>
      </c>
      <c r="AF68" s="102">
        <v>0</v>
      </c>
      <c r="AG68" s="102">
        <v>0</v>
      </c>
      <c r="AH68" s="102">
        <v>0</v>
      </c>
      <c r="AI68" s="102">
        <v>0</v>
      </c>
      <c r="AJ68" s="102">
        <v>0</v>
      </c>
      <c r="AK68" s="102">
        <v>0</v>
      </c>
      <c r="AL68" s="102">
        <v>0</v>
      </c>
      <c r="AM68" s="102">
        <v>0</v>
      </c>
      <c r="AN68" s="102">
        <v>0</v>
      </c>
      <c r="AO68" s="102">
        <v>0</v>
      </c>
      <c r="AP68" s="102">
        <v>0</v>
      </c>
      <c r="AQ68" s="102">
        <v>0</v>
      </c>
      <c r="AR68" s="102">
        <v>0</v>
      </c>
      <c r="AS68" s="102">
        <v>0</v>
      </c>
      <c r="AT68" s="102">
        <v>0</v>
      </c>
      <c r="AU68" s="102">
        <v>0</v>
      </c>
      <c r="AV68" s="102">
        <v>0</v>
      </c>
      <c r="AW68" s="102">
        <v>0</v>
      </c>
      <c r="AX68" s="102">
        <v>0</v>
      </c>
      <c r="AY68" s="102">
        <v>0</v>
      </c>
      <c r="AZ68" s="102">
        <v>0</v>
      </c>
      <c r="BA68" s="102">
        <v>0</v>
      </c>
      <c r="BB68" s="102">
        <v>0</v>
      </c>
      <c r="BC68" s="102">
        <v>0</v>
      </c>
      <c r="BD68" s="102">
        <v>0</v>
      </c>
      <c r="BE68" s="102">
        <v>0</v>
      </c>
      <c r="BF68" s="102">
        <v>0</v>
      </c>
      <c r="BG68" s="102">
        <v>0</v>
      </c>
      <c r="BH68" s="102">
        <v>236.547</v>
      </c>
      <c r="BI68" s="102">
        <v>0</v>
      </c>
      <c r="BJ68" s="102">
        <v>299.54500000000002</v>
      </c>
      <c r="BK68" s="102">
        <v>0</v>
      </c>
      <c r="BL68" s="104"/>
      <c r="BM68" s="104"/>
    </row>
    <row r="69" spans="2:65">
      <c r="B69" s="447" t="s">
        <v>65</v>
      </c>
      <c r="C69" s="134" t="s">
        <v>1114</v>
      </c>
      <c r="D69" s="102">
        <v>0</v>
      </c>
      <c r="E69" s="102">
        <v>0</v>
      </c>
      <c r="F69" s="102">
        <v>0</v>
      </c>
      <c r="G69" s="102">
        <v>0</v>
      </c>
      <c r="H69" s="102">
        <v>0</v>
      </c>
      <c r="I69" s="102">
        <v>0</v>
      </c>
      <c r="J69" s="102">
        <v>0</v>
      </c>
      <c r="K69" s="102">
        <v>0</v>
      </c>
      <c r="L69" s="102">
        <v>0</v>
      </c>
      <c r="M69" s="102">
        <v>0</v>
      </c>
      <c r="N69" s="102">
        <v>0</v>
      </c>
      <c r="O69" s="102">
        <v>0</v>
      </c>
      <c r="P69" s="102">
        <v>0</v>
      </c>
      <c r="Q69" s="102">
        <v>0</v>
      </c>
      <c r="R69" s="102">
        <v>1025.471</v>
      </c>
      <c r="S69" s="102">
        <v>0</v>
      </c>
      <c r="T69" s="102">
        <v>0</v>
      </c>
      <c r="U69" s="102">
        <v>0</v>
      </c>
      <c r="V69" s="102">
        <v>0</v>
      </c>
      <c r="W69" s="102">
        <v>0</v>
      </c>
      <c r="X69" s="102">
        <v>0.41199999999999998</v>
      </c>
      <c r="Y69" s="102">
        <v>2997.5450000000001</v>
      </c>
      <c r="Z69" s="102">
        <v>10714.216</v>
      </c>
      <c r="AA69" s="102">
        <v>0</v>
      </c>
      <c r="AB69" s="102">
        <v>0</v>
      </c>
      <c r="AC69" s="102">
        <v>0</v>
      </c>
      <c r="AD69" s="102">
        <v>0.623</v>
      </c>
      <c r="AE69" s="102">
        <v>18325.473000000002</v>
      </c>
      <c r="AF69" s="102">
        <v>0.51500000000000001</v>
      </c>
      <c r="AG69" s="102">
        <v>4.4999999999999998E-2</v>
      </c>
      <c r="AH69" s="102">
        <v>0</v>
      </c>
      <c r="AI69" s="102">
        <v>0</v>
      </c>
      <c r="AJ69" s="102">
        <v>0</v>
      </c>
      <c r="AK69" s="102">
        <v>0</v>
      </c>
      <c r="AL69" s="102">
        <v>0</v>
      </c>
      <c r="AM69" s="102">
        <v>0</v>
      </c>
      <c r="AN69" s="102">
        <v>0</v>
      </c>
      <c r="AO69" s="102">
        <v>0</v>
      </c>
      <c r="AP69" s="102">
        <v>0</v>
      </c>
      <c r="AQ69" s="102">
        <v>0</v>
      </c>
      <c r="AR69" s="102">
        <v>0</v>
      </c>
      <c r="AS69" s="102">
        <v>0</v>
      </c>
      <c r="AT69" s="102">
        <v>0</v>
      </c>
      <c r="AU69" s="102">
        <v>0</v>
      </c>
      <c r="AV69" s="102">
        <v>0</v>
      </c>
      <c r="AW69" s="102">
        <v>681.63199999999995</v>
      </c>
      <c r="AX69" s="102">
        <v>0</v>
      </c>
      <c r="AY69" s="102">
        <v>0</v>
      </c>
      <c r="AZ69" s="102">
        <v>0</v>
      </c>
      <c r="BA69" s="102">
        <v>0</v>
      </c>
      <c r="BB69" s="102">
        <v>0</v>
      </c>
      <c r="BC69" s="102">
        <v>0</v>
      </c>
      <c r="BD69" s="102">
        <v>0</v>
      </c>
      <c r="BE69" s="102">
        <v>0</v>
      </c>
      <c r="BF69" s="102">
        <v>0</v>
      </c>
      <c r="BG69" s="102">
        <v>0</v>
      </c>
      <c r="BH69" s="102">
        <v>112.017</v>
      </c>
      <c r="BI69" s="102">
        <v>0</v>
      </c>
      <c r="BJ69" s="102">
        <v>33857.949000000001</v>
      </c>
      <c r="BK69" s="102">
        <v>681.63199999999995</v>
      </c>
      <c r="BL69" s="104"/>
      <c r="BM69" s="104"/>
    </row>
    <row r="70" spans="2:65">
      <c r="B70" s="447" t="s">
        <v>1115</v>
      </c>
      <c r="C70" s="134" t="s">
        <v>1116</v>
      </c>
      <c r="D70" s="102">
        <v>0</v>
      </c>
      <c r="E70" s="102">
        <v>0</v>
      </c>
      <c r="F70" s="102">
        <v>0</v>
      </c>
      <c r="G70" s="102">
        <v>0</v>
      </c>
      <c r="H70" s="102">
        <v>0</v>
      </c>
      <c r="I70" s="102">
        <v>0</v>
      </c>
      <c r="J70" s="102">
        <v>0</v>
      </c>
      <c r="K70" s="102">
        <v>0</v>
      </c>
      <c r="L70" s="102">
        <v>0</v>
      </c>
      <c r="M70" s="102">
        <v>0</v>
      </c>
      <c r="N70" s="102">
        <v>0</v>
      </c>
      <c r="O70" s="102">
        <v>0</v>
      </c>
      <c r="P70" s="102">
        <v>0</v>
      </c>
      <c r="Q70" s="102">
        <v>0</v>
      </c>
      <c r="R70" s="102">
        <v>0</v>
      </c>
      <c r="S70" s="102">
        <v>0</v>
      </c>
      <c r="T70" s="102">
        <v>0</v>
      </c>
      <c r="U70" s="102">
        <v>0</v>
      </c>
      <c r="V70" s="102">
        <v>0</v>
      </c>
      <c r="W70" s="102">
        <v>0</v>
      </c>
      <c r="X70" s="102">
        <v>0.98699999999999999</v>
      </c>
      <c r="Y70" s="102">
        <v>0</v>
      </c>
      <c r="Z70" s="102">
        <v>0</v>
      </c>
      <c r="AA70" s="102">
        <v>0</v>
      </c>
      <c r="AB70" s="102">
        <v>0</v>
      </c>
      <c r="AC70" s="102">
        <v>0</v>
      </c>
      <c r="AD70" s="102">
        <v>3.9009999999999998</v>
      </c>
      <c r="AE70" s="102">
        <v>195.80199999999999</v>
      </c>
      <c r="AF70" s="102">
        <v>56.722000000000001</v>
      </c>
      <c r="AG70" s="102">
        <v>3.2309999999999999</v>
      </c>
      <c r="AH70" s="102">
        <v>203.67400000000001</v>
      </c>
      <c r="AI70" s="102">
        <v>0</v>
      </c>
      <c r="AJ70" s="102">
        <v>0</v>
      </c>
      <c r="AK70" s="102">
        <v>0</v>
      </c>
      <c r="AL70" s="102">
        <v>0</v>
      </c>
      <c r="AM70" s="102">
        <v>0</v>
      </c>
      <c r="AN70" s="102">
        <v>0</v>
      </c>
      <c r="AO70" s="102">
        <v>0</v>
      </c>
      <c r="AP70" s="102">
        <v>0</v>
      </c>
      <c r="AQ70" s="102">
        <v>0</v>
      </c>
      <c r="AR70" s="102">
        <v>0</v>
      </c>
      <c r="AS70" s="102">
        <v>0</v>
      </c>
      <c r="AT70" s="102">
        <v>0</v>
      </c>
      <c r="AU70" s="102">
        <v>0</v>
      </c>
      <c r="AV70" s="102">
        <v>0</v>
      </c>
      <c r="AW70" s="102">
        <v>0</v>
      </c>
      <c r="AX70" s="102">
        <v>0</v>
      </c>
      <c r="AY70" s="102">
        <v>0</v>
      </c>
      <c r="AZ70" s="102">
        <v>0</v>
      </c>
      <c r="BA70" s="102">
        <v>0</v>
      </c>
      <c r="BB70" s="102">
        <v>0</v>
      </c>
      <c r="BC70" s="102">
        <v>0</v>
      </c>
      <c r="BD70" s="102">
        <v>0</v>
      </c>
      <c r="BE70" s="102">
        <v>0</v>
      </c>
      <c r="BF70" s="102">
        <v>0</v>
      </c>
      <c r="BG70" s="102">
        <v>0</v>
      </c>
      <c r="BH70" s="102">
        <v>0</v>
      </c>
      <c r="BI70" s="102">
        <v>0</v>
      </c>
      <c r="BJ70" s="102">
        <v>464.31700000000001</v>
      </c>
      <c r="BK70" s="102">
        <v>0</v>
      </c>
      <c r="BL70" s="104"/>
      <c r="BM70" s="104"/>
    </row>
    <row r="71" spans="2:65">
      <c r="B71" s="447" t="s">
        <v>1117</v>
      </c>
      <c r="C71" s="134" t="s">
        <v>1118</v>
      </c>
      <c r="D71" s="102">
        <v>0</v>
      </c>
      <c r="E71" s="102">
        <v>0</v>
      </c>
      <c r="F71" s="102">
        <v>0</v>
      </c>
      <c r="G71" s="102">
        <v>0</v>
      </c>
      <c r="H71" s="102">
        <v>0</v>
      </c>
      <c r="I71" s="102">
        <v>0</v>
      </c>
      <c r="J71" s="102">
        <v>0</v>
      </c>
      <c r="K71" s="102">
        <v>0</v>
      </c>
      <c r="L71" s="102">
        <v>0</v>
      </c>
      <c r="M71" s="102">
        <v>0</v>
      </c>
      <c r="N71" s="102">
        <v>0</v>
      </c>
      <c r="O71" s="102">
        <v>0</v>
      </c>
      <c r="P71" s="102">
        <v>0</v>
      </c>
      <c r="Q71" s="102">
        <v>0</v>
      </c>
      <c r="R71" s="102">
        <v>0</v>
      </c>
      <c r="S71" s="102">
        <v>0</v>
      </c>
      <c r="T71" s="102">
        <v>0</v>
      </c>
      <c r="U71" s="102">
        <v>0</v>
      </c>
      <c r="V71" s="102">
        <v>0</v>
      </c>
      <c r="W71" s="102">
        <v>0</v>
      </c>
      <c r="X71" s="102">
        <v>0.35</v>
      </c>
      <c r="Y71" s="102">
        <v>0</v>
      </c>
      <c r="Z71" s="102">
        <v>3.0000000000000001E-3</v>
      </c>
      <c r="AA71" s="102">
        <v>0.82099999999999995</v>
      </c>
      <c r="AB71" s="102">
        <v>0</v>
      </c>
      <c r="AC71" s="102">
        <v>1668.0340000000001</v>
      </c>
      <c r="AD71" s="102">
        <v>0.23200000000000001</v>
      </c>
      <c r="AE71" s="102">
        <v>1.9990000000000001</v>
      </c>
      <c r="AF71" s="102">
        <v>0</v>
      </c>
      <c r="AG71" s="102">
        <v>0</v>
      </c>
      <c r="AH71" s="102">
        <v>0</v>
      </c>
      <c r="AI71" s="102">
        <v>0</v>
      </c>
      <c r="AJ71" s="102">
        <v>0</v>
      </c>
      <c r="AK71" s="102">
        <v>0</v>
      </c>
      <c r="AL71" s="102">
        <v>0</v>
      </c>
      <c r="AM71" s="102">
        <v>0</v>
      </c>
      <c r="AN71" s="102">
        <v>0</v>
      </c>
      <c r="AO71" s="102">
        <v>0</v>
      </c>
      <c r="AP71" s="102">
        <v>0</v>
      </c>
      <c r="AQ71" s="102">
        <v>0</v>
      </c>
      <c r="AR71" s="102">
        <v>0</v>
      </c>
      <c r="AS71" s="102">
        <v>0</v>
      </c>
      <c r="AT71" s="102">
        <v>0</v>
      </c>
      <c r="AU71" s="102">
        <v>0</v>
      </c>
      <c r="AV71" s="102">
        <v>0</v>
      </c>
      <c r="AW71" s="102">
        <v>0</v>
      </c>
      <c r="AX71" s="102">
        <v>0</v>
      </c>
      <c r="AY71" s="102">
        <v>0</v>
      </c>
      <c r="AZ71" s="102">
        <v>0</v>
      </c>
      <c r="BA71" s="102">
        <v>0</v>
      </c>
      <c r="BB71" s="102">
        <v>0</v>
      </c>
      <c r="BC71" s="102">
        <v>0</v>
      </c>
      <c r="BD71" s="102">
        <v>0</v>
      </c>
      <c r="BE71" s="102">
        <v>0</v>
      </c>
      <c r="BF71" s="102">
        <v>0</v>
      </c>
      <c r="BG71" s="102">
        <v>0</v>
      </c>
      <c r="BH71" s="102">
        <v>0</v>
      </c>
      <c r="BI71" s="102">
        <v>0</v>
      </c>
      <c r="BJ71" s="102">
        <v>1671.4390000000001</v>
      </c>
      <c r="BK71" s="102">
        <v>0</v>
      </c>
      <c r="BL71" s="104"/>
      <c r="BM71" s="104"/>
    </row>
    <row r="72" spans="2:65">
      <c r="B72" s="445" t="s">
        <v>537</v>
      </c>
      <c r="C72" s="134" t="s">
        <v>1119</v>
      </c>
      <c r="D72" s="102">
        <v>0</v>
      </c>
      <c r="E72" s="102">
        <v>0</v>
      </c>
      <c r="F72" s="102">
        <v>0</v>
      </c>
      <c r="G72" s="102">
        <v>0</v>
      </c>
      <c r="H72" s="102">
        <v>0</v>
      </c>
      <c r="I72" s="102">
        <v>0</v>
      </c>
      <c r="J72" s="102">
        <v>0</v>
      </c>
      <c r="K72" s="102">
        <v>177.89099999999999</v>
      </c>
      <c r="L72" s="102">
        <v>0</v>
      </c>
      <c r="M72" s="102">
        <v>0</v>
      </c>
      <c r="N72" s="102">
        <v>0</v>
      </c>
      <c r="O72" s="102">
        <v>0</v>
      </c>
      <c r="P72" s="102">
        <v>0</v>
      </c>
      <c r="Q72" s="102">
        <v>0</v>
      </c>
      <c r="R72" s="102">
        <v>11466.924999999999</v>
      </c>
      <c r="S72" s="102">
        <v>0</v>
      </c>
      <c r="T72" s="102">
        <v>0</v>
      </c>
      <c r="U72" s="102">
        <v>0</v>
      </c>
      <c r="V72" s="102">
        <v>0</v>
      </c>
      <c r="W72" s="102">
        <v>0</v>
      </c>
      <c r="X72" s="102">
        <v>593.47799999999995</v>
      </c>
      <c r="Y72" s="102">
        <v>13.237</v>
      </c>
      <c r="Z72" s="102">
        <v>0.42799999999999999</v>
      </c>
      <c r="AA72" s="102">
        <v>0</v>
      </c>
      <c r="AB72" s="102">
        <v>0</v>
      </c>
      <c r="AC72" s="102">
        <v>0</v>
      </c>
      <c r="AD72" s="102">
        <v>1407.8620000000001</v>
      </c>
      <c r="AE72" s="102">
        <v>1.4510000000000001</v>
      </c>
      <c r="AF72" s="102">
        <v>1.1910000000000001</v>
      </c>
      <c r="AG72" s="102">
        <v>0.309</v>
      </c>
      <c r="AH72" s="102">
        <v>8.0879999999999992</v>
      </c>
      <c r="AI72" s="102">
        <v>0</v>
      </c>
      <c r="AJ72" s="102">
        <v>0</v>
      </c>
      <c r="AK72" s="102">
        <v>0</v>
      </c>
      <c r="AL72" s="102">
        <v>0</v>
      </c>
      <c r="AM72" s="102">
        <v>0</v>
      </c>
      <c r="AN72" s="102">
        <v>0</v>
      </c>
      <c r="AO72" s="102">
        <v>0</v>
      </c>
      <c r="AP72" s="102">
        <v>0</v>
      </c>
      <c r="AQ72" s="102">
        <v>0</v>
      </c>
      <c r="AR72" s="102">
        <v>0</v>
      </c>
      <c r="AS72" s="102">
        <v>127.423</v>
      </c>
      <c r="AT72" s="102">
        <v>0</v>
      </c>
      <c r="AU72" s="102">
        <v>0</v>
      </c>
      <c r="AV72" s="102">
        <v>0</v>
      </c>
      <c r="AW72" s="102">
        <v>0</v>
      </c>
      <c r="AX72" s="102">
        <v>0</v>
      </c>
      <c r="AY72" s="102">
        <v>0</v>
      </c>
      <c r="AZ72" s="102">
        <v>0</v>
      </c>
      <c r="BA72" s="102">
        <v>0</v>
      </c>
      <c r="BB72" s="102">
        <v>48.491999999999997</v>
      </c>
      <c r="BC72" s="102">
        <v>0</v>
      </c>
      <c r="BD72" s="102">
        <v>11.326000000000001</v>
      </c>
      <c r="BE72" s="102">
        <v>0</v>
      </c>
      <c r="BF72" s="102">
        <v>0</v>
      </c>
      <c r="BG72" s="102">
        <v>0</v>
      </c>
      <c r="BH72" s="102">
        <v>6962.5050000000001</v>
      </c>
      <c r="BI72" s="102">
        <v>2494.9450000000002</v>
      </c>
      <c r="BJ72" s="102">
        <v>23315.550999999996</v>
      </c>
      <c r="BK72" s="102">
        <v>187.24</v>
      </c>
      <c r="BL72" s="104"/>
      <c r="BM72" s="104"/>
    </row>
    <row r="73" spans="2:65">
      <c r="B73" s="445" t="s">
        <v>1120</v>
      </c>
      <c r="C73" s="134" t="s">
        <v>1121</v>
      </c>
      <c r="D73" s="102">
        <v>0</v>
      </c>
      <c r="E73" s="102">
        <v>0</v>
      </c>
      <c r="F73" s="102">
        <v>0</v>
      </c>
      <c r="G73" s="102">
        <v>0</v>
      </c>
      <c r="H73" s="102">
        <v>0</v>
      </c>
      <c r="I73" s="102">
        <v>0</v>
      </c>
      <c r="J73" s="102">
        <v>0</v>
      </c>
      <c r="K73" s="102">
        <v>16.670000000000002</v>
      </c>
      <c r="L73" s="102">
        <v>0</v>
      </c>
      <c r="M73" s="102">
        <v>0</v>
      </c>
      <c r="N73" s="102">
        <v>0</v>
      </c>
      <c r="O73" s="102">
        <v>0</v>
      </c>
      <c r="P73" s="102">
        <v>0</v>
      </c>
      <c r="Q73" s="102">
        <v>0</v>
      </c>
      <c r="R73" s="102">
        <v>3490.5160000000001</v>
      </c>
      <c r="S73" s="102">
        <v>0</v>
      </c>
      <c r="T73" s="102">
        <v>0</v>
      </c>
      <c r="U73" s="102">
        <v>0</v>
      </c>
      <c r="V73" s="102">
        <v>0</v>
      </c>
      <c r="W73" s="102">
        <v>0</v>
      </c>
      <c r="X73" s="102">
        <v>1202.636</v>
      </c>
      <c r="Y73" s="102">
        <v>83.826999999999998</v>
      </c>
      <c r="Z73" s="102">
        <v>7.0830000000000002</v>
      </c>
      <c r="AA73" s="102">
        <v>1.4999999999999999E-2</v>
      </c>
      <c r="AB73" s="102">
        <v>0</v>
      </c>
      <c r="AC73" s="102">
        <v>7.3920000000000003</v>
      </c>
      <c r="AD73" s="102">
        <v>410.79199999999997</v>
      </c>
      <c r="AE73" s="102">
        <v>369.74700000000001</v>
      </c>
      <c r="AF73" s="102">
        <v>2.8290000000000002</v>
      </c>
      <c r="AG73" s="102">
        <v>0.97299999999999998</v>
      </c>
      <c r="AH73" s="102">
        <v>21.581</v>
      </c>
      <c r="AI73" s="102">
        <v>0</v>
      </c>
      <c r="AJ73" s="102">
        <v>0</v>
      </c>
      <c r="AK73" s="102">
        <v>0</v>
      </c>
      <c r="AL73" s="102">
        <v>0</v>
      </c>
      <c r="AM73" s="102">
        <v>0</v>
      </c>
      <c r="AN73" s="102">
        <v>0</v>
      </c>
      <c r="AO73" s="102">
        <v>0</v>
      </c>
      <c r="AP73" s="102">
        <v>35.307000000000002</v>
      </c>
      <c r="AQ73" s="102">
        <v>14.313000000000001</v>
      </c>
      <c r="AR73" s="102">
        <v>38.834000000000003</v>
      </c>
      <c r="AS73" s="102">
        <v>42.054000000000002</v>
      </c>
      <c r="AT73" s="102">
        <v>0</v>
      </c>
      <c r="AU73" s="102">
        <v>0</v>
      </c>
      <c r="AV73" s="102">
        <v>0</v>
      </c>
      <c r="AW73" s="102">
        <v>0</v>
      </c>
      <c r="AX73" s="102">
        <v>0</v>
      </c>
      <c r="AY73" s="102">
        <v>0</v>
      </c>
      <c r="AZ73" s="102">
        <v>0</v>
      </c>
      <c r="BA73" s="102">
        <v>0</v>
      </c>
      <c r="BB73" s="102">
        <v>4.6829999999999998</v>
      </c>
      <c r="BC73" s="102">
        <v>0</v>
      </c>
      <c r="BD73" s="102">
        <v>1.343</v>
      </c>
      <c r="BE73" s="102">
        <v>0</v>
      </c>
      <c r="BF73" s="102">
        <v>0</v>
      </c>
      <c r="BG73" s="102">
        <v>0</v>
      </c>
      <c r="BH73" s="102">
        <v>12666.864</v>
      </c>
      <c r="BI73" s="102">
        <v>475.46600000000001</v>
      </c>
      <c r="BJ73" s="102">
        <v>18892.924999999999</v>
      </c>
      <c r="BK73" s="102">
        <v>136.53399999999999</v>
      </c>
      <c r="BL73" s="104"/>
      <c r="BM73" s="104"/>
    </row>
    <row r="74" spans="2:65">
      <c r="B74" s="445" t="s">
        <v>1122</v>
      </c>
      <c r="C74" s="134" t="s">
        <v>1123</v>
      </c>
      <c r="D74" s="102">
        <v>0</v>
      </c>
      <c r="E74" s="102">
        <v>0</v>
      </c>
      <c r="F74" s="102">
        <v>0</v>
      </c>
      <c r="G74" s="102">
        <v>0</v>
      </c>
      <c r="H74" s="102">
        <v>0</v>
      </c>
      <c r="I74" s="102">
        <v>0</v>
      </c>
      <c r="J74" s="102">
        <v>0</v>
      </c>
      <c r="K74" s="102">
        <v>0.107</v>
      </c>
      <c r="L74" s="102">
        <v>0</v>
      </c>
      <c r="M74" s="102">
        <v>0</v>
      </c>
      <c r="N74" s="102">
        <v>0</v>
      </c>
      <c r="O74" s="102">
        <v>0</v>
      </c>
      <c r="P74" s="102">
        <v>0</v>
      </c>
      <c r="Q74" s="102">
        <v>0</v>
      </c>
      <c r="R74" s="102">
        <v>66.165999999999997</v>
      </c>
      <c r="S74" s="102">
        <v>0</v>
      </c>
      <c r="T74" s="102">
        <v>0</v>
      </c>
      <c r="U74" s="102">
        <v>0</v>
      </c>
      <c r="V74" s="102">
        <v>0</v>
      </c>
      <c r="W74" s="102">
        <v>0</v>
      </c>
      <c r="X74" s="102">
        <v>25.393000000000001</v>
      </c>
      <c r="Y74" s="102">
        <v>0.14799999999999999</v>
      </c>
      <c r="Z74" s="102">
        <v>27.327000000000002</v>
      </c>
      <c r="AA74" s="102">
        <v>0.40500000000000003</v>
      </c>
      <c r="AB74" s="102">
        <v>0</v>
      </c>
      <c r="AC74" s="102">
        <v>486.14800000000002</v>
      </c>
      <c r="AD74" s="102">
        <v>33.47</v>
      </c>
      <c r="AE74" s="102">
        <v>580.27800000000002</v>
      </c>
      <c r="AF74" s="102">
        <v>2.544</v>
      </c>
      <c r="AG74" s="102">
        <v>0.26200000000000001</v>
      </c>
      <c r="AH74" s="102">
        <v>3.1829999999999998</v>
      </c>
      <c r="AI74" s="102">
        <v>0</v>
      </c>
      <c r="AJ74" s="102">
        <v>0</v>
      </c>
      <c r="AK74" s="102">
        <v>0</v>
      </c>
      <c r="AL74" s="102">
        <v>0</v>
      </c>
      <c r="AM74" s="102">
        <v>0</v>
      </c>
      <c r="AN74" s="102">
        <v>0</v>
      </c>
      <c r="AO74" s="102">
        <v>0</v>
      </c>
      <c r="AP74" s="102">
        <v>8.0540000000000003</v>
      </c>
      <c r="AQ74" s="102">
        <v>641.42499999999995</v>
      </c>
      <c r="AR74" s="102">
        <v>4.2699999999999996</v>
      </c>
      <c r="AS74" s="102">
        <v>48.140999999999998</v>
      </c>
      <c r="AT74" s="102">
        <v>38.265000000000001</v>
      </c>
      <c r="AU74" s="102">
        <v>0</v>
      </c>
      <c r="AV74" s="102">
        <v>0</v>
      </c>
      <c r="AW74" s="102">
        <v>0</v>
      </c>
      <c r="AX74" s="102">
        <v>0</v>
      </c>
      <c r="AY74" s="102">
        <v>0</v>
      </c>
      <c r="AZ74" s="102">
        <v>0</v>
      </c>
      <c r="BA74" s="102">
        <v>0</v>
      </c>
      <c r="BB74" s="102">
        <v>187.65700000000001</v>
      </c>
      <c r="BC74" s="102">
        <v>0</v>
      </c>
      <c r="BD74" s="102">
        <v>11.06</v>
      </c>
      <c r="BE74" s="102">
        <v>0</v>
      </c>
      <c r="BF74" s="102">
        <v>0</v>
      </c>
      <c r="BG74" s="102">
        <v>0</v>
      </c>
      <c r="BH74" s="102">
        <v>2814.567</v>
      </c>
      <c r="BI74" s="102">
        <v>79.138999999999996</v>
      </c>
      <c r="BJ74" s="102">
        <v>5058.0090000000009</v>
      </c>
      <c r="BK74" s="102">
        <v>938.87099999999998</v>
      </c>
      <c r="BL74" s="104"/>
      <c r="BM74" s="104"/>
    </row>
    <row r="75" spans="2:65">
      <c r="B75" s="448" t="s">
        <v>1124</v>
      </c>
      <c r="C75" s="455" t="s">
        <v>1125</v>
      </c>
      <c r="D75" s="129">
        <v>0</v>
      </c>
      <c r="E75" s="129">
        <v>0</v>
      </c>
      <c r="F75" s="129">
        <v>0</v>
      </c>
      <c r="G75" s="129">
        <v>0</v>
      </c>
      <c r="H75" s="129">
        <v>0</v>
      </c>
      <c r="I75" s="129">
        <v>0</v>
      </c>
      <c r="J75" s="129">
        <v>27.033999999999999</v>
      </c>
      <c r="K75" s="129">
        <v>0</v>
      </c>
      <c r="L75" s="129">
        <v>0</v>
      </c>
      <c r="M75" s="129">
        <v>505.601</v>
      </c>
      <c r="N75" s="129">
        <v>0</v>
      </c>
      <c r="O75" s="129">
        <v>0</v>
      </c>
      <c r="P75" s="129">
        <v>0</v>
      </c>
      <c r="Q75" s="129">
        <v>750.11400000000003</v>
      </c>
      <c r="R75" s="129">
        <v>0</v>
      </c>
      <c r="S75" s="129">
        <v>0</v>
      </c>
      <c r="T75" s="129">
        <v>0</v>
      </c>
      <c r="U75" s="129">
        <v>0</v>
      </c>
      <c r="V75" s="129">
        <v>0</v>
      </c>
      <c r="W75" s="129">
        <v>0</v>
      </c>
      <c r="X75" s="129">
        <v>4767.7839999999997</v>
      </c>
      <c r="Y75" s="129">
        <v>808.34199999999998</v>
      </c>
      <c r="Z75" s="129">
        <v>0</v>
      </c>
      <c r="AA75" s="129">
        <v>0</v>
      </c>
      <c r="AB75" s="129">
        <v>0</v>
      </c>
      <c r="AC75" s="129">
        <v>0</v>
      </c>
      <c r="AD75" s="129">
        <v>0</v>
      </c>
      <c r="AE75" s="129">
        <v>0</v>
      </c>
      <c r="AF75" s="129">
        <v>0</v>
      </c>
      <c r="AG75" s="129">
        <v>0</v>
      </c>
      <c r="AH75" s="129">
        <v>0</v>
      </c>
      <c r="AI75" s="129">
        <v>43578.720000000001</v>
      </c>
      <c r="AJ75" s="129">
        <v>174.71100000000001</v>
      </c>
      <c r="AK75" s="129">
        <v>1140.954</v>
      </c>
      <c r="AL75" s="129">
        <v>1338.0160000000001</v>
      </c>
      <c r="AM75" s="129">
        <v>23.885999999999999</v>
      </c>
      <c r="AN75" s="129">
        <v>489.786</v>
      </c>
      <c r="AO75" s="129">
        <v>2710.136</v>
      </c>
      <c r="AP75" s="129">
        <v>0</v>
      </c>
      <c r="AQ75" s="129">
        <v>0</v>
      </c>
      <c r="AR75" s="129">
        <v>0</v>
      </c>
      <c r="AS75" s="129">
        <v>0</v>
      </c>
      <c r="AT75" s="129">
        <v>0</v>
      </c>
      <c r="AU75" s="129">
        <v>0</v>
      </c>
      <c r="AV75" s="129">
        <v>0</v>
      </c>
      <c r="AW75" s="129">
        <v>0</v>
      </c>
      <c r="AX75" s="129">
        <v>0</v>
      </c>
      <c r="AY75" s="129">
        <v>0</v>
      </c>
      <c r="AZ75" s="129">
        <v>0</v>
      </c>
      <c r="BA75" s="129">
        <v>0</v>
      </c>
      <c r="BB75" s="129">
        <v>0</v>
      </c>
      <c r="BC75" s="129">
        <v>0</v>
      </c>
      <c r="BD75" s="129">
        <v>0</v>
      </c>
      <c r="BE75" s="129">
        <v>0</v>
      </c>
      <c r="BF75" s="129">
        <v>0</v>
      </c>
      <c r="BG75" s="129">
        <v>0</v>
      </c>
      <c r="BH75" s="129">
        <v>0</v>
      </c>
      <c r="BI75" s="129">
        <v>0</v>
      </c>
      <c r="BJ75" s="129">
        <v>56315.084000000003</v>
      </c>
      <c r="BK75" s="129">
        <v>0</v>
      </c>
      <c r="BL75" s="104"/>
      <c r="BM75" s="104"/>
    </row>
    <row r="76" spans="2:65">
      <c r="B76" s="445" t="s">
        <v>1126</v>
      </c>
      <c r="C76" s="451" t="s">
        <v>1127</v>
      </c>
      <c r="D76" s="102">
        <v>0</v>
      </c>
      <c r="E76" s="102">
        <v>0</v>
      </c>
      <c r="F76" s="102">
        <v>0</v>
      </c>
      <c r="G76" s="102">
        <v>0</v>
      </c>
      <c r="H76" s="102">
        <v>0</v>
      </c>
      <c r="I76" s="102">
        <v>0</v>
      </c>
      <c r="J76" s="102">
        <v>27.033999999999999</v>
      </c>
      <c r="K76" s="102">
        <v>0</v>
      </c>
      <c r="L76" s="102">
        <v>0</v>
      </c>
      <c r="M76" s="102">
        <v>505.601</v>
      </c>
      <c r="N76" s="102">
        <v>0</v>
      </c>
      <c r="O76" s="102">
        <v>0</v>
      </c>
      <c r="P76" s="102">
        <v>0</v>
      </c>
      <c r="Q76" s="102">
        <v>750.11400000000003</v>
      </c>
      <c r="R76" s="102">
        <v>0</v>
      </c>
      <c r="S76" s="102">
        <v>0</v>
      </c>
      <c r="T76" s="102">
        <v>0</v>
      </c>
      <c r="U76" s="102">
        <v>0</v>
      </c>
      <c r="V76" s="102">
        <v>0</v>
      </c>
      <c r="W76" s="102">
        <v>0</v>
      </c>
      <c r="X76" s="102">
        <v>4767.7839999999997</v>
      </c>
      <c r="Y76" s="102">
        <v>808.34199999999998</v>
      </c>
      <c r="Z76" s="102">
        <v>0</v>
      </c>
      <c r="AA76" s="102">
        <v>0</v>
      </c>
      <c r="AB76" s="102">
        <v>0</v>
      </c>
      <c r="AC76" s="102">
        <v>0</v>
      </c>
      <c r="AD76" s="102">
        <v>0</v>
      </c>
      <c r="AE76" s="102">
        <v>0</v>
      </c>
      <c r="AF76" s="102">
        <v>0</v>
      </c>
      <c r="AG76" s="102">
        <v>0</v>
      </c>
      <c r="AH76" s="102">
        <v>0</v>
      </c>
      <c r="AI76" s="102">
        <v>43578.720000000001</v>
      </c>
      <c r="AJ76" s="102">
        <v>150.53800000000001</v>
      </c>
      <c r="AK76" s="102">
        <v>1140.954</v>
      </c>
      <c r="AL76" s="102">
        <v>1338.0160000000001</v>
      </c>
      <c r="AM76" s="102">
        <v>23.885999999999999</v>
      </c>
      <c r="AN76" s="102">
        <v>489.786</v>
      </c>
      <c r="AO76" s="102">
        <v>2710.136</v>
      </c>
      <c r="AP76" s="102">
        <v>0</v>
      </c>
      <c r="AQ76" s="102">
        <v>0</v>
      </c>
      <c r="AR76" s="102">
        <v>0</v>
      </c>
      <c r="AS76" s="102">
        <v>0</v>
      </c>
      <c r="AT76" s="102">
        <v>0</v>
      </c>
      <c r="AU76" s="102">
        <v>0</v>
      </c>
      <c r="AV76" s="102">
        <v>0</v>
      </c>
      <c r="AW76" s="102">
        <v>0</v>
      </c>
      <c r="AX76" s="102">
        <v>0</v>
      </c>
      <c r="AY76" s="102">
        <v>0</v>
      </c>
      <c r="AZ76" s="102">
        <v>0</v>
      </c>
      <c r="BA76" s="102">
        <v>0</v>
      </c>
      <c r="BB76" s="102">
        <v>0</v>
      </c>
      <c r="BC76" s="102">
        <v>0</v>
      </c>
      <c r="BD76" s="102">
        <v>0</v>
      </c>
      <c r="BE76" s="102">
        <v>0</v>
      </c>
      <c r="BF76" s="102">
        <v>0</v>
      </c>
      <c r="BG76" s="102">
        <v>0</v>
      </c>
      <c r="BH76" s="102">
        <v>0</v>
      </c>
      <c r="BI76" s="102">
        <v>0</v>
      </c>
      <c r="BJ76" s="102">
        <v>56290.911</v>
      </c>
      <c r="BK76" s="102">
        <v>0</v>
      </c>
      <c r="BL76" s="104"/>
      <c r="BM76" s="104"/>
    </row>
    <row r="77" spans="2:65">
      <c r="B77" s="445" t="s">
        <v>1128</v>
      </c>
      <c r="C77" s="451" t="s">
        <v>1129</v>
      </c>
      <c r="D77" s="102">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0</v>
      </c>
      <c r="AH77" s="102">
        <v>0</v>
      </c>
      <c r="AI77" s="102">
        <v>0</v>
      </c>
      <c r="AJ77" s="102">
        <v>1E-3</v>
      </c>
      <c r="AK77" s="102">
        <v>0</v>
      </c>
      <c r="AL77" s="102">
        <v>0</v>
      </c>
      <c r="AM77" s="102">
        <v>0</v>
      </c>
      <c r="AN77" s="102">
        <v>0</v>
      </c>
      <c r="AO77" s="102">
        <v>0</v>
      </c>
      <c r="AP77" s="102">
        <v>0</v>
      </c>
      <c r="AQ77" s="102">
        <v>0</v>
      </c>
      <c r="AR77" s="102">
        <v>0</v>
      </c>
      <c r="AS77" s="102">
        <v>0</v>
      </c>
      <c r="AT77" s="102">
        <v>0</v>
      </c>
      <c r="AU77" s="102">
        <v>0</v>
      </c>
      <c r="AV77" s="102">
        <v>0</v>
      </c>
      <c r="AW77" s="102">
        <v>0</v>
      </c>
      <c r="AX77" s="102">
        <v>0</v>
      </c>
      <c r="AY77" s="102">
        <v>0</v>
      </c>
      <c r="AZ77" s="102">
        <v>0</v>
      </c>
      <c r="BA77" s="102">
        <v>0</v>
      </c>
      <c r="BB77" s="102">
        <v>0</v>
      </c>
      <c r="BC77" s="102">
        <v>0</v>
      </c>
      <c r="BD77" s="102">
        <v>0</v>
      </c>
      <c r="BE77" s="102">
        <v>0</v>
      </c>
      <c r="BF77" s="102">
        <v>0</v>
      </c>
      <c r="BG77" s="102">
        <v>0</v>
      </c>
      <c r="BH77" s="102">
        <v>0</v>
      </c>
      <c r="BI77" s="102">
        <v>0</v>
      </c>
      <c r="BJ77" s="102">
        <v>1E-3</v>
      </c>
      <c r="BK77" s="102">
        <v>0</v>
      </c>
      <c r="BL77" s="104"/>
      <c r="BM77" s="104"/>
    </row>
    <row r="78" spans="2:65">
      <c r="B78" s="445" t="s">
        <v>1130</v>
      </c>
      <c r="C78" s="451" t="s">
        <v>1131</v>
      </c>
      <c r="D78" s="102">
        <v>0</v>
      </c>
      <c r="E78" s="102">
        <v>0</v>
      </c>
      <c r="F78" s="102">
        <v>0</v>
      </c>
      <c r="G78" s="102">
        <v>0</v>
      </c>
      <c r="H78" s="102">
        <v>0</v>
      </c>
      <c r="I78" s="102">
        <v>0</v>
      </c>
      <c r="J78" s="102">
        <v>0</v>
      </c>
      <c r="K78" s="102">
        <v>0</v>
      </c>
      <c r="L78" s="102">
        <v>0</v>
      </c>
      <c r="M78" s="102">
        <v>0</v>
      </c>
      <c r="N78" s="102">
        <v>0</v>
      </c>
      <c r="O78" s="102">
        <v>0</v>
      </c>
      <c r="P78" s="102">
        <v>0</v>
      </c>
      <c r="Q78" s="102">
        <v>0</v>
      </c>
      <c r="R78" s="102">
        <v>0</v>
      </c>
      <c r="S78" s="102">
        <v>0</v>
      </c>
      <c r="T78" s="102">
        <v>0</v>
      </c>
      <c r="U78" s="102">
        <v>0</v>
      </c>
      <c r="V78" s="102">
        <v>0</v>
      </c>
      <c r="W78" s="102">
        <v>0</v>
      </c>
      <c r="X78" s="102">
        <v>0</v>
      </c>
      <c r="Y78" s="102">
        <v>0</v>
      </c>
      <c r="Z78" s="102">
        <v>0</v>
      </c>
      <c r="AA78" s="102">
        <v>0</v>
      </c>
      <c r="AB78" s="102">
        <v>0</v>
      </c>
      <c r="AC78" s="102">
        <v>0</v>
      </c>
      <c r="AD78" s="102">
        <v>0</v>
      </c>
      <c r="AE78" s="102">
        <v>0</v>
      </c>
      <c r="AF78" s="102">
        <v>0</v>
      </c>
      <c r="AG78" s="102">
        <v>0</v>
      </c>
      <c r="AH78" s="102">
        <v>0</v>
      </c>
      <c r="AI78" s="102">
        <v>0</v>
      </c>
      <c r="AJ78" s="102">
        <v>0</v>
      </c>
      <c r="AK78" s="102">
        <v>0</v>
      </c>
      <c r="AL78" s="102">
        <v>0</v>
      </c>
      <c r="AM78" s="102">
        <v>0</v>
      </c>
      <c r="AN78" s="102">
        <v>0</v>
      </c>
      <c r="AO78" s="102">
        <v>0</v>
      </c>
      <c r="AP78" s="102">
        <v>0</v>
      </c>
      <c r="AQ78" s="102">
        <v>0</v>
      </c>
      <c r="AR78" s="102">
        <v>0</v>
      </c>
      <c r="AS78" s="102">
        <v>0</v>
      </c>
      <c r="AT78" s="102">
        <v>0</v>
      </c>
      <c r="AU78" s="102">
        <v>0</v>
      </c>
      <c r="AV78" s="102">
        <v>0</v>
      </c>
      <c r="AW78" s="102">
        <v>0</v>
      </c>
      <c r="AX78" s="102">
        <v>0</v>
      </c>
      <c r="AY78" s="102">
        <v>0</v>
      </c>
      <c r="AZ78" s="102">
        <v>0</v>
      </c>
      <c r="BA78" s="102">
        <v>0</v>
      </c>
      <c r="BB78" s="102">
        <v>0</v>
      </c>
      <c r="BC78" s="102">
        <v>0</v>
      </c>
      <c r="BD78" s="102">
        <v>0</v>
      </c>
      <c r="BE78" s="102">
        <v>0</v>
      </c>
      <c r="BF78" s="102">
        <v>0</v>
      </c>
      <c r="BG78" s="102">
        <v>0</v>
      </c>
      <c r="BH78" s="102">
        <v>0</v>
      </c>
      <c r="BI78" s="102">
        <v>0</v>
      </c>
      <c r="BJ78" s="102">
        <v>0</v>
      </c>
      <c r="BK78" s="102">
        <v>0</v>
      </c>
      <c r="BL78" s="104"/>
      <c r="BM78" s="104"/>
    </row>
    <row r="79" spans="2:65">
      <c r="B79" s="445" t="s">
        <v>1132</v>
      </c>
      <c r="C79" s="451" t="s">
        <v>1133</v>
      </c>
      <c r="D79" s="102">
        <v>0</v>
      </c>
      <c r="E79" s="102">
        <v>0</v>
      </c>
      <c r="F79" s="102">
        <v>0</v>
      </c>
      <c r="G79" s="102">
        <v>0</v>
      </c>
      <c r="H79" s="102">
        <v>0</v>
      </c>
      <c r="I79" s="102">
        <v>0</v>
      </c>
      <c r="J79" s="102">
        <v>0</v>
      </c>
      <c r="K79" s="102">
        <v>0</v>
      </c>
      <c r="L79" s="102">
        <v>0</v>
      </c>
      <c r="M79" s="102">
        <v>0</v>
      </c>
      <c r="N79" s="102">
        <v>0</v>
      </c>
      <c r="O79" s="102">
        <v>0</v>
      </c>
      <c r="P79" s="102">
        <v>0</v>
      </c>
      <c r="Q79" s="102">
        <v>0</v>
      </c>
      <c r="R79" s="102">
        <v>0</v>
      </c>
      <c r="S79" s="102">
        <v>0</v>
      </c>
      <c r="T79" s="102">
        <v>0</v>
      </c>
      <c r="U79" s="102">
        <v>0</v>
      </c>
      <c r="V79" s="102">
        <v>0</v>
      </c>
      <c r="W79" s="102">
        <v>0</v>
      </c>
      <c r="X79" s="102">
        <v>0</v>
      </c>
      <c r="Y79" s="102">
        <v>0</v>
      </c>
      <c r="Z79" s="102">
        <v>0</v>
      </c>
      <c r="AA79" s="102">
        <v>0</v>
      </c>
      <c r="AB79" s="102">
        <v>0</v>
      </c>
      <c r="AC79" s="102">
        <v>0</v>
      </c>
      <c r="AD79" s="102">
        <v>0</v>
      </c>
      <c r="AE79" s="102">
        <v>0</v>
      </c>
      <c r="AF79" s="102">
        <v>0</v>
      </c>
      <c r="AG79" s="102">
        <v>0</v>
      </c>
      <c r="AH79" s="102">
        <v>0</v>
      </c>
      <c r="AI79" s="102">
        <v>0</v>
      </c>
      <c r="AJ79" s="102">
        <v>24</v>
      </c>
      <c r="AK79" s="102">
        <v>0</v>
      </c>
      <c r="AL79" s="102">
        <v>0</v>
      </c>
      <c r="AM79" s="102">
        <v>0</v>
      </c>
      <c r="AN79" s="102">
        <v>0</v>
      </c>
      <c r="AO79" s="102">
        <v>0</v>
      </c>
      <c r="AP79" s="102">
        <v>0</v>
      </c>
      <c r="AQ79" s="102">
        <v>0</v>
      </c>
      <c r="AR79" s="102">
        <v>0</v>
      </c>
      <c r="AS79" s="102">
        <v>0</v>
      </c>
      <c r="AT79" s="102">
        <v>0</v>
      </c>
      <c r="AU79" s="102">
        <v>0</v>
      </c>
      <c r="AV79" s="102">
        <v>0</v>
      </c>
      <c r="AW79" s="102">
        <v>0</v>
      </c>
      <c r="AX79" s="102">
        <v>0</v>
      </c>
      <c r="AY79" s="102">
        <v>0</v>
      </c>
      <c r="AZ79" s="102">
        <v>0</v>
      </c>
      <c r="BA79" s="102">
        <v>0</v>
      </c>
      <c r="BB79" s="102">
        <v>0</v>
      </c>
      <c r="BC79" s="102">
        <v>0</v>
      </c>
      <c r="BD79" s="102">
        <v>0</v>
      </c>
      <c r="BE79" s="102">
        <v>0</v>
      </c>
      <c r="BF79" s="102">
        <v>0</v>
      </c>
      <c r="BG79" s="102">
        <v>0</v>
      </c>
      <c r="BH79" s="102">
        <v>0</v>
      </c>
      <c r="BI79" s="102">
        <v>0</v>
      </c>
      <c r="BJ79" s="102">
        <v>24</v>
      </c>
      <c r="BK79" s="102">
        <v>0</v>
      </c>
      <c r="BL79" s="104"/>
      <c r="BM79" s="104"/>
    </row>
    <row r="80" spans="2:65">
      <c r="B80" s="445" t="s">
        <v>1134</v>
      </c>
      <c r="C80" s="451" t="s">
        <v>1135</v>
      </c>
      <c r="D80" s="102">
        <v>0</v>
      </c>
      <c r="E80" s="102">
        <v>0</v>
      </c>
      <c r="F80" s="102">
        <v>0</v>
      </c>
      <c r="G80" s="102">
        <v>0</v>
      </c>
      <c r="H80" s="102">
        <v>0</v>
      </c>
      <c r="I80" s="102">
        <v>0</v>
      </c>
      <c r="J80" s="102">
        <v>0</v>
      </c>
      <c r="K80" s="102">
        <v>0</v>
      </c>
      <c r="L80" s="102">
        <v>0</v>
      </c>
      <c r="M80" s="102">
        <v>0</v>
      </c>
      <c r="N80" s="102">
        <v>0</v>
      </c>
      <c r="O80" s="102">
        <v>0</v>
      </c>
      <c r="P80" s="102">
        <v>0</v>
      </c>
      <c r="Q80" s="102">
        <v>0</v>
      </c>
      <c r="R80" s="102">
        <v>0</v>
      </c>
      <c r="S80" s="102">
        <v>0</v>
      </c>
      <c r="T80" s="102">
        <v>0</v>
      </c>
      <c r="U80" s="102">
        <v>0</v>
      </c>
      <c r="V80" s="102">
        <v>0</v>
      </c>
      <c r="W80" s="102">
        <v>0</v>
      </c>
      <c r="X80" s="102">
        <v>0</v>
      </c>
      <c r="Y80" s="102">
        <v>0</v>
      </c>
      <c r="Z80" s="102">
        <v>0</v>
      </c>
      <c r="AA80" s="102">
        <v>0</v>
      </c>
      <c r="AB80" s="102">
        <v>0</v>
      </c>
      <c r="AC80" s="102">
        <v>0</v>
      </c>
      <c r="AD80" s="102">
        <v>0</v>
      </c>
      <c r="AE80" s="102">
        <v>0</v>
      </c>
      <c r="AF80" s="102">
        <v>0</v>
      </c>
      <c r="AG80" s="102">
        <v>0</v>
      </c>
      <c r="AH80" s="102">
        <v>0</v>
      </c>
      <c r="AI80" s="102">
        <v>0</v>
      </c>
      <c r="AJ80" s="102">
        <v>0.17199999999999999</v>
      </c>
      <c r="AK80" s="102">
        <v>0</v>
      </c>
      <c r="AL80" s="102">
        <v>0</v>
      </c>
      <c r="AM80" s="102">
        <v>0</v>
      </c>
      <c r="AN80" s="102">
        <v>0</v>
      </c>
      <c r="AO80" s="102">
        <v>0</v>
      </c>
      <c r="AP80" s="102">
        <v>0</v>
      </c>
      <c r="AQ80" s="102">
        <v>0</v>
      </c>
      <c r="AR80" s="102">
        <v>0</v>
      </c>
      <c r="AS80" s="102">
        <v>0</v>
      </c>
      <c r="AT80" s="102">
        <v>0</v>
      </c>
      <c r="AU80" s="102">
        <v>0</v>
      </c>
      <c r="AV80" s="102">
        <v>0</v>
      </c>
      <c r="AW80" s="102">
        <v>0</v>
      </c>
      <c r="AX80" s="102">
        <v>0</v>
      </c>
      <c r="AY80" s="102">
        <v>0</v>
      </c>
      <c r="AZ80" s="102">
        <v>0</v>
      </c>
      <c r="BA80" s="102">
        <v>0</v>
      </c>
      <c r="BB80" s="102">
        <v>0</v>
      </c>
      <c r="BC80" s="102">
        <v>0</v>
      </c>
      <c r="BD80" s="102">
        <v>0</v>
      </c>
      <c r="BE80" s="102">
        <v>0</v>
      </c>
      <c r="BF80" s="102">
        <v>0</v>
      </c>
      <c r="BG80" s="102">
        <v>0</v>
      </c>
      <c r="BH80" s="102">
        <v>0</v>
      </c>
      <c r="BI80" s="102">
        <v>0</v>
      </c>
      <c r="BJ80" s="102">
        <v>0.17199999999999999</v>
      </c>
      <c r="BK80" s="102">
        <v>0</v>
      </c>
      <c r="BL80" s="104"/>
      <c r="BM80" s="104"/>
    </row>
    <row r="81" spans="2:65">
      <c r="B81" s="445" t="s">
        <v>1136</v>
      </c>
      <c r="C81" s="451" t="s">
        <v>1137</v>
      </c>
      <c r="D81" s="102">
        <v>0</v>
      </c>
      <c r="E81" s="102">
        <v>0</v>
      </c>
      <c r="F81" s="102">
        <v>0</v>
      </c>
      <c r="G81" s="102">
        <v>0</v>
      </c>
      <c r="H81" s="102">
        <v>0</v>
      </c>
      <c r="I81" s="102">
        <v>0</v>
      </c>
      <c r="J81" s="102">
        <v>0</v>
      </c>
      <c r="K81" s="102">
        <v>0</v>
      </c>
      <c r="L81" s="102">
        <v>0</v>
      </c>
      <c r="M81" s="102">
        <v>505.601</v>
      </c>
      <c r="N81" s="102">
        <v>0</v>
      </c>
      <c r="O81" s="102">
        <v>0</v>
      </c>
      <c r="P81" s="102">
        <v>0</v>
      </c>
      <c r="Q81" s="102">
        <v>95.147000000000006</v>
      </c>
      <c r="R81" s="102">
        <v>0</v>
      </c>
      <c r="S81" s="102">
        <v>0</v>
      </c>
      <c r="T81" s="102">
        <v>0</v>
      </c>
      <c r="U81" s="102">
        <v>0</v>
      </c>
      <c r="V81" s="102">
        <v>0</v>
      </c>
      <c r="W81" s="102">
        <v>0</v>
      </c>
      <c r="X81" s="102">
        <v>4767.7839999999997</v>
      </c>
      <c r="Y81" s="102">
        <v>808.34199999999998</v>
      </c>
      <c r="Z81" s="102">
        <v>0</v>
      </c>
      <c r="AA81" s="102">
        <v>0</v>
      </c>
      <c r="AB81" s="102">
        <v>0</v>
      </c>
      <c r="AC81" s="102">
        <v>0</v>
      </c>
      <c r="AD81" s="102">
        <v>0</v>
      </c>
      <c r="AE81" s="102">
        <v>0</v>
      </c>
      <c r="AF81" s="102">
        <v>0</v>
      </c>
      <c r="AG81" s="102">
        <v>0</v>
      </c>
      <c r="AH81" s="102">
        <v>0</v>
      </c>
      <c r="AI81" s="102">
        <v>43578.720000000001</v>
      </c>
      <c r="AJ81" s="102">
        <v>0</v>
      </c>
      <c r="AK81" s="102">
        <v>0</v>
      </c>
      <c r="AL81" s="102">
        <v>0</v>
      </c>
      <c r="AM81" s="102">
        <v>0</v>
      </c>
      <c r="AN81" s="102">
        <v>0</v>
      </c>
      <c r="AO81" s="102">
        <v>0</v>
      </c>
      <c r="AP81" s="102">
        <v>0</v>
      </c>
      <c r="AQ81" s="102">
        <v>0</v>
      </c>
      <c r="AR81" s="102">
        <v>0</v>
      </c>
      <c r="AS81" s="102">
        <v>0</v>
      </c>
      <c r="AT81" s="102">
        <v>0</v>
      </c>
      <c r="AU81" s="102">
        <v>0</v>
      </c>
      <c r="AV81" s="102">
        <v>0</v>
      </c>
      <c r="AW81" s="102">
        <v>0</v>
      </c>
      <c r="AX81" s="102">
        <v>0</v>
      </c>
      <c r="AY81" s="102">
        <v>0</v>
      </c>
      <c r="AZ81" s="102">
        <v>0</v>
      </c>
      <c r="BA81" s="102">
        <v>0</v>
      </c>
      <c r="BB81" s="102">
        <v>0</v>
      </c>
      <c r="BC81" s="102">
        <v>0</v>
      </c>
      <c r="BD81" s="102">
        <v>0</v>
      </c>
      <c r="BE81" s="102">
        <v>0</v>
      </c>
      <c r="BF81" s="102">
        <v>0</v>
      </c>
      <c r="BG81" s="102">
        <v>0</v>
      </c>
      <c r="BH81" s="102">
        <v>0</v>
      </c>
      <c r="BI81" s="102">
        <v>0</v>
      </c>
      <c r="BJ81" s="102">
        <v>49755.593999999997</v>
      </c>
      <c r="BK81" s="102">
        <v>0</v>
      </c>
      <c r="BL81" s="104"/>
      <c r="BM81" s="104"/>
    </row>
    <row r="82" spans="2:65">
      <c r="B82" s="449" t="s">
        <v>1138</v>
      </c>
      <c r="C82" s="132" t="s">
        <v>1139</v>
      </c>
      <c r="D82" s="133">
        <v>740.56700000000001</v>
      </c>
      <c r="E82" s="133">
        <v>1106.838</v>
      </c>
      <c r="F82" s="133">
        <v>0</v>
      </c>
      <c r="G82" s="450">
        <v>192045.14300000001</v>
      </c>
      <c r="H82" s="133">
        <v>4084.2719999999999</v>
      </c>
      <c r="I82" s="133">
        <v>0</v>
      </c>
      <c r="J82" s="133">
        <v>0</v>
      </c>
      <c r="K82" s="133">
        <v>0</v>
      </c>
      <c r="L82" s="133">
        <v>0</v>
      </c>
      <c r="M82" s="133">
        <v>0</v>
      </c>
      <c r="N82" s="133">
        <v>3949.2469999999998</v>
      </c>
      <c r="O82" s="133">
        <v>15462.376</v>
      </c>
      <c r="P82" s="133">
        <v>4654.1450000000004</v>
      </c>
      <c r="Q82" s="133">
        <v>169571.31299999999</v>
      </c>
      <c r="R82" s="133">
        <v>1455.7139999999999</v>
      </c>
      <c r="S82" s="133">
        <v>0</v>
      </c>
      <c r="T82" s="133">
        <v>0</v>
      </c>
      <c r="U82" s="133">
        <v>0</v>
      </c>
      <c r="V82" s="133">
        <v>0</v>
      </c>
      <c r="W82" s="133">
        <v>2580.9679999999998</v>
      </c>
      <c r="X82" s="133">
        <v>135.68100000000001</v>
      </c>
      <c r="Y82" s="133">
        <v>0</v>
      </c>
      <c r="Z82" s="133">
        <v>0</v>
      </c>
      <c r="AA82" s="133">
        <v>0</v>
      </c>
      <c r="AB82" s="133">
        <v>0</v>
      </c>
      <c r="AC82" s="133">
        <v>0</v>
      </c>
      <c r="AD82" s="133">
        <v>144.71299999999999</v>
      </c>
      <c r="AE82" s="133">
        <v>1028.9380000000001</v>
      </c>
      <c r="AF82" s="133">
        <v>0</v>
      </c>
      <c r="AG82" s="133">
        <v>0</v>
      </c>
      <c r="AH82" s="133">
        <v>927.34400000000005</v>
      </c>
      <c r="AI82" s="133">
        <v>0</v>
      </c>
      <c r="AJ82" s="133">
        <v>0</v>
      </c>
      <c r="AK82" s="133">
        <v>0</v>
      </c>
      <c r="AL82" s="133">
        <v>0</v>
      </c>
      <c r="AM82" s="133">
        <v>0</v>
      </c>
      <c r="AN82" s="133">
        <v>0</v>
      </c>
      <c r="AO82" s="133">
        <v>3268.8910000000001</v>
      </c>
      <c r="AP82" s="133">
        <v>473.59500000000003</v>
      </c>
      <c r="AQ82" s="133">
        <v>419.12</v>
      </c>
      <c r="AR82" s="133">
        <v>321.92099999999999</v>
      </c>
      <c r="AS82" s="133">
        <v>9202.2489999999998</v>
      </c>
      <c r="AT82" s="133">
        <v>152.74199999999999</v>
      </c>
      <c r="AU82" s="133">
        <v>206.76</v>
      </c>
      <c r="AV82" s="133">
        <v>0</v>
      </c>
      <c r="AW82" s="133">
        <v>0</v>
      </c>
      <c r="AX82" s="133">
        <v>1654.1790000000001</v>
      </c>
      <c r="AY82" s="133">
        <v>0</v>
      </c>
      <c r="AZ82" s="133">
        <v>176054.01300000001</v>
      </c>
      <c r="BA82" s="133">
        <v>3544.866</v>
      </c>
      <c r="BB82" s="133">
        <v>0</v>
      </c>
      <c r="BC82" s="133">
        <v>30726.26</v>
      </c>
      <c r="BD82" s="133">
        <v>0</v>
      </c>
      <c r="BE82" s="133">
        <v>423.84300000000002</v>
      </c>
      <c r="BF82" s="133">
        <v>3369.4580000000001</v>
      </c>
      <c r="BG82" s="133">
        <v>5409.6260000000002</v>
      </c>
      <c r="BH82" s="133">
        <v>0</v>
      </c>
      <c r="BI82" s="133">
        <v>166.386</v>
      </c>
      <c r="BJ82" s="450">
        <v>633281.16800000006</v>
      </c>
      <c r="BK82" s="133">
        <v>57869.446000000004</v>
      </c>
      <c r="BL82" s="104"/>
      <c r="BM82" s="104"/>
    </row>
    <row r="83" spans="2:65">
      <c r="B83" s="444" t="s">
        <v>1140</v>
      </c>
      <c r="C83" s="134" t="s">
        <v>1141</v>
      </c>
      <c r="D83" s="102">
        <v>740.56700000000001</v>
      </c>
      <c r="E83" s="102">
        <v>1106.838</v>
      </c>
      <c r="F83" s="102">
        <v>0</v>
      </c>
      <c r="G83" s="266">
        <v>180705.07699999999</v>
      </c>
      <c r="H83" s="102">
        <v>4084.2719999999999</v>
      </c>
      <c r="I83" s="102">
        <v>0</v>
      </c>
      <c r="J83" s="102">
        <v>0</v>
      </c>
      <c r="K83" s="102">
        <v>0</v>
      </c>
      <c r="L83" s="102">
        <v>0</v>
      </c>
      <c r="M83" s="102">
        <v>0</v>
      </c>
      <c r="N83" s="102">
        <v>0</v>
      </c>
      <c r="O83" s="102">
        <v>0</v>
      </c>
      <c r="P83" s="102">
        <v>1964.827</v>
      </c>
      <c r="Q83" s="102">
        <v>122022.264</v>
      </c>
      <c r="R83" s="102">
        <v>0</v>
      </c>
      <c r="S83" s="102">
        <v>0</v>
      </c>
      <c r="T83" s="102">
        <v>0</v>
      </c>
      <c r="U83" s="102">
        <v>0</v>
      </c>
      <c r="V83" s="102">
        <v>0</v>
      </c>
      <c r="W83" s="102">
        <v>0</v>
      </c>
      <c r="X83" s="102">
        <v>0</v>
      </c>
      <c r="Y83" s="102">
        <v>0</v>
      </c>
      <c r="Z83" s="102">
        <v>0</v>
      </c>
      <c r="AA83" s="102">
        <v>0</v>
      </c>
      <c r="AB83" s="102">
        <v>0</v>
      </c>
      <c r="AC83" s="102">
        <v>0</v>
      </c>
      <c r="AD83" s="102">
        <v>0</v>
      </c>
      <c r="AE83" s="102">
        <v>1028.9059999999999</v>
      </c>
      <c r="AF83" s="102">
        <v>0</v>
      </c>
      <c r="AG83" s="102">
        <v>0</v>
      </c>
      <c r="AH83" s="102">
        <v>589.35599999999999</v>
      </c>
      <c r="AI83" s="102">
        <v>0</v>
      </c>
      <c r="AJ83" s="102">
        <v>0</v>
      </c>
      <c r="AK83" s="102">
        <v>0</v>
      </c>
      <c r="AL83" s="102">
        <v>0</v>
      </c>
      <c r="AM83" s="102">
        <v>0</v>
      </c>
      <c r="AN83" s="102">
        <v>0</v>
      </c>
      <c r="AO83" s="102">
        <v>0</v>
      </c>
      <c r="AP83" s="102">
        <v>353.1</v>
      </c>
      <c r="AQ83" s="102">
        <v>133.07300000000001</v>
      </c>
      <c r="AR83" s="102">
        <v>229.70500000000001</v>
      </c>
      <c r="AS83" s="102">
        <v>5770.8050000000003</v>
      </c>
      <c r="AT83" s="102">
        <v>137.35599999999999</v>
      </c>
      <c r="AU83" s="102">
        <v>206.76</v>
      </c>
      <c r="AV83" s="102">
        <v>0</v>
      </c>
      <c r="AW83" s="102">
        <v>0</v>
      </c>
      <c r="AX83" s="102">
        <v>1654.1790000000001</v>
      </c>
      <c r="AY83" s="102">
        <v>0</v>
      </c>
      <c r="AZ83" s="102">
        <v>176054.01300000001</v>
      </c>
      <c r="BA83" s="102">
        <v>3541.1790000000001</v>
      </c>
      <c r="BB83" s="102">
        <v>0</v>
      </c>
      <c r="BC83" s="102">
        <v>26974.507000000001</v>
      </c>
      <c r="BD83" s="102">
        <v>0</v>
      </c>
      <c r="BE83" s="102">
        <v>423.84300000000002</v>
      </c>
      <c r="BF83" s="102">
        <v>3358.8560000000002</v>
      </c>
      <c r="BG83" s="102">
        <v>5329.6840000000002</v>
      </c>
      <c r="BH83" s="102">
        <v>0</v>
      </c>
      <c r="BI83" s="102">
        <v>0</v>
      </c>
      <c r="BJ83" s="266">
        <v>536409.16700000002</v>
      </c>
      <c r="BK83" s="102">
        <v>50077.875</v>
      </c>
      <c r="BL83" s="104"/>
      <c r="BM83" s="104"/>
    </row>
    <row r="84" spans="2:65">
      <c r="B84" s="444" t="s">
        <v>1142</v>
      </c>
      <c r="C84" s="134" t="s">
        <v>1143</v>
      </c>
      <c r="D84" s="102">
        <v>0</v>
      </c>
      <c r="E84" s="102">
        <v>0</v>
      </c>
      <c r="F84" s="102">
        <v>0</v>
      </c>
      <c r="G84" s="102">
        <v>130.54499999999999</v>
      </c>
      <c r="H84" s="102">
        <v>0</v>
      </c>
      <c r="I84" s="102">
        <v>0</v>
      </c>
      <c r="J84" s="102">
        <v>0</v>
      </c>
      <c r="K84" s="102">
        <v>0</v>
      </c>
      <c r="L84" s="102">
        <v>0</v>
      </c>
      <c r="M84" s="102">
        <v>0</v>
      </c>
      <c r="N84" s="102">
        <v>3949.2469999999998</v>
      </c>
      <c r="O84" s="102">
        <v>15462.376</v>
      </c>
      <c r="P84" s="102">
        <v>2689.3180000000002</v>
      </c>
      <c r="Q84" s="102">
        <v>1466.396</v>
      </c>
      <c r="R84" s="102">
        <v>18.355</v>
      </c>
      <c r="S84" s="102">
        <v>0</v>
      </c>
      <c r="T84" s="102">
        <v>0</v>
      </c>
      <c r="U84" s="102">
        <v>0</v>
      </c>
      <c r="V84" s="102">
        <v>0</v>
      </c>
      <c r="W84" s="102">
        <v>1619.4280000000001</v>
      </c>
      <c r="X84" s="102">
        <v>0</v>
      </c>
      <c r="Y84" s="102">
        <v>0</v>
      </c>
      <c r="Z84" s="102">
        <v>0</v>
      </c>
      <c r="AA84" s="102">
        <v>0</v>
      </c>
      <c r="AB84" s="102">
        <v>0</v>
      </c>
      <c r="AC84" s="102">
        <v>0</v>
      </c>
      <c r="AD84" s="102">
        <v>0</v>
      </c>
      <c r="AE84" s="102">
        <v>3.2000000000000001E-2</v>
      </c>
      <c r="AF84" s="102">
        <v>0</v>
      </c>
      <c r="AG84" s="102">
        <v>0</v>
      </c>
      <c r="AH84" s="102">
        <v>75.95</v>
      </c>
      <c r="AI84" s="102">
        <v>0</v>
      </c>
      <c r="AJ84" s="102">
        <v>0</v>
      </c>
      <c r="AK84" s="102">
        <v>0</v>
      </c>
      <c r="AL84" s="102">
        <v>0</v>
      </c>
      <c r="AM84" s="102">
        <v>0</v>
      </c>
      <c r="AN84" s="102">
        <v>0</v>
      </c>
      <c r="AO84" s="102">
        <v>0</v>
      </c>
      <c r="AP84" s="102">
        <v>104.098</v>
      </c>
      <c r="AQ84" s="102">
        <v>15.316000000000001</v>
      </c>
      <c r="AR84" s="102">
        <v>0</v>
      </c>
      <c r="AS84" s="102">
        <v>194.52600000000001</v>
      </c>
      <c r="AT84" s="102">
        <v>10.262</v>
      </c>
      <c r="AU84" s="102">
        <v>0</v>
      </c>
      <c r="AV84" s="102">
        <v>0</v>
      </c>
      <c r="AW84" s="102">
        <v>0</v>
      </c>
      <c r="AX84" s="102">
        <v>0</v>
      </c>
      <c r="AY84" s="102">
        <v>0</v>
      </c>
      <c r="AZ84" s="102">
        <v>0</v>
      </c>
      <c r="BA84" s="102">
        <v>3.6869999999999998</v>
      </c>
      <c r="BB84" s="102">
        <v>0</v>
      </c>
      <c r="BC84" s="102">
        <v>3751.752</v>
      </c>
      <c r="BD84" s="102">
        <v>0</v>
      </c>
      <c r="BE84" s="102">
        <v>0</v>
      </c>
      <c r="BF84" s="102">
        <v>10.602</v>
      </c>
      <c r="BG84" s="102">
        <v>79.941999999999993</v>
      </c>
      <c r="BH84" s="102">
        <v>0</v>
      </c>
      <c r="BI84" s="102">
        <v>0</v>
      </c>
      <c r="BJ84" s="102">
        <v>29581.832000000002</v>
      </c>
      <c r="BK84" s="102">
        <v>4170.1850000000004</v>
      </c>
      <c r="BL84" s="104"/>
      <c r="BM84" s="104"/>
    </row>
    <row r="85" spans="2:65">
      <c r="B85" s="444" t="s">
        <v>1144</v>
      </c>
      <c r="C85" s="134" t="s">
        <v>1145</v>
      </c>
      <c r="D85" s="102">
        <v>0</v>
      </c>
      <c r="E85" s="102">
        <v>0</v>
      </c>
      <c r="F85" s="102">
        <v>0</v>
      </c>
      <c r="G85" s="102">
        <v>0</v>
      </c>
      <c r="H85" s="102">
        <v>0</v>
      </c>
      <c r="I85" s="102">
        <v>0</v>
      </c>
      <c r="J85" s="102">
        <v>0</v>
      </c>
      <c r="K85" s="102">
        <v>0</v>
      </c>
      <c r="L85" s="102">
        <v>0</v>
      </c>
      <c r="M85" s="102">
        <v>0</v>
      </c>
      <c r="N85" s="102">
        <v>0</v>
      </c>
      <c r="O85" s="102">
        <v>0</v>
      </c>
      <c r="P85" s="102">
        <v>0</v>
      </c>
      <c r="Q85" s="102">
        <v>41415.574999999997</v>
      </c>
      <c r="R85" s="102">
        <v>1224.894</v>
      </c>
      <c r="S85" s="102">
        <v>0</v>
      </c>
      <c r="T85" s="102">
        <v>0</v>
      </c>
      <c r="U85" s="102">
        <v>0</v>
      </c>
      <c r="V85" s="102">
        <v>0</v>
      </c>
      <c r="W85" s="102">
        <v>0</v>
      </c>
      <c r="X85" s="102">
        <v>0</v>
      </c>
      <c r="Y85" s="102">
        <v>0</v>
      </c>
      <c r="Z85" s="102">
        <v>0</v>
      </c>
      <c r="AA85" s="102">
        <v>0</v>
      </c>
      <c r="AB85" s="102">
        <v>0</v>
      </c>
      <c r="AC85" s="102">
        <v>0</v>
      </c>
      <c r="AD85" s="102">
        <v>144.71299999999999</v>
      </c>
      <c r="AE85" s="102">
        <v>0</v>
      </c>
      <c r="AF85" s="102">
        <v>0</v>
      </c>
      <c r="AG85" s="102">
        <v>0</v>
      </c>
      <c r="AH85" s="102">
        <v>167.25399999999999</v>
      </c>
      <c r="AI85" s="102">
        <v>0</v>
      </c>
      <c r="AJ85" s="102">
        <v>0</v>
      </c>
      <c r="AK85" s="102">
        <v>0</v>
      </c>
      <c r="AL85" s="102">
        <v>0</v>
      </c>
      <c r="AM85" s="102">
        <v>0</v>
      </c>
      <c r="AN85" s="102">
        <v>0</v>
      </c>
      <c r="AO85" s="102">
        <v>0</v>
      </c>
      <c r="AP85" s="102">
        <v>2.4039999999999999</v>
      </c>
      <c r="AQ85" s="102">
        <v>198.119</v>
      </c>
      <c r="AR85" s="102">
        <v>25.369</v>
      </c>
      <c r="AS85" s="102">
        <v>6.1589999999999998</v>
      </c>
      <c r="AT85" s="102">
        <v>0</v>
      </c>
      <c r="AU85" s="102">
        <v>0</v>
      </c>
      <c r="AV85" s="102">
        <v>0</v>
      </c>
      <c r="AW85" s="102">
        <v>0</v>
      </c>
      <c r="AX85" s="102">
        <v>0</v>
      </c>
      <c r="AY85" s="102">
        <v>0</v>
      </c>
      <c r="AZ85" s="102">
        <v>0</v>
      </c>
      <c r="BA85" s="102">
        <v>0</v>
      </c>
      <c r="BB85" s="102">
        <v>0</v>
      </c>
      <c r="BC85" s="102">
        <v>0</v>
      </c>
      <c r="BD85" s="102">
        <v>0</v>
      </c>
      <c r="BE85" s="102">
        <v>0</v>
      </c>
      <c r="BF85" s="102">
        <v>0</v>
      </c>
      <c r="BG85" s="102">
        <v>0</v>
      </c>
      <c r="BH85" s="102">
        <v>0</v>
      </c>
      <c r="BI85" s="102">
        <v>0</v>
      </c>
      <c r="BJ85" s="102">
        <v>43184.487000000001</v>
      </c>
      <c r="BK85" s="102">
        <v>232.05099999999999</v>
      </c>
      <c r="BL85" s="104"/>
      <c r="BM85" s="104"/>
    </row>
    <row r="86" spans="2:65">
      <c r="B86" s="444" t="s">
        <v>1146</v>
      </c>
      <c r="C86" s="134" t="s">
        <v>1147</v>
      </c>
      <c r="D86" s="102">
        <v>0</v>
      </c>
      <c r="E86" s="102">
        <v>0</v>
      </c>
      <c r="F86" s="102">
        <v>0</v>
      </c>
      <c r="G86" s="102">
        <v>11209.521000000001</v>
      </c>
      <c r="H86" s="102">
        <v>0</v>
      </c>
      <c r="I86" s="102">
        <v>0</v>
      </c>
      <c r="J86" s="102">
        <v>0</v>
      </c>
      <c r="K86" s="102">
        <v>0</v>
      </c>
      <c r="L86" s="102">
        <v>0</v>
      </c>
      <c r="M86" s="102">
        <v>0</v>
      </c>
      <c r="N86" s="102">
        <v>0</v>
      </c>
      <c r="O86" s="102">
        <v>0</v>
      </c>
      <c r="P86" s="102">
        <v>0</v>
      </c>
      <c r="Q86" s="102">
        <v>4667.0770000000002</v>
      </c>
      <c r="R86" s="102">
        <v>212.465</v>
      </c>
      <c r="S86" s="102">
        <v>0</v>
      </c>
      <c r="T86" s="102">
        <v>0</v>
      </c>
      <c r="U86" s="102">
        <v>0</v>
      </c>
      <c r="V86" s="102">
        <v>0</v>
      </c>
      <c r="W86" s="102">
        <v>961.54</v>
      </c>
      <c r="X86" s="102">
        <v>135.68100000000001</v>
      </c>
      <c r="Y86" s="102">
        <v>0</v>
      </c>
      <c r="Z86" s="102">
        <v>0</v>
      </c>
      <c r="AA86" s="102">
        <v>0</v>
      </c>
      <c r="AB86" s="102">
        <v>0</v>
      </c>
      <c r="AC86" s="102">
        <v>0</v>
      </c>
      <c r="AD86" s="102">
        <v>0</v>
      </c>
      <c r="AE86" s="102">
        <v>0</v>
      </c>
      <c r="AF86" s="102">
        <v>0</v>
      </c>
      <c r="AG86" s="102">
        <v>0</v>
      </c>
      <c r="AH86" s="102">
        <v>94.784000000000006</v>
      </c>
      <c r="AI86" s="102">
        <v>0</v>
      </c>
      <c r="AJ86" s="102">
        <v>0</v>
      </c>
      <c r="AK86" s="102">
        <v>0</v>
      </c>
      <c r="AL86" s="102">
        <v>0</v>
      </c>
      <c r="AM86" s="102">
        <v>0</v>
      </c>
      <c r="AN86" s="102">
        <v>0</v>
      </c>
      <c r="AO86" s="102">
        <v>3268.8910000000001</v>
      </c>
      <c r="AP86" s="102">
        <v>13.993</v>
      </c>
      <c r="AQ86" s="102">
        <v>72.611999999999995</v>
      </c>
      <c r="AR86" s="102">
        <v>66.846999999999994</v>
      </c>
      <c r="AS86" s="102">
        <v>2138.1779999999999</v>
      </c>
      <c r="AT86" s="102">
        <v>5.1239999999999997</v>
      </c>
      <c r="AU86" s="102">
        <v>0</v>
      </c>
      <c r="AV86" s="102">
        <v>0</v>
      </c>
      <c r="AW86" s="102">
        <v>0</v>
      </c>
      <c r="AX86" s="102">
        <v>0</v>
      </c>
      <c r="AY86" s="102">
        <v>0</v>
      </c>
      <c r="AZ86" s="102">
        <v>0</v>
      </c>
      <c r="BA86" s="102">
        <v>0</v>
      </c>
      <c r="BB86" s="102">
        <v>0</v>
      </c>
      <c r="BC86" s="102">
        <v>0</v>
      </c>
      <c r="BD86" s="102">
        <v>0</v>
      </c>
      <c r="BE86" s="102">
        <v>0</v>
      </c>
      <c r="BF86" s="102">
        <v>0</v>
      </c>
      <c r="BG86" s="102">
        <v>0</v>
      </c>
      <c r="BH86" s="102">
        <v>0</v>
      </c>
      <c r="BI86" s="102">
        <v>0</v>
      </c>
      <c r="BJ86" s="102">
        <v>22846.713000000003</v>
      </c>
      <c r="BK86" s="102">
        <v>2296.7539999999999</v>
      </c>
      <c r="BL86" s="104"/>
      <c r="BM86" s="104"/>
    </row>
    <row r="87" spans="2:65">
      <c r="B87" s="444" t="s">
        <v>1148</v>
      </c>
      <c r="C87" s="134" t="s">
        <v>1149</v>
      </c>
      <c r="D87" s="102">
        <v>0</v>
      </c>
      <c r="E87" s="102">
        <v>0</v>
      </c>
      <c r="F87" s="102">
        <v>0</v>
      </c>
      <c r="G87" s="102">
        <v>0</v>
      </c>
      <c r="H87" s="102">
        <v>0</v>
      </c>
      <c r="I87" s="102">
        <v>0</v>
      </c>
      <c r="J87" s="102">
        <v>0</v>
      </c>
      <c r="K87" s="102">
        <v>0</v>
      </c>
      <c r="L87" s="102">
        <v>0</v>
      </c>
      <c r="M87" s="102">
        <v>0</v>
      </c>
      <c r="N87" s="102">
        <v>0</v>
      </c>
      <c r="O87" s="102">
        <v>0</v>
      </c>
      <c r="P87" s="102">
        <v>0</v>
      </c>
      <c r="Q87" s="102">
        <v>0</v>
      </c>
      <c r="R87" s="102">
        <v>0</v>
      </c>
      <c r="S87" s="102">
        <v>0</v>
      </c>
      <c r="T87" s="102">
        <v>0</v>
      </c>
      <c r="U87" s="102">
        <v>0</v>
      </c>
      <c r="V87" s="102">
        <v>0</v>
      </c>
      <c r="W87" s="102">
        <v>0</v>
      </c>
      <c r="X87" s="102">
        <v>0</v>
      </c>
      <c r="Y87" s="102">
        <v>0</v>
      </c>
      <c r="Z87" s="102">
        <v>0</v>
      </c>
      <c r="AA87" s="102">
        <v>0</v>
      </c>
      <c r="AB87" s="102">
        <v>0</v>
      </c>
      <c r="AC87" s="102">
        <v>0</v>
      </c>
      <c r="AD87" s="102">
        <v>0</v>
      </c>
      <c r="AE87" s="102">
        <v>0</v>
      </c>
      <c r="AF87" s="102">
        <v>0</v>
      </c>
      <c r="AG87" s="102">
        <v>0</v>
      </c>
      <c r="AH87" s="102">
        <v>0</v>
      </c>
      <c r="AI87" s="102">
        <v>0</v>
      </c>
      <c r="AJ87" s="102">
        <v>0</v>
      </c>
      <c r="AK87" s="102">
        <v>0</v>
      </c>
      <c r="AL87" s="102">
        <v>0</v>
      </c>
      <c r="AM87" s="102">
        <v>0</v>
      </c>
      <c r="AN87" s="102">
        <v>0</v>
      </c>
      <c r="AO87" s="102">
        <v>0</v>
      </c>
      <c r="AP87" s="102">
        <v>0</v>
      </c>
      <c r="AQ87" s="102">
        <v>0</v>
      </c>
      <c r="AR87" s="102">
        <v>0</v>
      </c>
      <c r="AS87" s="102">
        <v>0</v>
      </c>
      <c r="AT87" s="102">
        <v>0</v>
      </c>
      <c r="AU87" s="102">
        <v>0</v>
      </c>
      <c r="AV87" s="102">
        <v>0</v>
      </c>
      <c r="AW87" s="102">
        <v>0</v>
      </c>
      <c r="AX87" s="102">
        <v>0</v>
      </c>
      <c r="AY87" s="102">
        <v>0</v>
      </c>
      <c r="AZ87" s="102">
        <v>0</v>
      </c>
      <c r="BA87" s="102">
        <v>0</v>
      </c>
      <c r="BB87" s="102">
        <v>0</v>
      </c>
      <c r="BC87" s="102">
        <v>0</v>
      </c>
      <c r="BD87" s="102">
        <v>0</v>
      </c>
      <c r="BE87" s="102">
        <v>0</v>
      </c>
      <c r="BF87" s="102">
        <v>0</v>
      </c>
      <c r="BG87" s="102">
        <v>0</v>
      </c>
      <c r="BH87" s="102">
        <v>0</v>
      </c>
      <c r="BI87" s="102">
        <v>166.386</v>
      </c>
      <c r="BJ87" s="102">
        <v>166.386</v>
      </c>
      <c r="BK87" s="102">
        <v>0</v>
      </c>
      <c r="BL87" s="104"/>
      <c r="BM87" s="104"/>
    </row>
    <row r="88" spans="2:65">
      <c r="B88" s="439" t="s">
        <v>1150</v>
      </c>
      <c r="C88" s="134" t="s">
        <v>1151</v>
      </c>
      <c r="D88" s="102">
        <v>0</v>
      </c>
      <c r="E88" s="102">
        <v>0</v>
      </c>
      <c r="F88" s="102">
        <v>0</v>
      </c>
      <c r="G88" s="102">
        <v>79030.289000000004</v>
      </c>
      <c r="H88" s="102">
        <v>0</v>
      </c>
      <c r="I88" s="102">
        <v>0</v>
      </c>
      <c r="J88" s="102">
        <v>0</v>
      </c>
      <c r="K88" s="102">
        <v>0</v>
      </c>
      <c r="L88" s="102">
        <v>0</v>
      </c>
      <c r="M88" s="102">
        <v>0</v>
      </c>
      <c r="N88" s="102">
        <v>0</v>
      </c>
      <c r="O88" s="102">
        <v>0</v>
      </c>
      <c r="P88" s="102">
        <v>0</v>
      </c>
      <c r="Q88" s="102">
        <v>63160.139000000003</v>
      </c>
      <c r="R88" s="102">
        <v>24275.67</v>
      </c>
      <c r="S88" s="102">
        <v>0</v>
      </c>
      <c r="T88" s="102">
        <v>0</v>
      </c>
      <c r="U88" s="102">
        <v>0</v>
      </c>
      <c r="V88" s="102">
        <v>0</v>
      </c>
      <c r="W88" s="102">
        <v>20620.084999999999</v>
      </c>
      <c r="X88" s="102">
        <v>3805.05</v>
      </c>
      <c r="Y88" s="102">
        <v>0</v>
      </c>
      <c r="Z88" s="102">
        <v>0</v>
      </c>
      <c r="AA88" s="102">
        <v>0</v>
      </c>
      <c r="AB88" s="102">
        <v>0</v>
      </c>
      <c r="AC88" s="102">
        <v>0</v>
      </c>
      <c r="AD88" s="102">
        <v>2462.433</v>
      </c>
      <c r="AE88" s="102">
        <v>20.260999999999999</v>
      </c>
      <c r="AF88" s="102">
        <v>0</v>
      </c>
      <c r="AG88" s="102">
        <v>0</v>
      </c>
      <c r="AH88" s="102">
        <v>7416.9880000000003</v>
      </c>
      <c r="AI88" s="102">
        <v>0</v>
      </c>
      <c r="AJ88" s="102">
        <v>0</v>
      </c>
      <c r="AK88" s="102">
        <v>0</v>
      </c>
      <c r="AL88" s="102">
        <v>0</v>
      </c>
      <c r="AM88" s="102">
        <v>0</v>
      </c>
      <c r="AN88" s="102">
        <v>0</v>
      </c>
      <c r="AO88" s="102">
        <v>23193.46</v>
      </c>
      <c r="AP88" s="102">
        <v>3264.0450000000001</v>
      </c>
      <c r="AQ88" s="102">
        <v>6497.16</v>
      </c>
      <c r="AR88" s="102">
        <v>5974.9139999999998</v>
      </c>
      <c r="AS88" s="102">
        <v>5436.2740000000003</v>
      </c>
      <c r="AT88" s="102">
        <v>114.624</v>
      </c>
      <c r="AU88" s="102">
        <v>1051.027</v>
      </c>
      <c r="AV88" s="102">
        <v>0</v>
      </c>
      <c r="AW88" s="102">
        <v>0</v>
      </c>
      <c r="AX88" s="102">
        <v>0</v>
      </c>
      <c r="AY88" s="102">
        <v>0</v>
      </c>
      <c r="AZ88" s="102">
        <v>0</v>
      </c>
      <c r="BA88" s="102">
        <v>0</v>
      </c>
      <c r="BB88" s="102">
        <v>0</v>
      </c>
      <c r="BC88" s="102">
        <v>0</v>
      </c>
      <c r="BD88" s="102">
        <v>0</v>
      </c>
      <c r="BE88" s="102">
        <v>0</v>
      </c>
      <c r="BF88" s="102">
        <v>0</v>
      </c>
      <c r="BG88" s="102">
        <v>0</v>
      </c>
      <c r="BH88" s="102">
        <v>0</v>
      </c>
      <c r="BI88" s="102">
        <v>58245.118000000002</v>
      </c>
      <c r="BJ88" s="102">
        <v>304567.53700000001</v>
      </c>
      <c r="BK88" s="102">
        <v>22338.044000000002</v>
      </c>
      <c r="BL88" s="104"/>
      <c r="BM88" s="104"/>
    </row>
    <row r="89" spans="2:65">
      <c r="B89" s="444" t="s">
        <v>1152</v>
      </c>
      <c r="C89" s="134" t="s">
        <v>1145</v>
      </c>
      <c r="D89" s="102">
        <v>0</v>
      </c>
      <c r="E89" s="102">
        <v>0</v>
      </c>
      <c r="F89" s="102">
        <v>0</v>
      </c>
      <c r="G89" s="102">
        <v>0</v>
      </c>
      <c r="H89" s="102">
        <v>0</v>
      </c>
      <c r="I89" s="102">
        <v>0</v>
      </c>
      <c r="J89" s="102">
        <v>0</v>
      </c>
      <c r="K89" s="102">
        <v>0</v>
      </c>
      <c r="L89" s="102">
        <v>0</v>
      </c>
      <c r="M89" s="102">
        <v>0</v>
      </c>
      <c r="N89" s="102">
        <v>0</v>
      </c>
      <c r="O89" s="102">
        <v>0</v>
      </c>
      <c r="P89" s="102">
        <v>0</v>
      </c>
      <c r="Q89" s="102">
        <v>52767.264999999999</v>
      </c>
      <c r="R89" s="102">
        <v>8900.9950000000008</v>
      </c>
      <c r="S89" s="102">
        <v>0</v>
      </c>
      <c r="T89" s="102">
        <v>0</v>
      </c>
      <c r="U89" s="102">
        <v>0</v>
      </c>
      <c r="V89" s="102">
        <v>0</v>
      </c>
      <c r="W89" s="102">
        <v>0</v>
      </c>
      <c r="X89" s="102">
        <v>0</v>
      </c>
      <c r="Y89" s="102">
        <v>0</v>
      </c>
      <c r="Z89" s="102">
        <v>0</v>
      </c>
      <c r="AA89" s="102">
        <v>0</v>
      </c>
      <c r="AB89" s="102">
        <v>0</v>
      </c>
      <c r="AC89" s="102">
        <v>0</v>
      </c>
      <c r="AD89" s="102">
        <v>1285.2049999999999</v>
      </c>
      <c r="AE89" s="102">
        <v>0</v>
      </c>
      <c r="AF89" s="102">
        <v>0</v>
      </c>
      <c r="AG89" s="102">
        <v>0</v>
      </c>
      <c r="AH89" s="102">
        <v>1292.57</v>
      </c>
      <c r="AI89" s="102">
        <v>0</v>
      </c>
      <c r="AJ89" s="102">
        <v>0</v>
      </c>
      <c r="AK89" s="102">
        <v>0</v>
      </c>
      <c r="AL89" s="102">
        <v>0</v>
      </c>
      <c r="AM89" s="102">
        <v>0</v>
      </c>
      <c r="AN89" s="102">
        <v>0</v>
      </c>
      <c r="AO89" s="102">
        <v>0</v>
      </c>
      <c r="AP89" s="102">
        <v>168.96600000000001</v>
      </c>
      <c r="AQ89" s="102">
        <v>5870.2070000000003</v>
      </c>
      <c r="AR89" s="102">
        <v>792.31500000000005</v>
      </c>
      <c r="AS89" s="102">
        <v>979.18799999999999</v>
      </c>
      <c r="AT89" s="102">
        <v>43.326999999999998</v>
      </c>
      <c r="AU89" s="102">
        <v>0</v>
      </c>
      <c r="AV89" s="102">
        <v>0</v>
      </c>
      <c r="AW89" s="102">
        <v>0</v>
      </c>
      <c r="AX89" s="102">
        <v>0</v>
      </c>
      <c r="AY89" s="102">
        <v>0</v>
      </c>
      <c r="AZ89" s="102">
        <v>0</v>
      </c>
      <c r="BA89" s="102">
        <v>0</v>
      </c>
      <c r="BB89" s="102">
        <v>0</v>
      </c>
      <c r="BC89" s="102">
        <v>0</v>
      </c>
      <c r="BD89" s="102">
        <v>0</v>
      </c>
      <c r="BE89" s="102">
        <v>0</v>
      </c>
      <c r="BF89" s="102">
        <v>0</v>
      </c>
      <c r="BG89" s="102">
        <v>0</v>
      </c>
      <c r="BH89" s="102">
        <v>0</v>
      </c>
      <c r="BI89" s="102">
        <v>48761.309000000001</v>
      </c>
      <c r="BJ89" s="102">
        <v>120861.34700000001</v>
      </c>
      <c r="BK89" s="102">
        <v>7854.0020000000004</v>
      </c>
      <c r="BL89" s="104"/>
      <c r="BM89" s="104"/>
    </row>
    <row r="90" spans="2:65">
      <c r="B90" s="444" t="s">
        <v>1153</v>
      </c>
      <c r="C90" s="134" t="s">
        <v>1147</v>
      </c>
      <c r="D90" s="102">
        <v>0</v>
      </c>
      <c r="E90" s="102">
        <v>0</v>
      </c>
      <c r="F90" s="102">
        <v>0</v>
      </c>
      <c r="G90" s="102">
        <v>79030.289000000004</v>
      </c>
      <c r="H90" s="102">
        <v>0</v>
      </c>
      <c r="I90" s="102">
        <v>0</v>
      </c>
      <c r="J90" s="102">
        <v>0</v>
      </c>
      <c r="K90" s="102">
        <v>0</v>
      </c>
      <c r="L90" s="102">
        <v>0</v>
      </c>
      <c r="M90" s="102">
        <v>0</v>
      </c>
      <c r="N90" s="102">
        <v>0</v>
      </c>
      <c r="O90" s="102">
        <v>0</v>
      </c>
      <c r="P90" s="102">
        <v>0</v>
      </c>
      <c r="Q90" s="102">
        <v>9678.8940000000002</v>
      </c>
      <c r="R90" s="102">
        <v>3142.9360000000001</v>
      </c>
      <c r="S90" s="102">
        <v>0</v>
      </c>
      <c r="T90" s="102">
        <v>0</v>
      </c>
      <c r="U90" s="102">
        <v>0</v>
      </c>
      <c r="V90" s="102">
        <v>0</v>
      </c>
      <c r="W90" s="102">
        <v>20620.084999999999</v>
      </c>
      <c r="X90" s="102">
        <v>3560.556</v>
      </c>
      <c r="Y90" s="102">
        <v>0</v>
      </c>
      <c r="Z90" s="102">
        <v>0</v>
      </c>
      <c r="AA90" s="102">
        <v>0</v>
      </c>
      <c r="AB90" s="102">
        <v>0</v>
      </c>
      <c r="AC90" s="102">
        <v>0</v>
      </c>
      <c r="AD90" s="102">
        <v>0</v>
      </c>
      <c r="AE90" s="102">
        <v>0</v>
      </c>
      <c r="AF90" s="102">
        <v>0</v>
      </c>
      <c r="AG90" s="102">
        <v>0</v>
      </c>
      <c r="AH90" s="102">
        <v>2050.3719999999998</v>
      </c>
      <c r="AI90" s="102">
        <v>0</v>
      </c>
      <c r="AJ90" s="102">
        <v>0</v>
      </c>
      <c r="AK90" s="102">
        <v>0</v>
      </c>
      <c r="AL90" s="102">
        <v>0</v>
      </c>
      <c r="AM90" s="102">
        <v>0</v>
      </c>
      <c r="AN90" s="102">
        <v>0</v>
      </c>
      <c r="AO90" s="102">
        <v>22591.945</v>
      </c>
      <c r="AP90" s="102">
        <v>0</v>
      </c>
      <c r="AQ90" s="102">
        <v>0</v>
      </c>
      <c r="AR90" s="102">
        <v>3461.9169999999999</v>
      </c>
      <c r="AS90" s="102">
        <v>3889.4389999999999</v>
      </c>
      <c r="AT90" s="102">
        <v>0</v>
      </c>
      <c r="AU90" s="102">
        <v>34.56</v>
      </c>
      <c r="AV90" s="102">
        <v>0</v>
      </c>
      <c r="AW90" s="102">
        <v>0</v>
      </c>
      <c r="AX90" s="102">
        <v>0</v>
      </c>
      <c r="AY90" s="102">
        <v>0</v>
      </c>
      <c r="AZ90" s="102">
        <v>0</v>
      </c>
      <c r="BA90" s="102">
        <v>0</v>
      </c>
      <c r="BB90" s="102">
        <v>0</v>
      </c>
      <c r="BC90" s="102">
        <v>0</v>
      </c>
      <c r="BD90" s="102">
        <v>0</v>
      </c>
      <c r="BE90" s="102">
        <v>0</v>
      </c>
      <c r="BF90" s="102">
        <v>0</v>
      </c>
      <c r="BG90" s="102">
        <v>0</v>
      </c>
      <c r="BH90" s="102">
        <v>0</v>
      </c>
      <c r="BI90" s="102">
        <v>6580.92</v>
      </c>
      <c r="BJ90" s="102">
        <v>154641.913</v>
      </c>
      <c r="BK90" s="102">
        <v>7385.9160000000002</v>
      </c>
      <c r="BL90" s="104"/>
      <c r="BM90" s="104"/>
    </row>
    <row r="91" spans="2:65">
      <c r="B91" s="444" t="s">
        <v>1154</v>
      </c>
      <c r="C91" s="134" t="s">
        <v>1155</v>
      </c>
      <c r="D91" s="102">
        <v>0</v>
      </c>
      <c r="E91" s="102">
        <v>0</v>
      </c>
      <c r="F91" s="102">
        <v>0</v>
      </c>
      <c r="G91" s="102">
        <v>0</v>
      </c>
      <c r="H91" s="102">
        <v>0</v>
      </c>
      <c r="I91" s="102">
        <v>0</v>
      </c>
      <c r="J91" s="102">
        <v>0</v>
      </c>
      <c r="K91" s="102">
        <v>0</v>
      </c>
      <c r="L91" s="102">
        <v>0</v>
      </c>
      <c r="M91" s="102">
        <v>0</v>
      </c>
      <c r="N91" s="102">
        <v>0</v>
      </c>
      <c r="O91" s="102">
        <v>0</v>
      </c>
      <c r="P91" s="102">
        <v>0</v>
      </c>
      <c r="Q91" s="102">
        <v>683.10699999999997</v>
      </c>
      <c r="R91" s="102">
        <v>11317.387000000001</v>
      </c>
      <c r="S91" s="102">
        <v>0</v>
      </c>
      <c r="T91" s="102">
        <v>0</v>
      </c>
      <c r="U91" s="102">
        <v>0</v>
      </c>
      <c r="V91" s="102">
        <v>0</v>
      </c>
      <c r="W91" s="102">
        <v>0</v>
      </c>
      <c r="X91" s="102">
        <v>0</v>
      </c>
      <c r="Y91" s="102">
        <v>0</v>
      </c>
      <c r="Z91" s="102">
        <v>0</v>
      </c>
      <c r="AA91" s="102">
        <v>0</v>
      </c>
      <c r="AB91" s="102">
        <v>0</v>
      </c>
      <c r="AC91" s="102">
        <v>0</v>
      </c>
      <c r="AD91" s="102">
        <v>0</v>
      </c>
      <c r="AE91" s="102">
        <v>15.397</v>
      </c>
      <c r="AF91" s="102">
        <v>0</v>
      </c>
      <c r="AG91" s="102">
        <v>0</v>
      </c>
      <c r="AH91" s="102">
        <v>1135.0309999999999</v>
      </c>
      <c r="AI91" s="102">
        <v>0</v>
      </c>
      <c r="AJ91" s="102">
        <v>0</v>
      </c>
      <c r="AK91" s="102">
        <v>0</v>
      </c>
      <c r="AL91" s="102">
        <v>0</v>
      </c>
      <c r="AM91" s="102">
        <v>0</v>
      </c>
      <c r="AN91" s="102">
        <v>0</v>
      </c>
      <c r="AO91" s="102">
        <v>0</v>
      </c>
      <c r="AP91" s="102">
        <v>0</v>
      </c>
      <c r="AQ91" s="102">
        <v>0</v>
      </c>
      <c r="AR91" s="102">
        <v>0</v>
      </c>
      <c r="AS91" s="102">
        <v>0</v>
      </c>
      <c r="AT91" s="102">
        <v>0</v>
      </c>
      <c r="AU91" s="102">
        <v>1016.468</v>
      </c>
      <c r="AV91" s="102">
        <v>0</v>
      </c>
      <c r="AW91" s="102">
        <v>0</v>
      </c>
      <c r="AX91" s="102">
        <v>0</v>
      </c>
      <c r="AY91" s="102">
        <v>0</v>
      </c>
      <c r="AZ91" s="102">
        <v>0</v>
      </c>
      <c r="BA91" s="102">
        <v>0</v>
      </c>
      <c r="BB91" s="102">
        <v>0</v>
      </c>
      <c r="BC91" s="102">
        <v>0</v>
      </c>
      <c r="BD91" s="102">
        <v>0</v>
      </c>
      <c r="BE91" s="102">
        <v>0</v>
      </c>
      <c r="BF91" s="102">
        <v>0</v>
      </c>
      <c r="BG91" s="102">
        <v>0</v>
      </c>
      <c r="BH91" s="102">
        <v>0</v>
      </c>
      <c r="BI91" s="102">
        <v>0</v>
      </c>
      <c r="BJ91" s="102">
        <v>14167.390000000003</v>
      </c>
      <c r="BK91" s="102">
        <v>1016.468</v>
      </c>
      <c r="BL91" s="104"/>
      <c r="BM91" s="104"/>
    </row>
    <row r="92" spans="2:65">
      <c r="B92" s="444" t="s">
        <v>1156</v>
      </c>
      <c r="C92" s="134" t="s">
        <v>1157</v>
      </c>
      <c r="D92" s="102">
        <v>0</v>
      </c>
      <c r="E92" s="102">
        <v>0</v>
      </c>
      <c r="F92" s="102">
        <v>0</v>
      </c>
      <c r="G92" s="102">
        <v>0</v>
      </c>
      <c r="H92" s="102">
        <v>0</v>
      </c>
      <c r="I92" s="102">
        <v>0</v>
      </c>
      <c r="J92" s="102">
        <v>0</v>
      </c>
      <c r="K92" s="102">
        <v>0</v>
      </c>
      <c r="L92" s="102">
        <v>0</v>
      </c>
      <c r="M92" s="102">
        <v>0</v>
      </c>
      <c r="N92" s="102">
        <v>0</v>
      </c>
      <c r="O92" s="102">
        <v>0</v>
      </c>
      <c r="P92" s="102">
        <v>0</v>
      </c>
      <c r="Q92" s="102">
        <v>30.873000000000001</v>
      </c>
      <c r="R92" s="102">
        <v>914.35299999999995</v>
      </c>
      <c r="S92" s="102">
        <v>0</v>
      </c>
      <c r="T92" s="102">
        <v>0</v>
      </c>
      <c r="U92" s="102">
        <v>0</v>
      </c>
      <c r="V92" s="102">
        <v>0</v>
      </c>
      <c r="W92" s="102">
        <v>0</v>
      </c>
      <c r="X92" s="102">
        <v>244.494</v>
      </c>
      <c r="Y92" s="102">
        <v>0</v>
      </c>
      <c r="Z92" s="102">
        <v>0</v>
      </c>
      <c r="AA92" s="102">
        <v>0</v>
      </c>
      <c r="AB92" s="102">
        <v>0</v>
      </c>
      <c r="AC92" s="102">
        <v>0</v>
      </c>
      <c r="AD92" s="102">
        <v>1177.2280000000001</v>
      </c>
      <c r="AE92" s="102">
        <v>4.8639999999999999</v>
      </c>
      <c r="AF92" s="102">
        <v>0</v>
      </c>
      <c r="AG92" s="102">
        <v>0</v>
      </c>
      <c r="AH92" s="102">
        <v>2939.0149999999999</v>
      </c>
      <c r="AI92" s="102">
        <v>0</v>
      </c>
      <c r="AJ92" s="102">
        <v>0</v>
      </c>
      <c r="AK92" s="102">
        <v>0</v>
      </c>
      <c r="AL92" s="102">
        <v>0</v>
      </c>
      <c r="AM92" s="102">
        <v>0</v>
      </c>
      <c r="AN92" s="102">
        <v>0</v>
      </c>
      <c r="AO92" s="102">
        <v>601.51499999999999</v>
      </c>
      <c r="AP92" s="102">
        <v>3095.0790000000002</v>
      </c>
      <c r="AQ92" s="102">
        <v>0</v>
      </c>
      <c r="AR92" s="102">
        <v>1720.682</v>
      </c>
      <c r="AS92" s="102">
        <v>567.64800000000002</v>
      </c>
      <c r="AT92" s="102">
        <v>71.296999999999997</v>
      </c>
      <c r="AU92" s="102">
        <v>0</v>
      </c>
      <c r="AV92" s="102">
        <v>0</v>
      </c>
      <c r="AW92" s="102">
        <v>0</v>
      </c>
      <c r="AX92" s="102">
        <v>0</v>
      </c>
      <c r="AY92" s="102">
        <v>0</v>
      </c>
      <c r="AZ92" s="102">
        <v>0</v>
      </c>
      <c r="BA92" s="102">
        <v>0</v>
      </c>
      <c r="BB92" s="102">
        <v>0</v>
      </c>
      <c r="BC92" s="102">
        <v>0</v>
      </c>
      <c r="BD92" s="102">
        <v>0</v>
      </c>
      <c r="BE92" s="102">
        <v>0</v>
      </c>
      <c r="BF92" s="102">
        <v>0</v>
      </c>
      <c r="BG92" s="102">
        <v>0</v>
      </c>
      <c r="BH92" s="102">
        <v>0</v>
      </c>
      <c r="BI92" s="102">
        <v>0</v>
      </c>
      <c r="BJ92" s="102">
        <v>11367.048000000001</v>
      </c>
      <c r="BK92" s="102">
        <v>5454.7060000000001</v>
      </c>
      <c r="BL92" s="104"/>
      <c r="BM92" s="104"/>
    </row>
    <row r="93" spans="2:65">
      <c r="B93" s="444" t="s">
        <v>1158</v>
      </c>
      <c r="C93" s="134" t="s">
        <v>1159</v>
      </c>
      <c r="D93" s="102">
        <v>0</v>
      </c>
      <c r="E93" s="102">
        <v>0</v>
      </c>
      <c r="F93" s="102">
        <v>0</v>
      </c>
      <c r="G93" s="102">
        <v>0</v>
      </c>
      <c r="H93" s="102">
        <v>0</v>
      </c>
      <c r="I93" s="102">
        <v>0</v>
      </c>
      <c r="J93" s="102">
        <v>0</v>
      </c>
      <c r="K93" s="102">
        <v>0</v>
      </c>
      <c r="L93" s="102">
        <v>0</v>
      </c>
      <c r="M93" s="102">
        <v>0</v>
      </c>
      <c r="N93" s="102">
        <v>0</v>
      </c>
      <c r="O93" s="102">
        <v>0</v>
      </c>
      <c r="P93" s="102">
        <v>0</v>
      </c>
      <c r="Q93" s="102">
        <v>0</v>
      </c>
      <c r="R93" s="102">
        <v>0</v>
      </c>
      <c r="S93" s="102">
        <v>0</v>
      </c>
      <c r="T93" s="102">
        <v>0</v>
      </c>
      <c r="U93" s="102">
        <v>0</v>
      </c>
      <c r="V93" s="102">
        <v>0</v>
      </c>
      <c r="W93" s="102">
        <v>0</v>
      </c>
      <c r="X93" s="102">
        <v>0</v>
      </c>
      <c r="Y93" s="102">
        <v>0</v>
      </c>
      <c r="Z93" s="102">
        <v>0</v>
      </c>
      <c r="AA93" s="102">
        <v>0</v>
      </c>
      <c r="AB93" s="102">
        <v>0</v>
      </c>
      <c r="AC93" s="102">
        <v>0</v>
      </c>
      <c r="AD93" s="102">
        <v>0</v>
      </c>
      <c r="AE93" s="102">
        <v>0</v>
      </c>
      <c r="AF93" s="102">
        <v>0</v>
      </c>
      <c r="AG93" s="102">
        <v>0</v>
      </c>
      <c r="AH93" s="102">
        <v>0</v>
      </c>
      <c r="AI93" s="102">
        <v>0</v>
      </c>
      <c r="AJ93" s="102">
        <v>0</v>
      </c>
      <c r="AK93" s="102">
        <v>0</v>
      </c>
      <c r="AL93" s="102">
        <v>0</v>
      </c>
      <c r="AM93" s="102">
        <v>0</v>
      </c>
      <c r="AN93" s="102">
        <v>0</v>
      </c>
      <c r="AO93" s="102">
        <v>0</v>
      </c>
      <c r="AP93" s="102">
        <v>0</v>
      </c>
      <c r="AQ93" s="102">
        <v>0</v>
      </c>
      <c r="AR93" s="102">
        <v>0</v>
      </c>
      <c r="AS93" s="102">
        <v>0</v>
      </c>
      <c r="AT93" s="102">
        <v>0</v>
      </c>
      <c r="AU93" s="102">
        <v>0</v>
      </c>
      <c r="AV93" s="102">
        <v>0</v>
      </c>
      <c r="AW93" s="102">
        <v>0</v>
      </c>
      <c r="AX93" s="102">
        <v>0</v>
      </c>
      <c r="AY93" s="102">
        <v>0</v>
      </c>
      <c r="AZ93" s="102">
        <v>0</v>
      </c>
      <c r="BA93" s="102">
        <v>0</v>
      </c>
      <c r="BB93" s="102">
        <v>0</v>
      </c>
      <c r="BC93" s="102">
        <v>0</v>
      </c>
      <c r="BD93" s="102">
        <v>0</v>
      </c>
      <c r="BE93" s="102">
        <v>0</v>
      </c>
      <c r="BF93" s="102">
        <v>0</v>
      </c>
      <c r="BG93" s="102">
        <v>0</v>
      </c>
      <c r="BH93" s="102">
        <v>0</v>
      </c>
      <c r="BI93" s="102">
        <v>2902.8890000000001</v>
      </c>
      <c r="BJ93" s="102">
        <v>2902.8890000000001</v>
      </c>
      <c r="BK93" s="102">
        <v>0</v>
      </c>
      <c r="BL93" s="104"/>
      <c r="BM93" s="104"/>
    </row>
    <row r="94" spans="2:65">
      <c r="C94" s="2"/>
    </row>
  </sheetData>
  <mergeCells count="9">
    <mergeCell ref="AI1:AO1"/>
    <mergeCell ref="AP1:AX1"/>
    <mergeCell ref="AY1:BG1"/>
    <mergeCell ref="D1:P1"/>
    <mergeCell ref="Q1:R1"/>
    <mergeCell ref="T1:V1"/>
    <mergeCell ref="W1:Y1"/>
    <mergeCell ref="Z1:AE1"/>
    <mergeCell ref="AF1:AH1"/>
  </mergeCells>
  <phoneticPr fontId="37" type="noConversion"/>
  <conditionalFormatting sqref="D48:BK74">
    <cfRule type="cellIs" dxfId="0" priority="1" operator="less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6EA0D-8ADE-4B83-849E-5EB31A9E11A5}">
  <dimension ref="A1:L101"/>
  <sheetViews>
    <sheetView topLeftCell="A7" workbookViewId="0">
      <selection activeCell="D42" sqref="D42"/>
    </sheetView>
  </sheetViews>
  <sheetFormatPr defaultColWidth="9.125" defaultRowHeight="16.5"/>
  <cols>
    <col min="1" max="1" width="20.625" style="30" customWidth="1"/>
    <col min="2" max="3" width="6.125" style="30" customWidth="1"/>
    <col min="4" max="4" width="6.125" style="30" customWidth="1" collapsed="1"/>
    <col min="5" max="7" width="6.125" style="30" customWidth="1"/>
    <col min="8" max="9" width="5.5" style="30" customWidth="1"/>
    <col min="10" max="10" width="0.625" style="55" customWidth="1"/>
    <col min="11" max="12" width="5.5" style="30" customWidth="1"/>
    <col min="13" max="16384" width="9.125" style="30"/>
  </cols>
  <sheetData>
    <row r="1" spans="1:12" ht="30" customHeight="1">
      <c r="A1" s="502" t="s">
        <v>49</v>
      </c>
      <c r="B1" s="503"/>
      <c r="C1" s="503"/>
      <c r="D1" s="503"/>
      <c r="E1" s="503"/>
      <c r="F1" s="503"/>
      <c r="G1" s="503"/>
      <c r="H1" s="503"/>
      <c r="I1" s="503"/>
      <c r="J1" s="503"/>
      <c r="K1" s="503"/>
      <c r="L1" s="503"/>
    </row>
    <row r="2" spans="1:12">
      <c r="A2" s="504" t="s">
        <v>50</v>
      </c>
      <c r="B2" s="504"/>
      <c r="C2" s="504"/>
      <c r="D2" s="504"/>
      <c r="E2" s="504"/>
      <c r="F2" s="504"/>
      <c r="G2" s="504"/>
      <c r="H2" s="504"/>
      <c r="I2" s="504"/>
      <c r="J2" s="504"/>
      <c r="K2" s="504"/>
      <c r="L2" s="504"/>
    </row>
    <row r="3" spans="1:12" ht="15" customHeight="1">
      <c r="A3" s="31"/>
      <c r="B3" s="32"/>
      <c r="C3" s="32"/>
      <c r="D3" s="32"/>
      <c r="E3" s="32"/>
      <c r="F3" s="32"/>
      <c r="G3" s="32"/>
      <c r="H3" s="494" t="s">
        <v>30</v>
      </c>
      <c r="I3" s="494"/>
      <c r="J3" s="33"/>
      <c r="K3" s="494" t="s">
        <v>31</v>
      </c>
      <c r="L3" s="494"/>
    </row>
    <row r="4" spans="1:12" ht="15" customHeight="1">
      <c r="A4" s="31"/>
      <c r="B4" s="34">
        <v>2000</v>
      </c>
      <c r="C4" s="34">
        <v>2018</v>
      </c>
      <c r="D4" s="34">
        <v>2025</v>
      </c>
      <c r="E4" s="34">
        <v>2030</v>
      </c>
      <c r="F4" s="34">
        <v>2035</v>
      </c>
      <c r="G4" s="34">
        <v>2040</v>
      </c>
      <c r="H4" s="35">
        <v>2018</v>
      </c>
      <c r="I4" s="35">
        <v>2040</v>
      </c>
      <c r="J4" s="33"/>
      <c r="K4" s="35" t="s">
        <v>32</v>
      </c>
      <c r="L4" s="35" t="s">
        <v>33</v>
      </c>
    </row>
    <row r="5" spans="1:12" ht="13.5" customHeight="1">
      <c r="A5" s="37" t="s">
        <v>51</v>
      </c>
      <c r="B5" s="38"/>
      <c r="C5" s="38"/>
      <c r="D5" s="39"/>
      <c r="E5" s="39"/>
      <c r="F5" s="39"/>
      <c r="G5" s="39"/>
      <c r="H5" s="60"/>
      <c r="I5" s="60"/>
      <c r="J5" s="46"/>
      <c r="K5" s="60"/>
      <c r="L5" s="60"/>
    </row>
    <row r="6" spans="1:12" ht="13.5" customHeight="1">
      <c r="A6" s="42" t="s">
        <v>52</v>
      </c>
      <c r="B6" s="61">
        <v>12.022</v>
      </c>
      <c r="C6" s="61">
        <v>23.111999999999998</v>
      </c>
      <c r="D6" s="62">
        <v>25.736000000000001</v>
      </c>
      <c r="E6" s="62">
        <v>26.933</v>
      </c>
      <c r="F6" s="62">
        <v>27.626000000000001</v>
      </c>
      <c r="G6" s="62">
        <v>27.773</v>
      </c>
      <c r="H6" s="63">
        <v>100</v>
      </c>
      <c r="I6" s="63">
        <v>99.990000000000009</v>
      </c>
      <c r="J6" s="64"/>
      <c r="K6" s="65">
        <v>3.7</v>
      </c>
      <c r="L6" s="65">
        <v>0.84</v>
      </c>
    </row>
    <row r="7" spans="1:12" ht="13.5" customHeight="1">
      <c r="A7" s="48" t="s">
        <v>53</v>
      </c>
      <c r="B7" s="43">
        <v>8.0839999999999996</v>
      </c>
      <c r="C7" s="43">
        <v>18.677</v>
      </c>
      <c r="D7" s="44">
        <v>21.309000000000001</v>
      </c>
      <c r="E7" s="44">
        <v>22.584</v>
      </c>
      <c r="F7" s="44">
        <v>23.367999999999999</v>
      </c>
      <c r="G7" s="44">
        <v>23.658000000000001</v>
      </c>
      <c r="H7" s="45">
        <v>80.81</v>
      </c>
      <c r="I7" s="45">
        <v>85.18</v>
      </c>
      <c r="J7" s="66"/>
      <c r="K7" s="47">
        <v>4.76</v>
      </c>
      <c r="L7" s="47">
        <v>1.08</v>
      </c>
    </row>
    <row r="8" spans="1:12" ht="13.5" customHeight="1">
      <c r="A8" s="48" t="s">
        <v>54</v>
      </c>
      <c r="B8" s="43">
        <v>2.5110000000000001</v>
      </c>
      <c r="C8" s="43">
        <v>3.5910000000000002</v>
      </c>
      <c r="D8" s="44">
        <v>3.5659999999999998</v>
      </c>
      <c r="E8" s="44">
        <v>3.5059999999999998</v>
      </c>
      <c r="F8" s="44">
        <v>3.427</v>
      </c>
      <c r="G8" s="44">
        <v>3.3140000000000001</v>
      </c>
      <c r="H8" s="45">
        <v>15.54</v>
      </c>
      <c r="I8" s="45">
        <v>11.93</v>
      </c>
      <c r="J8" s="66"/>
      <c r="K8" s="47">
        <v>2.0099999999999998</v>
      </c>
      <c r="L8" s="47">
        <v>-0.36</v>
      </c>
    </row>
    <row r="9" spans="1:12" ht="13.5" customHeight="1">
      <c r="A9" s="48" t="s">
        <v>55</v>
      </c>
      <c r="B9" s="43">
        <v>1.427</v>
      </c>
      <c r="C9" s="43">
        <v>0.84399999999999997</v>
      </c>
      <c r="D9" s="44">
        <v>0.86099999999999999</v>
      </c>
      <c r="E9" s="44">
        <v>0.84299999999999997</v>
      </c>
      <c r="F9" s="44">
        <v>0.83</v>
      </c>
      <c r="G9" s="44">
        <v>0.80100000000000005</v>
      </c>
      <c r="H9" s="45">
        <v>3.65</v>
      </c>
      <c r="I9" s="45">
        <v>2.88</v>
      </c>
      <c r="J9" s="66"/>
      <c r="K9" s="47">
        <v>-2.88</v>
      </c>
      <c r="L9" s="47">
        <v>-0.24</v>
      </c>
    </row>
    <row r="10" spans="1:12" ht="13.5" customHeight="1">
      <c r="A10" s="42" t="s">
        <v>56</v>
      </c>
      <c r="B10" s="61"/>
      <c r="C10" s="61"/>
      <c r="D10" s="62"/>
      <c r="E10" s="62"/>
      <c r="F10" s="62"/>
      <c r="G10" s="62"/>
      <c r="H10" s="63"/>
      <c r="I10" s="63"/>
      <c r="J10" s="64"/>
      <c r="K10" s="65"/>
      <c r="L10" s="65"/>
    </row>
    <row r="11" spans="1:12" ht="13.5" customHeight="1">
      <c r="A11" s="48" t="s">
        <v>57</v>
      </c>
      <c r="B11" s="43">
        <v>7.2140000000000004</v>
      </c>
      <c r="C11" s="43">
        <v>11.016</v>
      </c>
      <c r="D11" s="44">
        <v>12.173</v>
      </c>
      <c r="E11" s="44">
        <v>12.933999999999999</v>
      </c>
      <c r="F11" s="44">
        <v>13.081</v>
      </c>
      <c r="G11" s="44">
        <v>12.734</v>
      </c>
      <c r="H11" s="45">
        <v>47.67</v>
      </c>
      <c r="I11" s="45">
        <v>45.85</v>
      </c>
      <c r="J11" s="66"/>
      <c r="K11" s="47">
        <v>2.38</v>
      </c>
      <c r="L11" s="47">
        <v>0.66</v>
      </c>
    </row>
    <row r="12" spans="1:12" ht="13.5" customHeight="1">
      <c r="A12" s="48" t="s">
        <v>58</v>
      </c>
      <c r="B12" s="43">
        <v>3.5579999999999998</v>
      </c>
      <c r="C12" s="43">
        <v>9.8409999999999993</v>
      </c>
      <c r="D12" s="44">
        <v>11.253</v>
      </c>
      <c r="E12" s="44">
        <v>10.962</v>
      </c>
      <c r="F12" s="44">
        <v>10.247</v>
      </c>
      <c r="G12" s="44">
        <v>9.4390000000000001</v>
      </c>
      <c r="H12" s="45">
        <v>42.58</v>
      </c>
      <c r="I12" s="45">
        <v>33.99</v>
      </c>
      <c r="J12" s="66"/>
      <c r="K12" s="47">
        <v>5.81</v>
      </c>
      <c r="L12" s="47">
        <v>-0.19</v>
      </c>
    </row>
    <row r="13" spans="1:12" ht="13.5" customHeight="1">
      <c r="A13" s="48" t="s">
        <v>59</v>
      </c>
      <c r="B13" s="43">
        <v>0</v>
      </c>
      <c r="C13" s="43">
        <v>5.6000000000000001E-2</v>
      </c>
      <c r="D13" s="44">
        <v>0.27600000000000002</v>
      </c>
      <c r="E13" s="44">
        <v>0.73899999999999999</v>
      </c>
      <c r="F13" s="44">
        <v>1.5960000000000001</v>
      </c>
      <c r="G13" s="44">
        <v>2.5499999999999998</v>
      </c>
      <c r="H13" s="45">
        <v>0.24</v>
      </c>
      <c r="I13" s="45">
        <v>9.18</v>
      </c>
      <c r="J13" s="66"/>
      <c r="K13" s="47">
        <v>66.11</v>
      </c>
      <c r="L13" s="47">
        <v>18.989999999999998</v>
      </c>
    </row>
    <row r="14" spans="1:12" ht="13.5" customHeight="1">
      <c r="A14" s="48" t="s">
        <v>60</v>
      </c>
      <c r="B14" s="43">
        <v>0</v>
      </c>
      <c r="C14" s="43">
        <v>0</v>
      </c>
      <c r="D14" s="44">
        <v>1.2E-2</v>
      </c>
      <c r="E14" s="44">
        <v>0.185</v>
      </c>
      <c r="F14" s="44">
        <v>0.52</v>
      </c>
      <c r="G14" s="44">
        <v>0.91800000000000004</v>
      </c>
      <c r="H14" s="45">
        <v>0</v>
      </c>
      <c r="I14" s="45">
        <v>3.31</v>
      </c>
      <c r="J14" s="66"/>
      <c r="K14" s="47" t="s">
        <v>38</v>
      </c>
      <c r="L14" s="47">
        <v>49.25</v>
      </c>
    </row>
    <row r="15" spans="1:12" ht="13.5" customHeight="1">
      <c r="A15" s="48" t="s">
        <v>61</v>
      </c>
      <c r="B15" s="43">
        <v>1.25</v>
      </c>
      <c r="C15" s="43">
        <v>2.1989999999999998</v>
      </c>
      <c r="D15" s="44">
        <v>2.0209999999999999</v>
      </c>
      <c r="E15" s="44">
        <v>2.113</v>
      </c>
      <c r="F15" s="44">
        <v>2.181</v>
      </c>
      <c r="G15" s="44">
        <v>2.1309999999999998</v>
      </c>
      <c r="H15" s="45">
        <v>9.51</v>
      </c>
      <c r="I15" s="45">
        <v>7.67</v>
      </c>
      <c r="J15" s="66"/>
      <c r="K15" s="47">
        <v>3.19</v>
      </c>
      <c r="L15" s="47">
        <v>-0.14000000000000001</v>
      </c>
    </row>
    <row r="16" spans="1:12" s="55" customFormat="1" ht="3" customHeight="1">
      <c r="A16" s="50"/>
      <c r="B16" s="51"/>
      <c r="C16" s="51"/>
      <c r="D16" s="52"/>
      <c r="E16" s="52"/>
      <c r="F16" s="52"/>
      <c r="G16" s="52"/>
      <c r="H16" s="52"/>
      <c r="I16" s="52"/>
      <c r="J16" s="54"/>
      <c r="K16" s="54"/>
      <c r="L16" s="54"/>
    </row>
    <row r="17" spans="1:12" ht="13.5" customHeight="1">
      <c r="A17" s="37" t="s">
        <v>62</v>
      </c>
      <c r="B17" s="67">
        <v>30.945</v>
      </c>
      <c r="C17" s="67">
        <v>42.96</v>
      </c>
      <c r="D17" s="68">
        <v>45.814</v>
      </c>
      <c r="E17" s="68">
        <v>46.411999999999999</v>
      </c>
      <c r="F17" s="68">
        <v>45.834000000000003</v>
      </c>
      <c r="G17" s="68">
        <v>44.567999999999998</v>
      </c>
      <c r="H17" s="63">
        <v>99.98</v>
      </c>
      <c r="I17" s="63">
        <v>99.990000000000009</v>
      </c>
      <c r="J17" s="64"/>
      <c r="K17" s="65">
        <v>1.84</v>
      </c>
      <c r="L17" s="65">
        <v>0.17</v>
      </c>
    </row>
    <row r="18" spans="1:12" ht="13.5" customHeight="1">
      <c r="A18" s="42" t="s">
        <v>109</v>
      </c>
      <c r="B18" s="43">
        <v>7.8840000000000003</v>
      </c>
      <c r="C18" s="43">
        <v>9.6489999999999991</v>
      </c>
      <c r="D18" s="44">
        <v>10.265000000000001</v>
      </c>
      <c r="E18" s="44">
        <v>10.637</v>
      </c>
      <c r="F18" s="44">
        <v>10.525</v>
      </c>
      <c r="G18" s="44">
        <v>10.021000000000001</v>
      </c>
      <c r="H18" s="45">
        <v>22.46</v>
      </c>
      <c r="I18" s="45">
        <v>22.48</v>
      </c>
      <c r="J18" s="66"/>
      <c r="K18" s="47">
        <v>1.1299999999999999</v>
      </c>
      <c r="L18" s="47">
        <v>0.17</v>
      </c>
    </row>
    <row r="19" spans="1:12" ht="13.5" customHeight="1">
      <c r="A19" s="42" t="s">
        <v>110</v>
      </c>
      <c r="B19" s="43">
        <v>13.282999999999999</v>
      </c>
      <c r="C19" s="43">
        <v>19.643999999999998</v>
      </c>
      <c r="D19" s="44">
        <v>20.93</v>
      </c>
      <c r="E19" s="44">
        <v>20.303000000000001</v>
      </c>
      <c r="F19" s="44">
        <v>19.315999999999999</v>
      </c>
      <c r="G19" s="44">
        <v>18.34</v>
      </c>
      <c r="H19" s="45">
        <v>45.73</v>
      </c>
      <c r="I19" s="45">
        <v>41.15</v>
      </c>
      <c r="J19" s="66"/>
      <c r="K19" s="47">
        <v>2.2000000000000002</v>
      </c>
      <c r="L19" s="47">
        <v>-0.31</v>
      </c>
    </row>
    <row r="20" spans="1:12" ht="13.5" customHeight="1">
      <c r="A20" s="42" t="s">
        <v>111</v>
      </c>
      <c r="B20" s="43">
        <v>3.97</v>
      </c>
      <c r="C20" s="43">
        <v>2.8069999999999999</v>
      </c>
      <c r="D20" s="44">
        <v>2.8730000000000002</v>
      </c>
      <c r="E20" s="44">
        <v>2.8690000000000002</v>
      </c>
      <c r="F20" s="44">
        <v>2.851</v>
      </c>
      <c r="G20" s="44">
        <v>2.802</v>
      </c>
      <c r="H20" s="45">
        <v>6.53</v>
      </c>
      <c r="I20" s="45">
        <v>6.29</v>
      </c>
      <c r="J20" s="66"/>
      <c r="K20" s="47">
        <v>-1.91</v>
      </c>
      <c r="L20" s="47">
        <v>-0.01</v>
      </c>
    </row>
    <row r="21" spans="1:12" ht="13.5" customHeight="1">
      <c r="A21" s="42" t="s">
        <v>112</v>
      </c>
      <c r="B21" s="43">
        <v>2.1669999999999998</v>
      </c>
      <c r="C21" s="43">
        <v>5.0140000000000002</v>
      </c>
      <c r="D21" s="44">
        <v>5.9390000000000001</v>
      </c>
      <c r="E21" s="44">
        <v>6.5380000000000003</v>
      </c>
      <c r="F21" s="44">
        <v>6.9610000000000003</v>
      </c>
      <c r="G21" s="44">
        <v>7.2569999999999997</v>
      </c>
      <c r="H21" s="45">
        <v>11.67</v>
      </c>
      <c r="I21" s="45">
        <v>16.28</v>
      </c>
      <c r="J21" s="66"/>
      <c r="K21" s="47">
        <v>4.7699999999999996</v>
      </c>
      <c r="L21" s="47">
        <v>1.7</v>
      </c>
    </row>
    <row r="22" spans="1:12" ht="13.5" customHeight="1">
      <c r="A22" s="42" t="s">
        <v>113</v>
      </c>
      <c r="B22" s="43">
        <v>3.4460000000000002</v>
      </c>
      <c r="C22" s="43">
        <v>3.6619999999999999</v>
      </c>
      <c r="D22" s="44">
        <v>3.34</v>
      </c>
      <c r="E22" s="44">
        <v>3.3860000000000001</v>
      </c>
      <c r="F22" s="44">
        <v>3.359</v>
      </c>
      <c r="G22" s="44">
        <v>3.2429999999999999</v>
      </c>
      <c r="H22" s="45">
        <v>8.52</v>
      </c>
      <c r="I22" s="45">
        <v>7.28</v>
      </c>
      <c r="J22" s="66"/>
      <c r="K22" s="47">
        <v>0.34</v>
      </c>
      <c r="L22" s="47">
        <v>-0.55000000000000004</v>
      </c>
    </row>
    <row r="23" spans="1:12" ht="13.5" customHeight="1">
      <c r="A23" s="42" t="s">
        <v>114</v>
      </c>
      <c r="B23" s="43">
        <v>7.0000000000000001E-3</v>
      </c>
      <c r="C23" s="43">
        <v>5.0000000000000001E-3</v>
      </c>
      <c r="D23" s="44">
        <v>6.0000000000000001E-3</v>
      </c>
      <c r="E23" s="44">
        <v>6.0000000000000001E-3</v>
      </c>
      <c r="F23" s="44">
        <v>6.0000000000000001E-3</v>
      </c>
      <c r="G23" s="44">
        <v>6.0000000000000001E-3</v>
      </c>
      <c r="H23" s="45">
        <v>0.01</v>
      </c>
      <c r="I23" s="45">
        <v>0.01</v>
      </c>
      <c r="J23" s="66"/>
      <c r="K23" s="47">
        <v>-1.67</v>
      </c>
      <c r="L23" s="47">
        <v>0.13</v>
      </c>
    </row>
    <row r="24" spans="1:12" ht="13.5" customHeight="1">
      <c r="A24" s="42" t="s">
        <v>115</v>
      </c>
      <c r="B24" s="43">
        <v>0</v>
      </c>
      <c r="C24" s="43">
        <v>1.2390000000000001</v>
      </c>
      <c r="D24" s="44">
        <v>1.452</v>
      </c>
      <c r="E24" s="44">
        <v>1.526</v>
      </c>
      <c r="F24" s="44">
        <v>1.4370000000000001</v>
      </c>
      <c r="G24" s="44">
        <v>1.3149999999999999</v>
      </c>
      <c r="H24" s="45">
        <v>2.88</v>
      </c>
      <c r="I24" s="45">
        <v>2.95</v>
      </c>
      <c r="J24" s="66"/>
      <c r="K24" s="47" t="s">
        <v>38</v>
      </c>
      <c r="L24" s="47">
        <v>0.27</v>
      </c>
    </row>
    <row r="25" spans="1:12" ht="13.5" customHeight="1">
      <c r="A25" s="42" t="s">
        <v>43</v>
      </c>
      <c r="B25" s="43">
        <v>0.17499999999999999</v>
      </c>
      <c r="C25" s="43">
        <v>0.255</v>
      </c>
      <c r="D25" s="44">
        <v>0.36399999999999999</v>
      </c>
      <c r="E25" s="44">
        <v>0.52200000000000002</v>
      </c>
      <c r="F25" s="44">
        <v>0.78400000000000003</v>
      </c>
      <c r="G25" s="44">
        <v>1.018</v>
      </c>
      <c r="H25" s="45">
        <v>0.59</v>
      </c>
      <c r="I25" s="45">
        <v>2.2799999999999998</v>
      </c>
      <c r="J25" s="66"/>
      <c r="K25" s="47">
        <v>2.11</v>
      </c>
      <c r="L25" s="47">
        <v>6.49</v>
      </c>
    </row>
    <row r="26" spans="1:12" ht="13.5" customHeight="1">
      <c r="A26" s="42" t="s">
        <v>116</v>
      </c>
      <c r="B26" s="43">
        <v>0</v>
      </c>
      <c r="C26" s="43">
        <v>0.68400000000000005</v>
      </c>
      <c r="D26" s="44">
        <v>0.64400000000000002</v>
      </c>
      <c r="E26" s="44">
        <v>0.625</v>
      </c>
      <c r="F26" s="44">
        <v>0.59499999999999997</v>
      </c>
      <c r="G26" s="44">
        <v>0.56599999999999995</v>
      </c>
      <c r="H26" s="45">
        <v>1.59</v>
      </c>
      <c r="I26" s="45">
        <v>1.27</v>
      </c>
      <c r="J26" s="66"/>
      <c r="K26" s="47" t="s">
        <v>38</v>
      </c>
      <c r="L26" s="47">
        <v>-0.86</v>
      </c>
    </row>
    <row r="27" spans="1:12" s="55" customFormat="1" ht="3" customHeight="1">
      <c r="A27" s="50"/>
      <c r="B27" s="51"/>
      <c r="C27" s="51"/>
      <c r="D27" s="52"/>
      <c r="E27" s="52"/>
      <c r="F27" s="52"/>
      <c r="G27" s="52"/>
      <c r="H27" s="52"/>
      <c r="I27" s="52"/>
      <c r="J27" s="54"/>
      <c r="K27" s="54"/>
      <c r="L27" s="54"/>
    </row>
    <row r="28" spans="1:12" ht="13.5" customHeight="1">
      <c r="A28" s="37" t="s">
        <v>64</v>
      </c>
      <c r="B28" s="43"/>
      <c r="C28" s="43"/>
      <c r="D28" s="68"/>
      <c r="E28" s="68"/>
      <c r="F28" s="68"/>
      <c r="G28" s="68"/>
      <c r="H28" s="69"/>
      <c r="I28" s="69"/>
      <c r="J28" s="70"/>
      <c r="K28" s="71"/>
      <c r="L28" s="71"/>
    </row>
    <row r="29" spans="1:12" ht="13.5" customHeight="1">
      <c r="A29" s="42" t="s">
        <v>65</v>
      </c>
      <c r="B29" s="43">
        <v>23.553999999999998</v>
      </c>
      <c r="C29" s="43">
        <v>34.396000000000001</v>
      </c>
      <c r="D29" s="44">
        <v>36.292000000000002</v>
      </c>
      <c r="E29" s="44">
        <v>36.322000000000003</v>
      </c>
      <c r="F29" s="44">
        <v>35.371000000000002</v>
      </c>
      <c r="G29" s="44">
        <v>33.89</v>
      </c>
      <c r="H29" s="45">
        <v>80.06</v>
      </c>
      <c r="I29" s="45">
        <v>76.040000000000006</v>
      </c>
      <c r="J29" s="66"/>
      <c r="K29" s="47">
        <v>2.13</v>
      </c>
      <c r="L29" s="47">
        <v>-7.0000000000000007E-2</v>
      </c>
    </row>
    <row r="30" spans="1:12" ht="13.5" customHeight="1">
      <c r="A30" s="42" t="s">
        <v>66</v>
      </c>
      <c r="B30" s="43">
        <v>0.51300000000000001</v>
      </c>
      <c r="C30" s="43">
        <v>0.35599999999999998</v>
      </c>
      <c r="D30" s="44">
        <v>0.34599999999999997</v>
      </c>
      <c r="E30" s="44">
        <v>0.34</v>
      </c>
      <c r="F30" s="44">
        <v>0.33100000000000002</v>
      </c>
      <c r="G30" s="44">
        <v>0.318</v>
      </c>
      <c r="H30" s="45">
        <v>0.83</v>
      </c>
      <c r="I30" s="45">
        <v>0.71</v>
      </c>
      <c r="J30" s="66"/>
      <c r="K30" s="47">
        <v>-2.0099999999999998</v>
      </c>
      <c r="L30" s="47">
        <v>-0.5</v>
      </c>
    </row>
    <row r="31" spans="1:12" ht="13.5" customHeight="1">
      <c r="A31" s="42" t="s">
        <v>67</v>
      </c>
      <c r="B31" s="43">
        <v>2.1739999999999999</v>
      </c>
      <c r="C31" s="43">
        <v>5.0149999999999997</v>
      </c>
      <c r="D31" s="44">
        <v>5.9409999999999998</v>
      </c>
      <c r="E31" s="44">
        <v>6.54</v>
      </c>
      <c r="F31" s="44">
        <v>6.9630000000000001</v>
      </c>
      <c r="G31" s="44">
        <v>7.26</v>
      </c>
      <c r="H31" s="45">
        <v>11.67</v>
      </c>
      <c r="I31" s="45">
        <v>16.29</v>
      </c>
      <c r="J31" s="66"/>
      <c r="K31" s="47">
        <v>4.75</v>
      </c>
      <c r="L31" s="47">
        <v>1.7</v>
      </c>
    </row>
    <row r="32" spans="1:12" ht="13.5" customHeight="1" thickBot="1">
      <c r="A32" s="42" t="s">
        <v>68</v>
      </c>
      <c r="B32" s="43">
        <v>4.7050000000000001</v>
      </c>
      <c r="C32" s="43">
        <v>3.194</v>
      </c>
      <c r="D32" s="44">
        <v>3.2360000000000002</v>
      </c>
      <c r="E32" s="44">
        <v>3.2109999999999999</v>
      </c>
      <c r="F32" s="44">
        <v>3.17</v>
      </c>
      <c r="G32" s="44">
        <v>3.1</v>
      </c>
      <c r="H32" s="45">
        <v>7.43</v>
      </c>
      <c r="I32" s="45">
        <v>6.96</v>
      </c>
      <c r="J32" s="66"/>
      <c r="K32" s="47">
        <v>-2.13</v>
      </c>
      <c r="L32" s="47">
        <v>-0.14000000000000001</v>
      </c>
    </row>
    <row r="33" spans="1:12" ht="22.5" customHeight="1">
      <c r="A33" s="495" t="s">
        <v>69</v>
      </c>
      <c r="B33" s="496"/>
      <c r="C33" s="496"/>
      <c r="D33" s="496"/>
      <c r="E33" s="496"/>
      <c r="F33" s="496"/>
      <c r="G33" s="496"/>
      <c r="H33" s="496"/>
      <c r="I33" s="496"/>
      <c r="J33" s="496"/>
      <c r="K33" s="496"/>
      <c r="L33" s="496"/>
    </row>
    <row r="34" spans="1:12">
      <c r="H34" s="58"/>
      <c r="I34" s="58"/>
      <c r="J34" s="59"/>
      <c r="K34" s="58"/>
      <c r="L34" s="58"/>
    </row>
    <row r="35" spans="1:12">
      <c r="H35" s="58"/>
      <c r="I35" s="58"/>
      <c r="J35" s="59"/>
      <c r="K35" s="58"/>
      <c r="L35" s="58"/>
    </row>
    <row r="36" spans="1:12">
      <c r="H36" s="58"/>
      <c r="I36" s="58"/>
      <c r="J36" s="59"/>
      <c r="K36" s="58"/>
      <c r="L36" s="58"/>
    </row>
    <row r="37" spans="1:12">
      <c r="H37" s="58"/>
      <c r="I37" s="58"/>
      <c r="J37" s="59"/>
      <c r="K37" s="58"/>
      <c r="L37" s="58"/>
    </row>
    <row r="38" spans="1:12">
      <c r="H38" s="58"/>
      <c r="I38" s="58"/>
      <c r="J38" s="59"/>
      <c r="K38" s="58"/>
      <c r="L38" s="58"/>
    </row>
    <row r="39" spans="1:12">
      <c r="H39" s="58"/>
      <c r="I39" s="58"/>
      <c r="J39" s="59"/>
      <c r="K39" s="58"/>
      <c r="L39" s="58"/>
    </row>
    <row r="40" spans="1:12">
      <c r="H40" s="58"/>
      <c r="I40" s="58"/>
      <c r="J40" s="59"/>
      <c r="K40" s="58"/>
      <c r="L40" s="58"/>
    </row>
    <row r="41" spans="1:12">
      <c r="H41" s="58"/>
      <c r="I41" s="58"/>
      <c r="J41" s="59"/>
      <c r="K41" s="58"/>
      <c r="L41" s="58"/>
    </row>
    <row r="42" spans="1:12">
      <c r="H42" s="58"/>
      <c r="I42" s="58"/>
      <c r="J42" s="59"/>
      <c r="K42" s="58"/>
      <c r="L42" s="58"/>
    </row>
    <row r="43" spans="1:12">
      <c r="H43" s="58"/>
      <c r="I43" s="58"/>
      <c r="J43" s="59"/>
      <c r="K43" s="58"/>
      <c r="L43" s="58"/>
    </row>
    <row r="44" spans="1:12">
      <c r="H44" s="58"/>
      <c r="I44" s="58"/>
      <c r="J44" s="59"/>
      <c r="K44" s="58"/>
      <c r="L44" s="58"/>
    </row>
    <row r="45" spans="1:12">
      <c r="H45" s="58"/>
      <c r="I45" s="58"/>
      <c r="J45" s="59"/>
      <c r="K45" s="58"/>
      <c r="L45" s="58"/>
    </row>
    <row r="46" spans="1:12">
      <c r="H46" s="58"/>
      <c r="I46" s="58"/>
      <c r="J46" s="59"/>
      <c r="K46" s="58"/>
      <c r="L46" s="58"/>
    </row>
    <row r="47" spans="1:12">
      <c r="H47" s="58"/>
      <c r="I47" s="58"/>
      <c r="J47" s="59"/>
      <c r="K47" s="58"/>
      <c r="L47" s="58"/>
    </row>
    <row r="48" spans="1:12">
      <c r="H48" s="58"/>
      <c r="I48" s="58"/>
      <c r="J48" s="59"/>
      <c r="K48" s="58"/>
      <c r="L48" s="58"/>
    </row>
    <row r="49" spans="8:12">
      <c r="H49" s="58"/>
      <c r="I49" s="58"/>
      <c r="J49" s="59"/>
      <c r="K49" s="58"/>
      <c r="L49" s="58"/>
    </row>
    <row r="50" spans="8:12">
      <c r="H50" s="58"/>
      <c r="I50" s="58"/>
      <c r="J50" s="59"/>
      <c r="K50" s="58"/>
      <c r="L50" s="58"/>
    </row>
    <row r="51" spans="8:12">
      <c r="H51" s="58"/>
      <c r="I51" s="58"/>
      <c r="J51" s="59"/>
      <c r="K51" s="58"/>
      <c r="L51" s="58"/>
    </row>
    <row r="52" spans="8:12">
      <c r="H52" s="58"/>
      <c r="I52" s="58"/>
      <c r="J52" s="59"/>
      <c r="K52" s="58"/>
      <c r="L52" s="58"/>
    </row>
    <row r="53" spans="8:12">
      <c r="H53" s="58"/>
      <c r="I53" s="58"/>
      <c r="J53" s="59"/>
      <c r="K53" s="58"/>
      <c r="L53" s="58"/>
    </row>
    <row r="54" spans="8:12">
      <c r="H54" s="58"/>
      <c r="I54" s="58"/>
      <c r="J54" s="59"/>
      <c r="K54" s="58"/>
      <c r="L54" s="58"/>
    </row>
    <row r="55" spans="8:12">
      <c r="H55" s="58"/>
      <c r="I55" s="58"/>
      <c r="J55" s="59"/>
      <c r="K55" s="58"/>
      <c r="L55" s="58"/>
    </row>
    <row r="56" spans="8:12">
      <c r="H56" s="58"/>
      <c r="I56" s="58"/>
      <c r="J56" s="59"/>
      <c r="K56" s="58"/>
      <c r="L56" s="58"/>
    </row>
    <row r="57" spans="8:12">
      <c r="H57" s="58"/>
      <c r="I57" s="58"/>
      <c r="J57" s="59"/>
      <c r="K57" s="58"/>
      <c r="L57" s="58"/>
    </row>
    <row r="58" spans="8:12">
      <c r="H58" s="58"/>
      <c r="I58" s="58"/>
      <c r="J58" s="59"/>
      <c r="K58" s="58"/>
      <c r="L58" s="58"/>
    </row>
    <row r="59" spans="8:12">
      <c r="H59" s="58"/>
      <c r="I59" s="58"/>
      <c r="J59" s="59"/>
      <c r="K59" s="58"/>
      <c r="L59" s="58"/>
    </row>
    <row r="60" spans="8:12">
      <c r="H60" s="58"/>
      <c r="I60" s="58"/>
      <c r="J60" s="59"/>
      <c r="K60" s="58"/>
      <c r="L60" s="58"/>
    </row>
    <row r="61" spans="8:12">
      <c r="H61" s="58"/>
      <c r="I61" s="58"/>
      <c r="J61" s="59"/>
      <c r="K61" s="58"/>
      <c r="L61" s="58"/>
    </row>
    <row r="62" spans="8:12">
      <c r="H62" s="58"/>
      <c r="I62" s="58"/>
      <c r="J62" s="59"/>
      <c r="K62" s="58"/>
      <c r="L62" s="58"/>
    </row>
    <row r="63" spans="8:12">
      <c r="H63" s="58"/>
      <c r="I63" s="58"/>
      <c r="J63" s="59"/>
      <c r="K63" s="58"/>
      <c r="L63" s="58"/>
    </row>
    <row r="64" spans="8:12">
      <c r="H64" s="58"/>
      <c r="I64" s="58"/>
      <c r="J64" s="59"/>
      <c r="K64" s="58"/>
      <c r="L64" s="58"/>
    </row>
    <row r="65" spans="8:12">
      <c r="H65" s="58"/>
      <c r="I65" s="58"/>
      <c r="J65" s="59"/>
      <c r="K65" s="58"/>
      <c r="L65" s="58"/>
    </row>
    <row r="66" spans="8:12">
      <c r="H66" s="58"/>
      <c r="I66" s="58"/>
      <c r="J66" s="59"/>
      <c r="K66" s="58"/>
      <c r="L66" s="58"/>
    </row>
    <row r="67" spans="8:12">
      <c r="H67" s="58"/>
      <c r="I67" s="58"/>
      <c r="J67" s="59"/>
      <c r="K67" s="58"/>
      <c r="L67" s="58"/>
    </row>
    <row r="68" spans="8:12">
      <c r="H68" s="58"/>
      <c r="I68" s="58"/>
      <c r="J68" s="59"/>
      <c r="K68" s="58"/>
      <c r="L68" s="58"/>
    </row>
    <row r="69" spans="8:12">
      <c r="H69" s="58"/>
      <c r="I69" s="58"/>
      <c r="J69" s="59"/>
      <c r="K69" s="58"/>
      <c r="L69" s="58"/>
    </row>
    <row r="70" spans="8:12">
      <c r="H70" s="58"/>
      <c r="I70" s="58"/>
      <c r="J70" s="59"/>
      <c r="K70" s="58"/>
      <c r="L70" s="58"/>
    </row>
    <row r="71" spans="8:12">
      <c r="H71" s="58"/>
      <c r="I71" s="58"/>
      <c r="J71" s="59"/>
      <c r="K71" s="58"/>
      <c r="L71" s="58"/>
    </row>
    <row r="72" spans="8:12">
      <c r="H72" s="58"/>
      <c r="I72" s="58"/>
      <c r="J72" s="59"/>
      <c r="K72" s="58"/>
      <c r="L72" s="58"/>
    </row>
    <row r="73" spans="8:12">
      <c r="H73" s="58"/>
      <c r="I73" s="58"/>
      <c r="J73" s="59"/>
      <c r="K73" s="58"/>
      <c r="L73" s="58"/>
    </row>
    <row r="74" spans="8:12">
      <c r="H74" s="58"/>
      <c r="I74" s="58"/>
      <c r="J74" s="59"/>
      <c r="K74" s="58"/>
      <c r="L74" s="58"/>
    </row>
    <row r="75" spans="8:12">
      <c r="H75" s="58"/>
      <c r="I75" s="58"/>
      <c r="J75" s="59"/>
      <c r="K75" s="58"/>
      <c r="L75" s="58"/>
    </row>
    <row r="76" spans="8:12">
      <c r="H76" s="58"/>
      <c r="I76" s="58"/>
      <c r="J76" s="59"/>
      <c r="K76" s="58"/>
      <c r="L76" s="58"/>
    </row>
    <row r="77" spans="8:12">
      <c r="H77" s="58"/>
      <c r="I77" s="58"/>
      <c r="J77" s="59"/>
      <c r="K77" s="58"/>
      <c r="L77" s="58"/>
    </row>
    <row r="78" spans="8:12">
      <c r="H78" s="58"/>
      <c r="I78" s="58"/>
      <c r="J78" s="59"/>
      <c r="K78" s="58"/>
      <c r="L78" s="58"/>
    </row>
    <row r="79" spans="8:12">
      <c r="H79" s="58"/>
      <c r="I79" s="58"/>
      <c r="J79" s="59"/>
      <c r="K79" s="58"/>
      <c r="L79" s="58"/>
    </row>
    <row r="80" spans="8:12">
      <c r="H80" s="58"/>
      <c r="I80" s="58"/>
      <c r="J80" s="59"/>
      <c r="K80" s="58"/>
      <c r="L80" s="58"/>
    </row>
    <row r="81" spans="8:12">
      <c r="H81" s="58"/>
      <c r="I81" s="58"/>
      <c r="J81" s="59"/>
      <c r="K81" s="58"/>
      <c r="L81" s="58"/>
    </row>
    <row r="82" spans="8:12">
      <c r="H82" s="58"/>
      <c r="I82" s="58"/>
      <c r="J82" s="59"/>
      <c r="K82" s="58"/>
      <c r="L82" s="58"/>
    </row>
    <row r="83" spans="8:12">
      <c r="H83" s="58"/>
      <c r="I83" s="58"/>
      <c r="J83" s="59"/>
      <c r="K83" s="58"/>
      <c r="L83" s="58"/>
    </row>
    <row r="84" spans="8:12">
      <c r="H84" s="58"/>
      <c r="I84" s="58"/>
      <c r="J84" s="59"/>
      <c r="K84" s="58"/>
      <c r="L84" s="58"/>
    </row>
    <row r="85" spans="8:12">
      <c r="H85" s="58"/>
      <c r="I85" s="58"/>
      <c r="J85" s="59"/>
      <c r="K85" s="58"/>
      <c r="L85" s="58"/>
    </row>
    <row r="86" spans="8:12">
      <c r="H86" s="58"/>
      <c r="I86" s="58"/>
      <c r="J86" s="59"/>
      <c r="K86" s="58"/>
      <c r="L86" s="58"/>
    </row>
    <row r="87" spans="8:12">
      <c r="H87" s="58"/>
      <c r="I87" s="58"/>
      <c r="J87" s="59"/>
      <c r="K87" s="58"/>
      <c r="L87" s="58"/>
    </row>
    <row r="88" spans="8:12">
      <c r="H88" s="58"/>
      <c r="I88" s="58"/>
      <c r="J88" s="59"/>
      <c r="K88" s="58"/>
      <c r="L88" s="58"/>
    </row>
    <row r="89" spans="8:12">
      <c r="H89" s="58"/>
      <c r="I89" s="58"/>
      <c r="J89" s="59"/>
      <c r="K89" s="58"/>
      <c r="L89" s="58"/>
    </row>
    <row r="90" spans="8:12">
      <c r="H90" s="58"/>
      <c r="I90" s="58"/>
      <c r="J90" s="59"/>
      <c r="K90" s="58"/>
      <c r="L90" s="58"/>
    </row>
    <row r="91" spans="8:12">
      <c r="H91" s="58"/>
      <c r="I91" s="58"/>
      <c r="J91" s="59"/>
      <c r="K91" s="58"/>
      <c r="L91" s="58"/>
    </row>
    <row r="92" spans="8:12">
      <c r="H92" s="58"/>
      <c r="I92" s="58"/>
      <c r="J92" s="59"/>
      <c r="K92" s="58"/>
      <c r="L92" s="58"/>
    </row>
    <row r="93" spans="8:12">
      <c r="H93" s="58"/>
      <c r="I93" s="58"/>
      <c r="J93" s="59"/>
      <c r="K93" s="58"/>
      <c r="L93" s="58"/>
    </row>
    <row r="94" spans="8:12">
      <c r="H94" s="58"/>
      <c r="I94" s="58"/>
      <c r="J94" s="59"/>
      <c r="K94" s="58"/>
      <c r="L94" s="58"/>
    </row>
    <row r="95" spans="8:12">
      <c r="H95" s="58"/>
      <c r="I95" s="58"/>
      <c r="J95" s="59"/>
      <c r="K95" s="58"/>
      <c r="L95" s="58"/>
    </row>
    <row r="96" spans="8:12">
      <c r="H96" s="58"/>
      <c r="I96" s="58"/>
      <c r="J96" s="59"/>
      <c r="K96" s="58"/>
      <c r="L96" s="58"/>
    </row>
    <row r="97" spans="8:12">
      <c r="H97" s="58"/>
      <c r="I97" s="58"/>
      <c r="J97" s="59"/>
      <c r="K97" s="58"/>
      <c r="L97" s="58"/>
    </row>
    <row r="98" spans="8:12">
      <c r="H98" s="58"/>
      <c r="I98" s="58"/>
      <c r="J98" s="59"/>
      <c r="K98" s="58"/>
      <c r="L98" s="58"/>
    </row>
    <row r="99" spans="8:12">
      <c r="H99" s="58"/>
      <c r="I99" s="58"/>
      <c r="J99" s="59"/>
      <c r="K99" s="58"/>
      <c r="L99" s="58"/>
    </row>
    <row r="100" spans="8:12">
      <c r="H100" s="58"/>
      <c r="I100" s="58"/>
      <c r="J100" s="59"/>
      <c r="K100" s="58"/>
      <c r="L100" s="58"/>
    </row>
    <row r="101" spans="8:12">
      <c r="H101" s="58"/>
      <c r="I101" s="58"/>
      <c r="J101" s="59"/>
      <c r="K101" s="58"/>
      <c r="L101" s="58"/>
    </row>
  </sheetData>
  <mergeCells count="5">
    <mergeCell ref="A1:L1"/>
    <mergeCell ref="A2:L2"/>
    <mergeCell ref="H3:I3"/>
    <mergeCell ref="K3:L3"/>
    <mergeCell ref="A33:L33"/>
  </mergeCells>
  <phoneticPr fontId="37"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F8F9-8288-47D4-99E7-D85E44884A18}">
  <dimension ref="A1:L105"/>
  <sheetViews>
    <sheetView topLeftCell="A7" workbookViewId="0">
      <selection activeCell="A21" sqref="A21"/>
    </sheetView>
  </sheetViews>
  <sheetFormatPr defaultColWidth="9.125" defaultRowHeight="16.5"/>
  <cols>
    <col min="1" max="1" width="20.625" style="30" customWidth="1"/>
    <col min="2" max="3" width="6.125" style="30" customWidth="1"/>
    <col min="4" max="4" width="6.125" style="30" customWidth="1" collapsed="1"/>
    <col min="5" max="7" width="6.125" style="30" customWidth="1"/>
    <col min="8" max="9" width="5.5" style="30" customWidth="1"/>
    <col min="10" max="10" width="0.625" style="55" customWidth="1"/>
    <col min="11" max="12" width="5.5" style="30" customWidth="1"/>
    <col min="13" max="16384" width="9.125" style="30"/>
  </cols>
  <sheetData>
    <row r="1" spans="1:12" ht="30" customHeight="1">
      <c r="A1" s="502" t="s">
        <v>70</v>
      </c>
      <c r="B1" s="503"/>
      <c r="C1" s="503"/>
      <c r="D1" s="503"/>
      <c r="E1" s="503"/>
      <c r="F1" s="503"/>
      <c r="G1" s="503"/>
      <c r="H1" s="503"/>
      <c r="I1" s="503"/>
      <c r="J1" s="503"/>
      <c r="K1" s="503"/>
      <c r="L1" s="503"/>
    </row>
    <row r="2" spans="1:12">
      <c r="A2" s="504" t="s">
        <v>50</v>
      </c>
      <c r="B2" s="504"/>
      <c r="C2" s="504"/>
      <c r="D2" s="504"/>
      <c r="E2" s="504"/>
      <c r="F2" s="504"/>
      <c r="G2" s="504"/>
      <c r="H2" s="504"/>
      <c r="I2" s="504"/>
      <c r="J2" s="504"/>
      <c r="K2" s="504"/>
      <c r="L2" s="504"/>
    </row>
    <row r="3" spans="1:12" ht="15" customHeight="1">
      <c r="A3" s="31"/>
      <c r="B3" s="32"/>
      <c r="C3" s="32"/>
      <c r="D3" s="32"/>
      <c r="E3" s="32"/>
      <c r="F3" s="32"/>
      <c r="G3" s="32"/>
      <c r="H3" s="494" t="s">
        <v>30</v>
      </c>
      <c r="I3" s="494"/>
      <c r="J3" s="33"/>
      <c r="K3" s="494" t="s">
        <v>31</v>
      </c>
      <c r="L3" s="494"/>
    </row>
    <row r="4" spans="1:12" ht="15" customHeight="1">
      <c r="A4" s="31"/>
      <c r="B4" s="34">
        <v>2000</v>
      </c>
      <c r="C4" s="34">
        <v>2018</v>
      </c>
      <c r="D4" s="34">
        <v>2025</v>
      </c>
      <c r="E4" s="34">
        <v>2030</v>
      </c>
      <c r="F4" s="34">
        <v>2035</v>
      </c>
      <c r="G4" s="34">
        <v>2040</v>
      </c>
      <c r="H4" s="35">
        <v>2018</v>
      </c>
      <c r="I4" s="35">
        <v>2040</v>
      </c>
      <c r="J4" s="36"/>
      <c r="K4" s="35" t="s">
        <v>32</v>
      </c>
      <c r="L4" s="35" t="s">
        <v>33</v>
      </c>
    </row>
    <row r="5" spans="1:12" ht="13.5" customHeight="1">
      <c r="A5" s="37" t="s">
        <v>71</v>
      </c>
      <c r="B5" s="38"/>
      <c r="C5" s="38"/>
      <c r="D5" s="39"/>
      <c r="E5" s="39"/>
      <c r="F5" s="39"/>
      <c r="G5" s="39"/>
      <c r="H5" s="45"/>
      <c r="I5" s="45"/>
      <c r="J5" s="46"/>
      <c r="K5" s="47"/>
      <c r="L5" s="47"/>
    </row>
    <row r="6" spans="1:12" ht="13.5" customHeight="1">
      <c r="A6" s="42" t="s">
        <v>72</v>
      </c>
      <c r="B6" s="72">
        <v>47.008000000000003</v>
      </c>
      <c r="C6" s="72">
        <v>51.606999999999999</v>
      </c>
      <c r="D6" s="73">
        <v>51.905000000000001</v>
      </c>
      <c r="E6" s="73">
        <v>51.927</v>
      </c>
      <c r="F6" s="73">
        <v>51.63</v>
      </c>
      <c r="G6" s="73">
        <v>50.854999999999997</v>
      </c>
      <c r="H6" s="39" t="s">
        <v>38</v>
      </c>
      <c r="I6" s="39" t="s">
        <v>38</v>
      </c>
      <c r="J6" s="74"/>
      <c r="K6" s="75">
        <v>0.52</v>
      </c>
      <c r="L6" s="75">
        <v>-7.0000000000000007E-2</v>
      </c>
    </row>
    <row r="7" spans="1:12" ht="13.5" customHeight="1">
      <c r="A7" s="42" t="s">
        <v>73</v>
      </c>
      <c r="B7" s="72">
        <v>14.507</v>
      </c>
      <c r="C7" s="72">
        <v>19.751999999999999</v>
      </c>
      <c r="D7" s="73">
        <v>21.013999999999999</v>
      </c>
      <c r="E7" s="73">
        <v>21.640999999999998</v>
      </c>
      <c r="F7" s="73">
        <v>22.067</v>
      </c>
      <c r="G7" s="73">
        <v>22.306000000000001</v>
      </c>
      <c r="H7" s="39" t="s">
        <v>38</v>
      </c>
      <c r="I7" s="39" t="s">
        <v>38</v>
      </c>
      <c r="J7" s="74"/>
      <c r="K7" s="75">
        <v>1.73</v>
      </c>
      <c r="L7" s="75">
        <v>0.55000000000000004</v>
      </c>
    </row>
    <row r="8" spans="1:12" ht="13.5" customHeight="1">
      <c r="A8" s="42" t="s">
        <v>74</v>
      </c>
      <c r="B8" s="72">
        <v>10.959</v>
      </c>
      <c r="C8" s="72">
        <v>16.198</v>
      </c>
      <c r="D8" s="73">
        <v>17.721</v>
      </c>
      <c r="E8" s="73">
        <v>18.483000000000001</v>
      </c>
      <c r="F8" s="73">
        <v>19.041</v>
      </c>
      <c r="G8" s="73">
        <v>19.407</v>
      </c>
      <c r="H8" s="39">
        <v>99.990000000000009</v>
      </c>
      <c r="I8" s="39">
        <v>99.990000000000009</v>
      </c>
      <c r="J8" s="74"/>
      <c r="K8" s="75">
        <v>2.19</v>
      </c>
      <c r="L8" s="75">
        <v>0.82</v>
      </c>
    </row>
    <row r="9" spans="1:12" ht="13.5" customHeight="1">
      <c r="A9" s="48" t="s">
        <v>75</v>
      </c>
      <c r="B9" s="76">
        <v>4.069</v>
      </c>
      <c r="C9" s="76">
        <v>3.6080000000000001</v>
      </c>
      <c r="D9" s="77">
        <v>3.633</v>
      </c>
      <c r="E9" s="77">
        <v>3.6379999999999999</v>
      </c>
      <c r="F9" s="77">
        <v>3.5859999999999999</v>
      </c>
      <c r="G9" s="77">
        <v>3.4470000000000001</v>
      </c>
      <c r="H9" s="45">
        <v>22.27</v>
      </c>
      <c r="I9" s="45">
        <v>17.760000000000002</v>
      </c>
      <c r="J9" s="46"/>
      <c r="K9" s="47">
        <v>-0.67</v>
      </c>
      <c r="L9" s="47">
        <v>-0.21</v>
      </c>
    </row>
    <row r="10" spans="1:12" ht="13.5" customHeight="1">
      <c r="A10" s="48" t="s">
        <v>76</v>
      </c>
      <c r="B10" s="76">
        <v>5.2309999999999999</v>
      </c>
      <c r="C10" s="76">
        <v>10.048999999999999</v>
      </c>
      <c r="D10" s="77">
        <v>11.414999999999999</v>
      </c>
      <c r="E10" s="77">
        <v>12.19</v>
      </c>
      <c r="F10" s="77">
        <v>12.816000000000001</v>
      </c>
      <c r="G10" s="77">
        <v>13.166</v>
      </c>
      <c r="H10" s="45">
        <v>62.04</v>
      </c>
      <c r="I10" s="45">
        <v>67.84</v>
      </c>
      <c r="J10" s="46"/>
      <c r="K10" s="47">
        <v>3.69</v>
      </c>
      <c r="L10" s="47">
        <v>1.24</v>
      </c>
    </row>
    <row r="11" spans="1:12" ht="13.5" customHeight="1">
      <c r="A11" s="48" t="s">
        <v>77</v>
      </c>
      <c r="B11" s="76">
        <v>1.659</v>
      </c>
      <c r="C11" s="76">
        <v>2.54</v>
      </c>
      <c r="D11" s="77">
        <v>2.673</v>
      </c>
      <c r="E11" s="77">
        <v>2.6549999999999998</v>
      </c>
      <c r="F11" s="77">
        <v>2.6389999999999998</v>
      </c>
      <c r="G11" s="77">
        <v>2.7930000000000001</v>
      </c>
      <c r="H11" s="45">
        <v>15.68</v>
      </c>
      <c r="I11" s="45">
        <v>14.39</v>
      </c>
      <c r="J11" s="46"/>
      <c r="K11" s="47">
        <v>2.39</v>
      </c>
      <c r="L11" s="47">
        <v>0.43</v>
      </c>
    </row>
    <row r="12" spans="1:12" ht="13.5" customHeight="1">
      <c r="A12" s="42" t="s">
        <v>78</v>
      </c>
      <c r="B12" s="76">
        <v>85.533000000000001</v>
      </c>
      <c r="C12" s="76">
        <v>76.766999999999996</v>
      </c>
      <c r="D12" s="77">
        <v>75.245999999999995</v>
      </c>
      <c r="E12" s="77">
        <v>74.905000000000001</v>
      </c>
      <c r="F12" s="77">
        <v>74.394000000000005</v>
      </c>
      <c r="G12" s="77">
        <v>73.525000000000006</v>
      </c>
      <c r="H12" s="45" t="s">
        <v>38</v>
      </c>
      <c r="I12" s="45" t="s">
        <v>38</v>
      </c>
      <c r="J12" s="46"/>
      <c r="K12" s="47">
        <v>-0.6</v>
      </c>
      <c r="L12" s="47">
        <v>-0.2</v>
      </c>
    </row>
    <row r="13" spans="1:12" s="55" customFormat="1" ht="3" customHeight="1">
      <c r="A13" s="50"/>
      <c r="B13" s="51"/>
      <c r="C13" s="51"/>
      <c r="D13" s="52"/>
      <c r="E13" s="52"/>
      <c r="F13" s="52"/>
      <c r="G13" s="52"/>
      <c r="H13" s="52"/>
      <c r="I13" s="52"/>
      <c r="J13" s="54"/>
      <c r="K13" s="54"/>
      <c r="L13" s="54"/>
    </row>
    <row r="14" spans="1:12" ht="13.5" customHeight="1">
      <c r="A14" s="37" t="s">
        <v>79</v>
      </c>
      <c r="B14" s="67"/>
      <c r="C14" s="67"/>
      <c r="D14" s="68"/>
      <c r="E14" s="68"/>
      <c r="F14" s="68"/>
      <c r="G14" s="68"/>
      <c r="H14" s="45"/>
      <c r="I14" s="45"/>
      <c r="J14" s="46"/>
      <c r="K14" s="47"/>
      <c r="L14" s="47"/>
    </row>
    <row r="15" spans="1:12" ht="13.5" customHeight="1">
      <c r="A15" s="42" t="s">
        <v>80</v>
      </c>
      <c r="B15" s="78">
        <v>1.931</v>
      </c>
      <c r="C15" s="78">
        <v>1.4319999999999999</v>
      </c>
      <c r="D15" s="60">
        <v>1.24</v>
      </c>
      <c r="E15" s="60">
        <v>1.1839999999999999</v>
      </c>
      <c r="F15" s="60">
        <v>1.1459999999999999</v>
      </c>
      <c r="G15" s="60">
        <v>1.117</v>
      </c>
      <c r="H15" s="45" t="s">
        <v>38</v>
      </c>
      <c r="I15" s="45" t="s">
        <v>38</v>
      </c>
      <c r="J15" s="46"/>
      <c r="K15" s="47">
        <v>-1.648258306376682</v>
      </c>
      <c r="L15" s="47">
        <v>-1.1200000000000001</v>
      </c>
    </row>
    <row r="16" spans="1:12" ht="13.5" customHeight="1">
      <c r="A16" s="42" t="s">
        <v>81</v>
      </c>
      <c r="B16" s="78">
        <v>2.3E-2</v>
      </c>
      <c r="C16" s="78">
        <v>1.9E-2</v>
      </c>
      <c r="D16" s="60">
        <v>1.6E-2</v>
      </c>
      <c r="E16" s="60">
        <v>1.6E-2</v>
      </c>
      <c r="F16" s="60">
        <v>1.4999999999999999E-2</v>
      </c>
      <c r="G16" s="60">
        <v>1.4999999999999999E-2</v>
      </c>
      <c r="H16" s="45" t="s">
        <v>38</v>
      </c>
      <c r="I16" s="45" t="s">
        <v>38</v>
      </c>
      <c r="J16" s="46"/>
      <c r="K16" s="47">
        <v>-1.0556516173888864</v>
      </c>
      <c r="L16" s="47">
        <v>-0.93</v>
      </c>
    </row>
    <row r="17" spans="1:12" ht="13.5" customHeight="1">
      <c r="A17" s="42" t="s">
        <v>82</v>
      </c>
      <c r="B17" s="78">
        <v>1.4590000000000001</v>
      </c>
      <c r="C17" s="78">
        <v>1.1739999999999999</v>
      </c>
      <c r="D17" s="60">
        <v>1.046</v>
      </c>
      <c r="E17" s="60">
        <v>1.0109999999999999</v>
      </c>
      <c r="F17" s="60">
        <v>0.98899999999999999</v>
      </c>
      <c r="G17" s="60">
        <v>0.97199999999999998</v>
      </c>
      <c r="H17" s="45" t="s">
        <v>38</v>
      </c>
      <c r="I17" s="45" t="s">
        <v>38</v>
      </c>
      <c r="J17" s="46"/>
      <c r="K17" s="47">
        <v>-1.198853439235481</v>
      </c>
      <c r="L17" s="47">
        <v>-0.85</v>
      </c>
    </row>
    <row r="18" spans="1:12" ht="13.5" customHeight="1">
      <c r="A18" s="42" t="s">
        <v>83</v>
      </c>
      <c r="B18" s="78">
        <v>0.78900000000000003</v>
      </c>
      <c r="C18" s="78">
        <v>1.37</v>
      </c>
      <c r="D18" s="60">
        <v>1.4690000000000001</v>
      </c>
      <c r="E18" s="60">
        <v>1.526</v>
      </c>
      <c r="F18" s="60">
        <v>1.575</v>
      </c>
      <c r="G18" s="60">
        <v>1.6220000000000001</v>
      </c>
      <c r="H18" s="45" t="s">
        <v>38</v>
      </c>
      <c r="I18" s="45" t="s">
        <v>38</v>
      </c>
      <c r="J18" s="46"/>
      <c r="K18" s="47">
        <v>3.109908918514015</v>
      </c>
      <c r="L18" s="47">
        <v>0.77</v>
      </c>
    </row>
    <row r="19" spans="1:12" s="55" customFormat="1" ht="3" customHeight="1">
      <c r="A19" s="50"/>
      <c r="B19" s="51"/>
      <c r="C19" s="51"/>
      <c r="D19" s="52"/>
      <c r="E19" s="52"/>
      <c r="F19" s="52"/>
      <c r="G19" s="52"/>
      <c r="H19" s="52"/>
      <c r="I19" s="52"/>
      <c r="J19" s="54"/>
      <c r="K19" s="54"/>
      <c r="L19" s="54"/>
    </row>
    <row r="20" spans="1:12" ht="13.5" customHeight="1">
      <c r="A20" s="37" t="s">
        <v>62</v>
      </c>
      <c r="B20" s="67">
        <v>21.16</v>
      </c>
      <c r="C20" s="67">
        <v>23.187999999999999</v>
      </c>
      <c r="D20" s="68">
        <v>21.98</v>
      </c>
      <c r="E20" s="68">
        <v>21.879000000000001</v>
      </c>
      <c r="F20" s="68">
        <v>21.817</v>
      </c>
      <c r="G20" s="68">
        <v>21.684000000000001</v>
      </c>
      <c r="H20" s="39">
        <v>100.01</v>
      </c>
      <c r="I20" s="39">
        <v>100</v>
      </c>
      <c r="J20" s="74"/>
      <c r="K20" s="75">
        <v>0.50971366550720543</v>
      </c>
      <c r="L20" s="75">
        <v>-0.3</v>
      </c>
    </row>
    <row r="21" spans="1:12" ht="13.5" customHeight="1">
      <c r="A21" s="42" t="s">
        <v>35</v>
      </c>
      <c r="B21" s="43">
        <v>0.53600000000000003</v>
      </c>
      <c r="C21" s="43">
        <v>0.318</v>
      </c>
      <c r="D21" s="44">
        <v>0.18</v>
      </c>
      <c r="E21" s="44">
        <v>0.114</v>
      </c>
      <c r="F21" s="44">
        <v>7.0000000000000007E-2</v>
      </c>
      <c r="G21" s="44">
        <v>4.2999999999999997E-2</v>
      </c>
      <c r="H21" s="45">
        <v>1.37</v>
      </c>
      <c r="I21" s="45">
        <v>0.2</v>
      </c>
      <c r="J21" s="46"/>
      <c r="K21" s="47">
        <v>-2.8580415206424958</v>
      </c>
      <c r="L21" s="47">
        <v>-8.7200000000000006</v>
      </c>
    </row>
    <row r="22" spans="1:12" ht="13.5" customHeight="1">
      <c r="A22" s="42" t="s">
        <v>36</v>
      </c>
      <c r="B22" s="43">
        <v>8.8810000000000002</v>
      </c>
      <c r="C22" s="43">
        <v>3.3660000000000001</v>
      </c>
      <c r="D22" s="44">
        <v>2.2370000000000001</v>
      </c>
      <c r="E22" s="44">
        <v>1.6990000000000001</v>
      </c>
      <c r="F22" s="44">
        <v>1.31</v>
      </c>
      <c r="G22" s="44">
        <v>1.016</v>
      </c>
      <c r="H22" s="45">
        <v>14.52</v>
      </c>
      <c r="I22" s="45">
        <v>4.68</v>
      </c>
      <c r="J22" s="46"/>
      <c r="K22" s="47">
        <v>-5.2470832134565164</v>
      </c>
      <c r="L22" s="47">
        <v>-5.3</v>
      </c>
    </row>
    <row r="23" spans="1:12" ht="13.5" customHeight="1">
      <c r="A23" s="42" t="s">
        <v>84</v>
      </c>
      <c r="B23" s="43">
        <v>7.3529999999999998</v>
      </c>
      <c r="C23" s="43">
        <v>10.9</v>
      </c>
      <c r="D23" s="44">
        <v>10.433</v>
      </c>
      <c r="E23" s="44">
        <v>10.444000000000001</v>
      </c>
      <c r="F23" s="44">
        <v>10.455</v>
      </c>
      <c r="G23" s="44">
        <v>10.427</v>
      </c>
      <c r="H23" s="45">
        <v>47.01</v>
      </c>
      <c r="I23" s="45">
        <v>48.09</v>
      </c>
      <c r="J23" s="46"/>
      <c r="K23" s="47">
        <v>2.2110658639695302</v>
      </c>
      <c r="L23" s="47">
        <v>-0.2</v>
      </c>
    </row>
    <row r="24" spans="1:12" ht="13.5" customHeight="1">
      <c r="A24" s="42" t="s">
        <v>37</v>
      </c>
      <c r="B24" s="43">
        <v>3.1909999999999998</v>
      </c>
      <c r="C24" s="43">
        <v>6.0789999999999997</v>
      </c>
      <c r="D24" s="44">
        <v>6.5549999999999997</v>
      </c>
      <c r="E24" s="44">
        <v>6.8129999999999997</v>
      </c>
      <c r="F24" s="44">
        <v>6.9930000000000003</v>
      </c>
      <c r="G24" s="44">
        <v>7.0960000000000001</v>
      </c>
      <c r="H24" s="45">
        <v>26.22</v>
      </c>
      <c r="I24" s="45">
        <v>32.72</v>
      </c>
      <c r="J24" s="46"/>
      <c r="K24" s="47">
        <v>3.6459224945882163</v>
      </c>
      <c r="L24" s="47">
        <v>0.71</v>
      </c>
    </row>
    <row r="25" spans="1:12" ht="13.5" customHeight="1">
      <c r="A25" s="42" t="s">
        <v>85</v>
      </c>
      <c r="B25" s="43">
        <v>1.0840000000000001</v>
      </c>
      <c r="C25" s="43">
        <v>2.2490000000000001</v>
      </c>
      <c r="D25" s="44">
        <v>2.0870000000000002</v>
      </c>
      <c r="E25" s="44">
        <v>2.173</v>
      </c>
      <c r="F25" s="44">
        <v>2.2370000000000001</v>
      </c>
      <c r="G25" s="44">
        <v>2.2759999999999998</v>
      </c>
      <c r="H25" s="45">
        <v>9.6999999999999993</v>
      </c>
      <c r="I25" s="45">
        <v>10.5</v>
      </c>
      <c r="J25" s="46"/>
      <c r="K25" s="47">
        <v>4.1397043190410265</v>
      </c>
      <c r="L25" s="47">
        <v>0.05</v>
      </c>
    </row>
    <row r="26" spans="1:12" ht="13.5" customHeight="1">
      <c r="A26" s="42" t="s">
        <v>63</v>
      </c>
      <c r="B26" s="43">
        <v>0.115</v>
      </c>
      <c r="C26" s="43">
        <v>0.27500000000000002</v>
      </c>
      <c r="D26" s="44">
        <v>0.48799999999999999</v>
      </c>
      <c r="E26" s="44">
        <v>0.63700000000000001</v>
      </c>
      <c r="F26" s="44">
        <v>0.753</v>
      </c>
      <c r="G26" s="44">
        <v>0.82599999999999996</v>
      </c>
      <c r="H26" s="45">
        <v>1.19</v>
      </c>
      <c r="I26" s="45">
        <v>3.81</v>
      </c>
      <c r="J26" s="46"/>
      <c r="K26" s="47">
        <v>4.9559300650904969</v>
      </c>
      <c r="L26" s="47">
        <v>5.12</v>
      </c>
    </row>
    <row r="27" spans="1:12" s="55" customFormat="1" ht="3" customHeight="1">
      <c r="A27" s="50"/>
      <c r="B27" s="51"/>
      <c r="C27" s="51"/>
      <c r="D27" s="52"/>
      <c r="E27" s="52"/>
      <c r="F27" s="52"/>
      <c r="G27" s="52"/>
      <c r="H27" s="52"/>
      <c r="I27" s="52"/>
      <c r="J27" s="54"/>
      <c r="K27" s="54"/>
      <c r="L27" s="54"/>
    </row>
    <row r="28" spans="1:12" ht="13.5" customHeight="1">
      <c r="A28" s="37" t="s">
        <v>86</v>
      </c>
      <c r="B28" s="67"/>
      <c r="C28" s="67"/>
      <c r="D28" s="68"/>
      <c r="E28" s="68"/>
      <c r="F28" s="68"/>
      <c r="G28" s="68"/>
      <c r="H28" s="69"/>
      <c r="I28" s="69"/>
      <c r="J28" s="79"/>
      <c r="K28" s="71"/>
      <c r="L28" s="71"/>
    </row>
    <row r="29" spans="1:12" ht="13.5" customHeight="1">
      <c r="A29" s="42" t="s">
        <v>87</v>
      </c>
      <c r="B29" s="43">
        <v>17.335000000000001</v>
      </c>
      <c r="C29" s="43">
        <v>16.254000000000001</v>
      </c>
      <c r="D29" s="44">
        <v>14.118</v>
      </c>
      <c r="E29" s="44">
        <v>13.558</v>
      </c>
      <c r="F29" s="44">
        <v>13.194000000000001</v>
      </c>
      <c r="G29" s="44">
        <v>12.891999999999999</v>
      </c>
      <c r="H29" s="45">
        <v>70.099999999999994</v>
      </c>
      <c r="I29" s="45">
        <v>59.46</v>
      </c>
      <c r="J29" s="46"/>
      <c r="K29" s="47">
        <v>-0.3570411041558863</v>
      </c>
      <c r="L29" s="47">
        <v>-1.05</v>
      </c>
    </row>
    <row r="30" spans="1:12" ht="13.5" customHeight="1">
      <c r="A30" s="42" t="s">
        <v>88</v>
      </c>
      <c r="B30" s="43">
        <v>1.0980000000000001</v>
      </c>
      <c r="C30" s="43">
        <v>1.6759999999999999</v>
      </c>
      <c r="D30" s="44">
        <v>1.704</v>
      </c>
      <c r="E30" s="44">
        <v>1.724</v>
      </c>
      <c r="F30" s="44">
        <v>1.7330000000000001</v>
      </c>
      <c r="G30" s="44">
        <v>1.726</v>
      </c>
      <c r="H30" s="45">
        <v>7.23</v>
      </c>
      <c r="I30" s="45">
        <v>7.96</v>
      </c>
      <c r="J30" s="46"/>
      <c r="K30" s="47">
        <v>2.3748464618813525</v>
      </c>
      <c r="L30" s="47">
        <v>0.14000000000000001</v>
      </c>
    </row>
    <row r="31" spans="1:12" ht="13.5" customHeight="1">
      <c r="A31" s="42" t="s">
        <v>89</v>
      </c>
      <c r="B31" s="43">
        <v>2.8000000000000001E-2</v>
      </c>
      <c r="C31" s="43">
        <v>0.60099999999999998</v>
      </c>
      <c r="D31" s="44">
        <v>0.66600000000000004</v>
      </c>
      <c r="E31" s="44">
        <v>0.71799999999999997</v>
      </c>
      <c r="F31" s="44">
        <v>0.754</v>
      </c>
      <c r="G31" s="44">
        <v>0.77800000000000002</v>
      </c>
      <c r="H31" s="45">
        <v>2.59</v>
      </c>
      <c r="I31" s="45">
        <v>3.59</v>
      </c>
      <c r="J31" s="46"/>
      <c r="K31" s="47">
        <v>18.467835232996379</v>
      </c>
      <c r="L31" s="47">
        <v>1.18</v>
      </c>
    </row>
    <row r="32" spans="1:12" ht="13.5" customHeight="1">
      <c r="A32" s="42" t="s">
        <v>90</v>
      </c>
      <c r="B32" s="43">
        <v>0.43099999999999999</v>
      </c>
      <c r="C32" s="43">
        <v>0.79300000000000004</v>
      </c>
      <c r="D32" s="44">
        <v>0.85399999999999998</v>
      </c>
      <c r="E32" s="44">
        <v>0.86799999999999999</v>
      </c>
      <c r="F32" s="44">
        <v>0.873</v>
      </c>
      <c r="G32" s="44">
        <v>0.86899999999999999</v>
      </c>
      <c r="H32" s="45">
        <v>3.42</v>
      </c>
      <c r="I32" s="45">
        <v>4.01</v>
      </c>
      <c r="J32" s="46"/>
      <c r="K32" s="47">
        <v>3.4516412120574991</v>
      </c>
      <c r="L32" s="47">
        <v>0.42</v>
      </c>
    </row>
    <row r="33" spans="1:12" ht="13.5" customHeight="1" thickBot="1">
      <c r="A33" s="42" t="s">
        <v>91</v>
      </c>
      <c r="B33" s="43">
        <v>2.2679999999999998</v>
      </c>
      <c r="C33" s="43">
        <v>3.8639999999999999</v>
      </c>
      <c r="D33" s="44">
        <v>4.6369999999999996</v>
      </c>
      <c r="E33" s="44">
        <v>5.0119999999999996</v>
      </c>
      <c r="F33" s="44">
        <v>5.2619999999999996</v>
      </c>
      <c r="G33" s="44">
        <v>5.4180000000000001</v>
      </c>
      <c r="H33" s="45">
        <v>16.66</v>
      </c>
      <c r="I33" s="45">
        <v>24.99</v>
      </c>
      <c r="J33" s="46"/>
      <c r="K33" s="47">
        <v>3.0041265372183767</v>
      </c>
      <c r="L33" s="47">
        <v>1.55</v>
      </c>
    </row>
    <row r="34" spans="1:12" ht="45" customHeight="1">
      <c r="A34" s="495" t="s">
        <v>92</v>
      </c>
      <c r="B34" s="496"/>
      <c r="C34" s="496"/>
      <c r="D34" s="496"/>
      <c r="E34" s="496"/>
      <c r="F34" s="496"/>
      <c r="G34" s="496"/>
      <c r="H34" s="496"/>
      <c r="I34" s="496"/>
      <c r="J34" s="496"/>
      <c r="K34" s="496"/>
      <c r="L34" s="496"/>
    </row>
    <row r="35" spans="1:12">
      <c r="H35" s="58"/>
      <c r="I35" s="58"/>
      <c r="J35" s="59"/>
      <c r="K35" s="58"/>
      <c r="L35" s="58"/>
    </row>
    <row r="36" spans="1:12">
      <c r="H36" s="58"/>
      <c r="I36" s="58"/>
      <c r="J36" s="59"/>
      <c r="K36" s="58"/>
      <c r="L36" s="58"/>
    </row>
    <row r="37" spans="1:12">
      <c r="H37" s="58"/>
      <c r="I37" s="58"/>
      <c r="J37" s="59"/>
      <c r="K37" s="58"/>
      <c r="L37" s="58"/>
    </row>
    <row r="38" spans="1:12">
      <c r="H38" s="58"/>
      <c r="I38" s="58"/>
      <c r="J38" s="59"/>
      <c r="K38" s="58"/>
      <c r="L38" s="58"/>
    </row>
    <row r="39" spans="1:12">
      <c r="H39" s="58"/>
      <c r="I39" s="58"/>
      <c r="J39" s="59"/>
      <c r="K39" s="58"/>
      <c r="L39" s="58"/>
    </row>
    <row r="40" spans="1:12">
      <c r="H40" s="58"/>
      <c r="I40" s="58"/>
      <c r="J40" s="59"/>
      <c r="K40" s="58"/>
      <c r="L40" s="58"/>
    </row>
    <row r="41" spans="1:12">
      <c r="H41" s="58"/>
      <c r="I41" s="58"/>
      <c r="J41" s="59"/>
      <c r="K41" s="58"/>
      <c r="L41" s="58"/>
    </row>
    <row r="42" spans="1:12">
      <c r="H42" s="58"/>
      <c r="I42" s="58"/>
      <c r="J42" s="59"/>
      <c r="K42" s="58"/>
      <c r="L42" s="58"/>
    </row>
    <row r="43" spans="1:12">
      <c r="H43" s="58"/>
      <c r="I43" s="58"/>
      <c r="J43" s="59"/>
      <c r="K43" s="58"/>
      <c r="L43" s="58"/>
    </row>
    <row r="44" spans="1:12">
      <c r="H44" s="58"/>
      <c r="I44" s="58"/>
      <c r="J44" s="59"/>
      <c r="K44" s="58"/>
      <c r="L44" s="58"/>
    </row>
    <row r="45" spans="1:12">
      <c r="H45" s="58"/>
      <c r="I45" s="58"/>
      <c r="J45" s="59"/>
      <c r="K45" s="58"/>
      <c r="L45" s="58"/>
    </row>
    <row r="46" spans="1:12">
      <c r="H46" s="58"/>
      <c r="I46" s="58"/>
      <c r="J46" s="59"/>
      <c r="K46" s="58"/>
      <c r="L46" s="58"/>
    </row>
    <row r="47" spans="1:12">
      <c r="H47" s="58"/>
      <c r="I47" s="58"/>
      <c r="J47" s="59"/>
      <c r="K47" s="58"/>
      <c r="L47" s="58"/>
    </row>
    <row r="48" spans="1:12">
      <c r="H48" s="58"/>
      <c r="I48" s="58"/>
      <c r="J48" s="59"/>
      <c r="K48" s="58"/>
      <c r="L48" s="58"/>
    </row>
    <row r="49" spans="8:12">
      <c r="H49" s="58"/>
      <c r="I49" s="58"/>
      <c r="J49" s="59"/>
      <c r="K49" s="58"/>
      <c r="L49" s="58"/>
    </row>
    <row r="50" spans="8:12">
      <c r="H50" s="58"/>
      <c r="I50" s="58"/>
      <c r="J50" s="59"/>
      <c r="K50" s="58"/>
      <c r="L50" s="58"/>
    </row>
    <row r="51" spans="8:12">
      <c r="H51" s="58"/>
      <c r="I51" s="58"/>
      <c r="J51" s="59"/>
      <c r="K51" s="58"/>
      <c r="L51" s="58"/>
    </row>
    <row r="52" spans="8:12">
      <c r="H52" s="58"/>
      <c r="I52" s="58"/>
      <c r="J52" s="59"/>
      <c r="K52" s="58"/>
      <c r="L52" s="58"/>
    </row>
    <row r="53" spans="8:12">
      <c r="H53" s="58"/>
      <c r="I53" s="58"/>
      <c r="J53" s="59"/>
      <c r="K53" s="58"/>
      <c r="L53" s="58"/>
    </row>
    <row r="54" spans="8:12">
      <c r="H54" s="58"/>
      <c r="I54" s="58"/>
      <c r="J54" s="59"/>
      <c r="K54" s="58"/>
      <c r="L54" s="58"/>
    </row>
    <row r="55" spans="8:12">
      <c r="H55" s="58"/>
      <c r="I55" s="58"/>
      <c r="J55" s="59"/>
      <c r="K55" s="58"/>
      <c r="L55" s="58"/>
    </row>
    <row r="56" spans="8:12">
      <c r="H56" s="58"/>
      <c r="I56" s="58"/>
      <c r="J56" s="59"/>
      <c r="K56" s="58"/>
      <c r="L56" s="58"/>
    </row>
    <row r="57" spans="8:12">
      <c r="H57" s="58"/>
      <c r="I57" s="58"/>
      <c r="J57" s="59"/>
      <c r="K57" s="58"/>
      <c r="L57" s="58"/>
    </row>
    <row r="58" spans="8:12">
      <c r="H58" s="58"/>
      <c r="I58" s="58"/>
      <c r="J58" s="59"/>
      <c r="K58" s="58"/>
      <c r="L58" s="58"/>
    </row>
    <row r="59" spans="8:12">
      <c r="H59" s="58"/>
      <c r="I59" s="58"/>
      <c r="J59" s="59"/>
      <c r="K59" s="58"/>
      <c r="L59" s="58"/>
    </row>
    <row r="60" spans="8:12">
      <c r="H60" s="58"/>
      <c r="I60" s="58"/>
      <c r="J60" s="59"/>
      <c r="K60" s="58"/>
      <c r="L60" s="58"/>
    </row>
    <row r="61" spans="8:12">
      <c r="H61" s="58"/>
      <c r="I61" s="58"/>
      <c r="J61" s="59"/>
      <c r="K61" s="58"/>
      <c r="L61" s="58"/>
    </row>
    <row r="62" spans="8:12">
      <c r="H62" s="58"/>
      <c r="I62" s="58"/>
      <c r="J62" s="59"/>
      <c r="K62" s="58"/>
      <c r="L62" s="58"/>
    </row>
    <row r="63" spans="8:12">
      <c r="H63" s="58"/>
      <c r="I63" s="58"/>
      <c r="J63" s="59"/>
      <c r="K63" s="58"/>
      <c r="L63" s="58"/>
    </row>
    <row r="64" spans="8:12">
      <c r="H64" s="58"/>
      <c r="I64" s="58"/>
      <c r="J64" s="59"/>
      <c r="K64" s="58"/>
      <c r="L64" s="58"/>
    </row>
    <row r="65" spans="8:12">
      <c r="H65" s="58"/>
      <c r="I65" s="58"/>
      <c r="J65" s="59"/>
      <c r="K65" s="58"/>
      <c r="L65" s="58"/>
    </row>
    <row r="66" spans="8:12">
      <c r="H66" s="58"/>
      <c r="I66" s="58"/>
      <c r="J66" s="59"/>
      <c r="K66" s="58"/>
      <c r="L66" s="58"/>
    </row>
    <row r="67" spans="8:12">
      <c r="H67" s="58"/>
      <c r="I67" s="58"/>
      <c r="J67" s="59"/>
      <c r="K67" s="58"/>
      <c r="L67" s="58"/>
    </row>
    <row r="68" spans="8:12">
      <c r="H68" s="58"/>
      <c r="I68" s="58"/>
      <c r="J68" s="59"/>
      <c r="K68" s="58"/>
      <c r="L68" s="58"/>
    </row>
    <row r="69" spans="8:12">
      <c r="H69" s="58"/>
      <c r="I69" s="58"/>
      <c r="J69" s="59"/>
      <c r="K69" s="58"/>
      <c r="L69" s="58"/>
    </row>
    <row r="70" spans="8:12">
      <c r="H70" s="58"/>
      <c r="I70" s="58"/>
      <c r="J70" s="59"/>
      <c r="K70" s="58"/>
      <c r="L70" s="58"/>
    </row>
    <row r="71" spans="8:12">
      <c r="H71" s="58"/>
      <c r="I71" s="58"/>
      <c r="J71" s="59"/>
      <c r="K71" s="58"/>
      <c r="L71" s="58"/>
    </row>
    <row r="72" spans="8:12">
      <c r="H72" s="58"/>
      <c r="I72" s="58"/>
      <c r="J72" s="59"/>
      <c r="K72" s="58"/>
      <c r="L72" s="58"/>
    </row>
    <row r="73" spans="8:12">
      <c r="H73" s="58"/>
      <c r="I73" s="58"/>
      <c r="J73" s="59"/>
      <c r="K73" s="58"/>
      <c r="L73" s="58"/>
    </row>
    <row r="74" spans="8:12">
      <c r="H74" s="58"/>
      <c r="I74" s="58"/>
      <c r="J74" s="59"/>
      <c r="K74" s="58"/>
      <c r="L74" s="58"/>
    </row>
    <row r="75" spans="8:12">
      <c r="H75" s="58"/>
      <c r="I75" s="58"/>
      <c r="J75" s="59"/>
      <c r="K75" s="58"/>
      <c r="L75" s="58"/>
    </row>
    <row r="76" spans="8:12">
      <c r="H76" s="58"/>
      <c r="I76" s="58"/>
      <c r="J76" s="59"/>
      <c r="K76" s="58"/>
      <c r="L76" s="58"/>
    </row>
    <row r="77" spans="8:12">
      <c r="H77" s="58"/>
      <c r="I77" s="58"/>
      <c r="J77" s="59"/>
      <c r="K77" s="58"/>
      <c r="L77" s="58"/>
    </row>
    <row r="78" spans="8:12">
      <c r="H78" s="58"/>
      <c r="I78" s="58"/>
      <c r="J78" s="59"/>
      <c r="K78" s="58"/>
      <c r="L78" s="58"/>
    </row>
    <row r="79" spans="8:12">
      <c r="H79" s="58"/>
      <c r="I79" s="58"/>
      <c r="J79" s="59"/>
      <c r="K79" s="58"/>
      <c r="L79" s="58"/>
    </row>
    <row r="80" spans="8:12">
      <c r="H80" s="58"/>
      <c r="I80" s="58"/>
      <c r="J80" s="59"/>
      <c r="K80" s="58"/>
      <c r="L80" s="58"/>
    </row>
    <row r="81" spans="8:12">
      <c r="H81" s="58"/>
      <c r="I81" s="58"/>
      <c r="J81" s="59"/>
      <c r="K81" s="58"/>
      <c r="L81" s="58"/>
    </row>
    <row r="82" spans="8:12">
      <c r="H82" s="58"/>
      <c r="I82" s="58"/>
      <c r="J82" s="59"/>
      <c r="K82" s="58"/>
      <c r="L82" s="58"/>
    </row>
    <row r="83" spans="8:12">
      <c r="H83" s="58"/>
      <c r="I83" s="58"/>
      <c r="J83" s="59"/>
      <c r="K83" s="58"/>
      <c r="L83" s="58"/>
    </row>
    <row r="84" spans="8:12">
      <c r="H84" s="58"/>
      <c r="I84" s="58"/>
      <c r="J84" s="59"/>
      <c r="K84" s="58"/>
      <c r="L84" s="58"/>
    </row>
    <row r="85" spans="8:12">
      <c r="H85" s="58"/>
      <c r="I85" s="58"/>
      <c r="J85" s="59"/>
      <c r="K85" s="58"/>
      <c r="L85" s="58"/>
    </row>
    <row r="86" spans="8:12">
      <c r="H86" s="58"/>
      <c r="I86" s="58"/>
      <c r="J86" s="59"/>
      <c r="K86" s="58"/>
      <c r="L86" s="58"/>
    </row>
    <row r="87" spans="8:12">
      <c r="H87" s="58"/>
      <c r="I87" s="58"/>
      <c r="J87" s="59"/>
      <c r="K87" s="58"/>
      <c r="L87" s="58"/>
    </row>
    <row r="88" spans="8:12">
      <c r="H88" s="58"/>
      <c r="I88" s="58"/>
      <c r="J88" s="59"/>
      <c r="K88" s="58"/>
      <c r="L88" s="58"/>
    </row>
    <row r="89" spans="8:12">
      <c r="H89" s="58"/>
      <c r="I89" s="58"/>
      <c r="J89" s="59"/>
      <c r="K89" s="58"/>
      <c r="L89" s="58"/>
    </row>
    <row r="90" spans="8:12">
      <c r="H90" s="58"/>
      <c r="I90" s="58"/>
      <c r="J90" s="59"/>
      <c r="K90" s="58"/>
      <c r="L90" s="58"/>
    </row>
    <row r="91" spans="8:12">
      <c r="H91" s="58"/>
      <c r="I91" s="58"/>
      <c r="J91" s="59"/>
      <c r="K91" s="58"/>
      <c r="L91" s="58"/>
    </row>
    <row r="92" spans="8:12">
      <c r="H92" s="58"/>
      <c r="I92" s="58"/>
      <c r="J92" s="59"/>
      <c r="K92" s="58"/>
      <c r="L92" s="58"/>
    </row>
    <row r="93" spans="8:12">
      <c r="H93" s="58"/>
      <c r="I93" s="58"/>
      <c r="J93" s="59"/>
      <c r="K93" s="58"/>
      <c r="L93" s="58"/>
    </row>
    <row r="94" spans="8:12">
      <c r="H94" s="58"/>
      <c r="I94" s="58"/>
      <c r="J94" s="59"/>
      <c r="K94" s="58"/>
      <c r="L94" s="58"/>
    </row>
    <row r="95" spans="8:12">
      <c r="H95" s="58"/>
      <c r="I95" s="58"/>
      <c r="J95" s="59"/>
      <c r="K95" s="58"/>
      <c r="L95" s="58"/>
    </row>
    <row r="96" spans="8:12">
      <c r="H96" s="58"/>
      <c r="I96" s="58"/>
      <c r="J96" s="59"/>
      <c r="K96" s="58"/>
      <c r="L96" s="58"/>
    </row>
    <row r="97" spans="8:12">
      <c r="H97" s="58"/>
      <c r="I97" s="58"/>
      <c r="J97" s="59"/>
      <c r="K97" s="58"/>
      <c r="L97" s="58"/>
    </row>
    <row r="98" spans="8:12">
      <c r="H98" s="58"/>
      <c r="I98" s="58"/>
      <c r="J98" s="59"/>
      <c r="K98" s="58"/>
      <c r="L98" s="58"/>
    </row>
    <row r="99" spans="8:12">
      <c r="H99" s="58"/>
      <c r="I99" s="58"/>
      <c r="J99" s="59"/>
      <c r="K99" s="58"/>
      <c r="L99" s="58"/>
    </row>
    <row r="100" spans="8:12">
      <c r="H100" s="58"/>
      <c r="I100" s="58"/>
      <c r="J100" s="59"/>
      <c r="K100" s="58"/>
      <c r="L100" s="58"/>
    </row>
    <row r="101" spans="8:12">
      <c r="H101" s="58"/>
      <c r="I101" s="58"/>
      <c r="J101" s="59"/>
      <c r="K101" s="58"/>
      <c r="L101" s="58"/>
    </row>
    <row r="102" spans="8:12">
      <c r="H102" s="58"/>
      <c r="I102" s="58"/>
      <c r="J102" s="59"/>
      <c r="K102" s="58"/>
      <c r="L102" s="58"/>
    </row>
    <row r="103" spans="8:12">
      <c r="H103" s="58"/>
      <c r="I103" s="58"/>
      <c r="J103" s="59"/>
      <c r="K103" s="58"/>
      <c r="L103" s="58"/>
    </row>
    <row r="104" spans="8:12">
      <c r="H104" s="58"/>
      <c r="I104" s="58"/>
      <c r="J104" s="59"/>
      <c r="K104" s="58"/>
      <c r="L104" s="58"/>
    </row>
    <row r="105" spans="8:12">
      <c r="H105" s="58"/>
      <c r="I105" s="58"/>
      <c r="J105" s="59"/>
      <c r="K105" s="58"/>
      <c r="L105" s="58"/>
    </row>
  </sheetData>
  <mergeCells count="5">
    <mergeCell ref="A1:L1"/>
    <mergeCell ref="A2:L2"/>
    <mergeCell ref="H3:I3"/>
    <mergeCell ref="K3:L3"/>
    <mergeCell ref="A34:L34"/>
  </mergeCells>
  <phoneticPr fontId="37"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92210-B2DB-4FBC-92E7-5904DD8E133A}">
  <dimension ref="A1:L107"/>
  <sheetViews>
    <sheetView workbookViewId="0">
      <selection activeCell="A21" sqref="A21"/>
    </sheetView>
  </sheetViews>
  <sheetFormatPr defaultColWidth="9.125" defaultRowHeight="16.5"/>
  <cols>
    <col min="1" max="1" width="20.625" style="30" customWidth="1"/>
    <col min="2" max="3" width="6.125" style="30" customWidth="1"/>
    <col min="4" max="4" width="6.125" style="30" customWidth="1" collapsed="1"/>
    <col min="5" max="7" width="6.125" style="30" customWidth="1"/>
    <col min="8" max="9" width="5.5" style="30" customWidth="1"/>
    <col min="10" max="10" width="0.625" style="55" customWidth="1"/>
    <col min="11" max="12" width="5.5" style="30" customWidth="1"/>
    <col min="13" max="16384" width="9.125" style="30"/>
  </cols>
  <sheetData>
    <row r="1" spans="1:12" ht="30" customHeight="1">
      <c r="A1" s="502" t="s">
        <v>93</v>
      </c>
      <c r="B1" s="503"/>
      <c r="C1" s="503"/>
      <c r="D1" s="503"/>
      <c r="E1" s="503"/>
      <c r="F1" s="503"/>
      <c r="G1" s="503"/>
      <c r="H1" s="503"/>
      <c r="I1" s="503"/>
      <c r="J1" s="503"/>
      <c r="K1" s="503"/>
      <c r="L1" s="503"/>
    </row>
    <row r="2" spans="1:12">
      <c r="A2" s="504" t="s">
        <v>50</v>
      </c>
      <c r="B2" s="504"/>
      <c r="C2" s="504"/>
      <c r="D2" s="504"/>
      <c r="E2" s="504"/>
      <c r="F2" s="504"/>
      <c r="G2" s="504"/>
      <c r="H2" s="504"/>
      <c r="I2" s="504"/>
      <c r="J2" s="504"/>
      <c r="K2" s="504"/>
      <c r="L2" s="504"/>
    </row>
    <row r="3" spans="1:12" ht="15" customHeight="1">
      <c r="A3" s="31"/>
      <c r="B3" s="32"/>
      <c r="C3" s="32"/>
      <c r="D3" s="32"/>
      <c r="E3" s="32"/>
      <c r="F3" s="32"/>
      <c r="G3" s="32"/>
      <c r="H3" s="494" t="s">
        <v>30</v>
      </c>
      <c r="I3" s="494"/>
      <c r="J3" s="33"/>
      <c r="K3" s="494" t="s">
        <v>31</v>
      </c>
      <c r="L3" s="494"/>
    </row>
    <row r="4" spans="1:12" ht="15" customHeight="1">
      <c r="A4" s="31"/>
      <c r="B4" s="34">
        <v>2000</v>
      </c>
      <c r="C4" s="34">
        <v>2018</v>
      </c>
      <c r="D4" s="34">
        <v>2025</v>
      </c>
      <c r="E4" s="34">
        <v>2030</v>
      </c>
      <c r="F4" s="34">
        <v>2035</v>
      </c>
      <c r="G4" s="34">
        <v>2040</v>
      </c>
      <c r="H4" s="35">
        <v>2018</v>
      </c>
      <c r="I4" s="35">
        <v>2040</v>
      </c>
      <c r="J4" s="36"/>
      <c r="K4" s="35" t="s">
        <v>32</v>
      </c>
      <c r="L4" s="35" t="s">
        <v>33</v>
      </c>
    </row>
    <row r="5" spans="1:12" ht="13.5" customHeight="1">
      <c r="A5" s="80" t="s">
        <v>94</v>
      </c>
      <c r="B5" s="38"/>
      <c r="C5" s="38"/>
      <c r="D5" s="39"/>
      <c r="E5" s="39"/>
      <c r="F5" s="39"/>
      <c r="G5" s="39"/>
      <c r="H5" s="60"/>
      <c r="I5" s="60"/>
      <c r="J5" s="46"/>
      <c r="K5" s="60"/>
      <c r="L5" s="60"/>
    </row>
    <row r="6" spans="1:12" ht="13.5" customHeight="1">
      <c r="A6" s="42" t="s">
        <v>95</v>
      </c>
      <c r="B6" s="43">
        <v>134.37799999999999</v>
      </c>
      <c r="C6" s="43">
        <v>253.982</v>
      </c>
      <c r="D6" s="44">
        <v>294.09800000000001</v>
      </c>
      <c r="E6" s="44">
        <v>325.851</v>
      </c>
      <c r="F6" s="44">
        <v>355.07</v>
      </c>
      <c r="G6" s="44">
        <v>385.41500000000002</v>
      </c>
      <c r="H6" s="81" t="s">
        <v>38</v>
      </c>
      <c r="I6" s="81" t="s">
        <v>38</v>
      </c>
      <c r="J6" s="46"/>
      <c r="K6" s="47">
        <v>3.6</v>
      </c>
      <c r="L6" s="47">
        <v>1.91</v>
      </c>
    </row>
    <row r="7" spans="1:12" ht="13.5" customHeight="1">
      <c r="A7" s="42" t="s">
        <v>96</v>
      </c>
      <c r="B7" s="43">
        <v>60.713000000000001</v>
      </c>
      <c r="C7" s="43">
        <v>133.59399999999999</v>
      </c>
      <c r="D7" s="44">
        <v>152.941</v>
      </c>
      <c r="E7" s="44">
        <v>167.72399999999999</v>
      </c>
      <c r="F7" s="44">
        <v>180.529</v>
      </c>
      <c r="G7" s="44">
        <v>193.14</v>
      </c>
      <c r="H7" s="81" t="s">
        <v>38</v>
      </c>
      <c r="I7" s="81" t="s">
        <v>38</v>
      </c>
      <c r="J7" s="46"/>
      <c r="K7" s="47">
        <v>4.4800000000000004</v>
      </c>
      <c r="L7" s="47">
        <v>1.69</v>
      </c>
    </row>
    <row r="8" spans="1:12" ht="13.5" customHeight="1">
      <c r="A8" s="42" t="s">
        <v>97</v>
      </c>
      <c r="B8" s="43">
        <v>69.081000000000003</v>
      </c>
      <c r="C8" s="43">
        <v>151.90899999999999</v>
      </c>
      <c r="D8" s="44">
        <v>181.34399999999999</v>
      </c>
      <c r="E8" s="44">
        <v>204.148</v>
      </c>
      <c r="F8" s="44">
        <v>224.75800000000001</v>
      </c>
      <c r="G8" s="44">
        <v>245.01599999999999</v>
      </c>
      <c r="H8" s="81" t="s">
        <v>38</v>
      </c>
      <c r="I8" s="81" t="s">
        <v>38</v>
      </c>
      <c r="J8" s="46"/>
      <c r="K8" s="47">
        <v>4.4800000000000004</v>
      </c>
      <c r="L8" s="47">
        <v>2.2000000000000002</v>
      </c>
    </row>
    <row r="9" spans="1:12" ht="13.5" customHeight="1">
      <c r="A9" s="42" t="s">
        <v>98</v>
      </c>
      <c r="B9" s="43">
        <v>56.167000000000002</v>
      </c>
      <c r="C9" s="43">
        <v>148.08199999999999</v>
      </c>
      <c r="D9" s="44">
        <v>193.99</v>
      </c>
      <c r="E9" s="44">
        <v>227.83699999999999</v>
      </c>
      <c r="F9" s="44">
        <v>256.67099999999999</v>
      </c>
      <c r="G9" s="44">
        <v>282.01299999999998</v>
      </c>
      <c r="H9" s="81" t="s">
        <v>38</v>
      </c>
      <c r="I9" s="81" t="s">
        <v>38</v>
      </c>
      <c r="J9" s="46"/>
      <c r="K9" s="47">
        <v>5.53</v>
      </c>
      <c r="L9" s="47">
        <v>2.97</v>
      </c>
    </row>
    <row r="10" spans="1:12" ht="13.5" customHeight="1">
      <c r="A10" s="42" t="s">
        <v>99</v>
      </c>
      <c r="B10" s="43">
        <v>72.938000000000002</v>
      </c>
      <c r="C10" s="43">
        <v>145.285</v>
      </c>
      <c r="D10" s="44">
        <v>169.85400000000001</v>
      </c>
      <c r="E10" s="44">
        <v>182.83699999999999</v>
      </c>
      <c r="F10" s="44">
        <v>188.202</v>
      </c>
      <c r="G10" s="44">
        <v>189.215</v>
      </c>
      <c r="H10" s="81" t="s">
        <v>38</v>
      </c>
      <c r="I10" s="81" t="s">
        <v>38</v>
      </c>
      <c r="J10" s="46"/>
      <c r="K10" s="47">
        <v>3.9</v>
      </c>
      <c r="L10" s="47">
        <v>1.21</v>
      </c>
    </row>
    <row r="11" spans="1:12" ht="13.5" customHeight="1">
      <c r="A11" s="42" t="s">
        <v>100</v>
      </c>
      <c r="B11" s="43">
        <v>65.349000000000004</v>
      </c>
      <c r="C11" s="43">
        <v>127.735</v>
      </c>
      <c r="D11" s="44">
        <v>142.875</v>
      </c>
      <c r="E11" s="44">
        <v>151.63</v>
      </c>
      <c r="F11" s="44">
        <v>155.69</v>
      </c>
      <c r="G11" s="44">
        <v>157.684</v>
      </c>
      <c r="H11" s="81" t="s">
        <v>38</v>
      </c>
      <c r="I11" s="81" t="s">
        <v>38</v>
      </c>
      <c r="J11" s="46"/>
      <c r="K11" s="47">
        <v>3.79</v>
      </c>
      <c r="L11" s="47">
        <v>0.96</v>
      </c>
    </row>
    <row r="12" spans="1:12" ht="13.5" customHeight="1">
      <c r="A12" s="42" t="s">
        <v>101</v>
      </c>
      <c r="B12" s="43">
        <v>41.045999999999999</v>
      </c>
      <c r="C12" s="43">
        <v>148.143</v>
      </c>
      <c r="D12" s="44">
        <v>209.715</v>
      </c>
      <c r="E12" s="44">
        <v>254.54599999999999</v>
      </c>
      <c r="F12" s="44">
        <v>293.08</v>
      </c>
      <c r="G12" s="44">
        <v>327.08800000000002</v>
      </c>
      <c r="H12" s="81" t="s">
        <v>38</v>
      </c>
      <c r="I12" s="81" t="s">
        <v>38</v>
      </c>
      <c r="J12" s="46"/>
      <c r="K12" s="47">
        <v>7.39</v>
      </c>
      <c r="L12" s="47">
        <v>3.67</v>
      </c>
    </row>
    <row r="13" spans="1:12" ht="13.5" customHeight="1">
      <c r="A13" s="42" t="s">
        <v>102</v>
      </c>
      <c r="B13" s="43">
        <v>15.548</v>
      </c>
      <c r="C13" s="43">
        <v>40.884</v>
      </c>
      <c r="D13" s="44">
        <v>53.927999999999997</v>
      </c>
      <c r="E13" s="44">
        <v>63.49</v>
      </c>
      <c r="F13" s="44">
        <v>71.534000000000006</v>
      </c>
      <c r="G13" s="44">
        <v>78.622</v>
      </c>
      <c r="H13" s="81" t="s">
        <v>38</v>
      </c>
      <c r="I13" s="81" t="s">
        <v>38</v>
      </c>
      <c r="J13" s="46"/>
      <c r="K13" s="47">
        <v>5.52</v>
      </c>
      <c r="L13" s="47">
        <v>3.02</v>
      </c>
    </row>
    <row r="14" spans="1:12" ht="13.5" customHeight="1">
      <c r="A14" s="42" t="s">
        <v>103</v>
      </c>
      <c r="B14" s="43">
        <v>283.90199999999999</v>
      </c>
      <c r="C14" s="43">
        <v>708.05700000000002</v>
      </c>
      <c r="D14" s="44">
        <v>901.47799999999995</v>
      </c>
      <c r="E14" s="44">
        <v>1036.441</v>
      </c>
      <c r="F14" s="44">
        <v>1146.75</v>
      </c>
      <c r="G14" s="44">
        <v>1242.6189999999999</v>
      </c>
      <c r="H14" s="81" t="s">
        <v>38</v>
      </c>
      <c r="I14" s="81" t="s">
        <v>38</v>
      </c>
      <c r="J14" s="46"/>
      <c r="K14" s="47">
        <v>5.21</v>
      </c>
      <c r="L14" s="47">
        <v>2.59</v>
      </c>
    </row>
    <row r="15" spans="1:12" s="55" customFormat="1" ht="3" customHeight="1">
      <c r="A15" s="50"/>
      <c r="B15" s="51"/>
      <c r="C15" s="51"/>
      <c r="D15" s="52"/>
      <c r="E15" s="52"/>
      <c r="F15" s="52"/>
      <c r="G15" s="52"/>
      <c r="H15" s="52"/>
      <c r="I15" s="52"/>
      <c r="J15" s="54"/>
      <c r="K15" s="54"/>
      <c r="L15" s="54"/>
    </row>
    <row r="16" spans="1:12" ht="13.5" customHeight="1">
      <c r="A16" s="37" t="s">
        <v>62</v>
      </c>
      <c r="B16" s="67">
        <v>13.616</v>
      </c>
      <c r="C16" s="67">
        <v>25.498000000000001</v>
      </c>
      <c r="D16" s="68">
        <v>28.228000000000002</v>
      </c>
      <c r="E16" s="68">
        <v>30.004000000000001</v>
      </c>
      <c r="F16" s="68">
        <v>31.234999999999999</v>
      </c>
      <c r="G16" s="68">
        <v>32.037999999999997</v>
      </c>
      <c r="H16" s="39">
        <v>100</v>
      </c>
      <c r="I16" s="39">
        <v>100</v>
      </c>
      <c r="J16" s="82"/>
      <c r="K16" s="65">
        <v>3.55</v>
      </c>
      <c r="L16" s="65">
        <v>1.04</v>
      </c>
    </row>
    <row r="17" spans="1:12" ht="13.5" customHeight="1">
      <c r="A17" s="42" t="s">
        <v>104</v>
      </c>
      <c r="B17" s="43">
        <v>5.6669999999999998</v>
      </c>
      <c r="C17" s="43">
        <v>3.3879999999999999</v>
      </c>
      <c r="D17" s="44">
        <v>2.302</v>
      </c>
      <c r="E17" s="44">
        <v>1.986</v>
      </c>
      <c r="F17" s="44">
        <v>1.704</v>
      </c>
      <c r="G17" s="44">
        <v>1.4950000000000001</v>
      </c>
      <c r="H17" s="45">
        <v>13.29</v>
      </c>
      <c r="I17" s="45">
        <v>4.66</v>
      </c>
      <c r="J17" s="46"/>
      <c r="K17" s="47">
        <v>-2.82</v>
      </c>
      <c r="L17" s="47">
        <v>-3.65</v>
      </c>
    </row>
    <row r="18" spans="1:12" ht="13.5" customHeight="1">
      <c r="A18" s="42" t="s">
        <v>105</v>
      </c>
      <c r="B18" s="43">
        <v>1.9</v>
      </c>
      <c r="C18" s="43">
        <v>3.8220000000000001</v>
      </c>
      <c r="D18" s="44">
        <v>5.2060000000000004</v>
      </c>
      <c r="E18" s="44">
        <v>5.6520000000000001</v>
      </c>
      <c r="F18" s="44">
        <v>6.0049999999999999</v>
      </c>
      <c r="G18" s="44">
        <v>6.2549999999999999</v>
      </c>
      <c r="H18" s="45">
        <v>14.99</v>
      </c>
      <c r="I18" s="45">
        <v>19.52</v>
      </c>
      <c r="J18" s="46"/>
      <c r="K18" s="47">
        <v>3.96</v>
      </c>
      <c r="L18" s="47">
        <v>2.2599999999999998</v>
      </c>
    </row>
    <row r="19" spans="1:12" ht="13.5" customHeight="1">
      <c r="A19" s="42" t="s">
        <v>37</v>
      </c>
      <c r="B19" s="43">
        <v>5.86</v>
      </c>
      <c r="C19" s="43">
        <v>14.516</v>
      </c>
      <c r="D19" s="44">
        <v>16.369</v>
      </c>
      <c r="E19" s="44">
        <v>17.687999999999999</v>
      </c>
      <c r="F19" s="44">
        <v>18.648</v>
      </c>
      <c r="G19" s="44">
        <v>19.315000000000001</v>
      </c>
      <c r="H19" s="45">
        <v>56.93</v>
      </c>
      <c r="I19" s="45">
        <v>60.29</v>
      </c>
      <c r="J19" s="46"/>
      <c r="K19" s="47">
        <v>5.17</v>
      </c>
      <c r="L19" s="47">
        <v>1.31</v>
      </c>
    </row>
    <row r="20" spans="1:12" ht="13.5" customHeight="1">
      <c r="A20" s="42" t="s">
        <v>85</v>
      </c>
      <c r="B20" s="43">
        <v>8.3000000000000004E-2</v>
      </c>
      <c r="C20" s="43">
        <v>0.38600000000000001</v>
      </c>
      <c r="D20" s="44">
        <v>0.45100000000000001</v>
      </c>
      <c r="E20" s="44">
        <v>0.504</v>
      </c>
      <c r="F20" s="44">
        <v>0.52600000000000002</v>
      </c>
      <c r="G20" s="44">
        <v>0.53</v>
      </c>
      <c r="H20" s="45">
        <v>1.51</v>
      </c>
      <c r="I20" s="45">
        <v>1.65</v>
      </c>
      <c r="J20" s="46"/>
      <c r="K20" s="47">
        <v>8.8800000000000008</v>
      </c>
      <c r="L20" s="47">
        <v>1.45</v>
      </c>
    </row>
    <row r="21" spans="1:12" ht="13.5" customHeight="1">
      <c r="A21" s="42" t="s">
        <v>63</v>
      </c>
      <c r="B21" s="43">
        <v>0.107</v>
      </c>
      <c r="C21" s="43">
        <v>3.274</v>
      </c>
      <c r="D21" s="44">
        <v>3.7959999999999998</v>
      </c>
      <c r="E21" s="44">
        <v>4.0739999999999998</v>
      </c>
      <c r="F21" s="44">
        <v>4.2590000000000003</v>
      </c>
      <c r="G21" s="44">
        <v>4.3540000000000001</v>
      </c>
      <c r="H21" s="45">
        <v>12.84</v>
      </c>
      <c r="I21" s="45">
        <v>13.59</v>
      </c>
      <c r="J21" s="46"/>
      <c r="K21" s="47">
        <v>20.93</v>
      </c>
      <c r="L21" s="47">
        <v>1.3</v>
      </c>
    </row>
    <row r="22" spans="1:12" s="55" customFormat="1" ht="3" customHeight="1">
      <c r="A22" s="50"/>
      <c r="B22" s="51"/>
      <c r="C22" s="51"/>
      <c r="D22" s="52"/>
      <c r="E22" s="52"/>
      <c r="F22" s="52"/>
      <c r="G22" s="52"/>
      <c r="H22" s="52"/>
      <c r="I22" s="52"/>
      <c r="J22" s="54"/>
      <c r="K22" s="54"/>
      <c r="L22" s="54"/>
    </row>
    <row r="23" spans="1:12" ht="13.5" customHeight="1">
      <c r="A23" s="37" t="s">
        <v>106</v>
      </c>
      <c r="B23" s="67"/>
      <c r="C23" s="67"/>
      <c r="D23" s="68"/>
      <c r="E23" s="68"/>
      <c r="F23" s="68"/>
      <c r="G23" s="68"/>
      <c r="H23" s="45"/>
      <c r="I23" s="45"/>
      <c r="J23" s="46"/>
      <c r="K23" s="47"/>
      <c r="L23" s="47"/>
    </row>
    <row r="24" spans="1:12" ht="13.5" customHeight="1">
      <c r="A24" s="42" t="s">
        <v>107</v>
      </c>
      <c r="B24" s="43">
        <v>10.993</v>
      </c>
      <c r="C24" s="43">
        <v>18.085999999999999</v>
      </c>
      <c r="D24" s="44">
        <v>20.366</v>
      </c>
      <c r="E24" s="44">
        <v>21.713999999999999</v>
      </c>
      <c r="F24" s="44">
        <v>22.654</v>
      </c>
      <c r="G24" s="44">
        <v>23.302</v>
      </c>
      <c r="H24" s="45">
        <v>70.930000000000007</v>
      </c>
      <c r="I24" s="45">
        <v>72.73</v>
      </c>
      <c r="J24" s="46"/>
      <c r="K24" s="47">
        <v>2.8</v>
      </c>
      <c r="L24" s="47">
        <v>1.1599999999999999</v>
      </c>
    </row>
    <row r="25" spans="1:12" ht="13.5" customHeight="1" thickBot="1">
      <c r="A25" s="42" t="s">
        <v>108</v>
      </c>
      <c r="B25" s="43">
        <v>2.6230000000000002</v>
      </c>
      <c r="C25" s="43">
        <v>7.4119999999999999</v>
      </c>
      <c r="D25" s="44">
        <v>7.8620000000000001</v>
      </c>
      <c r="E25" s="44">
        <v>8.2899999999999991</v>
      </c>
      <c r="F25" s="44">
        <v>8.5809999999999995</v>
      </c>
      <c r="G25" s="44">
        <v>8.7360000000000007</v>
      </c>
      <c r="H25" s="45">
        <v>29.07</v>
      </c>
      <c r="I25" s="45">
        <v>27.27</v>
      </c>
      <c r="J25" s="46"/>
      <c r="K25" s="47">
        <v>5.94</v>
      </c>
      <c r="L25" s="47">
        <v>0.75</v>
      </c>
    </row>
    <row r="26" spans="1:12" ht="11.25" customHeight="1">
      <c r="A26" s="495"/>
      <c r="B26" s="496"/>
      <c r="C26" s="496"/>
      <c r="D26" s="496"/>
      <c r="E26" s="496"/>
      <c r="F26" s="496"/>
      <c r="G26" s="496"/>
      <c r="H26" s="496"/>
      <c r="I26" s="496"/>
      <c r="J26" s="496"/>
      <c r="K26" s="496"/>
      <c r="L26" s="496"/>
    </row>
    <row r="27" spans="1:12">
      <c r="H27" s="58"/>
      <c r="I27" s="58"/>
      <c r="J27" s="59"/>
      <c r="K27" s="58"/>
      <c r="L27" s="58"/>
    </row>
    <row r="28" spans="1:12">
      <c r="H28" s="58"/>
      <c r="I28" s="58"/>
      <c r="J28" s="59"/>
      <c r="K28" s="58"/>
      <c r="L28" s="58"/>
    </row>
    <row r="29" spans="1:12">
      <c r="H29" s="58"/>
      <c r="I29" s="58"/>
      <c r="J29" s="59"/>
      <c r="K29" s="58"/>
      <c r="L29" s="58"/>
    </row>
    <row r="30" spans="1:12">
      <c r="H30" s="58"/>
      <c r="I30" s="58"/>
      <c r="J30" s="59"/>
      <c r="K30" s="58"/>
      <c r="L30" s="58"/>
    </row>
    <row r="31" spans="1:12">
      <c r="H31" s="58"/>
      <c r="I31" s="58"/>
      <c r="J31" s="59"/>
      <c r="K31" s="58"/>
      <c r="L31" s="58"/>
    </row>
    <row r="32" spans="1:12">
      <c r="H32" s="58"/>
      <c r="I32" s="58"/>
      <c r="J32" s="59"/>
      <c r="K32" s="58"/>
      <c r="L32" s="58"/>
    </row>
    <row r="33" spans="8:12">
      <c r="H33" s="58"/>
      <c r="I33" s="58"/>
      <c r="J33" s="59"/>
      <c r="K33" s="58"/>
      <c r="L33" s="58"/>
    </row>
    <row r="34" spans="8:12">
      <c r="H34" s="58"/>
      <c r="I34" s="58"/>
      <c r="J34" s="59"/>
      <c r="K34" s="58"/>
      <c r="L34" s="58"/>
    </row>
    <row r="35" spans="8:12">
      <c r="H35" s="58"/>
      <c r="I35" s="58"/>
      <c r="J35" s="59"/>
      <c r="K35" s="58"/>
      <c r="L35" s="58"/>
    </row>
    <row r="36" spans="8:12">
      <c r="H36" s="58"/>
      <c r="I36" s="58"/>
      <c r="J36" s="59"/>
      <c r="K36" s="58"/>
      <c r="L36" s="58"/>
    </row>
    <row r="37" spans="8:12">
      <c r="H37" s="58"/>
      <c r="I37" s="58"/>
      <c r="J37" s="59"/>
      <c r="K37" s="58"/>
      <c r="L37" s="58"/>
    </row>
    <row r="38" spans="8:12">
      <c r="H38" s="58"/>
      <c r="I38" s="58"/>
      <c r="J38" s="59"/>
      <c r="K38" s="58"/>
      <c r="L38" s="58"/>
    </row>
    <row r="39" spans="8:12">
      <c r="H39" s="58"/>
      <c r="I39" s="58"/>
      <c r="J39" s="59"/>
      <c r="K39" s="58"/>
      <c r="L39" s="58"/>
    </row>
    <row r="40" spans="8:12">
      <c r="H40" s="58"/>
      <c r="I40" s="58"/>
      <c r="J40" s="59"/>
      <c r="K40" s="58"/>
      <c r="L40" s="58"/>
    </row>
    <row r="41" spans="8:12">
      <c r="H41" s="58"/>
      <c r="I41" s="58"/>
      <c r="J41" s="59"/>
      <c r="K41" s="58"/>
      <c r="L41" s="58"/>
    </row>
    <row r="42" spans="8:12">
      <c r="H42" s="58"/>
      <c r="I42" s="58"/>
      <c r="J42" s="59"/>
      <c r="K42" s="58"/>
      <c r="L42" s="58"/>
    </row>
    <row r="43" spans="8:12">
      <c r="H43" s="58"/>
      <c r="I43" s="58"/>
      <c r="J43" s="59"/>
      <c r="K43" s="58"/>
      <c r="L43" s="58"/>
    </row>
    <row r="44" spans="8:12">
      <c r="H44" s="58"/>
      <c r="I44" s="58"/>
      <c r="J44" s="59"/>
      <c r="K44" s="58"/>
      <c r="L44" s="58"/>
    </row>
    <row r="45" spans="8:12">
      <c r="H45" s="58"/>
      <c r="I45" s="58"/>
      <c r="J45" s="59"/>
      <c r="K45" s="58"/>
      <c r="L45" s="58"/>
    </row>
    <row r="46" spans="8:12">
      <c r="H46" s="58"/>
      <c r="I46" s="58"/>
      <c r="J46" s="59"/>
      <c r="K46" s="58"/>
      <c r="L46" s="58"/>
    </row>
    <row r="47" spans="8:12">
      <c r="H47" s="58"/>
      <c r="I47" s="58"/>
      <c r="J47" s="59"/>
      <c r="K47" s="58"/>
      <c r="L47" s="58"/>
    </row>
    <row r="48" spans="8:12">
      <c r="H48" s="58"/>
      <c r="I48" s="58"/>
      <c r="J48" s="59"/>
      <c r="K48" s="58"/>
      <c r="L48" s="58"/>
    </row>
    <row r="49" spans="8:12">
      <c r="H49" s="58"/>
      <c r="I49" s="58"/>
      <c r="J49" s="59"/>
      <c r="K49" s="58"/>
      <c r="L49" s="58"/>
    </row>
    <row r="50" spans="8:12">
      <c r="H50" s="58"/>
      <c r="I50" s="58"/>
      <c r="J50" s="59"/>
      <c r="K50" s="58"/>
      <c r="L50" s="58"/>
    </row>
    <row r="51" spans="8:12">
      <c r="H51" s="58"/>
      <c r="I51" s="58"/>
      <c r="J51" s="59"/>
      <c r="K51" s="58"/>
      <c r="L51" s="58"/>
    </row>
    <row r="52" spans="8:12">
      <c r="H52" s="58"/>
      <c r="I52" s="58"/>
      <c r="J52" s="59"/>
      <c r="K52" s="58"/>
      <c r="L52" s="58"/>
    </row>
    <row r="53" spans="8:12">
      <c r="H53" s="58"/>
      <c r="I53" s="58"/>
      <c r="J53" s="59"/>
      <c r="K53" s="58"/>
      <c r="L53" s="58"/>
    </row>
    <row r="54" spans="8:12">
      <c r="H54" s="58"/>
      <c r="I54" s="58"/>
      <c r="J54" s="59"/>
      <c r="K54" s="58"/>
      <c r="L54" s="58"/>
    </row>
    <row r="55" spans="8:12">
      <c r="H55" s="58"/>
      <c r="I55" s="58"/>
      <c r="J55" s="59"/>
      <c r="K55" s="58"/>
      <c r="L55" s="58"/>
    </row>
    <row r="56" spans="8:12">
      <c r="H56" s="58"/>
      <c r="I56" s="58"/>
      <c r="J56" s="59"/>
      <c r="K56" s="58"/>
      <c r="L56" s="58"/>
    </row>
    <row r="57" spans="8:12">
      <c r="H57" s="58"/>
      <c r="I57" s="58"/>
      <c r="J57" s="59"/>
      <c r="K57" s="58"/>
      <c r="L57" s="58"/>
    </row>
    <row r="58" spans="8:12">
      <c r="H58" s="58"/>
      <c r="I58" s="58"/>
      <c r="J58" s="59"/>
      <c r="K58" s="58"/>
      <c r="L58" s="58"/>
    </row>
    <row r="59" spans="8:12">
      <c r="H59" s="58"/>
      <c r="I59" s="58"/>
      <c r="J59" s="59"/>
      <c r="K59" s="58"/>
      <c r="L59" s="58"/>
    </row>
    <row r="60" spans="8:12">
      <c r="H60" s="58"/>
      <c r="I60" s="58"/>
      <c r="J60" s="59"/>
      <c r="K60" s="58"/>
      <c r="L60" s="58"/>
    </row>
    <row r="61" spans="8:12">
      <c r="H61" s="58"/>
      <c r="I61" s="58"/>
      <c r="J61" s="59"/>
      <c r="K61" s="58"/>
      <c r="L61" s="58"/>
    </row>
    <row r="62" spans="8:12">
      <c r="H62" s="58"/>
      <c r="I62" s="58"/>
      <c r="J62" s="59"/>
      <c r="K62" s="58"/>
      <c r="L62" s="58"/>
    </row>
    <row r="63" spans="8:12">
      <c r="H63" s="58"/>
      <c r="I63" s="58"/>
      <c r="J63" s="59"/>
      <c r="K63" s="58"/>
      <c r="L63" s="58"/>
    </row>
    <row r="64" spans="8:12">
      <c r="H64" s="58"/>
      <c r="I64" s="58"/>
      <c r="J64" s="59"/>
      <c r="K64" s="58"/>
      <c r="L64" s="58"/>
    </row>
    <row r="65" spans="8:12">
      <c r="H65" s="58"/>
      <c r="I65" s="58"/>
      <c r="J65" s="59"/>
      <c r="K65" s="58"/>
      <c r="L65" s="58"/>
    </row>
    <row r="66" spans="8:12">
      <c r="H66" s="58"/>
      <c r="I66" s="58"/>
      <c r="J66" s="59"/>
      <c r="K66" s="58"/>
      <c r="L66" s="58"/>
    </row>
    <row r="67" spans="8:12">
      <c r="H67" s="58"/>
      <c r="I67" s="58"/>
      <c r="J67" s="59"/>
      <c r="K67" s="58"/>
      <c r="L67" s="58"/>
    </row>
    <row r="68" spans="8:12">
      <c r="H68" s="58"/>
      <c r="I68" s="58"/>
      <c r="J68" s="59"/>
      <c r="K68" s="58"/>
      <c r="L68" s="58"/>
    </row>
    <row r="69" spans="8:12">
      <c r="H69" s="58"/>
      <c r="I69" s="58"/>
      <c r="J69" s="59"/>
      <c r="K69" s="58"/>
      <c r="L69" s="58"/>
    </row>
    <row r="70" spans="8:12">
      <c r="H70" s="58"/>
      <c r="I70" s="58"/>
      <c r="J70" s="59"/>
      <c r="K70" s="58"/>
      <c r="L70" s="58"/>
    </row>
    <row r="71" spans="8:12">
      <c r="H71" s="58"/>
      <c r="I71" s="58"/>
      <c r="J71" s="59"/>
      <c r="K71" s="58"/>
      <c r="L71" s="58"/>
    </row>
    <row r="72" spans="8:12">
      <c r="H72" s="58"/>
      <c r="I72" s="58"/>
      <c r="J72" s="59"/>
      <c r="K72" s="58"/>
      <c r="L72" s="58"/>
    </row>
    <row r="73" spans="8:12">
      <c r="H73" s="58"/>
      <c r="I73" s="58"/>
      <c r="J73" s="59"/>
      <c r="K73" s="58"/>
      <c r="L73" s="58"/>
    </row>
    <row r="74" spans="8:12">
      <c r="H74" s="58"/>
      <c r="I74" s="58"/>
      <c r="J74" s="59"/>
      <c r="K74" s="58"/>
      <c r="L74" s="58"/>
    </row>
    <row r="75" spans="8:12">
      <c r="H75" s="58"/>
      <c r="I75" s="58"/>
      <c r="J75" s="59"/>
      <c r="K75" s="58"/>
      <c r="L75" s="58"/>
    </row>
    <row r="76" spans="8:12">
      <c r="H76" s="58"/>
      <c r="I76" s="58"/>
      <c r="J76" s="59"/>
      <c r="K76" s="58"/>
      <c r="L76" s="58"/>
    </row>
    <row r="77" spans="8:12">
      <c r="H77" s="58"/>
      <c r="I77" s="58"/>
      <c r="J77" s="59"/>
      <c r="K77" s="58"/>
      <c r="L77" s="58"/>
    </row>
    <row r="78" spans="8:12">
      <c r="H78" s="58"/>
      <c r="I78" s="58"/>
      <c r="J78" s="59"/>
      <c r="K78" s="58"/>
      <c r="L78" s="58"/>
    </row>
    <row r="79" spans="8:12">
      <c r="H79" s="58"/>
      <c r="I79" s="58"/>
      <c r="J79" s="59"/>
      <c r="K79" s="58"/>
      <c r="L79" s="58"/>
    </row>
    <row r="80" spans="8:12">
      <c r="H80" s="58"/>
      <c r="I80" s="58"/>
      <c r="J80" s="59"/>
      <c r="K80" s="58"/>
      <c r="L80" s="58"/>
    </row>
    <row r="81" spans="8:12">
      <c r="H81" s="58"/>
      <c r="I81" s="58"/>
      <c r="J81" s="59"/>
      <c r="K81" s="58"/>
      <c r="L81" s="58"/>
    </row>
    <row r="82" spans="8:12">
      <c r="H82" s="58"/>
      <c r="I82" s="58"/>
      <c r="J82" s="59"/>
      <c r="K82" s="58"/>
      <c r="L82" s="58"/>
    </row>
    <row r="83" spans="8:12">
      <c r="H83" s="58"/>
      <c r="I83" s="58"/>
      <c r="J83" s="59"/>
      <c r="K83" s="58"/>
      <c r="L83" s="58"/>
    </row>
    <row r="84" spans="8:12">
      <c r="H84" s="58"/>
      <c r="I84" s="58"/>
      <c r="J84" s="59"/>
      <c r="K84" s="58"/>
      <c r="L84" s="58"/>
    </row>
    <row r="85" spans="8:12">
      <c r="H85" s="58"/>
      <c r="I85" s="58"/>
      <c r="J85" s="59"/>
      <c r="K85" s="58"/>
      <c r="L85" s="58"/>
    </row>
    <row r="86" spans="8:12">
      <c r="H86" s="58"/>
      <c r="I86" s="58"/>
      <c r="J86" s="59"/>
      <c r="K86" s="58"/>
      <c r="L86" s="58"/>
    </row>
    <row r="87" spans="8:12">
      <c r="H87" s="58"/>
      <c r="I87" s="58"/>
      <c r="J87" s="59"/>
      <c r="K87" s="58"/>
      <c r="L87" s="58"/>
    </row>
    <row r="88" spans="8:12">
      <c r="H88" s="58"/>
      <c r="I88" s="58"/>
      <c r="J88" s="59"/>
      <c r="K88" s="58"/>
      <c r="L88" s="58"/>
    </row>
    <row r="89" spans="8:12">
      <c r="H89" s="58"/>
      <c r="I89" s="58"/>
      <c r="J89" s="59"/>
      <c r="K89" s="58"/>
      <c r="L89" s="58"/>
    </row>
    <row r="90" spans="8:12">
      <c r="H90" s="58"/>
      <c r="I90" s="58"/>
      <c r="J90" s="59"/>
      <c r="K90" s="58"/>
      <c r="L90" s="58"/>
    </row>
    <row r="91" spans="8:12">
      <c r="H91" s="58"/>
      <c r="I91" s="58"/>
      <c r="J91" s="59"/>
      <c r="K91" s="58"/>
      <c r="L91" s="58"/>
    </row>
    <row r="92" spans="8:12">
      <c r="H92" s="58"/>
      <c r="I92" s="58"/>
      <c r="J92" s="59"/>
      <c r="K92" s="58"/>
      <c r="L92" s="58"/>
    </row>
    <row r="93" spans="8:12">
      <c r="H93" s="58"/>
      <c r="I93" s="58"/>
      <c r="J93" s="59"/>
      <c r="K93" s="58"/>
      <c r="L93" s="58"/>
    </row>
    <row r="94" spans="8:12">
      <c r="H94" s="58"/>
      <c r="I94" s="58"/>
      <c r="J94" s="59"/>
      <c r="K94" s="58"/>
      <c r="L94" s="58"/>
    </row>
    <row r="95" spans="8:12">
      <c r="H95" s="58"/>
      <c r="I95" s="58"/>
      <c r="J95" s="59"/>
      <c r="K95" s="58"/>
      <c r="L95" s="58"/>
    </row>
    <row r="96" spans="8:12">
      <c r="H96" s="58"/>
      <c r="I96" s="58"/>
      <c r="J96" s="59"/>
      <c r="K96" s="58"/>
      <c r="L96" s="58"/>
    </row>
    <row r="97" spans="8:12">
      <c r="H97" s="58"/>
      <c r="I97" s="58"/>
      <c r="J97" s="59"/>
      <c r="K97" s="58"/>
      <c r="L97" s="58"/>
    </row>
    <row r="98" spans="8:12">
      <c r="H98" s="58"/>
      <c r="I98" s="58"/>
      <c r="J98" s="59"/>
      <c r="K98" s="58"/>
      <c r="L98" s="58"/>
    </row>
    <row r="99" spans="8:12">
      <c r="H99" s="58"/>
      <c r="I99" s="58"/>
      <c r="J99" s="59"/>
      <c r="K99" s="58"/>
      <c r="L99" s="58"/>
    </row>
    <row r="100" spans="8:12">
      <c r="H100" s="58"/>
      <c r="I100" s="58"/>
      <c r="J100" s="59"/>
      <c r="K100" s="58"/>
      <c r="L100" s="58"/>
    </row>
    <row r="101" spans="8:12">
      <c r="H101" s="58"/>
      <c r="I101" s="58"/>
      <c r="J101" s="59"/>
      <c r="K101" s="58"/>
      <c r="L101" s="58"/>
    </row>
    <row r="102" spans="8:12">
      <c r="H102" s="58"/>
      <c r="I102" s="58"/>
      <c r="J102" s="59"/>
      <c r="K102" s="58"/>
      <c r="L102" s="58"/>
    </row>
    <row r="103" spans="8:12">
      <c r="H103" s="58"/>
      <c r="I103" s="58"/>
      <c r="J103" s="59"/>
      <c r="K103" s="58"/>
      <c r="L103" s="58"/>
    </row>
    <row r="104" spans="8:12">
      <c r="H104" s="58"/>
      <c r="I104" s="58"/>
      <c r="J104" s="59"/>
      <c r="K104" s="58"/>
      <c r="L104" s="58"/>
    </row>
    <row r="105" spans="8:12">
      <c r="H105" s="58"/>
      <c r="I105" s="58"/>
      <c r="J105" s="59"/>
      <c r="K105" s="58"/>
      <c r="L105" s="58"/>
    </row>
    <row r="106" spans="8:12">
      <c r="H106" s="58"/>
      <c r="I106" s="58"/>
      <c r="J106" s="59"/>
      <c r="K106" s="58"/>
      <c r="L106" s="58"/>
    </row>
    <row r="107" spans="8:12">
      <c r="H107" s="58"/>
      <c r="I107" s="58"/>
      <c r="J107" s="59"/>
      <c r="K107" s="58"/>
      <c r="L107" s="58"/>
    </row>
  </sheetData>
  <mergeCells count="5">
    <mergeCell ref="A1:L1"/>
    <mergeCell ref="A2:L2"/>
    <mergeCell ref="H3:I3"/>
    <mergeCell ref="K3:L3"/>
    <mergeCell ref="A26:L26"/>
  </mergeCells>
  <phoneticPr fontId="37"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535F3-EFD9-4E51-A62E-ED6689651527}">
  <dimension ref="B2:E29"/>
  <sheetViews>
    <sheetView workbookViewId="0">
      <selection activeCell="C6" sqref="C6"/>
    </sheetView>
  </sheetViews>
  <sheetFormatPr defaultColWidth="8.625" defaultRowHeight="15"/>
  <cols>
    <col min="1" max="1" width="2.875" style="139" customWidth="1"/>
    <col min="2" max="2" width="24.625" style="139" customWidth="1"/>
    <col min="3" max="4" width="30.375" style="139" customWidth="1"/>
    <col min="5" max="14" width="14.375" style="139" customWidth="1"/>
    <col min="15" max="16384" width="8.625" style="139"/>
  </cols>
  <sheetData>
    <row r="2" spans="2:5">
      <c r="B2" s="269" t="s">
        <v>624</v>
      </c>
    </row>
    <row r="4" spans="2:5">
      <c r="B4" s="178" t="s">
        <v>629</v>
      </c>
      <c r="C4" s="270" t="s">
        <v>445</v>
      </c>
      <c r="D4" s="270" t="s">
        <v>446</v>
      </c>
    </row>
    <row r="5" spans="2:5">
      <c r="B5" s="166" t="s">
        <v>444</v>
      </c>
      <c r="C5" s="167">
        <f>SUM('2019 KESIS Energy Balance'!Z61:AE61)</f>
        <v>13.368</v>
      </c>
      <c r="D5" s="168">
        <f>C5/SUM($C$5:$C$7)</f>
        <v>0.17361264432005613</v>
      </c>
    </row>
    <row r="6" spans="2:5">
      <c r="B6" s="166" t="s">
        <v>422</v>
      </c>
      <c r="C6" s="167">
        <f>SUM('2019 KESIS Energy Balance'!AF61:AH61)</f>
        <v>17.835000000000001</v>
      </c>
      <c r="D6" s="168">
        <f t="shared" ref="D6:D7" si="0">C6/SUM($C$5:$C$7)</f>
        <v>0.23162638475824363</v>
      </c>
    </row>
    <row r="7" spans="2:5">
      <c r="B7" s="166" t="s">
        <v>423</v>
      </c>
      <c r="C7" s="167">
        <f>SUM('2019 KESIS Energy Balance'!W61:Y61)</f>
        <v>45.795999999999999</v>
      </c>
      <c r="D7" s="168">
        <f t="shared" si="0"/>
        <v>0.59476097092170033</v>
      </c>
      <c r="E7" s="463"/>
    </row>
    <row r="9" spans="2:5">
      <c r="B9" s="178" t="s">
        <v>1160</v>
      </c>
      <c r="C9" s="270" t="s">
        <v>445</v>
      </c>
      <c r="D9" s="270" t="s">
        <v>446</v>
      </c>
      <c r="E9" s="464" t="s">
        <v>1164</v>
      </c>
    </row>
    <row r="10" spans="2:5">
      <c r="B10" s="166" t="s">
        <v>444</v>
      </c>
      <c r="C10" s="167">
        <f>SUM('2022 Energy Balance'!Z61:AE61)</f>
        <v>3.7439999999999998</v>
      </c>
      <c r="D10" s="168">
        <f>C10/SUM($C$5:$C$7)</f>
        <v>4.8624008104001352E-2</v>
      </c>
    </row>
    <row r="11" spans="2:5">
      <c r="B11" s="166" t="s">
        <v>422</v>
      </c>
      <c r="C11" s="167">
        <f>SUM('2022 Energy Balance'!AF61:AH61)</f>
        <v>1.8000000000000002E-2</v>
      </c>
      <c r="D11" s="168">
        <f t="shared" ref="D11:D12" si="1">C11/SUM($C$5:$C$7)</f>
        <v>2.3376926973077576E-4</v>
      </c>
    </row>
    <row r="12" spans="2:5">
      <c r="B12" s="166" t="s">
        <v>423</v>
      </c>
      <c r="C12" s="167">
        <f>SUM('2022 Energy Balance'!W61:Y61)</f>
        <v>51.706999999999994</v>
      </c>
      <c r="D12" s="168">
        <f t="shared" si="1"/>
        <v>0.67152820166495664</v>
      </c>
    </row>
    <row r="14" spans="2:5" ht="16.5">
      <c r="B14" s="139" t="s">
        <v>1162</v>
      </c>
    </row>
    <row r="29" spans="3:3">
      <c r="C29" s="96"/>
    </row>
  </sheetData>
  <phoneticPr fontId="3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A73F3-DC47-46FE-AF4B-72FE1D9B0D67}">
  <dimension ref="B2:N46"/>
  <sheetViews>
    <sheetView topLeftCell="A3" zoomScale="51" zoomScaleNormal="82" workbookViewId="0">
      <selection activeCell="D10" sqref="D10"/>
    </sheetView>
  </sheetViews>
  <sheetFormatPr defaultColWidth="8.625" defaultRowHeight="15"/>
  <cols>
    <col min="1" max="1" width="2.875" style="139" customWidth="1"/>
    <col min="2" max="2" width="24.625" style="139" customWidth="1"/>
    <col min="3" max="4" width="30.375" style="139" customWidth="1"/>
    <col min="5" max="14" width="14.375" style="139" customWidth="1"/>
    <col min="15" max="16384" width="8.625" style="139"/>
  </cols>
  <sheetData>
    <row r="2" spans="2:14">
      <c r="B2" s="269" t="s">
        <v>625</v>
      </c>
    </row>
    <row r="4" spans="2:14">
      <c r="B4" s="178" t="s">
        <v>630</v>
      </c>
      <c r="C4" s="178"/>
    </row>
    <row r="5" spans="2:14" s="283" customFormat="1" ht="30">
      <c r="B5" s="280"/>
      <c r="C5" s="280" t="s">
        <v>633</v>
      </c>
      <c r="D5" s="280" t="s">
        <v>634</v>
      </c>
      <c r="E5" s="281" t="s">
        <v>415</v>
      </c>
      <c r="F5" s="282" t="s">
        <v>416</v>
      </c>
      <c r="G5" s="282" t="s">
        <v>417</v>
      </c>
      <c r="H5" s="282" t="s">
        <v>418</v>
      </c>
      <c r="I5" s="282" t="s">
        <v>419</v>
      </c>
      <c r="J5" s="282" t="s">
        <v>420</v>
      </c>
      <c r="K5" s="282" t="s">
        <v>421</v>
      </c>
      <c r="L5" s="282" t="s">
        <v>422</v>
      </c>
      <c r="M5" s="282" t="s">
        <v>423</v>
      </c>
      <c r="N5" s="282" t="s">
        <v>424</v>
      </c>
    </row>
    <row r="6" spans="2:14" s="293" customFormat="1" ht="198">
      <c r="B6" s="289" t="s">
        <v>11</v>
      </c>
      <c r="C6" s="290" t="str">
        <f>VLOOKUP($B6,About!$B$50:$E$74,3,0)</f>
        <v>EndUse&gt;Industry&gt;chemical and Petro-chemical</v>
      </c>
      <c r="D6" s="290" t="str">
        <f>VLOOKUP($B6,About!$B$50:$E$74,4,0)</f>
        <v>Basic chemical substance manufacturing, fertilizer, pesticide and sterilization, pesticide manufacturing, other chemical product manufacturing, chemical fiber manufacturing, basic pharmaceutical and biological product manufacturing, pharmaceutical manufacturing, medical supplies and other pharmaceutical related product manufacturing</v>
      </c>
      <c r="E6" s="291">
        <f>1-E7</f>
        <v>0.55209607472478606</v>
      </c>
      <c r="F6" s="291">
        <f t="shared" ref="F6:M6" si="0">1-F7</f>
        <v>0.44441460794844245</v>
      </c>
      <c r="G6" s="291">
        <f t="shared" si="0"/>
        <v>0.48703570787726536</v>
      </c>
      <c r="H6" s="291">
        <f>1-H7</f>
        <v>0.96770405167351736</v>
      </c>
      <c r="I6" s="291">
        <f t="shared" si="0"/>
        <v>0.6588235294117647</v>
      </c>
      <c r="J6" s="291">
        <f t="shared" si="0"/>
        <v>0.58344383405948097</v>
      </c>
      <c r="K6" s="292" t="s">
        <v>432</v>
      </c>
      <c r="L6" s="291">
        <f t="shared" si="0"/>
        <v>0.97435897435897434</v>
      </c>
      <c r="M6" s="291">
        <f t="shared" si="0"/>
        <v>0.69558576447227738</v>
      </c>
      <c r="N6" s="292" t="s">
        <v>432</v>
      </c>
    </row>
    <row r="7" spans="2:14" s="293" customFormat="1" ht="66">
      <c r="B7" s="294" t="s">
        <v>12</v>
      </c>
      <c r="C7" s="295" t="str">
        <f>VLOOKUP($B7,About!$B$50:$E$74,3,0)</f>
        <v>EndUse&gt;Industry&gt;chemical and Petro-chemical</v>
      </c>
      <c r="D7" s="295" t="str">
        <f>VLOOKUP($B7,About!$B$50:$E$74,4,0)</f>
        <v>Synthetic rubber and plastic material manufacturing, rubber product manufacturing, plastic product manufacturing</v>
      </c>
      <c r="E7" s="296">
        <f>SUM(E33,L33:M33)/SUM(D33:M33)</f>
        <v>0.447903925275214</v>
      </c>
      <c r="F7" s="297">
        <f>SUM(E18,L18:M18)/SUM(D18:M18)</f>
        <v>0.55558539205155755</v>
      </c>
      <c r="G7" s="298">
        <f>SUM(E30,L30:M30)/SUM(D30:M30)</f>
        <v>0.51296429212273464</v>
      </c>
      <c r="H7" s="296">
        <f>SUM(E31,L31:M31)/SUM(D31:M31)</f>
        <v>3.2295948326482679E-2</v>
      </c>
      <c r="I7" s="296">
        <f>SUM(E20:E22,L20:M22)/SUM(D20:M22)</f>
        <v>0.3411764705882353</v>
      </c>
      <c r="J7" s="299">
        <f>SUM(E32,L32:M32)/SUM(D32:M32)</f>
        <v>0.41655616594051903</v>
      </c>
      <c r="K7" s="300" t="s">
        <v>431</v>
      </c>
      <c r="L7" s="296">
        <f>SUM(E23:E25,L23:M25)/SUM(D23:M25)</f>
        <v>2.5641025641025637E-2</v>
      </c>
      <c r="M7" s="296">
        <f>SUM(E27:E28,L27:M28)/SUM(D27:M28)</f>
        <v>0.30441423552772262</v>
      </c>
      <c r="N7" s="300" t="s">
        <v>431</v>
      </c>
    </row>
    <row r="8" spans="2:14" s="141" customFormat="1">
      <c r="B8" s="271" t="s">
        <v>493</v>
      </c>
      <c r="C8" s="271"/>
      <c r="D8" s="271"/>
      <c r="E8" s="272">
        <f t="shared" ref="E8:M8" si="1">SUM(E6:E7)</f>
        <v>1</v>
      </c>
      <c r="F8" s="272">
        <f t="shared" si="1"/>
        <v>1</v>
      </c>
      <c r="G8" s="272">
        <f t="shared" si="1"/>
        <v>1</v>
      </c>
      <c r="H8" s="272">
        <f t="shared" si="1"/>
        <v>1</v>
      </c>
      <c r="I8" s="272">
        <f t="shared" si="1"/>
        <v>1</v>
      </c>
      <c r="J8" s="272">
        <f t="shared" si="1"/>
        <v>1</v>
      </c>
      <c r="K8" s="273" t="s">
        <v>431</v>
      </c>
      <c r="L8" s="272">
        <f t="shared" si="1"/>
        <v>1</v>
      </c>
      <c r="M8" s="272">
        <f t="shared" si="1"/>
        <v>1</v>
      </c>
      <c r="N8" s="273" t="s">
        <v>431</v>
      </c>
    </row>
    <row r="10" spans="2:14">
      <c r="B10" s="178" t="s">
        <v>632</v>
      </c>
    </row>
    <row r="11" spans="2:14" s="175" customFormat="1" ht="16.5">
      <c r="B11" s="2" t="s">
        <v>449</v>
      </c>
      <c r="C11" s="2" t="s">
        <v>450</v>
      </c>
    </row>
    <row r="12" spans="2:14" s="175" customFormat="1" ht="16.5">
      <c r="B12" s="2" t="s">
        <v>451</v>
      </c>
      <c r="C12" s="2" t="s">
        <v>492</v>
      </c>
    </row>
    <row r="13" spans="2:14" s="175" customFormat="1" ht="16.5">
      <c r="B13" s="2" t="s">
        <v>453</v>
      </c>
      <c r="C13" s="2" t="s">
        <v>454</v>
      </c>
    </row>
    <row r="14" spans="2:14" s="175" customFormat="1" ht="16.5">
      <c r="B14" s="2" t="s">
        <v>456</v>
      </c>
      <c r="C14" s="2" t="s">
        <v>457</v>
      </c>
    </row>
    <row r="15" spans="2:14" s="175" customFormat="1" ht="20.100000000000001" customHeight="1">
      <c r="B15" s="511" t="s">
        <v>458</v>
      </c>
      <c r="C15" s="511" t="s">
        <v>459</v>
      </c>
      <c r="D15" s="512" t="s">
        <v>460</v>
      </c>
      <c r="E15" s="512" t="s">
        <v>460</v>
      </c>
      <c r="F15" s="512" t="s">
        <v>460</v>
      </c>
      <c r="G15" s="512" t="s">
        <v>460</v>
      </c>
      <c r="H15" s="512" t="s">
        <v>460</v>
      </c>
      <c r="I15" s="512" t="s">
        <v>460</v>
      </c>
      <c r="J15" s="512" t="s">
        <v>460</v>
      </c>
      <c r="K15" s="512" t="s">
        <v>460</v>
      </c>
      <c r="L15" s="512" t="s">
        <v>460</v>
      </c>
      <c r="M15" s="512" t="s">
        <v>460</v>
      </c>
    </row>
    <row r="16" spans="2:14" s="175" customFormat="1" ht="20.100000000000001" customHeight="1">
      <c r="B16" s="512" t="s">
        <v>458</v>
      </c>
      <c r="C16" s="512" t="s">
        <v>459</v>
      </c>
      <c r="D16" s="276" t="s">
        <v>482</v>
      </c>
      <c r="E16" s="275" t="s">
        <v>483</v>
      </c>
      <c r="F16" s="276" t="s">
        <v>484</v>
      </c>
      <c r="G16" s="276" t="s">
        <v>485</v>
      </c>
      <c r="H16" s="276" t="s">
        <v>486</v>
      </c>
      <c r="I16" s="276" t="s">
        <v>487</v>
      </c>
      <c r="J16" s="276" t="s">
        <v>488</v>
      </c>
      <c r="K16" s="276" t="s">
        <v>489</v>
      </c>
      <c r="L16" s="275" t="s">
        <v>490</v>
      </c>
      <c r="M16" s="275" t="s">
        <v>491</v>
      </c>
    </row>
    <row r="17" spans="2:13" s="175" customFormat="1" ht="20.100000000000001" customHeight="1">
      <c r="B17" s="277" t="s">
        <v>466</v>
      </c>
      <c r="C17" s="277" t="s">
        <v>467</v>
      </c>
      <c r="D17" s="176">
        <v>23977.599999999999</v>
      </c>
      <c r="E17" s="176">
        <v>8599</v>
      </c>
      <c r="F17" s="176">
        <v>92.9</v>
      </c>
      <c r="G17" s="176">
        <v>614.4</v>
      </c>
      <c r="H17" s="176">
        <v>454.8</v>
      </c>
      <c r="I17" s="176">
        <v>87.5</v>
      </c>
      <c r="J17" s="176">
        <v>212.8</v>
      </c>
      <c r="K17" s="176">
        <v>13.5</v>
      </c>
      <c r="L17" s="176">
        <v>407</v>
      </c>
      <c r="M17" s="176">
        <v>1404.5</v>
      </c>
    </row>
    <row r="18" spans="2:13" s="175" customFormat="1" ht="20.100000000000001" customHeight="1">
      <c r="B18" s="277" t="s">
        <v>468</v>
      </c>
      <c r="C18" s="277" t="s">
        <v>467</v>
      </c>
      <c r="D18" s="176">
        <v>100.8</v>
      </c>
      <c r="E18" s="176">
        <v>206.9</v>
      </c>
      <c r="F18" s="177" t="s">
        <v>38</v>
      </c>
      <c r="G18" s="176">
        <v>1.3</v>
      </c>
      <c r="H18" s="176">
        <v>63.4</v>
      </c>
      <c r="I18" s="177" t="s">
        <v>38</v>
      </c>
      <c r="J18" s="177" t="s">
        <v>38</v>
      </c>
      <c r="K18" s="177" t="s">
        <v>38</v>
      </c>
      <c r="L18" s="177" t="s">
        <v>38</v>
      </c>
      <c r="M18" s="176">
        <v>0</v>
      </c>
    </row>
    <row r="19" spans="2:13" s="175" customFormat="1" ht="20.100000000000001" customHeight="1">
      <c r="B19" s="277" t="s">
        <v>474</v>
      </c>
      <c r="C19" s="277" t="s">
        <v>467</v>
      </c>
      <c r="D19" s="176">
        <v>19772.5</v>
      </c>
      <c r="E19" s="176">
        <v>5725.5</v>
      </c>
      <c r="F19" s="176">
        <v>6.2</v>
      </c>
      <c r="G19" s="176">
        <v>12.8</v>
      </c>
      <c r="H19" s="176">
        <v>33.299999999999997</v>
      </c>
      <c r="I19" s="176">
        <v>0.5</v>
      </c>
      <c r="J19" s="176">
        <v>1.3</v>
      </c>
      <c r="K19" s="176">
        <v>0</v>
      </c>
      <c r="L19" s="176">
        <v>3.1</v>
      </c>
      <c r="M19" s="176">
        <v>29.5</v>
      </c>
    </row>
    <row r="20" spans="2:13" s="175" customFormat="1" ht="20.100000000000001" customHeight="1">
      <c r="B20" s="278" t="s">
        <v>455</v>
      </c>
      <c r="C20" s="277" t="s">
        <v>57</v>
      </c>
      <c r="D20" s="176">
        <v>0</v>
      </c>
      <c r="E20" s="176">
        <v>0</v>
      </c>
      <c r="F20" s="177" t="s">
        <v>38</v>
      </c>
      <c r="G20" s="176">
        <v>0</v>
      </c>
      <c r="H20" s="177" t="s">
        <v>38</v>
      </c>
      <c r="I20" s="177" t="s">
        <v>38</v>
      </c>
      <c r="J20" s="176">
        <v>0</v>
      </c>
      <c r="K20" s="176">
        <v>0</v>
      </c>
      <c r="L20" s="176">
        <v>0</v>
      </c>
      <c r="M20" s="176">
        <v>0</v>
      </c>
    </row>
    <row r="21" spans="2:13" s="175" customFormat="1" ht="20.100000000000001" customHeight="1">
      <c r="B21" s="278" t="s">
        <v>455</v>
      </c>
      <c r="C21" s="277" t="s">
        <v>475</v>
      </c>
      <c r="D21" s="176">
        <v>0.9</v>
      </c>
      <c r="E21" s="176">
        <v>0.3</v>
      </c>
      <c r="F21" s="176">
        <v>0.3</v>
      </c>
      <c r="G21" s="176">
        <v>2.5</v>
      </c>
      <c r="H21" s="177" t="s">
        <v>38</v>
      </c>
      <c r="I21" s="176">
        <v>0</v>
      </c>
      <c r="J21" s="176">
        <v>0.2</v>
      </c>
      <c r="K21" s="176">
        <v>0</v>
      </c>
      <c r="L21" s="176">
        <v>0.8</v>
      </c>
      <c r="M21" s="176">
        <v>0.5</v>
      </c>
    </row>
    <row r="22" spans="2:13" s="175" customFormat="1" ht="20.100000000000001" customHeight="1">
      <c r="B22" s="278" t="s">
        <v>455</v>
      </c>
      <c r="C22" s="277" t="s">
        <v>58</v>
      </c>
      <c r="D22" s="176">
        <v>0.8</v>
      </c>
      <c r="E22" s="176">
        <v>0.2</v>
      </c>
      <c r="F22" s="176">
        <v>0.5</v>
      </c>
      <c r="G22" s="176">
        <v>0.3</v>
      </c>
      <c r="H22" s="176">
        <v>0</v>
      </c>
      <c r="I22" s="176">
        <v>0</v>
      </c>
      <c r="J22" s="176">
        <v>0.1</v>
      </c>
      <c r="K22" s="176">
        <v>0</v>
      </c>
      <c r="L22" s="176">
        <v>0.2</v>
      </c>
      <c r="M22" s="176">
        <v>0.9</v>
      </c>
    </row>
    <row r="23" spans="2:13" s="175" customFormat="1" ht="20.100000000000001" customHeight="1">
      <c r="B23" s="278" t="s">
        <v>455</v>
      </c>
      <c r="C23" s="277" t="s">
        <v>476</v>
      </c>
      <c r="D23" s="177" t="s">
        <v>38</v>
      </c>
      <c r="E23" s="177" t="s">
        <v>38</v>
      </c>
      <c r="F23" s="177" t="s">
        <v>38</v>
      </c>
      <c r="G23" s="177" t="s">
        <v>38</v>
      </c>
      <c r="H23" s="177" t="s">
        <v>38</v>
      </c>
      <c r="I23" s="177" t="s">
        <v>38</v>
      </c>
      <c r="J23" s="177" t="s">
        <v>38</v>
      </c>
      <c r="K23" s="177" t="s">
        <v>38</v>
      </c>
      <c r="L23" s="176">
        <v>0.2</v>
      </c>
      <c r="M23" s="176">
        <v>0.1</v>
      </c>
    </row>
    <row r="24" spans="2:13" s="175" customFormat="1" ht="20.100000000000001" customHeight="1">
      <c r="B24" s="278" t="s">
        <v>455</v>
      </c>
      <c r="C24" s="277" t="s">
        <v>477</v>
      </c>
      <c r="D24" s="177" t="s">
        <v>38</v>
      </c>
      <c r="E24" s="177" t="s">
        <v>38</v>
      </c>
      <c r="F24" s="177" t="s">
        <v>38</v>
      </c>
      <c r="G24" s="176">
        <v>0.2</v>
      </c>
      <c r="H24" s="177" t="s">
        <v>38</v>
      </c>
      <c r="I24" s="177" t="s">
        <v>38</v>
      </c>
      <c r="J24" s="177" t="s">
        <v>38</v>
      </c>
      <c r="K24" s="177" t="s">
        <v>38</v>
      </c>
      <c r="L24" s="177" t="s">
        <v>38</v>
      </c>
      <c r="M24" s="176">
        <v>0.1</v>
      </c>
    </row>
    <row r="25" spans="2:13" s="175" customFormat="1" ht="20.100000000000001" customHeight="1">
      <c r="B25" s="278" t="s">
        <v>455</v>
      </c>
      <c r="C25" s="277" t="s">
        <v>478</v>
      </c>
      <c r="D25" s="176">
        <v>340</v>
      </c>
      <c r="E25" s="177" t="s">
        <v>38</v>
      </c>
      <c r="F25" s="176">
        <v>5.3</v>
      </c>
      <c r="G25" s="176">
        <v>3</v>
      </c>
      <c r="H25" s="176">
        <v>8.6999999999999993</v>
      </c>
      <c r="I25" s="177" t="s">
        <v>38</v>
      </c>
      <c r="J25" s="176">
        <v>0</v>
      </c>
      <c r="K25" s="177" t="s">
        <v>38</v>
      </c>
      <c r="L25" s="176">
        <v>0.8</v>
      </c>
      <c r="M25" s="176">
        <v>8.1999999999999993</v>
      </c>
    </row>
    <row r="26" spans="2:13" s="175" customFormat="1" ht="20.100000000000001" customHeight="1">
      <c r="B26" s="278" t="s">
        <v>455</v>
      </c>
      <c r="C26" s="277" t="s">
        <v>162</v>
      </c>
      <c r="D26" s="176">
        <v>16323.8</v>
      </c>
      <c r="E26" s="176">
        <v>4525.5</v>
      </c>
      <c r="F26" s="177" t="s">
        <v>38</v>
      </c>
      <c r="G26" s="177" t="s">
        <v>38</v>
      </c>
      <c r="H26" s="177" t="s">
        <v>38</v>
      </c>
      <c r="I26" s="177" t="s">
        <v>38</v>
      </c>
      <c r="J26" s="177" t="s">
        <v>38</v>
      </c>
      <c r="K26" s="177" t="s">
        <v>38</v>
      </c>
      <c r="L26" s="177" t="s">
        <v>38</v>
      </c>
      <c r="M26" s="176">
        <v>0.3</v>
      </c>
    </row>
    <row r="27" spans="2:13" s="175" customFormat="1" ht="20.100000000000001" customHeight="1">
      <c r="B27" s="278" t="s">
        <v>455</v>
      </c>
      <c r="C27" s="277" t="s">
        <v>153</v>
      </c>
      <c r="D27" s="176">
        <v>2103.9</v>
      </c>
      <c r="E27" s="176">
        <v>817.1</v>
      </c>
      <c r="F27" s="176">
        <v>0.1</v>
      </c>
      <c r="G27" s="176">
        <v>5.8</v>
      </c>
      <c r="H27" s="176">
        <v>24.6</v>
      </c>
      <c r="I27" s="176">
        <v>0.5</v>
      </c>
      <c r="J27" s="176">
        <v>0.1</v>
      </c>
      <c r="K27" s="176">
        <v>0</v>
      </c>
      <c r="L27" s="176">
        <v>0.9</v>
      </c>
      <c r="M27" s="176">
        <v>18.100000000000001</v>
      </c>
    </row>
    <row r="28" spans="2:13" s="175" customFormat="1" ht="20.100000000000001" customHeight="1">
      <c r="B28" s="278" t="s">
        <v>455</v>
      </c>
      <c r="C28" s="277" t="s">
        <v>154</v>
      </c>
      <c r="D28" s="176">
        <v>142</v>
      </c>
      <c r="E28" s="176">
        <v>160.4</v>
      </c>
      <c r="F28" s="176">
        <v>0</v>
      </c>
      <c r="G28" s="176">
        <v>0</v>
      </c>
      <c r="H28" s="177" t="s">
        <v>38</v>
      </c>
      <c r="I28" s="177" t="s">
        <v>38</v>
      </c>
      <c r="J28" s="177" t="s">
        <v>38</v>
      </c>
      <c r="K28" s="176">
        <v>0</v>
      </c>
      <c r="L28" s="176">
        <v>0</v>
      </c>
      <c r="M28" s="176">
        <v>0</v>
      </c>
    </row>
    <row r="29" spans="2:13" s="175" customFormat="1" ht="20.100000000000001" customHeight="1">
      <c r="B29" s="278" t="s">
        <v>455</v>
      </c>
      <c r="C29" s="277" t="s">
        <v>479</v>
      </c>
      <c r="D29" s="176">
        <v>861</v>
      </c>
      <c r="E29" s="176">
        <v>222</v>
      </c>
      <c r="F29" s="176">
        <v>0.1</v>
      </c>
      <c r="G29" s="176">
        <v>0.9</v>
      </c>
      <c r="H29" s="177" t="s">
        <v>38</v>
      </c>
      <c r="I29" s="176">
        <v>0</v>
      </c>
      <c r="J29" s="176">
        <v>0.9</v>
      </c>
      <c r="K29" s="177" t="s">
        <v>38</v>
      </c>
      <c r="L29" s="176">
        <v>0.3</v>
      </c>
      <c r="M29" s="176">
        <v>1.3</v>
      </c>
    </row>
    <row r="30" spans="2:13" s="175" customFormat="1" ht="20.100000000000001" customHeight="1">
      <c r="B30" s="277" t="s">
        <v>84</v>
      </c>
      <c r="C30" s="277" t="s">
        <v>467</v>
      </c>
      <c r="D30" s="176">
        <v>715.6</v>
      </c>
      <c r="E30" s="176">
        <v>747.8</v>
      </c>
      <c r="F30" s="176">
        <v>15.3</v>
      </c>
      <c r="G30" s="176">
        <v>192.8</v>
      </c>
      <c r="H30" s="176">
        <v>64.099999999999994</v>
      </c>
      <c r="I30" s="176">
        <v>17.3</v>
      </c>
      <c r="J30" s="176">
        <v>77.2</v>
      </c>
      <c r="K30" s="176">
        <v>3.4</v>
      </c>
      <c r="L30" s="176">
        <v>147.19999999999999</v>
      </c>
      <c r="M30" s="176">
        <v>248.5</v>
      </c>
    </row>
    <row r="31" spans="2:13" s="175" customFormat="1" ht="20.100000000000001" customHeight="1">
      <c r="B31" s="277" t="s">
        <v>480</v>
      </c>
      <c r="C31" s="277" t="s">
        <v>467</v>
      </c>
      <c r="D31" s="176">
        <v>162.6</v>
      </c>
      <c r="E31" s="176">
        <v>3.6</v>
      </c>
      <c r="F31" s="176">
        <v>2</v>
      </c>
      <c r="G31" s="177" t="s">
        <v>38</v>
      </c>
      <c r="H31" s="176">
        <v>0.2</v>
      </c>
      <c r="I31" s="177" t="s">
        <v>38</v>
      </c>
      <c r="J31" s="177" t="s">
        <v>38</v>
      </c>
      <c r="K31" s="177" t="s">
        <v>38</v>
      </c>
      <c r="L31" s="177" t="s">
        <v>38</v>
      </c>
      <c r="M31" s="176">
        <v>1.9</v>
      </c>
    </row>
    <row r="32" spans="2:13" s="175" customFormat="1" ht="20.100000000000001" customHeight="1">
      <c r="B32" s="277" t="s">
        <v>120</v>
      </c>
      <c r="C32" s="277" t="s">
        <v>467</v>
      </c>
      <c r="D32" s="176">
        <v>1022.8</v>
      </c>
      <c r="E32" s="176">
        <v>777.4</v>
      </c>
      <c r="F32" s="176">
        <v>2</v>
      </c>
      <c r="G32" s="176">
        <v>96</v>
      </c>
      <c r="H32" s="176">
        <v>77.8</v>
      </c>
      <c r="I32" s="176">
        <v>16.100000000000001</v>
      </c>
      <c r="J32" s="176">
        <v>16.899999999999999</v>
      </c>
      <c r="K32" s="176">
        <v>0.4</v>
      </c>
      <c r="L32" s="176">
        <v>17.399999999999999</v>
      </c>
      <c r="M32" s="176">
        <v>84.8</v>
      </c>
    </row>
    <row r="33" spans="2:13" s="175" customFormat="1" ht="20.100000000000001" customHeight="1">
      <c r="B33" s="279" t="s">
        <v>481</v>
      </c>
      <c r="C33" s="279" t="s">
        <v>467</v>
      </c>
      <c r="D33" s="176">
        <v>2203.4</v>
      </c>
      <c r="E33" s="176">
        <v>1137.7</v>
      </c>
      <c r="F33" s="176">
        <v>67.400000000000006</v>
      </c>
      <c r="G33" s="176">
        <v>311.5</v>
      </c>
      <c r="H33" s="176">
        <v>216.1</v>
      </c>
      <c r="I33" s="176">
        <v>53.7</v>
      </c>
      <c r="J33" s="176">
        <v>117.3</v>
      </c>
      <c r="K33" s="176">
        <v>9.6</v>
      </c>
      <c r="L33" s="176">
        <v>239.3</v>
      </c>
      <c r="M33" s="176">
        <v>1039.8</v>
      </c>
    </row>
    <row r="35" spans="2:13">
      <c r="B35" s="178" t="s">
        <v>629</v>
      </c>
      <c r="C35" s="178"/>
    </row>
    <row r="36" spans="2:13">
      <c r="C36" s="270" t="s">
        <v>445</v>
      </c>
      <c r="D36" s="270" t="s">
        <v>446</v>
      </c>
    </row>
    <row r="37" spans="2:13">
      <c r="B37" s="166" t="s">
        <v>444</v>
      </c>
      <c r="C37" s="167">
        <f>SUM('2019 KESIS Energy Balance'!Z59:AE59)</f>
        <v>50.731999999999999</v>
      </c>
      <c r="D37" s="168">
        <f>C37/SUM($C$37:$C$39)</f>
        <v>4.8876454289358787E-2</v>
      </c>
    </row>
    <row r="38" spans="2:13">
      <c r="B38" s="166" t="s">
        <v>422</v>
      </c>
      <c r="C38" s="167">
        <f>SUM('2019 KESIS Energy Balance'!AF59:AH59)</f>
        <v>174.44899999999998</v>
      </c>
      <c r="D38" s="168">
        <f>C38/SUM($C$37:$C$39)</f>
        <v>0.16806844938745466</v>
      </c>
    </row>
    <row r="39" spans="2:13">
      <c r="B39" s="166" t="s">
        <v>423</v>
      </c>
      <c r="C39" s="167">
        <f>SUM('2019 KESIS Energy Balance'!W59:Z59)</f>
        <v>812.7829999999999</v>
      </c>
      <c r="D39" s="168">
        <f>C39/SUM($C$37:$C$39)</f>
        <v>0.78305509632318648</v>
      </c>
    </row>
    <row r="41" spans="2:13">
      <c r="B41" s="178" t="s">
        <v>1160</v>
      </c>
      <c r="C41" s="178"/>
    </row>
    <row r="42" spans="2:13">
      <c r="C42" s="270" t="s">
        <v>445</v>
      </c>
      <c r="D42" s="270" t="s">
        <v>446</v>
      </c>
    </row>
    <row r="43" spans="2:13">
      <c r="B43" s="166" t="s">
        <v>444</v>
      </c>
      <c r="C43" s="167">
        <f>SUM('2022 Energy Balance'!Z59:AE59)</f>
        <v>15.571999999999999</v>
      </c>
      <c r="D43" s="168">
        <f>C43/SUM($C$37:$C$39)</f>
        <v>1.5002447098357938E-2</v>
      </c>
    </row>
    <row r="44" spans="2:13">
      <c r="B44" s="166" t="s">
        <v>422</v>
      </c>
      <c r="C44" s="167">
        <f>SUM('2022 Energy Balance'!AF59:AH59)</f>
        <v>186.02199999999999</v>
      </c>
      <c r="D44" s="168">
        <f>C44/SUM($C$37:$C$39)</f>
        <v>0.17921816170888394</v>
      </c>
    </row>
    <row r="45" spans="2:13">
      <c r="B45" s="166" t="s">
        <v>423</v>
      </c>
      <c r="C45" s="167">
        <f>SUM('2022 Energy Balance'!W59:Z59)</f>
        <v>307.72999999999996</v>
      </c>
      <c r="D45" s="168">
        <f>C45/SUM($C$37:$C$39)</f>
        <v>0.29647463688528697</v>
      </c>
    </row>
    <row r="46" spans="2:13" ht="16.5">
      <c r="B46" s="139" t="s">
        <v>1162</v>
      </c>
    </row>
  </sheetData>
  <mergeCells count="3">
    <mergeCell ref="B15:B16"/>
    <mergeCell ref="C15:C16"/>
    <mergeCell ref="D15:M15"/>
  </mergeCells>
  <phoneticPr fontId="37"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19703-C049-4B9C-94DE-93398A235CF4}">
  <dimension ref="B2:N53"/>
  <sheetViews>
    <sheetView workbookViewId="0">
      <selection activeCell="H7" sqref="H7"/>
    </sheetView>
  </sheetViews>
  <sheetFormatPr defaultColWidth="8.625" defaultRowHeight="15"/>
  <cols>
    <col min="1" max="1" width="2.875" style="139" customWidth="1"/>
    <col min="2" max="2" width="24.625" style="139" customWidth="1"/>
    <col min="3" max="4" width="30.375" style="139" customWidth="1"/>
    <col min="5" max="14" width="14.375" style="139" customWidth="1"/>
    <col min="15" max="16384" width="8.625" style="139"/>
  </cols>
  <sheetData>
    <row r="2" spans="2:14">
      <c r="B2" s="269" t="s">
        <v>626</v>
      </c>
    </row>
    <row r="4" spans="2:14">
      <c r="B4" s="178" t="s">
        <v>630</v>
      </c>
      <c r="C4" s="178"/>
    </row>
    <row r="5" spans="2:14" s="283" customFormat="1" ht="30">
      <c r="B5" s="280"/>
      <c r="C5" s="280" t="s">
        <v>633</v>
      </c>
      <c r="D5" s="280" t="s">
        <v>634</v>
      </c>
      <c r="E5" s="280" t="s">
        <v>415</v>
      </c>
      <c r="F5" s="285" t="s">
        <v>416</v>
      </c>
      <c r="G5" s="285" t="s">
        <v>417</v>
      </c>
      <c r="H5" s="285" t="s">
        <v>418</v>
      </c>
      <c r="I5" s="285" t="s">
        <v>419</v>
      </c>
      <c r="J5" s="285" t="s">
        <v>420</v>
      </c>
      <c r="K5" s="285" t="s">
        <v>421</v>
      </c>
      <c r="L5" s="285" t="s">
        <v>422</v>
      </c>
      <c r="M5" s="285" t="s">
        <v>423</v>
      </c>
      <c r="N5" s="285" t="s">
        <v>424</v>
      </c>
    </row>
    <row r="6" spans="2:14" s="288" customFormat="1" ht="30">
      <c r="B6" s="301" t="s">
        <v>16</v>
      </c>
      <c r="C6" s="302" t="str">
        <f>VLOOKUP($B6,About!$B$50:$E$74,3,0)</f>
        <v>EndUse&gt;Industry&gt;non-ferrous metals</v>
      </c>
      <c r="D6" s="302" t="str">
        <f>VLOOKUP($B6,About!$B$50:$E$74,4,0)</f>
        <v>Primary non-ferrous metals manufacturing</v>
      </c>
      <c r="E6" s="303">
        <f>D40/SUM(D40:H40)</f>
        <v>0.33838301347488775</v>
      </c>
      <c r="F6" s="303">
        <f>D18/SUM(D18:H18)</f>
        <v>0.97029702970297016</v>
      </c>
      <c r="G6" s="304">
        <f>D37/SUM(D37:H37)</f>
        <v>0.40929344366645448</v>
      </c>
      <c r="H6" s="303">
        <f>D38/SUM(D38:H38)</f>
        <v>0.76582278481012667</v>
      </c>
      <c r="I6" s="303">
        <f>SUM(D27:D29)/SUM(D27:H29)</f>
        <v>0.10526315789473685</v>
      </c>
      <c r="J6" s="304">
        <f>D39/SUM(D39:H39)</f>
        <v>0.59027777777777779</v>
      </c>
      <c r="K6" s="301" t="s">
        <v>432</v>
      </c>
      <c r="L6" s="303">
        <f>SUM(D30:D32)/SUM(D30:H32)</f>
        <v>0.93931398416886547</v>
      </c>
      <c r="M6" s="303">
        <f>SUM(D34:D35)/SUM(D34:H35)</f>
        <v>0.38990825688073388</v>
      </c>
      <c r="N6" s="301" t="s">
        <v>432</v>
      </c>
    </row>
    <row r="7" spans="2:14" s="288" customFormat="1" ht="75">
      <c r="B7" s="305" t="s">
        <v>17</v>
      </c>
      <c r="C7" s="306" t="str">
        <f>VLOOKUP($B7,About!$B$50:$E$74,3,0)</f>
        <v>EndUse&gt;Industry&gt;non-ferrous metals</v>
      </c>
      <c r="D7" s="306" t="str">
        <f>VLOOKUP($B7,About!$B$50:$E$74,4,0)</f>
        <v>Metal Foundry, Structural Metal Products, Tank and Steam Generator Manufacturing, Weapons and Gun Ammunition Manufacturing, other Metalworking Products Manufacturing</v>
      </c>
      <c r="E7" s="307">
        <f>1-E6</f>
        <v>0.66161698652511225</v>
      </c>
      <c r="F7" s="307">
        <f t="shared" ref="F7:M7" si="0">1-F6</f>
        <v>2.970297029702984E-2</v>
      </c>
      <c r="G7" s="307">
        <f t="shared" si="0"/>
        <v>0.59070655633354552</v>
      </c>
      <c r="H7" s="307">
        <f>1-H6</f>
        <v>0.23417721518987333</v>
      </c>
      <c r="I7" s="307">
        <f t="shared" si="0"/>
        <v>0.89473684210526316</v>
      </c>
      <c r="J7" s="307">
        <f t="shared" si="0"/>
        <v>0.40972222222222221</v>
      </c>
      <c r="K7" s="305" t="s">
        <v>431</v>
      </c>
      <c r="L7" s="307">
        <f t="shared" si="0"/>
        <v>6.0686015831134532E-2</v>
      </c>
      <c r="M7" s="307">
        <f t="shared" si="0"/>
        <v>0.61009174311926606</v>
      </c>
      <c r="N7" s="305" t="s">
        <v>431</v>
      </c>
    </row>
    <row r="8" spans="2:14" s="141" customFormat="1">
      <c r="B8" s="141" t="s">
        <v>494</v>
      </c>
      <c r="E8" s="284">
        <f t="shared" ref="E8:N8" si="1">SUM(E6:E7)</f>
        <v>1</v>
      </c>
      <c r="F8" s="284">
        <f t="shared" si="1"/>
        <v>1</v>
      </c>
      <c r="G8" s="284">
        <f t="shared" si="1"/>
        <v>1</v>
      </c>
      <c r="H8" s="284">
        <f t="shared" si="1"/>
        <v>1</v>
      </c>
      <c r="I8" s="284">
        <f t="shared" si="1"/>
        <v>1</v>
      </c>
      <c r="J8" s="284">
        <f t="shared" si="1"/>
        <v>1</v>
      </c>
      <c r="K8" s="284">
        <f t="shared" si="1"/>
        <v>0</v>
      </c>
      <c r="L8" s="284">
        <f t="shared" si="1"/>
        <v>1</v>
      </c>
      <c r="M8" s="284">
        <f t="shared" si="1"/>
        <v>1</v>
      </c>
      <c r="N8" s="284">
        <f t="shared" si="1"/>
        <v>0</v>
      </c>
    </row>
    <row r="10" spans="2:14" s="175" customFormat="1" ht="16.5">
      <c r="B10" s="178" t="s">
        <v>632</v>
      </c>
      <c r="C10" s="2"/>
    </row>
    <row r="11" spans="2:14" s="175" customFormat="1" ht="16.5">
      <c r="B11" s="2" t="s">
        <v>449</v>
      </c>
      <c r="C11" s="2" t="s">
        <v>450</v>
      </c>
    </row>
    <row r="12" spans="2:14" s="175" customFormat="1" ht="16.5">
      <c r="B12" s="2" t="s">
        <v>451</v>
      </c>
      <c r="C12" s="2" t="s">
        <v>495</v>
      </c>
    </row>
    <row r="13" spans="2:14" s="175" customFormat="1" ht="16.5">
      <c r="B13" s="2" t="s">
        <v>453</v>
      </c>
      <c r="C13" s="2" t="s">
        <v>454</v>
      </c>
    </row>
    <row r="14" spans="2:14" s="175" customFormat="1" ht="16.5">
      <c r="B14" s="2" t="s">
        <v>456</v>
      </c>
      <c r="C14" s="2" t="s">
        <v>457</v>
      </c>
    </row>
    <row r="15" spans="2:14" s="175" customFormat="1" ht="20.100000000000001" customHeight="1">
      <c r="B15" s="511" t="s">
        <v>458</v>
      </c>
      <c r="C15" s="511" t="s">
        <v>459</v>
      </c>
      <c r="D15" s="513" t="s">
        <v>460</v>
      </c>
      <c r="E15" s="513" t="s">
        <v>460</v>
      </c>
      <c r="F15" s="513" t="s">
        <v>460</v>
      </c>
      <c r="G15" s="513" t="s">
        <v>460</v>
      </c>
      <c r="H15" s="513" t="s">
        <v>460</v>
      </c>
    </row>
    <row r="16" spans="2:14" s="175" customFormat="1" ht="20.100000000000001" customHeight="1">
      <c r="B16" s="512" t="s">
        <v>458</v>
      </c>
      <c r="C16" s="512" t="s">
        <v>459</v>
      </c>
      <c r="D16" s="276" t="s">
        <v>496</v>
      </c>
      <c r="E16" s="275" t="s">
        <v>497</v>
      </c>
      <c r="F16" s="275" t="s">
        <v>498</v>
      </c>
      <c r="G16" s="275" t="s">
        <v>499</v>
      </c>
      <c r="H16" s="275" t="s">
        <v>500</v>
      </c>
    </row>
    <row r="17" spans="2:8" s="175" customFormat="1" ht="20.100000000000001" customHeight="1">
      <c r="B17" s="277" t="s">
        <v>466</v>
      </c>
      <c r="C17" s="277" t="s">
        <v>467</v>
      </c>
      <c r="D17" s="176">
        <v>1798.8</v>
      </c>
      <c r="E17" s="176">
        <v>307.2</v>
      </c>
      <c r="F17" s="176">
        <v>335.9</v>
      </c>
      <c r="G17" s="176">
        <v>47.5</v>
      </c>
      <c r="H17" s="176">
        <v>1404.5</v>
      </c>
    </row>
    <row r="18" spans="2:8" s="175" customFormat="1" ht="20.100000000000001" customHeight="1">
      <c r="B18" s="277" t="s">
        <v>468</v>
      </c>
      <c r="C18" s="277" t="s">
        <v>467</v>
      </c>
      <c r="D18" s="176">
        <v>284.2</v>
      </c>
      <c r="E18" s="176">
        <v>6.1</v>
      </c>
      <c r="F18" s="177" t="s">
        <v>38</v>
      </c>
      <c r="G18" s="177" t="s">
        <v>38</v>
      </c>
      <c r="H18" s="176">
        <v>2.6</v>
      </c>
    </row>
    <row r="19" spans="2:8" s="175" customFormat="1" ht="20.100000000000001" customHeight="1">
      <c r="B19" s="278" t="s">
        <v>455</v>
      </c>
      <c r="C19" s="277" t="s">
        <v>469</v>
      </c>
      <c r="D19" s="177" t="s">
        <v>38</v>
      </c>
      <c r="E19" s="176">
        <v>0.1</v>
      </c>
      <c r="F19" s="177" t="s">
        <v>38</v>
      </c>
      <c r="G19" s="177" t="s">
        <v>38</v>
      </c>
      <c r="H19" s="176">
        <v>0</v>
      </c>
    </row>
    <row r="20" spans="2:8" s="175" customFormat="1" ht="20.100000000000001" customHeight="1">
      <c r="B20" s="278" t="s">
        <v>455</v>
      </c>
      <c r="C20" s="277" t="s">
        <v>135</v>
      </c>
      <c r="D20" s="177" t="s">
        <v>38</v>
      </c>
      <c r="E20" s="177" t="s">
        <v>38</v>
      </c>
      <c r="F20" s="177" t="s">
        <v>38</v>
      </c>
      <c r="G20" s="177" t="s">
        <v>38</v>
      </c>
      <c r="H20" s="176">
        <v>0</v>
      </c>
    </row>
    <row r="21" spans="2:8" s="175" customFormat="1" ht="20.100000000000001" customHeight="1">
      <c r="B21" s="278" t="s">
        <v>455</v>
      </c>
      <c r="C21" s="277" t="s">
        <v>136</v>
      </c>
      <c r="D21" s="176">
        <v>131.6</v>
      </c>
      <c r="E21" s="176">
        <v>4.5</v>
      </c>
      <c r="F21" s="177" t="s">
        <v>38</v>
      </c>
      <c r="G21" s="177" t="s">
        <v>38</v>
      </c>
      <c r="H21" s="177" t="s">
        <v>38</v>
      </c>
    </row>
    <row r="22" spans="2:8" s="175" customFormat="1" ht="20.100000000000001" customHeight="1">
      <c r="B22" s="278" t="s">
        <v>455</v>
      </c>
      <c r="C22" s="277" t="s">
        <v>470</v>
      </c>
      <c r="D22" s="176">
        <v>131.1</v>
      </c>
      <c r="E22" s="177" t="s">
        <v>38</v>
      </c>
      <c r="F22" s="177" t="s">
        <v>38</v>
      </c>
      <c r="G22" s="177" t="s">
        <v>38</v>
      </c>
      <c r="H22" s="177" t="s">
        <v>38</v>
      </c>
    </row>
    <row r="23" spans="2:8" s="175" customFormat="1" ht="20.100000000000001" customHeight="1">
      <c r="B23" s="278" t="s">
        <v>455</v>
      </c>
      <c r="C23" s="277" t="s">
        <v>471</v>
      </c>
      <c r="D23" s="177" t="s">
        <v>38</v>
      </c>
      <c r="E23" s="177" t="s">
        <v>38</v>
      </c>
      <c r="F23" s="177" t="s">
        <v>38</v>
      </c>
      <c r="G23" s="177" t="s">
        <v>38</v>
      </c>
      <c r="H23" s="177" t="s">
        <v>38</v>
      </c>
    </row>
    <row r="24" spans="2:8" s="175" customFormat="1" ht="20.100000000000001" customHeight="1">
      <c r="B24" s="278" t="s">
        <v>455</v>
      </c>
      <c r="C24" s="277" t="s">
        <v>472</v>
      </c>
      <c r="D24" s="176">
        <v>21.4</v>
      </c>
      <c r="E24" s="176">
        <v>1.5</v>
      </c>
      <c r="F24" s="177" t="s">
        <v>38</v>
      </c>
      <c r="G24" s="177" t="s">
        <v>38</v>
      </c>
      <c r="H24" s="176">
        <v>2.6</v>
      </c>
    </row>
    <row r="25" spans="2:8" s="175" customFormat="1" ht="20.100000000000001" customHeight="1">
      <c r="B25" s="278" t="s">
        <v>455</v>
      </c>
      <c r="C25" s="277" t="s">
        <v>473</v>
      </c>
      <c r="D25" s="177" t="s">
        <v>38</v>
      </c>
      <c r="E25" s="177" t="s">
        <v>38</v>
      </c>
      <c r="F25" s="177" t="s">
        <v>38</v>
      </c>
      <c r="G25" s="177" t="s">
        <v>38</v>
      </c>
      <c r="H25" s="176">
        <v>0</v>
      </c>
    </row>
    <row r="26" spans="2:8" s="175" customFormat="1" ht="20.100000000000001" customHeight="1">
      <c r="B26" s="277" t="s">
        <v>474</v>
      </c>
      <c r="C26" s="277" t="s">
        <v>467</v>
      </c>
      <c r="D26" s="176">
        <v>335.5</v>
      </c>
      <c r="E26" s="176">
        <v>17.600000000000001</v>
      </c>
      <c r="F26" s="176">
        <v>13.5</v>
      </c>
      <c r="G26" s="176">
        <v>5.4</v>
      </c>
      <c r="H26" s="176">
        <v>26.6</v>
      </c>
    </row>
    <row r="27" spans="2:8" s="175" customFormat="1" ht="20.100000000000001" customHeight="1">
      <c r="B27" s="278" t="s">
        <v>455</v>
      </c>
      <c r="C27" s="277" t="s">
        <v>57</v>
      </c>
      <c r="D27" s="176">
        <v>0</v>
      </c>
      <c r="E27" s="176">
        <v>0</v>
      </c>
      <c r="F27" s="176">
        <v>0</v>
      </c>
      <c r="G27" s="177" t="s">
        <v>38</v>
      </c>
      <c r="H27" s="176">
        <v>0.1</v>
      </c>
    </row>
    <row r="28" spans="2:8" s="175" customFormat="1" ht="20.100000000000001" customHeight="1">
      <c r="B28" s="278" t="s">
        <v>455</v>
      </c>
      <c r="C28" s="277" t="s">
        <v>475</v>
      </c>
      <c r="D28" s="176">
        <v>0.1</v>
      </c>
      <c r="E28" s="176">
        <v>0.4</v>
      </c>
      <c r="F28" s="176">
        <v>0</v>
      </c>
      <c r="G28" s="176">
        <v>0</v>
      </c>
      <c r="H28" s="176">
        <v>0.9</v>
      </c>
    </row>
    <row r="29" spans="2:8" s="175" customFormat="1" ht="20.100000000000001" customHeight="1">
      <c r="B29" s="278" t="s">
        <v>455</v>
      </c>
      <c r="C29" s="277" t="s">
        <v>58</v>
      </c>
      <c r="D29" s="176">
        <v>0.3</v>
      </c>
      <c r="E29" s="176">
        <v>0.5</v>
      </c>
      <c r="F29" s="176">
        <v>0.4</v>
      </c>
      <c r="G29" s="176">
        <v>0.1</v>
      </c>
      <c r="H29" s="176">
        <v>1</v>
      </c>
    </row>
    <row r="30" spans="2:8" s="175" customFormat="1" ht="20.100000000000001" customHeight="1">
      <c r="B30" s="278" t="s">
        <v>455</v>
      </c>
      <c r="C30" s="277" t="s">
        <v>476</v>
      </c>
      <c r="D30" s="176">
        <v>0</v>
      </c>
      <c r="E30" s="176">
        <v>0.2</v>
      </c>
      <c r="F30" s="176">
        <v>0.4</v>
      </c>
      <c r="G30" s="177" t="s">
        <v>38</v>
      </c>
      <c r="H30" s="176">
        <v>0</v>
      </c>
    </row>
    <row r="31" spans="2:8" s="175" customFormat="1" ht="20.100000000000001" customHeight="1">
      <c r="B31" s="278" t="s">
        <v>455</v>
      </c>
      <c r="C31" s="277" t="s">
        <v>477</v>
      </c>
      <c r="D31" s="177" t="s">
        <v>38</v>
      </c>
      <c r="E31" s="176">
        <v>0.3</v>
      </c>
      <c r="F31" s="177" t="s">
        <v>38</v>
      </c>
      <c r="G31" s="177" t="s">
        <v>38</v>
      </c>
      <c r="H31" s="177" t="s">
        <v>38</v>
      </c>
    </row>
    <row r="32" spans="2:8" s="175" customFormat="1" ht="20.100000000000001" customHeight="1">
      <c r="B32" s="278" t="s">
        <v>455</v>
      </c>
      <c r="C32" s="277" t="s">
        <v>478</v>
      </c>
      <c r="D32" s="176">
        <v>35.6</v>
      </c>
      <c r="E32" s="176">
        <v>0.1</v>
      </c>
      <c r="F32" s="176">
        <v>0.4</v>
      </c>
      <c r="G32" s="177" t="s">
        <v>38</v>
      </c>
      <c r="H32" s="176">
        <v>0.9</v>
      </c>
    </row>
    <row r="33" spans="2:8" s="175" customFormat="1" ht="20.100000000000001" customHeight="1">
      <c r="B33" s="278" t="s">
        <v>455</v>
      </c>
      <c r="C33" s="277" t="s">
        <v>162</v>
      </c>
      <c r="D33" s="177" t="s">
        <v>38</v>
      </c>
      <c r="E33" s="177" t="s">
        <v>38</v>
      </c>
      <c r="F33" s="177" t="s">
        <v>38</v>
      </c>
      <c r="G33" s="177" t="s">
        <v>38</v>
      </c>
      <c r="H33" s="177" t="s">
        <v>38</v>
      </c>
    </row>
    <row r="34" spans="2:8" s="175" customFormat="1" ht="20.100000000000001" customHeight="1">
      <c r="B34" s="278" t="s">
        <v>455</v>
      </c>
      <c r="C34" s="277" t="s">
        <v>153</v>
      </c>
      <c r="D34" s="176">
        <v>24.3</v>
      </c>
      <c r="E34" s="176">
        <v>11.1</v>
      </c>
      <c r="F34" s="176">
        <v>4.4000000000000004</v>
      </c>
      <c r="G34" s="176">
        <v>0.4</v>
      </c>
      <c r="H34" s="176">
        <v>23.3</v>
      </c>
    </row>
    <row r="35" spans="2:8" s="175" customFormat="1" ht="20.100000000000001" customHeight="1">
      <c r="B35" s="278" t="s">
        <v>455</v>
      </c>
      <c r="C35" s="277" t="s">
        <v>154</v>
      </c>
      <c r="D35" s="176">
        <v>1.2</v>
      </c>
      <c r="E35" s="176">
        <v>0</v>
      </c>
      <c r="F35" s="176">
        <v>0.4</v>
      </c>
      <c r="G35" s="176">
        <v>0</v>
      </c>
      <c r="H35" s="176">
        <v>0.3</v>
      </c>
    </row>
    <row r="36" spans="2:8" s="175" customFormat="1" ht="20.100000000000001" customHeight="1">
      <c r="B36" s="278" t="s">
        <v>455</v>
      </c>
      <c r="C36" s="277" t="s">
        <v>479</v>
      </c>
      <c r="D36" s="176">
        <v>274.2</v>
      </c>
      <c r="E36" s="176">
        <v>5</v>
      </c>
      <c r="F36" s="176">
        <v>7.4</v>
      </c>
      <c r="G36" s="176">
        <v>4.8</v>
      </c>
      <c r="H36" s="176">
        <v>0.1</v>
      </c>
    </row>
    <row r="37" spans="2:8" s="175" customFormat="1" ht="20.100000000000001" customHeight="1">
      <c r="B37" s="277" t="s">
        <v>84</v>
      </c>
      <c r="C37" s="277" t="s">
        <v>467</v>
      </c>
      <c r="D37" s="176">
        <v>257.2</v>
      </c>
      <c r="E37" s="176">
        <v>22.8</v>
      </c>
      <c r="F37" s="176">
        <v>62.4</v>
      </c>
      <c r="G37" s="176">
        <v>13</v>
      </c>
      <c r="H37" s="176">
        <v>273</v>
      </c>
    </row>
    <row r="38" spans="2:8" s="175" customFormat="1" ht="20.100000000000001" customHeight="1">
      <c r="B38" s="277" t="s">
        <v>480</v>
      </c>
      <c r="C38" s="277" t="s">
        <v>467</v>
      </c>
      <c r="D38" s="176">
        <v>84.7</v>
      </c>
      <c r="E38" s="176">
        <v>0.1</v>
      </c>
      <c r="F38" s="176">
        <v>9.1999999999999993</v>
      </c>
      <c r="G38" s="177" t="s">
        <v>38</v>
      </c>
      <c r="H38" s="176">
        <v>16.600000000000001</v>
      </c>
    </row>
    <row r="39" spans="2:8" s="175" customFormat="1" ht="20.100000000000001" customHeight="1">
      <c r="B39" s="277" t="s">
        <v>120</v>
      </c>
      <c r="C39" s="277" t="s">
        <v>467</v>
      </c>
      <c r="D39" s="176">
        <v>8.5</v>
      </c>
      <c r="E39" s="176">
        <v>0</v>
      </c>
      <c r="F39" s="177" t="s">
        <v>38</v>
      </c>
      <c r="G39" s="176">
        <v>1.8</v>
      </c>
      <c r="H39" s="176">
        <v>4.0999999999999996</v>
      </c>
    </row>
    <row r="40" spans="2:8" s="175" customFormat="1" ht="20.100000000000001" customHeight="1">
      <c r="B40" s="279" t="s">
        <v>481</v>
      </c>
      <c r="C40" s="279" t="s">
        <v>467</v>
      </c>
      <c r="D40" s="176">
        <v>828.7</v>
      </c>
      <c r="E40" s="176">
        <v>260.7</v>
      </c>
      <c r="F40" s="176">
        <v>250.8</v>
      </c>
      <c r="G40" s="176">
        <v>27.3</v>
      </c>
      <c r="H40" s="176">
        <v>1081.5</v>
      </c>
    </row>
    <row r="42" spans="2:8">
      <c r="B42" s="178" t="s">
        <v>629</v>
      </c>
      <c r="C42" s="178"/>
    </row>
    <row r="43" spans="2:8">
      <c r="C43" s="139" t="s">
        <v>445</v>
      </c>
      <c r="D43" s="139" t="s">
        <v>446</v>
      </c>
    </row>
    <row r="44" spans="2:8">
      <c r="B44" s="166" t="s">
        <v>444</v>
      </c>
      <c r="C44" s="167">
        <f>SUM('2019 KESIS Energy Balance'!Z62:AE62)</f>
        <v>3.2590000000000003</v>
      </c>
      <c r="D44" s="168">
        <f>C44/SUM($C$44:$C$46)</f>
        <v>0.1176789196215787</v>
      </c>
    </row>
    <row r="45" spans="2:8">
      <c r="B45" s="166" t="s">
        <v>422</v>
      </c>
      <c r="C45" s="167">
        <f>SUM('2019 KESIS Energy Balance'!AF62:AH62)</f>
        <v>12.266999999999999</v>
      </c>
      <c r="D45" s="168">
        <f>C45/SUM($C$44:$C$46)</f>
        <v>0.44294793095977469</v>
      </c>
    </row>
    <row r="46" spans="2:8">
      <c r="B46" s="166" t="s">
        <v>423</v>
      </c>
      <c r="C46" s="167">
        <f>SUM('2019 KESIS Energy Balance'!W62:Y62)</f>
        <v>12.167999999999999</v>
      </c>
      <c r="D46" s="168">
        <f>C46/SUM($C$44:$C$46)</f>
        <v>0.43937314941864664</v>
      </c>
    </row>
    <row r="48" spans="2:8">
      <c r="B48" s="178" t="s">
        <v>1160</v>
      </c>
      <c r="C48" s="178"/>
    </row>
    <row r="49" spans="2:4">
      <c r="C49" s="139" t="s">
        <v>445</v>
      </c>
      <c r="D49" s="139" t="s">
        <v>446</v>
      </c>
    </row>
    <row r="50" spans="2:4">
      <c r="B50" s="166" t="s">
        <v>444</v>
      </c>
      <c r="C50" s="167">
        <f>SUM('2022 Energy Balance'!Z62:AE62)</f>
        <v>3.1829999999999998</v>
      </c>
      <c r="D50" s="168">
        <f>C50/SUM($C$44:$C$46)</f>
        <v>0.11493464288293492</v>
      </c>
    </row>
    <row r="51" spans="2:4">
      <c r="B51" s="166" t="s">
        <v>422</v>
      </c>
      <c r="C51" s="167">
        <f>SUM('2022 Energy Balance'!AF62:AH62)</f>
        <v>23.244</v>
      </c>
      <c r="D51" s="168">
        <f>C51/SUM($C$44:$C$46)</f>
        <v>0.83931537517151733</v>
      </c>
    </row>
    <row r="52" spans="2:4">
      <c r="B52" s="166" t="s">
        <v>423</v>
      </c>
      <c r="C52" s="167">
        <f>SUM('2022 Energy Balance'!W62:Y62)</f>
        <v>17.863</v>
      </c>
      <c r="D52" s="168">
        <f>C52/SUM($C$44:$C$46)</f>
        <v>0.64501336029464862</v>
      </c>
    </row>
    <row r="53" spans="2:4" ht="16.5">
      <c r="B53" s="139" t="s">
        <v>1162</v>
      </c>
    </row>
  </sheetData>
  <mergeCells count="3">
    <mergeCell ref="B15:B16"/>
    <mergeCell ref="C15:C16"/>
    <mergeCell ref="D15:H15"/>
  </mergeCells>
  <phoneticPr fontId="37"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F03C9-809F-4A3B-A260-8000A6E54F0D}">
  <dimension ref="B2:N57"/>
  <sheetViews>
    <sheetView workbookViewId="0">
      <selection activeCell="C60" sqref="C60"/>
    </sheetView>
  </sheetViews>
  <sheetFormatPr defaultColWidth="8.625" defaultRowHeight="15"/>
  <cols>
    <col min="1" max="1" width="2.875" style="139" customWidth="1"/>
    <col min="2" max="2" width="24.625" style="139" customWidth="1"/>
    <col min="3" max="4" width="30.375" style="139" customWidth="1"/>
    <col min="5" max="14" width="14.375" style="139" customWidth="1"/>
    <col min="15" max="16384" width="8.625" style="139"/>
  </cols>
  <sheetData>
    <row r="2" spans="2:14">
      <c r="B2" s="269" t="s">
        <v>628</v>
      </c>
    </row>
    <row r="4" spans="2:14">
      <c r="B4" s="178" t="s">
        <v>630</v>
      </c>
    </row>
    <row r="5" spans="2:14" s="283" customFormat="1" ht="30">
      <c r="B5" s="280"/>
      <c r="C5" s="280" t="s">
        <v>645</v>
      </c>
      <c r="D5" s="280" t="s">
        <v>634</v>
      </c>
      <c r="E5" s="280" t="s">
        <v>415</v>
      </c>
      <c r="F5" s="331" t="s">
        <v>416</v>
      </c>
      <c r="G5" s="331" t="s">
        <v>417</v>
      </c>
      <c r="H5" s="331" t="s">
        <v>418</v>
      </c>
      <c r="I5" s="331" t="s">
        <v>419</v>
      </c>
      <c r="J5" s="331" t="s">
        <v>420</v>
      </c>
      <c r="K5" s="331" t="s">
        <v>421</v>
      </c>
      <c r="L5" s="331" t="s">
        <v>422</v>
      </c>
      <c r="M5" s="331" t="s">
        <v>423</v>
      </c>
      <c r="N5" s="331" t="s">
        <v>424</v>
      </c>
    </row>
    <row r="6" spans="2:14" s="283" customFormat="1" ht="30">
      <c r="B6" s="280" t="s">
        <v>2</v>
      </c>
      <c r="C6" s="285" t="str">
        <f>VLOOKUP($B6,About!$B$50:$E$74,3,0)</f>
        <v>EndUse&gt;Industry&gt;agriculture and fishery</v>
      </c>
      <c r="D6" s="332">
        <f>VLOOKUP($B6,About!$B$50:$E$74,4,0)</f>
        <v>0</v>
      </c>
      <c r="E6" s="286">
        <f>SUM('2019 KESIS Energy Balance'!BH51,'2019 KESIS Energy Balance'!BH52)/SUM('2019 KESIS Energy Balance'!BH51:BH53,'2019 KESIS Energy Balance'!BH55:BH58,'2019 KESIS Energy Balance'!BH60,'2019 KESIS Energy Balance'!BH65:BH66)</f>
        <v>0.24518732467066875</v>
      </c>
      <c r="F6" s="286">
        <f>SUM('2019 KESIS Energy Balance'!D51:P51)/SUM('2019 KESIS Energy Balance'!D51:P53,'2019 KESIS Energy Balance'!D55:P58,'2019 KESIS Energy Balance'!D60:P60,'2019 KESIS Energy Balance'!D65:P66)</f>
        <v>1.1245283295027787E-2</v>
      </c>
      <c r="G6" s="287">
        <f>SUM('2019 KESIS Energy Balance'!Q51:R51)/SUM('2019 KESIS Energy Balance'!Q51:R53,'2019 KESIS Energy Balance'!Q55:R58,'2019 KESIS Energy Balance'!Q60:R60,'2019 KESIS Energy Balance'!Q65:R66)</f>
        <v>1.7271178993865361E-5</v>
      </c>
      <c r="H6" s="286">
        <f>SUM('2019 KESIS Energy Balance'!AP51:AX52)/SUM('2019 KESIS Energy Balance'!AP51:AX53,'2019 KESIS Energy Balance'!AP55:AX58,'2019 KESIS Energy Balance'!AP60:AX60,'2019 KESIS Energy Balance'!AP65:AX66)</f>
        <v>6.4885741127741509E-2</v>
      </c>
      <c r="I6" s="286">
        <f>SUM('2019 KESIS Energy Balance'!Z51:AE52)/SUM('2019 KESIS Energy Balance'!Z51:AE53,'2019 KESIS Energy Balance'!Z55:AE58,'2019 KESIS Energy Balance'!Z60:AE60,'2019 KESIS Energy Balance'!Z65:AE66)</f>
        <v>0.52772283732120484</v>
      </c>
      <c r="J6" s="287">
        <f>'2019 KESIS Energy Balance'!BI51/SUM('2019 KESIS Energy Balance'!BI51:BI53,'2019 KESIS Energy Balance'!BI55:BI58,'2019 KESIS Energy Balance'!BI60,'2019 KESIS Energy Balance'!BI65:BI66)</f>
        <v>0</v>
      </c>
      <c r="K6" s="280" t="s">
        <v>432</v>
      </c>
      <c r="L6" s="286">
        <f>SUM('2019 KESIS Energy Balance'!AF51:AH52)/SUM('2019 KESIS Energy Balance'!AF51:AH53,'2019 KESIS Energy Balance'!AF55:AH58,'2019 KESIS Energy Balance'!AF60:AH60,'2019 KESIS Energy Balance'!AF65:AH66)</f>
        <v>7.2250152556777844E-2</v>
      </c>
      <c r="M6" s="286">
        <f>SUM('2019 KESIS Energy Balance'!W51:Y52)/SUM('2019 KESIS Energy Balance'!W51:Y53,'2019 KESIS Energy Balance'!W55:Y58,'2019 KESIS Energy Balance'!W60:Y60,'2019 KESIS Energy Balance'!W65:Y66)</f>
        <v>6.2617354256935759E-3</v>
      </c>
      <c r="N6" s="280" t="s">
        <v>432</v>
      </c>
    </row>
    <row r="7" spans="2:14" s="283" customFormat="1" ht="30">
      <c r="B7" s="280" t="s">
        <v>5</v>
      </c>
      <c r="C7" s="285" t="str">
        <f>VLOOKUP($B7,About!$B$50:$E$74,3,0)</f>
        <v>EndUse&gt;Industry&gt;mining(exc. Coal mining)</v>
      </c>
      <c r="D7" s="332">
        <f>VLOOKUP($B7,About!$B$50:$E$74,4,0)</f>
        <v>0</v>
      </c>
      <c r="E7" s="286">
        <f>'2019 KESIS Energy Balance'!BH53/SUM('2019 KESIS Energy Balance'!BH51:BH53,'2019 KESIS Energy Balance'!BH55:BH58,'2019 KESIS Energy Balance'!BH60,'2019 KESIS Energy Balance'!BH65:BH66)</f>
        <v>2.1147186600081816E-2</v>
      </c>
      <c r="F7" s="333">
        <f>SUM('2019 KESIS Energy Balance'!D53:P53)/SUM('2019 KESIS Energy Balance'!D51:P53,'2019 KESIS Energy Balance'!D55:P58,'2019 KESIS Energy Balance'!D60:P60,'2019 KESIS Energy Balance'!D65:P66)</f>
        <v>0</v>
      </c>
      <c r="G7" s="334">
        <f>SUM('2019 KESIS Energy Balance'!Q53:R53)/SUM('2019 KESIS Energy Balance'!Q51:R53,'2019 KESIS Energy Balance'!Q55:R58,'2019 KESIS Energy Balance'!Q60:R60,'2019 KESIS Energy Balance'!Q65:R66)</f>
        <v>0</v>
      </c>
      <c r="H7" s="286">
        <f>SUM('2019 KESIS Energy Balance'!AP53:AX53)/SUM('2019 KESIS Energy Balance'!AP51:AX53,'2019 KESIS Energy Balance'!AP55:AX58,'2019 KESIS Energy Balance'!AP60:AX60,'2019 KESIS Energy Balance'!AP65:AX66)</f>
        <v>2.8951339071810415E-5</v>
      </c>
      <c r="I7" s="286">
        <f>SUM('2019 KESIS Energy Balance'!Z53:AE53)/SUM('2019 KESIS Energy Balance'!Z51:AE53,'2019 KESIS Energy Balance'!Z55:AE58,'2019 KESIS Energy Balance'!Z60:AE60,'2019 KESIS Energy Balance'!Z65:AE66)</f>
        <v>1.3689642221595119E-2</v>
      </c>
      <c r="J7" s="287">
        <f>'2019 KESIS Energy Balance'!BI53/SUM('2019 KESIS Energy Balance'!BI51:BI53,'2019 KESIS Energy Balance'!BI55:BI58,'2019 KESIS Energy Balance'!BI60,'2019 KESIS Energy Balance'!BI65:BI66)</f>
        <v>0</v>
      </c>
      <c r="K7" s="280" t="s">
        <v>431</v>
      </c>
      <c r="L7" s="286">
        <f>SUM('2019 KESIS Energy Balance'!AF53:AH53)/SUM('2019 KESIS Energy Balance'!AF51:AH53,'2019 KESIS Energy Balance'!AF55:AH58,'2019 KESIS Energy Balance'!AF60:AH60,'2019 KESIS Energy Balance'!AF65:AH66)</f>
        <v>9.4778778845214309E-3</v>
      </c>
      <c r="M7" s="286">
        <f>SUM('2019 KESIS Energy Balance'!W53:Z53)/SUM('2019 KESIS Energy Balance'!W51:Y53,'2019 KESIS Energy Balance'!W55:Y58,'2019 KESIS Energy Balance'!W60:Y60,'2019 KESIS Energy Balance'!W65:Y66)</f>
        <v>2.3007295411968053E-3</v>
      </c>
      <c r="N7" s="280" t="s">
        <v>431</v>
      </c>
    </row>
    <row r="8" spans="2:14" s="283" customFormat="1" ht="30">
      <c r="B8" s="280" t="s">
        <v>6</v>
      </c>
      <c r="C8" s="285" t="str">
        <f>VLOOKUP($B8,About!$B$50:$E$74,3,0)</f>
        <v>EndUse&gt;Industry&gt;food and tobacco</v>
      </c>
      <c r="D8" s="332">
        <f>VLOOKUP($B8,About!$B$50:$E$74,4,0)</f>
        <v>0</v>
      </c>
      <c r="E8" s="286">
        <f>'2019 KESIS Energy Balance'!BH55/SUM('2019 KESIS Energy Balance'!BH51:BH53,'2019 KESIS Energy Balance'!BH55:BH58,'2019 KESIS Energy Balance'!BH60,'2019 KESIS Energy Balance'!BH65:BH66)</f>
        <v>0.19424912379612064</v>
      </c>
      <c r="F8" s="333">
        <f>SUM('2019 KESIS Energy Balance'!D55:P55)/SUM('2019 KESIS Energy Balance'!D51:P53,'2019 KESIS Energy Balance'!D55:P58,'2019 KESIS Energy Balance'!D60:P60,'2019 KESIS Energy Balance'!D65:P66)</f>
        <v>0</v>
      </c>
      <c r="G8" s="334">
        <f>SUM('2019 KESIS Energy Balance'!Q55:R55)/SUM('2019 KESIS Energy Balance'!Q51:R53,'2019 KESIS Energy Balance'!Q55:R58,'2019 KESIS Energy Balance'!Q60:R60,'2019 KESIS Energy Balance'!Q65:R66)</f>
        <v>0.34223936421841389</v>
      </c>
      <c r="H8" s="286">
        <f>SUM('2019 KESIS Energy Balance'!AP55:AX55)/SUM('2019 KESIS Energy Balance'!AP51:AX53,'2019 KESIS Energy Balance'!AP55:AX58,'2019 KESIS Energy Balance'!AP60:AX60,'2019 KESIS Energy Balance'!AP65:AX66)</f>
        <v>2.4516476448326923E-2</v>
      </c>
      <c r="I8" s="286">
        <f>SUM('2019 KESIS Energy Balance'!Z55:AE55)/SUM('2019 KESIS Energy Balance'!Z51:AE53,'2019 KESIS Energy Balance'!Z55:AE58,'2019 KESIS Energy Balance'!Z60:AE60,'2019 KESIS Energy Balance'!Z65:AE66)</f>
        <v>1.5778228870258485E-2</v>
      </c>
      <c r="J8" s="287">
        <f>'2019 KESIS Energy Balance'!BI55/SUM('2019 KESIS Energy Balance'!BI51:BI53,'2019 KESIS Energy Balance'!BI55:BI58,'2019 KESIS Energy Balance'!BI60,'2019 KESIS Energy Balance'!BI65:BI66)</f>
        <v>0.20561907933404644</v>
      </c>
      <c r="K8" s="280" t="s">
        <v>431</v>
      </c>
      <c r="L8" s="286">
        <f>SUM('2019 KESIS Energy Balance'!AF55:AH55)/SUM('2019 KESIS Energy Balance'!AF51:AH53,'2019 KESIS Energy Balance'!AF55:AH58,'2019 KESIS Energy Balance'!AF60:AH60,'2019 KESIS Energy Balance'!AF65:AH66)</f>
        <v>4.2177570558661996E-2</v>
      </c>
      <c r="M8" s="286">
        <f>SUM('2019 KESIS Energy Balance'!W55:Y55)/SUM('2019 KESIS Energy Balance'!W51:Y53,'2019 KESIS Energy Balance'!W55:Y58,'2019 KESIS Energy Balance'!W60:Y60,'2019 KESIS Energy Balance'!W65:Y66)</f>
        <v>2.605930532673769E-2</v>
      </c>
      <c r="N8" s="280" t="s">
        <v>431</v>
      </c>
    </row>
    <row r="9" spans="2:14" s="283" customFormat="1" ht="30">
      <c r="B9" s="280" t="s">
        <v>7</v>
      </c>
      <c r="C9" s="285" t="str">
        <f>VLOOKUP($B9,About!$B$50:$E$74,3,0)</f>
        <v>EndUse&gt;Industry&gt;fiber and leather</v>
      </c>
      <c r="D9" s="332">
        <f>VLOOKUP($B9,About!$B$50:$E$74,4,0)</f>
        <v>0</v>
      </c>
      <c r="E9" s="286">
        <f>'2019 KESIS Energy Balance'!BH56/SUM('2019 KESIS Energy Balance'!BH51:BH53,'2019 KESIS Energy Balance'!BH55:BH58,'2019 KESIS Energy Balance'!BH60,'2019 KESIS Energy Balance'!BH65:BH66)</f>
        <v>0.14636678331811279</v>
      </c>
      <c r="F9" s="333">
        <f>SUM('2019 KESIS Energy Balance'!D56:P56)/SUM('2019 KESIS Energy Balance'!D51:P53,'2019 KESIS Energy Balance'!D55:P58,'2019 KESIS Energy Balance'!D60:P60,'2019 KESIS Energy Balance'!D65:P66)</f>
        <v>9.4724608667475202E-2</v>
      </c>
      <c r="G9" s="334">
        <f>SUM('2019 KESIS Energy Balance'!Q56:R56)/SUM('2019 KESIS Energy Balance'!Q51:R53,'2019 KESIS Energy Balance'!Q55:R58,'2019 KESIS Energy Balance'!Q60:R60,'2019 KESIS Energy Balance'!Q65:R66)</f>
        <v>0.10993231804075747</v>
      </c>
      <c r="H9" s="286">
        <f>SUM('2019 KESIS Energy Balance'!AP56:AX56)/SUM('2019 KESIS Energy Balance'!AP51:AX53,'2019 KESIS Energy Balance'!AP55:AX58,'2019 KESIS Energy Balance'!AP60:AX60,'2019 KESIS Energy Balance'!AP65:AX66)</f>
        <v>5.290326440823704E-2</v>
      </c>
      <c r="I9" s="286">
        <f>SUM('2019 KESIS Energy Balance'!Z56:AE56)/SUM('2019 KESIS Energy Balance'!Z51:AE53,'2019 KESIS Energy Balance'!Z55:AE58,'2019 KESIS Energy Balance'!Z60:AE60,'2019 KESIS Energy Balance'!Z65:AE66)</f>
        <v>2.8583268912864821E-3</v>
      </c>
      <c r="J9" s="287">
        <f>'2019 KESIS Energy Balance'!BI56/SUM('2019 KESIS Energy Balance'!BI51:BI53,'2019 KESIS Energy Balance'!BI55:BI58,'2019 KESIS Energy Balance'!BI60,'2019 KESIS Energy Balance'!BI65:BI66)</f>
        <v>0.38832509510663149</v>
      </c>
      <c r="K9" s="280" t="s">
        <v>431</v>
      </c>
      <c r="L9" s="286">
        <f>SUM('2019 KESIS Energy Balance'!AF56:AH56)/SUM('2019 KESIS Energy Balance'!AF51:AH53,'2019 KESIS Energy Balance'!AF55:AH58,'2019 KESIS Energy Balance'!AF60:AH60,'2019 KESIS Energy Balance'!AF65:AH66)</f>
        <v>3.2802933514742234E-2</v>
      </c>
      <c r="M9" s="286">
        <f>SUM('2019 KESIS Energy Balance'!W56:Y56)/SUM('2019 KESIS Energy Balance'!W51:Y53,'2019 KESIS Energy Balance'!W55:Y58,'2019 KESIS Energy Balance'!W60:Y60,'2019 KESIS Energy Balance'!W65:Y66)</f>
        <v>4.1624129633694874E-3</v>
      </c>
      <c r="N9" s="280" t="s">
        <v>431</v>
      </c>
    </row>
    <row r="10" spans="2:14" s="283" customFormat="1" ht="30">
      <c r="B10" s="280" t="s">
        <v>8</v>
      </c>
      <c r="C10" s="285" t="str">
        <f>VLOOKUP($B10,About!$B$50:$E$74,3,0)</f>
        <v>EndUse&gt;Industry&gt;wood and wood products</v>
      </c>
      <c r="D10" s="332">
        <f>VLOOKUP($B10,About!$B$50:$E$74,4,0)</f>
        <v>0</v>
      </c>
      <c r="E10" s="286">
        <f>'2019 KESIS Energy Balance'!BH57/SUM('2019 KESIS Energy Balance'!BH51:BH53,'2019 KESIS Energy Balance'!BH55:BH58,'2019 KESIS Energy Balance'!BH60,'2019 KESIS Energy Balance'!BH65:BH66)</f>
        <v>2.4576544706291909E-2</v>
      </c>
      <c r="F10" s="335">
        <f>SUM('2019 KESIS Energy Balance'!D57:P57)/SUM('2019 KESIS Energy Balance'!D51:P53,'2019 KESIS Energy Balance'!D55:P58,'2019 KESIS Energy Balance'!D60:P60,'2019 KESIS Energy Balance'!D65:P66)</f>
        <v>0</v>
      </c>
      <c r="G10" s="334">
        <f>SUM('2019 KESIS Energy Balance'!Q57:R57)/SUM('2019 KESIS Energy Balance'!Q51:R53,'2019 KESIS Energy Balance'!Q55:R58,'2019 KESIS Energy Balance'!Q60:R60,'2019 KESIS Energy Balance'!Q65:R66)</f>
        <v>1.1373703239862556E-2</v>
      </c>
      <c r="H10" s="286">
        <f>SUM('2019 KESIS Energy Balance'!AP57:AX57)/SUM('2019 KESIS Energy Balance'!AP51:AX53,'2019 KESIS Energy Balance'!AP55:AX58,'2019 KESIS Energy Balance'!AP60:AX60,'2019 KESIS Energy Balance'!AP65:AX66)</f>
        <v>3.2626711566976753E-2</v>
      </c>
      <c r="I10" s="286">
        <f>SUM('2019 KESIS Energy Balance'!Z57:AE57)/SUM('2019 KESIS Energy Balance'!Z51:AE53,'2019 KESIS Energy Balance'!Z55:AE58,'2019 KESIS Energy Balance'!Z60:AE60,'2019 KESIS Energy Balance'!Z65:AE66)</f>
        <v>4.4746574490651351E-4</v>
      </c>
      <c r="J10" s="287">
        <f>'2019 KESIS Energy Balance'!BI57/SUM('2019 KESIS Energy Balance'!BI51:BI53,'2019 KESIS Energy Balance'!BI55:BI58,'2019 KESIS Energy Balance'!BI60,'2019 KESIS Energy Balance'!BI65:BI66)</f>
        <v>1.3415444488265709E-2</v>
      </c>
      <c r="K10" s="280" t="s">
        <v>431</v>
      </c>
      <c r="L10" s="286">
        <f>SUM('2019 KESIS Energy Balance'!AF57:AH57)/SUM('2019 KESIS Energy Balance'!AF51:AH53,'2019 KESIS Energy Balance'!AF55:AH58,'2019 KESIS Energy Balance'!AF60:AH60,'2019 KESIS Energy Balance'!AF65:AH66)</f>
        <v>2.3118573949017459E-3</v>
      </c>
      <c r="M10" s="286">
        <f>SUM('2019 KESIS Energy Balance'!W57:Y57)/SUM('2019 KESIS Energy Balance'!W51:Y53,'2019 KESIS Energy Balance'!W55:Y58,'2019 KESIS Energy Balance'!W60:Y60,'2019 KESIS Energy Balance'!W65:Y66)</f>
        <v>2.5682066671071333E-4</v>
      </c>
      <c r="N10" s="280" t="s">
        <v>431</v>
      </c>
    </row>
    <row r="11" spans="2:14" s="283" customFormat="1">
      <c r="B11" s="280" t="s">
        <v>9</v>
      </c>
      <c r="C11" s="285" t="str">
        <f>VLOOKUP($B11,About!$B$50:$E$74,3,0)</f>
        <v>EndUse&gt;Industry&gt;paper and printing</v>
      </c>
      <c r="D11" s="332">
        <f>VLOOKUP($B11,About!$B$50:$E$74,4,0)</f>
        <v>0</v>
      </c>
      <c r="E11" s="286">
        <f>'2019 KESIS Energy Balance'!BH58/SUM('2019 KESIS Energy Balance'!BH51:BH53,'2019 KESIS Energy Balance'!BH55:BH58,'2019 KESIS Energy Balance'!BH60,'2019 KESIS Energy Balance'!BH65:BH66)</f>
        <v>0.14030893713952816</v>
      </c>
      <c r="F11" s="333">
        <f>SUM('2019 KESIS Energy Balance'!D58:P58)/SUM('2019 KESIS Energy Balance'!D51:P53,'2019 KESIS Energy Balance'!D55:P58,'2019 KESIS Energy Balance'!D60:P60,'2019 KESIS Energy Balance'!D65:P66)</f>
        <v>0</v>
      </c>
      <c r="G11" s="334">
        <f>SUM('2019 KESIS Energy Balance'!Q58:R58)/SUM('2019 KESIS Energy Balance'!Q51:R53,'2019 KESIS Energy Balance'!Q55:R58,'2019 KESIS Energy Balance'!Q60:R60,'2019 KESIS Energy Balance'!Q65:R66)</f>
        <v>0.12327956941687025</v>
      </c>
      <c r="H11" s="286">
        <f>SUM('2019 KESIS Energy Balance'!AP58:AX58)/SUM('2019 KESIS Energy Balance'!AP51:AX53,'2019 KESIS Energy Balance'!AP55:AX58,'2019 KESIS Energy Balance'!AP60:AX60,'2019 KESIS Energy Balance'!AP65:AX66)</f>
        <v>0.28959638455677666</v>
      </c>
      <c r="I11" s="286">
        <f>SUM('2019 KESIS Energy Balance'!Z58:AE58)/SUM('2019 KESIS Energy Balance'!Z51:AE53,'2019 KESIS Energy Balance'!Z55:AE58,'2019 KESIS Energy Balance'!Z60:AE60,'2019 KESIS Energy Balance'!Z65:AE66)</f>
        <v>1.387846202346241E-3</v>
      </c>
      <c r="J11" s="287">
        <f>'2019 KESIS Energy Balance'!BI58/SUM('2019 KESIS Energy Balance'!BI51:BI53,'2019 KESIS Energy Balance'!BI55:BI58,'2019 KESIS Energy Balance'!BI60,'2019 KESIS Energy Balance'!BI65:BI66)</f>
        <v>0.39205263052896017</v>
      </c>
      <c r="K11" s="280" t="s">
        <v>431</v>
      </c>
      <c r="L11" s="286">
        <f>SUM('2019 KESIS Energy Balance'!AF58:AH58)/SUM('2019 KESIS Energy Balance'!AF51:AH53,'2019 KESIS Energy Balance'!AF55:AH58,'2019 KESIS Energy Balance'!AF60:AH60,'2019 KESIS Energy Balance'!AF65:AH66)</f>
        <v>3.3577239819254784E-2</v>
      </c>
      <c r="M11" s="286">
        <f>SUM('2019 KESIS Energy Balance'!W58:Y58)/SUM('2019 KESIS Energy Balance'!W51:Y53,'2019 KESIS Energy Balance'!W55:Y58,'2019 KESIS Energy Balance'!W60:Y60,'2019 KESIS Energy Balance'!W65:Y66)</f>
        <v>5.6692362941950002E-3</v>
      </c>
      <c r="N11" s="280" t="s">
        <v>431</v>
      </c>
    </row>
    <row r="12" spans="2:14" s="283" customFormat="1" ht="30">
      <c r="B12" s="339" t="s">
        <v>13</v>
      </c>
      <c r="C12" s="340" t="str">
        <f>VLOOKUP($B12,About!$B$50:$E$74,3,0)</f>
        <v>EndUse&gt;Industry&gt;non-metallic minerals</v>
      </c>
      <c r="D12" s="341" t="str">
        <f>VLOOKUP($B12,About!$B$50:$E$74,4,0)</f>
        <v>Glass and glassware manufacturing</v>
      </c>
      <c r="E12" s="342">
        <f>'2019 KESIS Energy Balance'!BH60/SUM('2019 KESIS Energy Balance'!BH51:BH53,'2019 KESIS Energy Balance'!BH55:BH58,'2019 KESIS Energy Balance'!BH60,'2019 KESIS Energy Balance'!BH65:BH66)*SUM(D42)/SUM(D42:H42)</f>
        <v>4.7190059339062639E-2</v>
      </c>
      <c r="F12" s="342">
        <f>SUM('2019 KESIS Energy Balance'!D60:P60)/SUM('2019 KESIS Energy Balance'!D51:P53,'2019 KESIS Energy Balance'!D55:P58,'2019 KESIS Energy Balance'!D60:P60,'2019 KESIS Energy Balance'!D65:P66)*SUM(D27)/SUM(D27:H27)</f>
        <v>0</v>
      </c>
      <c r="G12" s="343">
        <f>SUM('2019 KESIS Energy Balance'!Q60:R60)/SUM('2019 KESIS Energy Balance'!Q51:R53,'2019 KESIS Energy Balance'!Q55:R58,'2019 KESIS Energy Balance'!Q60:R60,'2019 KESIS Energy Balance'!Q65:R66)*SUM(D39)/SUM(D39:H39)</f>
        <v>9.8699459275715454E-2</v>
      </c>
      <c r="H12" s="342">
        <f>SUM('2019 KESIS Energy Balance'!AP60:AX60)/SUM('2019 KESIS Energy Balance'!AP51:AX53,'2019 KESIS Energy Balance'!AP55:AX58,'2019 KESIS Energy Balance'!AP60:AX60,'2019 KESIS Energy Balance'!AP65:AX66)*SUM(D40)/SUM(D40:H40)</f>
        <v>0</v>
      </c>
      <c r="I12" s="342">
        <f>SUM('2019 KESIS Energy Balance'!Z60:AE60)/SUM('2019 KESIS Energy Balance'!Z51:AE53,'2019 KESIS Energy Balance'!Z55:AE58,'2019 KESIS Energy Balance'!Z60:AE60,'2019 KESIS Energy Balance'!Z65:AE66)*SUM(D29:D31)/SUM(D29:H31)</f>
        <v>4.9108612939415528E-4</v>
      </c>
      <c r="J12" s="344">
        <f>'2019 KESIS Energy Balance'!BI60/SUM('2019 KESIS Energy Balance'!BI51:BI53,'2019 KESIS Energy Balance'!BI55:BI58,'2019 KESIS Energy Balance'!BI60,'2019 KESIS Energy Balance'!BI65:BI66)*SUM(D41)/SUM(D41:H41)</f>
        <v>2.3368782812878752E-5</v>
      </c>
      <c r="K12" s="342" t="s">
        <v>432</v>
      </c>
      <c r="L12" s="342">
        <f>SUM('2019 KESIS Energy Balance'!AF60:AH60)/SUM('2019 KESIS Energy Balance'!AF51:AH53,'2019 KESIS Energy Balance'!AF55:AH58,'2019 KESIS Energy Balance'!AF60:AH60,'2019 KESIS Energy Balance'!AF65:AH66)*SUM(D32:D34)/SUM(D32:H34)</f>
        <v>0.41954224422056896</v>
      </c>
      <c r="M12" s="342">
        <f>SUM('2019 KESIS Energy Balance'!W60:Y60)/SUM('2019 KESIS Energy Balance'!W51:Y53,'2019 KESIS Energy Balance'!W55:Y58,'2019 KESIS Energy Balance'!W60:Y60,'2019 KESIS Energy Balance'!W65:Y66)*SUM(D36:D37)/SUM(D36:H37)</f>
        <v>6.0299450468703298E-4</v>
      </c>
      <c r="N12" s="342" t="s">
        <v>432</v>
      </c>
    </row>
    <row r="13" spans="2:14" s="283" customFormat="1" ht="105">
      <c r="B13" s="345" t="s">
        <v>14</v>
      </c>
      <c r="C13" s="346" t="str">
        <f>VLOOKUP($B13,About!$B$50:$E$74,3,0)</f>
        <v>EndUse&gt;Industry&gt;non-metallic minerals</v>
      </c>
      <c r="D13" s="347" t="str">
        <f>VLOOKUP($B13,About!$B$50:$E$74,4,0)</f>
        <v>Refractory and non-refractory ceramic products manufacturing business, cement, lime, plaster and its products manufacturing business, cement manufacturing business, other non-metallic minerals product manufacturing business</v>
      </c>
      <c r="E13" s="348">
        <f>'2019 KESIS Energy Balance'!BH60/SUM('2019 KESIS Energy Balance'!BH51:BH53,'2019 KESIS Energy Balance'!BH55:BH58,'2019 KESIS Energy Balance'!BH60,'2019 KESIS Energy Balance'!BH65:BH66)*(1-SUM(D42)/SUM(D42:H42))</f>
        <v>0.11892728945655964</v>
      </c>
      <c r="F13" s="348">
        <f>SUM('2019 KESIS Energy Balance'!D60:P60)/SUM('2019 KESIS Energy Balance'!D51:P53,'2019 KESIS Energy Balance'!D55:P58,'2019 KESIS Energy Balance'!D60:P60,'2019 KESIS Energy Balance'!D65:P66)*(1-SUM(D27)/SUM(D27:H27))</f>
        <v>0.48002548372525877</v>
      </c>
      <c r="G13" s="349">
        <f>SUM('2019 KESIS Energy Balance'!Q60:R60)/SUM('2019 KESIS Energy Balance'!Q51:R53,'2019 KESIS Energy Balance'!Q55:R58,'2019 KESIS Energy Balance'!Q60:R60,'2019 KESIS Energy Balance'!Q65:R66)*(1-SUM(D39)/SUM(D39:H39))</f>
        <v>0.15332032085796346</v>
      </c>
      <c r="H13" s="348">
        <f>SUM('2019 KESIS Energy Balance'!AP60:AX60)/SUM('2019 KESIS Energy Balance'!AP51:AX53,'2019 KESIS Energy Balance'!AP55:AX58,'2019 KESIS Energy Balance'!AP60:AX60,'2019 KESIS Energy Balance'!AP65:AX66)*(1-SUM(D40)/SUM(D40:H40))</f>
        <v>0.33752436134552311</v>
      </c>
      <c r="I13" s="348">
        <f>SUM('2019 KESIS Energy Balance'!Z60:AE60)/SUM('2019 KESIS Energy Balance'!Z51:AE53,'2019 KESIS Energy Balance'!Z55:AE58,'2019 KESIS Energy Balance'!Z60:AE60,'2019 KESIS Energy Balance'!Z65:AE66)*(1-SUM(D29:D31)/SUM(D29:H31))</f>
        <v>5.680229563325729E-2</v>
      </c>
      <c r="J13" s="350">
        <f>'2019 KESIS Energy Balance'!BI60/SUM('2019 KESIS Energy Balance'!BI51:BI53,'2019 KESIS Energy Balance'!BI55:BI58,'2019 KESIS Energy Balance'!BI60,'2019 KESIS Energy Balance'!BI65:BI66)*(1-SUM(D41)/SUM(D41:H41))</f>
        <v>4.8918652021626174E-4</v>
      </c>
      <c r="K13" s="348" t="s">
        <v>432</v>
      </c>
      <c r="L13" s="348">
        <f>SUM('2019 KESIS Energy Balance'!AF60:AH60)/SUM('2019 KESIS Energy Balance'!AF51:AH53,'2019 KESIS Energy Balance'!AF55:AH58,'2019 KESIS Energy Balance'!AF60:AH60,'2019 KESIS Energy Balance'!AF65:AH66)*(1-SUM(D32:D34)/SUM(D32:H34))</f>
        <v>6.7098206646930614E-2</v>
      </c>
      <c r="M13" s="348">
        <f>SUM('2019 KESIS Energy Balance'!W60:Y60)/SUM('2019 KESIS Energy Balance'!W51:Y53,'2019 KESIS Energy Balance'!W55:Y58,'2019 KESIS Energy Balance'!W60:Y60,'2019 KESIS Energy Balance'!W65:Y66)*(1-SUM(D36:D37)/SUM(D36:H37))</f>
        <v>1.6682847963007914E-2</v>
      </c>
      <c r="N13" s="348" t="s">
        <v>432</v>
      </c>
    </row>
    <row r="14" spans="2:14" s="283" customFormat="1">
      <c r="B14" s="280" t="s">
        <v>23</v>
      </c>
      <c r="C14" s="285" t="str">
        <f>VLOOKUP($B14,About!$B$50:$E$74,3,0)</f>
        <v>EndUse&gt;Industry&gt;other manufacturing</v>
      </c>
      <c r="D14" s="332">
        <f>VLOOKUP($B14,About!$B$50:$E$74,4,0)</f>
        <v>0</v>
      </c>
      <c r="E14" s="333">
        <f>'2019 KESIS Energy Balance'!BH65/SUM('2019 KESIS Energy Balance'!BH51:BH53,'2019 KESIS Energy Balance'!BH55:BH58,'2019 KESIS Energy Balance'!BH60,'2019 KESIS Energy Balance'!BH65:BH66)</f>
        <v>6.1909016485137774E-2</v>
      </c>
      <c r="F14" s="333">
        <f>SUM('2019 KESIS Energy Balance'!D65:P65)/SUM('2019 KESIS Energy Balance'!D51:P53,'2019 KESIS Energy Balance'!D55:P58,'2019 KESIS Energy Balance'!D60:P60,'2019 KESIS Energy Balance'!D65:P66)</f>
        <v>0.41388732924623384</v>
      </c>
      <c r="G14" s="334">
        <f>SUM('2019 KESIS Energy Balance'!Q65:R65)/SUM('2019 KESIS Energy Balance'!Q51:R53,'2019 KESIS Energy Balance'!Q55:R58,'2019 KESIS Energy Balance'!Q60:R60,'2019 KESIS Energy Balance'!Q65:R66)</f>
        <v>0.16108323149656451</v>
      </c>
      <c r="H14" s="286">
        <f>SUM('2019 KESIS Energy Balance'!AP65:AX65)/SUM('2019 KESIS Energy Balance'!AP51:AX53,'2019 KESIS Energy Balance'!AP55:AX58,'2019 KESIS Energy Balance'!AP60:AX60,'2019 KESIS Energy Balance'!AP65:AX66)</f>
        <v>0.18176808722845453</v>
      </c>
      <c r="I14" s="286">
        <f>SUM('2019 KESIS Energy Balance'!Z65:AE65)/SUM('2019 KESIS Energy Balance'!Z51:AE53,'2019 KESIS Energy Balance'!Z55:AE58,'2019 KESIS Energy Balance'!Z60:AE60,'2019 KESIS Energy Balance'!Z65:AE66)</f>
        <v>8.3296802004051554E-2</v>
      </c>
      <c r="J14" s="287">
        <f>'2019 KESIS Energy Balance'!BI65/SUM('2019 KESIS Energy Balance'!BI51:BI53,'2019 KESIS Energy Balance'!BI55:BI58,'2019 KESIS Energy Balance'!BI60,'2019 KESIS Energy Balance'!BI65:BI66)</f>
        <v>7.5195239067149351E-5</v>
      </c>
      <c r="K14" s="280" t="s">
        <v>432</v>
      </c>
      <c r="L14" s="286">
        <f>SUM('2019 KESIS Energy Balance'!AF65:AH65)/SUM('2019 KESIS Energy Balance'!AF51:AH53,'2019 KESIS Energy Balance'!AF55:AH58,'2019 KESIS Energy Balance'!AF60:AH60,'2019 KESIS Energy Balance'!AF65:AH66)</f>
        <v>0.28629606892063542</v>
      </c>
      <c r="M14" s="286">
        <f>SUM('2019 KESIS Energy Balance'!W65:Y65)/SUM('2019 KESIS Energy Balance'!W51:Y53,'2019 KESIS Energy Balance'!W55:Y58,'2019 KESIS Energy Balance'!W60:Y60,'2019 KESIS Energy Balance'!W65:Y66)</f>
        <v>0.91695741039516276</v>
      </c>
      <c r="N14" s="280" t="s">
        <v>432</v>
      </c>
    </row>
    <row r="15" spans="2:14" s="283" customFormat="1">
      <c r="B15" s="280" t="s">
        <v>26</v>
      </c>
      <c r="C15" s="285" t="str">
        <f>VLOOKUP($B15,About!$B$50:$E$74,3,0)</f>
        <v>EndUse&gt;Industry&gt;construction</v>
      </c>
      <c r="D15" s="332">
        <f>VLOOKUP($B15,About!$B$50:$E$74,4,0)</f>
        <v>0</v>
      </c>
      <c r="E15" s="336">
        <f>SUM('2019 KESIS Energy Balance'!BH66)/SUM('2019 KESIS Energy Balance'!BH51:BH53,'2019 KESIS Energy Balance'!BH55:BH58,'2019 KESIS Energy Balance'!BH60,'2019 KESIS Energy Balance'!BH65:BH66)</f>
        <v>1.3773448843582223E-4</v>
      </c>
      <c r="F15" s="336">
        <f>SUM('2019 KESIS Energy Balance'!D66:P66)/SUM('2019 KESIS Energy Balance'!D51:P53,'2019 KESIS Energy Balance'!D55:P58,'2019 KESIS Energy Balance'!D60:P60,'2019 KESIS Energy Balance'!D65:P66)</f>
        <v>1.1729506600439339E-4</v>
      </c>
      <c r="G15" s="337">
        <f>SUM('2019 KESIS Energy Balance'!Q66:R66)/SUM('2019 KESIS Energy Balance'!Q51:R53,'2019 KESIS Energy Balance'!Q55:R58,'2019 KESIS Energy Balance'!Q60:R60,'2019 KESIS Energy Balance'!Q65:R66)</f>
        <v>5.4762274858597493E-5</v>
      </c>
      <c r="H15" s="335">
        <f>SUM('2019 KESIS Energy Balance'!AP66:AX66)/SUM('2019 KESIS Energy Balance'!AP51:AX53,'2019 KESIS Energy Balance'!AP55:AX58,'2019 KESIS Energy Balance'!AP60:AX60,'2019 KESIS Energy Balance'!AP65:AX66)</f>
        <v>1.6150021978891576E-2</v>
      </c>
      <c r="I15" s="335">
        <f>SUM('2019 KESIS Energy Balance'!Z66:AE66)/SUM('2019 KESIS Energy Balance'!Z51:AE53,'2019 KESIS Energy Balance'!Z55:AE58,'2019 KESIS Energy Balance'!Z60:AE60,'2019 KESIS Energy Balance'!Z65:AE66)</f>
        <v>0.29752546898169935</v>
      </c>
      <c r="J15" s="338">
        <f>SUM('2019 KESIS Energy Balance'!BI66)/SUM('2019 KESIS Energy Balance'!BI51:BI53,'2019 KESIS Energy Balance'!BI55:BI58,'2019 KESIS Energy Balance'!BI60,'2019 KESIS Energy Balance'!BI65:BI66)</f>
        <v>0</v>
      </c>
      <c r="K15" s="280" t="s">
        <v>432</v>
      </c>
      <c r="L15" s="335">
        <f>SUM('2019 KESIS Energy Balance'!AF66:AH66)/SUM('2019 KESIS Energy Balance'!AF51:AH53,'2019 KESIS Energy Balance'!AF55:AH58,'2019 KESIS Energy Balance'!AF60:AH60,'2019 KESIS Energy Balance'!AF65:AH66)</f>
        <v>3.4465848483004893E-2</v>
      </c>
      <c r="M15" s="335">
        <f>SUM('2019 KESIS Energy Balance'!W66:Y66)/SUM('2019 KESIS Energy Balance'!W51:Y53,'2019 KESIS Energy Balance'!W55:Y58,'2019 KESIS Energy Balance'!W60:Y60,'2019 KESIS Energy Balance'!W65:Y66)</f>
        <v>2.1470633995383622E-2</v>
      </c>
      <c r="N15" s="280" t="s">
        <v>432</v>
      </c>
    </row>
    <row r="16" spans="2:14" s="141" customFormat="1">
      <c r="B16" s="141" t="s">
        <v>428</v>
      </c>
      <c r="E16" s="284">
        <f>SUM(E6:E15)</f>
        <v>0.99999999999999989</v>
      </c>
      <c r="F16" s="284">
        <f t="shared" ref="F16:N16" si="0">SUM(F6:F15)</f>
        <v>1</v>
      </c>
      <c r="G16" s="284">
        <f t="shared" si="0"/>
        <v>1</v>
      </c>
      <c r="H16" s="284">
        <f t="shared" si="0"/>
        <v>0.99999999999999989</v>
      </c>
      <c r="I16" s="284">
        <f t="shared" si="0"/>
        <v>1</v>
      </c>
      <c r="J16" s="284">
        <f t="shared" si="0"/>
        <v>1</v>
      </c>
      <c r="K16" s="284">
        <f t="shared" si="0"/>
        <v>0</v>
      </c>
      <c r="L16" s="284">
        <f t="shared" si="0"/>
        <v>0.99999999999999989</v>
      </c>
      <c r="M16" s="284">
        <f t="shared" si="0"/>
        <v>1.0004241270761445</v>
      </c>
      <c r="N16" s="284">
        <f t="shared" si="0"/>
        <v>0</v>
      </c>
    </row>
    <row r="19" spans="2:9" ht="16.5">
      <c r="B19" s="178" t="s">
        <v>632</v>
      </c>
      <c r="C19" s="2" t="s">
        <v>448</v>
      </c>
    </row>
    <row r="20" spans="2:9" ht="16.5">
      <c r="B20" s="2" t="s">
        <v>449</v>
      </c>
      <c r="C20" s="2" t="s">
        <v>450</v>
      </c>
      <c r="I20"/>
    </row>
    <row r="21" spans="2:9" ht="16.5">
      <c r="B21" s="2" t="s">
        <v>451</v>
      </c>
      <c r="C21" s="2" t="s">
        <v>452</v>
      </c>
    </row>
    <row r="22" spans="2:9" ht="16.5">
      <c r="B22" s="2" t="s">
        <v>453</v>
      </c>
      <c r="C22" s="2" t="s">
        <v>454</v>
      </c>
    </row>
    <row r="23" spans="2:9" ht="16.5">
      <c r="B23" s="2" t="s">
        <v>456</v>
      </c>
      <c r="C23" s="2" t="s">
        <v>457</v>
      </c>
    </row>
    <row r="24" spans="2:9" s="175" customFormat="1" ht="20.100000000000001" customHeight="1">
      <c r="B24" s="517" t="s">
        <v>458</v>
      </c>
      <c r="C24" s="517" t="s">
        <v>459</v>
      </c>
      <c r="D24" s="514" t="s">
        <v>460</v>
      </c>
      <c r="E24" s="515"/>
      <c r="F24" s="515"/>
      <c r="G24" s="515"/>
      <c r="H24" s="516"/>
    </row>
    <row r="25" spans="2:9" s="175" customFormat="1" ht="20.100000000000001" customHeight="1">
      <c r="B25" s="518"/>
      <c r="C25" s="518"/>
      <c r="D25" s="276" t="s">
        <v>461</v>
      </c>
      <c r="E25" s="330" t="s">
        <v>462</v>
      </c>
      <c r="F25" s="330" t="s">
        <v>463</v>
      </c>
      <c r="G25" s="330" t="s">
        <v>464</v>
      </c>
      <c r="H25" s="330" t="s">
        <v>465</v>
      </c>
    </row>
    <row r="26" spans="2:9" s="175" customFormat="1" ht="20.100000000000001" customHeight="1">
      <c r="B26" s="277" t="s">
        <v>466</v>
      </c>
      <c r="C26" s="277" t="s">
        <v>467</v>
      </c>
      <c r="D26" s="176">
        <v>840.2</v>
      </c>
      <c r="E26" s="176">
        <v>241.3</v>
      </c>
      <c r="F26" s="176">
        <v>630.70000000000005</v>
      </c>
      <c r="G26" s="176">
        <v>4400.2</v>
      </c>
      <c r="H26" s="176">
        <v>265.39999999999998</v>
      </c>
    </row>
    <row r="27" spans="2:9" s="175" customFormat="1" ht="20.100000000000001" customHeight="1">
      <c r="B27" s="277" t="s">
        <v>468</v>
      </c>
      <c r="C27" s="277" t="s">
        <v>467</v>
      </c>
      <c r="D27" s="176">
        <v>0</v>
      </c>
      <c r="E27" s="176">
        <v>1.1000000000000001</v>
      </c>
      <c r="F27" s="176">
        <v>154.69999999999999</v>
      </c>
      <c r="G27" s="176">
        <v>2192</v>
      </c>
      <c r="H27" s="176">
        <v>2.6</v>
      </c>
    </row>
    <row r="28" spans="2:9" s="175" customFormat="1" ht="20.100000000000001" customHeight="1">
      <c r="B28" s="277" t="s">
        <v>474</v>
      </c>
      <c r="C28" s="277" t="s">
        <v>467</v>
      </c>
      <c r="D28" s="176">
        <v>251</v>
      </c>
      <c r="E28" s="176">
        <v>45</v>
      </c>
      <c r="F28" s="176">
        <v>101.9</v>
      </c>
      <c r="G28" s="176">
        <v>1070.7</v>
      </c>
      <c r="H28" s="176">
        <v>80</v>
      </c>
    </row>
    <row r="29" spans="2:9" s="175" customFormat="1" ht="20.100000000000001" customHeight="1">
      <c r="B29" s="278" t="s">
        <v>455</v>
      </c>
      <c r="C29" s="277" t="s">
        <v>57</v>
      </c>
      <c r="D29" s="176">
        <v>0</v>
      </c>
      <c r="E29" s="176">
        <v>0</v>
      </c>
      <c r="F29" s="176">
        <v>0</v>
      </c>
      <c r="G29" s="177" t="s">
        <v>38</v>
      </c>
      <c r="H29" s="176">
        <v>0</v>
      </c>
    </row>
    <row r="30" spans="2:9" s="175" customFormat="1" ht="20.100000000000001" customHeight="1">
      <c r="B30" s="278" t="s">
        <v>455</v>
      </c>
      <c r="C30" s="277" t="s">
        <v>475</v>
      </c>
      <c r="D30" s="176">
        <v>0.1</v>
      </c>
      <c r="E30" s="176">
        <v>0</v>
      </c>
      <c r="F30" s="176">
        <v>0.9</v>
      </c>
      <c r="G30" s="176">
        <v>0.2</v>
      </c>
      <c r="H30" s="176">
        <v>0.1</v>
      </c>
    </row>
    <row r="31" spans="2:9" s="175" customFormat="1" ht="20.100000000000001" customHeight="1">
      <c r="B31" s="278" t="s">
        <v>455</v>
      </c>
      <c r="C31" s="277" t="s">
        <v>58</v>
      </c>
      <c r="D31" s="176">
        <v>0.2</v>
      </c>
      <c r="E31" s="176">
        <v>0.3</v>
      </c>
      <c r="F31" s="176">
        <v>4.0999999999999996</v>
      </c>
      <c r="G31" s="176">
        <v>0.1</v>
      </c>
      <c r="H31" s="176">
        <v>29</v>
      </c>
    </row>
    <row r="32" spans="2:9" s="175" customFormat="1" ht="20.100000000000001" customHeight="1">
      <c r="B32" s="278" t="s">
        <v>455</v>
      </c>
      <c r="C32" s="277" t="s">
        <v>476</v>
      </c>
      <c r="D32" s="177" t="s">
        <v>38</v>
      </c>
      <c r="E32" s="177" t="s">
        <v>38</v>
      </c>
      <c r="F32" s="176">
        <v>0</v>
      </c>
      <c r="G32" s="176">
        <v>1.6</v>
      </c>
      <c r="H32" s="177" t="s">
        <v>38</v>
      </c>
    </row>
    <row r="33" spans="2:8" s="175" customFormat="1" ht="20.100000000000001" customHeight="1">
      <c r="B33" s="278" t="s">
        <v>455</v>
      </c>
      <c r="C33" s="277" t="s">
        <v>477</v>
      </c>
      <c r="D33" s="177" t="s">
        <v>38</v>
      </c>
      <c r="E33" s="177" t="s">
        <v>38</v>
      </c>
      <c r="F33" s="177" t="s">
        <v>38</v>
      </c>
      <c r="G33" s="177" t="s">
        <v>38</v>
      </c>
      <c r="H33" s="177" t="s">
        <v>38</v>
      </c>
    </row>
    <row r="34" spans="2:8" s="175" customFormat="1" ht="20.100000000000001" customHeight="1">
      <c r="B34" s="278" t="s">
        <v>455</v>
      </c>
      <c r="C34" s="277" t="s">
        <v>478</v>
      </c>
      <c r="D34" s="176">
        <v>235.1</v>
      </c>
      <c r="E34" s="176">
        <v>13.1</v>
      </c>
      <c r="F34" s="176">
        <v>11.2</v>
      </c>
      <c r="G34" s="176">
        <v>2.9</v>
      </c>
      <c r="H34" s="176">
        <v>8.8000000000000007</v>
      </c>
    </row>
    <row r="35" spans="2:8" s="175" customFormat="1" ht="20.100000000000001" customHeight="1">
      <c r="B35" s="278" t="s">
        <v>455</v>
      </c>
      <c r="C35" s="277" t="s">
        <v>162</v>
      </c>
      <c r="D35" s="177" t="s">
        <v>38</v>
      </c>
      <c r="E35" s="177" t="s">
        <v>38</v>
      </c>
      <c r="F35" s="177" t="s">
        <v>38</v>
      </c>
      <c r="G35" s="177" t="s">
        <v>38</v>
      </c>
      <c r="H35" s="177" t="s">
        <v>38</v>
      </c>
    </row>
    <row r="36" spans="2:8" s="175" customFormat="1" ht="20.100000000000001" customHeight="1">
      <c r="B36" s="278" t="s">
        <v>455</v>
      </c>
      <c r="C36" s="277" t="s">
        <v>153</v>
      </c>
      <c r="D36" s="176">
        <v>1.2</v>
      </c>
      <c r="E36" s="176">
        <v>14.4</v>
      </c>
      <c r="F36" s="176">
        <v>15.3</v>
      </c>
      <c r="G36" s="176">
        <v>2.2000000000000002</v>
      </c>
      <c r="H36" s="176">
        <v>0.5</v>
      </c>
    </row>
    <row r="37" spans="2:8" s="175" customFormat="1" ht="20.100000000000001" customHeight="1">
      <c r="B37" s="278" t="s">
        <v>455</v>
      </c>
      <c r="C37" s="277" t="s">
        <v>154</v>
      </c>
      <c r="D37" s="176">
        <v>0</v>
      </c>
      <c r="E37" s="176">
        <v>0</v>
      </c>
      <c r="F37" s="176">
        <v>0.8</v>
      </c>
      <c r="G37" s="177" t="s">
        <v>38</v>
      </c>
      <c r="H37" s="176">
        <v>0</v>
      </c>
    </row>
    <row r="38" spans="2:8" s="175" customFormat="1" ht="20.100000000000001" customHeight="1">
      <c r="B38" s="278" t="s">
        <v>455</v>
      </c>
      <c r="C38" s="277" t="s">
        <v>479</v>
      </c>
      <c r="D38" s="176">
        <v>14.5</v>
      </c>
      <c r="E38" s="176">
        <v>17.100000000000001</v>
      </c>
      <c r="F38" s="176">
        <v>69.599999999999994</v>
      </c>
      <c r="G38" s="176">
        <v>1063.7</v>
      </c>
      <c r="H38" s="176">
        <v>41.5</v>
      </c>
    </row>
    <row r="39" spans="2:8" s="175" customFormat="1" ht="20.100000000000001" customHeight="1">
      <c r="B39" s="277" t="s">
        <v>84</v>
      </c>
      <c r="C39" s="277" t="s">
        <v>467</v>
      </c>
      <c r="D39" s="176">
        <v>248.1</v>
      </c>
      <c r="E39" s="176">
        <v>129.69999999999999</v>
      </c>
      <c r="F39" s="176">
        <v>162.5</v>
      </c>
      <c r="G39" s="176">
        <v>24.6</v>
      </c>
      <c r="H39" s="176">
        <v>68.599999999999994</v>
      </c>
    </row>
    <row r="40" spans="2:8" s="175" customFormat="1" ht="20.100000000000001" customHeight="1">
      <c r="B40" s="277" t="s">
        <v>480</v>
      </c>
      <c r="C40" s="277" t="s">
        <v>467</v>
      </c>
      <c r="D40" s="177" t="s">
        <v>38</v>
      </c>
      <c r="E40" s="176">
        <v>0.1</v>
      </c>
      <c r="F40" s="176">
        <v>4.5</v>
      </c>
      <c r="G40" s="176">
        <v>612.6</v>
      </c>
      <c r="H40" s="176">
        <v>0.1</v>
      </c>
    </row>
    <row r="41" spans="2:8" s="175" customFormat="1" ht="20.100000000000001" customHeight="1">
      <c r="B41" s="277" t="s">
        <v>120</v>
      </c>
      <c r="C41" s="277" t="s">
        <v>467</v>
      </c>
      <c r="D41" s="176">
        <v>1.5</v>
      </c>
      <c r="E41" s="176">
        <v>2</v>
      </c>
      <c r="F41" s="176">
        <v>3.1</v>
      </c>
      <c r="G41" s="176">
        <v>26.3</v>
      </c>
      <c r="H41" s="177" t="s">
        <v>38</v>
      </c>
    </row>
    <row r="42" spans="2:8" s="175" customFormat="1" ht="20.100000000000001" customHeight="1">
      <c r="B42" s="279" t="s">
        <v>481</v>
      </c>
      <c r="C42" s="279" t="s">
        <v>467</v>
      </c>
      <c r="D42" s="176">
        <v>339.5</v>
      </c>
      <c r="E42" s="176">
        <v>63.5</v>
      </c>
      <c r="F42" s="176">
        <v>203.9</v>
      </c>
      <c r="G42" s="176">
        <v>474</v>
      </c>
      <c r="H42" s="176">
        <v>114.2</v>
      </c>
    </row>
    <row r="44" spans="2:8">
      <c r="B44" s="178" t="s">
        <v>629</v>
      </c>
      <c r="C44" s="329"/>
      <c r="D44" s="270"/>
    </row>
    <row r="45" spans="2:8">
      <c r="C45" s="270" t="s">
        <v>445</v>
      </c>
      <c r="D45" s="270" t="s">
        <v>446</v>
      </c>
    </row>
    <row r="46" spans="2:8">
      <c r="B46" s="166" t="s">
        <v>444</v>
      </c>
      <c r="C46" s="167">
        <f>SUM('2019 KESIS Energy Balance'!Z51:AE53,'2019 KESIS Energy Balance'!Z55:AE58,'2019 KESIS Energy Balance'!Z60:AE60,'2019 KESIS Energy Balance'!Z65:AE66)</f>
        <v>2420.297</v>
      </c>
      <c r="D46" s="168">
        <f>C46/SUM($C$46:$C$48)</f>
        <v>0.62041144123886605</v>
      </c>
    </row>
    <row r="47" spans="2:8">
      <c r="B47" s="166" t="s">
        <v>422</v>
      </c>
      <c r="C47" s="167">
        <f>SUM('2019 KESIS Energy Balance'!AF51:AH53,'2019 KESIS Energy Balance'!AF55:AH58,'2019 KESIS Energy Balance'!AF60:AH60,'2019 KESIS Energy Balance'!AF65:AH66)</f>
        <v>542.42100000000005</v>
      </c>
      <c r="D47" s="168">
        <f>C47/SUM($C$46:$C$48)</f>
        <v>0.13904252014039062</v>
      </c>
    </row>
    <row r="48" spans="2:8">
      <c r="B48" s="166" t="s">
        <v>423</v>
      </c>
      <c r="C48" s="167">
        <f>SUM('2019 KESIS Energy Balance'!W51:Y53,'2019 KESIS Energy Balance'!W55:Y58,'2019 KESIS Energy Balance'!W60:Y60,'2019 KESIS Energy Balance'!W65:Y66)</f>
        <v>938.39800000000002</v>
      </c>
      <c r="D48" s="168">
        <f>C48/SUM($C$46:$C$48)</f>
        <v>0.24054603862074339</v>
      </c>
    </row>
    <row r="50" spans="2:4">
      <c r="B50" s="178" t="s">
        <v>1160</v>
      </c>
      <c r="C50" s="329"/>
      <c r="D50" s="270"/>
    </row>
    <row r="51" spans="2:4">
      <c r="C51" s="270" t="s">
        <v>445</v>
      </c>
      <c r="D51" s="270" t="s">
        <v>446</v>
      </c>
    </row>
    <row r="52" spans="2:4">
      <c r="B52" s="166" t="s">
        <v>444</v>
      </c>
      <c r="C52" s="167">
        <f>SUM('2022 Energy Balance'!Z51:AE53,'2022 Energy Balance'!Z55:AE58,'2022 Energy Balance'!Z60:AE60,'2022 Energy Balance'!Z65:AE66)</f>
        <v>2200.857</v>
      </c>
      <c r="D52" s="168">
        <f>C52/SUM($C$46:$C$48)</f>
        <v>0.56416087088925326</v>
      </c>
    </row>
    <row r="53" spans="2:4">
      <c r="B53" s="166" t="s">
        <v>422</v>
      </c>
      <c r="C53" s="167">
        <f>SUM('2022 Energy Balance'!AF51:AH53,'2022 Energy Balance'!AF55:AH58,'2022 Energy Balance'!AF60:AH60,'2022 Energy Balance'!AF65:AH66)</f>
        <v>352.24999999999994</v>
      </c>
      <c r="D53" s="168">
        <f>C53/SUM($C$46:$C$48)</f>
        <v>9.02946746520739E-2</v>
      </c>
    </row>
    <row r="54" spans="2:4">
      <c r="B54" s="166" t="s">
        <v>423</v>
      </c>
      <c r="C54" s="167">
        <f>SUM('2022 Energy Balance'!W51:Y53,'2022 Energy Balance'!W55:Y58,'2022 Energy Balance'!W60:Y60,'2022 Energy Balance'!W65:Y66)</f>
        <v>831.9860000000001</v>
      </c>
      <c r="D54" s="168">
        <f>C54/SUM($C$46:$C$48)</f>
        <v>0.21326871592641697</v>
      </c>
    </row>
    <row r="55" spans="2:4" ht="16.5">
      <c r="B55" s="139" t="s">
        <v>1162</v>
      </c>
    </row>
    <row r="57" spans="2:4" ht="16.5">
      <c r="B57" s="462" t="s">
        <v>1163</v>
      </c>
    </row>
  </sheetData>
  <mergeCells count="3">
    <mergeCell ref="D24:H24"/>
    <mergeCell ref="B24:B25"/>
    <mergeCell ref="C24:C25"/>
  </mergeCells>
  <phoneticPr fontId="37"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6B2D2-4857-4434-806E-7CACC20E80D3}">
  <dimension ref="B2:AC48"/>
  <sheetViews>
    <sheetView topLeftCell="A7" zoomScale="85" zoomScaleNormal="85" workbookViewId="0">
      <selection activeCell="C51" sqref="C51"/>
    </sheetView>
  </sheetViews>
  <sheetFormatPr defaultColWidth="8.625" defaultRowHeight="15"/>
  <cols>
    <col min="1" max="1" width="2.875" style="139" customWidth="1"/>
    <col min="2" max="2" width="24.625" style="139" customWidth="1"/>
    <col min="3" max="4" width="30.375" style="139" customWidth="1"/>
    <col min="5" max="14" width="14.375" style="139" customWidth="1"/>
    <col min="15" max="29" width="19.625" style="139" customWidth="1"/>
    <col min="30" max="16384" width="8.625" style="139"/>
  </cols>
  <sheetData>
    <row r="2" spans="2:14">
      <c r="B2" s="269" t="s">
        <v>627</v>
      </c>
    </row>
    <row r="4" spans="2:14">
      <c r="B4" s="178" t="s">
        <v>630</v>
      </c>
    </row>
    <row r="5" spans="2:14" s="283" customFormat="1" ht="30">
      <c r="B5" s="280"/>
      <c r="C5" s="280" t="s">
        <v>633</v>
      </c>
      <c r="D5" s="280" t="s">
        <v>634</v>
      </c>
      <c r="E5" s="281" t="s">
        <v>415</v>
      </c>
      <c r="F5" s="282" t="s">
        <v>416</v>
      </c>
      <c r="G5" s="282" t="s">
        <v>417</v>
      </c>
      <c r="H5" s="282" t="s">
        <v>418</v>
      </c>
      <c r="I5" s="282" t="s">
        <v>419</v>
      </c>
      <c r="J5" s="282" t="s">
        <v>420</v>
      </c>
      <c r="K5" s="282" t="s">
        <v>421</v>
      </c>
      <c r="L5" s="282" t="s">
        <v>422</v>
      </c>
      <c r="M5" s="282" t="s">
        <v>423</v>
      </c>
      <c r="N5" s="282" t="s">
        <v>424</v>
      </c>
    </row>
    <row r="6" spans="2:14" ht="135">
      <c r="B6" s="310" t="s">
        <v>18</v>
      </c>
      <c r="C6" s="311" t="str">
        <f>VLOOKUP($B6,About!$B$50:$E$74,3,0)</f>
        <v>EndUse&gt;Industry&gt;machinery</v>
      </c>
      <c r="D6" s="311" t="str">
        <f>VLOOKUP($B6,About!$B$50:$E$74,4,0)</f>
        <v>Semiconductor manufacturing business, electronic component manufacturing business, computer and peripheral device manufacturing business, communication and broadcasting equipment manufacturing business, video and audio equipment manufacturing business</v>
      </c>
      <c r="E6" s="312">
        <f>SUM(D36:H36)/SUM($D$36:$AC$36)</f>
        <v>0.55477986857442951</v>
      </c>
      <c r="F6" s="312">
        <f>SUM(D21:H21)/SUM($D$21:$AC$21)</f>
        <v>0</v>
      </c>
      <c r="G6" s="312">
        <f>SUM(D33:H33)/SUM($D$33:$AC$33)</f>
        <v>0.5136790714812085</v>
      </c>
      <c r="H6" s="312">
        <f>SUM(D34:H34)/SUM($D$34:$AC$34)</f>
        <v>0.9375</v>
      </c>
      <c r="I6" s="312">
        <f>SUM(D23:H25)/SUM($D$23:$AC$25)</f>
        <v>1.0554089709762534E-2</v>
      </c>
      <c r="J6" s="312">
        <f>SUM(D35:H35)/SUM($D$35:$AC$35)</f>
        <v>0.80044101433296577</v>
      </c>
      <c r="K6" s="184" t="s">
        <v>432</v>
      </c>
      <c r="L6" s="312">
        <f>SUM(D26:H28)/SUM($D$26:$AC$28)</f>
        <v>0</v>
      </c>
      <c r="M6" s="312">
        <f>SUM(D30:H31)/SUM($D$30:$AC$31)</f>
        <v>4.0089086859688192E-2</v>
      </c>
      <c r="N6" s="184" t="s">
        <v>432</v>
      </c>
    </row>
    <row r="7" spans="2:14" ht="135">
      <c r="B7" s="313" t="s">
        <v>19</v>
      </c>
      <c r="C7" s="314" t="str">
        <f>VLOOKUP($B7,About!$B$50:$E$74,3,0)</f>
        <v>EndUse&gt;Industry&gt;machinery</v>
      </c>
      <c r="D7" s="314" t="str">
        <f>VLOOKUP($B7,About!$B$50:$E$74,4,0)</f>
        <v>Motor, generator and electric conversion supply control device manufacturing, primary battery and storage battery manufacturing, insulated wire and cable manufacturing, light bulb and lighting device manufacturing, household appliance manufacturing, other electrical equipment manufacturing</v>
      </c>
      <c r="E7" s="315">
        <f>SUM(N36:S36)/SUM($D$36:$AC$36)</f>
        <v>9.660932276121792E-2</v>
      </c>
      <c r="F7" s="315">
        <f>SUM(N21:S21)/SUM($D$21:$AC$21)</f>
        <v>0</v>
      </c>
      <c r="G7" s="315">
        <f>SUM(N33:S33)/SUM($D$33:$AC$33)</f>
        <v>7.5580324244657326E-2</v>
      </c>
      <c r="H7" s="315">
        <f>SUM(N34:S34)/SUM($D$34:$AC$34)</f>
        <v>0</v>
      </c>
      <c r="I7" s="315">
        <f>SUM(N23:S25)/SUM($D$23:$AC$25)</f>
        <v>1.3192612137203167E-2</v>
      </c>
      <c r="J7" s="315">
        <f>SUM(N35:S35)/SUM($D$35:$AC$35)</f>
        <v>0.16317530319735396</v>
      </c>
      <c r="K7" s="316" t="s">
        <v>431</v>
      </c>
      <c r="L7" s="315">
        <f>SUM(N26:S28)/SUM($D$26:$AC$28)</f>
        <v>1.515151515151515E-2</v>
      </c>
      <c r="M7" s="315">
        <f>SUM(N30:S31)/SUM($D$30:$AC$31)</f>
        <v>5.1224944320712694E-2</v>
      </c>
      <c r="N7" s="316" t="s">
        <v>431</v>
      </c>
    </row>
    <row r="8" spans="2:14" ht="180">
      <c r="B8" s="317" t="s">
        <v>20</v>
      </c>
      <c r="C8" s="318" t="str">
        <f>VLOOKUP($B8,About!$B$50:$E$74,3,0)</f>
        <v>EndUse&gt;Industry&gt;machinery</v>
      </c>
      <c r="D8" s="318" t="str">
        <f>VLOOKUP($B8,About!$B$50:$E$74,4,0)</f>
        <v>Magnetic and optical media manufacturing, medical equipment manufacturing, measurement, testing, navigation, control and other precision equipment manufacturing; excluding optical instruments, photographic equipment and optical equipment manufacturing, watches and watch parts manufacturing, general purpose machinery manufacturing, special purpose machinery manufacturing</v>
      </c>
      <c r="E8" s="319">
        <f>SUM(I36:M36,T36:U36)/SUM($D$36:$AC$36)</f>
        <v>0.15081916815043489</v>
      </c>
      <c r="F8" s="319">
        <f>SUM(I21:M21,T21:U21)/SUM($D$21:$AC$21)</f>
        <v>1</v>
      </c>
      <c r="G8" s="319">
        <f>SUM(I33:M33,T33:U33)/SUM($D$33:$AC$33)</f>
        <v>6.0058953574060409E-2</v>
      </c>
      <c r="H8" s="319">
        <f>SUM(I34:M34,T34:U34)/SUM($D$34:$AC$34)</f>
        <v>6.25E-2</v>
      </c>
      <c r="I8" s="319">
        <f>SUM(I23:M25,T23:U25)/SUM($D$23:$AC$25)</f>
        <v>5.4089709762532981E-2</v>
      </c>
      <c r="J8" s="319">
        <f>SUM(I35:M35,T35:U35)/SUM($D$35:$AC$35)</f>
        <v>7.1664829106945997E-3</v>
      </c>
      <c r="K8" s="320" t="s">
        <v>431</v>
      </c>
      <c r="L8" s="319">
        <f>SUM(I26:M28,,T26:U28)/SUM($D$26:$AC$28)</f>
        <v>0.33333333333333337</v>
      </c>
      <c r="M8" s="319">
        <f>SUM(I30:M31,T30:U31)/SUM($D$30:$AC$31)</f>
        <v>0.19376391982182625</v>
      </c>
      <c r="N8" s="320" t="s">
        <v>431</v>
      </c>
    </row>
    <row r="9" spans="2:14" ht="105">
      <c r="B9" s="321" t="s">
        <v>21</v>
      </c>
      <c r="C9" s="322" t="str">
        <f>VLOOKUP($B9,About!$B$50:$E$74,3,0)</f>
        <v>EndUse&gt;Industry&gt;transportation equiment</v>
      </c>
      <c r="D9" s="322" t="str">
        <f>VLOOKUP($B9,About!$B$50:$E$74,4,0)</f>
        <v>Automobile engine and automobile manufacturing business, automobile body and trailer manufacturing business, new automobile parts manufacturing business, automobile remanufactured parts manufacturing business</v>
      </c>
      <c r="E9" s="323">
        <f>SUM(I37:M37,V36:Y36)/SUM($D$36:$AC$36)</f>
        <v>0.15746730372628637</v>
      </c>
      <c r="F9" s="323">
        <f>SUM(V21:Y21)/SUM($D$21:$AC$21)</f>
        <v>0</v>
      </c>
      <c r="G9" s="323">
        <f>SUM(V33:Y33)/SUM($D$33:$AC$33)</f>
        <v>0.31553979366249074</v>
      </c>
      <c r="H9" s="323">
        <f>SUM(V34:Y34)/SUM($D$34:$AC$34)</f>
        <v>0</v>
      </c>
      <c r="I9" s="323">
        <f>SUM(V23:Y25)/SUM($D$23:$AC$25)</f>
        <v>0.46569920844327173</v>
      </c>
      <c r="J9" s="323">
        <f>SUM(V35:Y35)/SUM($D$35:$AC$35)</f>
        <v>2.9217199558985673E-2</v>
      </c>
      <c r="K9" s="324" t="s">
        <v>431</v>
      </c>
      <c r="L9" s="323">
        <f>SUM(V26:Y28)/SUM($D$26:$AC$28)</f>
        <v>0.10101010101010101</v>
      </c>
      <c r="M9" s="323">
        <f>SUM(V30:Y31)/SUM($D$30:$AC$31)</f>
        <v>0.47216035634743875</v>
      </c>
      <c r="N9" s="324" t="s">
        <v>431</v>
      </c>
    </row>
    <row r="10" spans="2:14" ht="90">
      <c r="B10" s="325" t="s">
        <v>22</v>
      </c>
      <c r="C10" s="326" t="str">
        <f>VLOOKUP($B10,About!$B$50:$E$74,3,0)</f>
        <v>EndUse&gt;Industry&gt;transportation equiment</v>
      </c>
      <c r="D10" s="326" t="str">
        <f>VLOOKUP($B10,About!$B$50:$E$74,4,0)</f>
        <v>Ship and boat construction business, railway equipment manufacturing business, aircraft, spaceship and parts manufacturing business, and other transportation equipment manufacturing business</v>
      </c>
      <c r="E10" s="327">
        <f>SUM(Z36:AD36)/SUM($D$36:$AC$36)</f>
        <v>4.0324336787631136E-2</v>
      </c>
      <c r="F10" s="327">
        <f>SUM(Z21:AC21)/SUM($D$21:$AC$21)</f>
        <v>0</v>
      </c>
      <c r="G10" s="327">
        <f>SUM(Z33:AC33)/SUM($D$33:$AC$33)</f>
        <v>3.5141857037582908E-2</v>
      </c>
      <c r="H10" s="327">
        <f>SUM(Z34:AC34)/SUM($D$34:$AC$34)</f>
        <v>0</v>
      </c>
      <c r="I10" s="327">
        <f>SUM(Z23:AC25)/SUM($D$23:$AC$25)</f>
        <v>0.45646437994722949</v>
      </c>
      <c r="J10" s="327">
        <f>SUM(Z35:AC35)/SUM($D$35:$AC$35)</f>
        <v>0</v>
      </c>
      <c r="K10" s="328" t="s">
        <v>431</v>
      </c>
      <c r="L10" s="327">
        <f>SUM(Z26:AC28)/SUM($D$26:$AC$28)</f>
        <v>0.5505050505050505</v>
      </c>
      <c r="M10" s="327">
        <f>SUM(Z30:AC31)/SUM($D$30:$AC$31)</f>
        <v>0.24276169265033407</v>
      </c>
      <c r="N10" s="328" t="s">
        <v>431</v>
      </c>
    </row>
    <row r="11" spans="2:14" s="141" customFormat="1">
      <c r="B11" s="309" t="s">
        <v>644</v>
      </c>
      <c r="C11" s="271"/>
      <c r="D11" s="271"/>
      <c r="E11" s="272">
        <f>SUM(E6:E10)</f>
        <v>0.99999999999999978</v>
      </c>
      <c r="F11" s="272">
        <f t="shared" ref="F11:M11" si="0">SUM(F6:F10)</f>
        <v>1</v>
      </c>
      <c r="G11" s="272">
        <f t="shared" si="0"/>
        <v>0.99999999999999989</v>
      </c>
      <c r="H11" s="272">
        <f t="shared" si="0"/>
        <v>1</v>
      </c>
      <c r="I11" s="272">
        <f t="shared" si="0"/>
        <v>1</v>
      </c>
      <c r="J11" s="272">
        <f t="shared" si="0"/>
        <v>1</v>
      </c>
      <c r="K11" s="140" t="s">
        <v>431</v>
      </c>
      <c r="L11" s="272">
        <f t="shared" si="0"/>
        <v>1</v>
      </c>
      <c r="M11" s="272">
        <f t="shared" si="0"/>
        <v>0.99999999999999989</v>
      </c>
      <c r="N11" s="140" t="s">
        <v>431</v>
      </c>
    </row>
    <row r="13" spans="2:14" s="175" customFormat="1" ht="16.5">
      <c r="B13" s="178" t="s">
        <v>632</v>
      </c>
      <c r="C13" s="2"/>
    </row>
    <row r="14" spans="2:14" s="175" customFormat="1" ht="16.5">
      <c r="B14" s="2" t="s">
        <v>449</v>
      </c>
      <c r="C14" s="2" t="s">
        <v>450</v>
      </c>
    </row>
    <row r="15" spans="2:14" s="175" customFormat="1" ht="16.5">
      <c r="B15" s="2" t="s">
        <v>451</v>
      </c>
      <c r="C15" s="2" t="s">
        <v>527</v>
      </c>
    </row>
    <row r="16" spans="2:14" s="175" customFormat="1" ht="16.5">
      <c r="B16" s="2" t="s">
        <v>453</v>
      </c>
      <c r="C16" s="2" t="s">
        <v>454</v>
      </c>
    </row>
    <row r="17" spans="2:29" s="175" customFormat="1" ht="16.5">
      <c r="B17" s="2" t="s">
        <v>456</v>
      </c>
      <c r="C17" s="2" t="s">
        <v>457</v>
      </c>
    </row>
    <row r="18" spans="2:29" s="175" customFormat="1" ht="20.100000000000001" customHeight="1">
      <c r="B18" s="511" t="s">
        <v>458</v>
      </c>
      <c r="C18" s="511" t="s">
        <v>459</v>
      </c>
      <c r="D18" s="513" t="s">
        <v>460</v>
      </c>
      <c r="E18" s="513" t="s">
        <v>460</v>
      </c>
      <c r="F18" s="513" t="s">
        <v>460</v>
      </c>
      <c r="G18" s="513" t="s">
        <v>460</v>
      </c>
      <c r="H18" s="513" t="s">
        <v>460</v>
      </c>
      <c r="I18" s="513" t="s">
        <v>460</v>
      </c>
      <c r="J18" s="513" t="s">
        <v>460</v>
      </c>
      <c r="K18" s="513" t="s">
        <v>460</v>
      </c>
      <c r="L18" s="513" t="s">
        <v>460</v>
      </c>
      <c r="M18" s="513" t="s">
        <v>460</v>
      </c>
      <c r="N18" s="513" t="s">
        <v>460</v>
      </c>
      <c r="O18" s="513" t="s">
        <v>460</v>
      </c>
      <c r="P18" s="513" t="s">
        <v>460</v>
      </c>
      <c r="Q18" s="513" t="s">
        <v>460</v>
      </c>
      <c r="R18" s="513" t="s">
        <v>460</v>
      </c>
      <c r="S18" s="513" t="s">
        <v>460</v>
      </c>
      <c r="T18" s="513" t="s">
        <v>460</v>
      </c>
      <c r="U18" s="513" t="s">
        <v>460</v>
      </c>
      <c r="V18" s="513" t="s">
        <v>460</v>
      </c>
      <c r="W18" s="513" t="s">
        <v>460</v>
      </c>
      <c r="X18" s="513" t="s">
        <v>460</v>
      </c>
      <c r="Y18" s="513" t="s">
        <v>460</v>
      </c>
      <c r="Z18" s="513" t="s">
        <v>460</v>
      </c>
      <c r="AA18" s="513" t="s">
        <v>460</v>
      </c>
      <c r="AB18" s="513" t="s">
        <v>460</v>
      </c>
      <c r="AC18" s="513" t="s">
        <v>460</v>
      </c>
    </row>
    <row r="19" spans="2:29" s="175" customFormat="1" ht="20.100000000000001" customHeight="1">
      <c r="B19" s="512" t="s">
        <v>458</v>
      </c>
      <c r="C19" s="512" t="s">
        <v>459</v>
      </c>
      <c r="D19" s="200" t="s">
        <v>501</v>
      </c>
      <c r="E19" s="200" t="s">
        <v>502</v>
      </c>
      <c r="F19" s="200" t="s">
        <v>503</v>
      </c>
      <c r="G19" s="200" t="s">
        <v>504</v>
      </c>
      <c r="H19" s="200" t="s">
        <v>505</v>
      </c>
      <c r="I19" s="202" t="s">
        <v>506</v>
      </c>
      <c r="J19" s="202" t="s">
        <v>507</v>
      </c>
      <c r="K19" s="202" t="s">
        <v>508</v>
      </c>
      <c r="L19" s="202" t="s">
        <v>509</v>
      </c>
      <c r="M19" s="202" t="s">
        <v>510</v>
      </c>
      <c r="N19" s="201" t="s">
        <v>511</v>
      </c>
      <c r="O19" s="201" t="s">
        <v>512</v>
      </c>
      <c r="P19" s="201" t="s">
        <v>513</v>
      </c>
      <c r="Q19" s="201" t="s">
        <v>514</v>
      </c>
      <c r="R19" s="201" t="s">
        <v>515</v>
      </c>
      <c r="S19" s="201" t="s">
        <v>516</v>
      </c>
      <c r="T19" s="202" t="s">
        <v>517</v>
      </c>
      <c r="U19" s="202" t="s">
        <v>518</v>
      </c>
      <c r="V19" s="203" t="s">
        <v>519</v>
      </c>
      <c r="W19" s="203" t="s">
        <v>520</v>
      </c>
      <c r="X19" s="203" t="s">
        <v>521</v>
      </c>
      <c r="Y19" s="203" t="s">
        <v>522</v>
      </c>
      <c r="Z19" s="204" t="s">
        <v>523</v>
      </c>
      <c r="AA19" s="204" t="s">
        <v>524</v>
      </c>
      <c r="AB19" s="204" t="s">
        <v>525</v>
      </c>
      <c r="AC19" s="204" t="s">
        <v>526</v>
      </c>
    </row>
    <row r="20" spans="2:29" s="175" customFormat="1" ht="20.100000000000001" customHeight="1">
      <c r="B20" s="277" t="s">
        <v>466</v>
      </c>
      <c r="C20" s="277" t="s">
        <v>467</v>
      </c>
      <c r="D20" s="176">
        <v>2812.4</v>
      </c>
      <c r="E20" s="176">
        <v>2583.3000000000002</v>
      </c>
      <c r="F20" s="176">
        <v>9.6999999999999993</v>
      </c>
      <c r="G20" s="176">
        <v>105.1</v>
      </c>
      <c r="H20" s="176">
        <v>87</v>
      </c>
      <c r="I20" s="176">
        <v>2.8</v>
      </c>
      <c r="J20" s="176">
        <v>74.2</v>
      </c>
      <c r="K20" s="176">
        <v>114.9</v>
      </c>
      <c r="L20" s="176">
        <v>40.6</v>
      </c>
      <c r="M20" s="176">
        <v>0.8</v>
      </c>
      <c r="N20" s="176">
        <v>264.5</v>
      </c>
      <c r="O20" s="176">
        <v>409.6</v>
      </c>
      <c r="P20" s="176">
        <v>83</v>
      </c>
      <c r="Q20" s="176">
        <v>71.900000000000006</v>
      </c>
      <c r="R20" s="176">
        <v>99.2</v>
      </c>
      <c r="S20" s="176">
        <v>23.7</v>
      </c>
      <c r="T20" s="176">
        <v>499.3</v>
      </c>
      <c r="U20" s="176">
        <v>596.79999999999995</v>
      </c>
      <c r="V20" s="176">
        <v>699</v>
      </c>
      <c r="W20" s="176">
        <v>24</v>
      </c>
      <c r="X20" s="176">
        <v>1253.9000000000001</v>
      </c>
      <c r="Y20" s="176">
        <v>2.2000000000000002</v>
      </c>
      <c r="Z20" s="176">
        <v>392.9</v>
      </c>
      <c r="AA20" s="176">
        <v>14.3</v>
      </c>
      <c r="AB20" s="176">
        <v>47.2</v>
      </c>
      <c r="AC20" s="176">
        <v>6</v>
      </c>
    </row>
    <row r="21" spans="2:29" s="175" customFormat="1" ht="20.100000000000001" customHeight="1">
      <c r="B21" s="277" t="s">
        <v>468</v>
      </c>
      <c r="C21" s="277" t="s">
        <v>467</v>
      </c>
      <c r="D21" s="177" t="s">
        <v>38</v>
      </c>
      <c r="E21" s="177" t="s">
        <v>38</v>
      </c>
      <c r="F21" s="177" t="s">
        <v>38</v>
      </c>
      <c r="G21" s="177" t="s">
        <v>38</v>
      </c>
      <c r="H21" s="177" t="s">
        <v>38</v>
      </c>
      <c r="I21" s="177" t="s">
        <v>38</v>
      </c>
      <c r="J21" s="176">
        <v>0.1</v>
      </c>
      <c r="K21" s="176">
        <v>0</v>
      </c>
      <c r="L21" s="177" t="s">
        <v>38</v>
      </c>
      <c r="M21" s="177" t="s">
        <v>38</v>
      </c>
      <c r="N21" s="176">
        <v>0</v>
      </c>
      <c r="O21" s="177" t="s">
        <v>38</v>
      </c>
      <c r="P21" s="177" t="s">
        <v>38</v>
      </c>
      <c r="Q21" s="176">
        <v>0</v>
      </c>
      <c r="R21" s="176">
        <v>0</v>
      </c>
      <c r="S21" s="177" t="s">
        <v>38</v>
      </c>
      <c r="T21" s="176">
        <v>0</v>
      </c>
      <c r="U21" s="176">
        <v>0</v>
      </c>
      <c r="V21" s="177" t="s">
        <v>38</v>
      </c>
      <c r="W21" s="177" t="s">
        <v>38</v>
      </c>
      <c r="X21" s="177" t="s">
        <v>38</v>
      </c>
      <c r="Y21" s="177" t="s">
        <v>38</v>
      </c>
      <c r="Z21" s="177" t="s">
        <v>38</v>
      </c>
      <c r="AA21" s="177" t="s">
        <v>38</v>
      </c>
      <c r="AB21" s="177" t="s">
        <v>38</v>
      </c>
      <c r="AC21" s="177" t="s">
        <v>38</v>
      </c>
    </row>
    <row r="22" spans="2:29" s="175" customFormat="1" ht="20.100000000000001" customHeight="1">
      <c r="B22" s="277" t="s">
        <v>474</v>
      </c>
      <c r="C22" s="277" t="s">
        <v>467</v>
      </c>
      <c r="D22" s="176">
        <v>1.7</v>
      </c>
      <c r="E22" s="176">
        <v>0.8</v>
      </c>
      <c r="F22" s="176">
        <v>0</v>
      </c>
      <c r="G22" s="176">
        <v>0.3</v>
      </c>
      <c r="H22" s="176">
        <v>0.1</v>
      </c>
      <c r="I22" s="177" t="s">
        <v>38</v>
      </c>
      <c r="J22" s="176">
        <v>1.4</v>
      </c>
      <c r="K22" s="176">
        <v>0.3</v>
      </c>
      <c r="L22" s="176">
        <v>0</v>
      </c>
      <c r="M22" s="177" t="s">
        <v>38</v>
      </c>
      <c r="N22" s="176">
        <v>0.5</v>
      </c>
      <c r="O22" s="176">
        <v>0</v>
      </c>
      <c r="P22" s="176">
        <v>1.7</v>
      </c>
      <c r="Q22" s="176">
        <v>0.5</v>
      </c>
      <c r="R22" s="176">
        <v>1.2</v>
      </c>
      <c r="S22" s="176">
        <v>0.1</v>
      </c>
      <c r="T22" s="176">
        <v>13.8</v>
      </c>
      <c r="U22" s="176">
        <v>4.4000000000000004</v>
      </c>
      <c r="V22" s="176">
        <v>4.4000000000000004</v>
      </c>
      <c r="W22" s="176">
        <v>0.1</v>
      </c>
      <c r="X22" s="176">
        <v>54.6</v>
      </c>
      <c r="Y22" s="176">
        <v>0.2</v>
      </c>
      <c r="Z22" s="176">
        <v>62</v>
      </c>
      <c r="AA22" s="176">
        <v>0</v>
      </c>
      <c r="AB22" s="176">
        <v>7.3</v>
      </c>
      <c r="AC22" s="176">
        <v>0</v>
      </c>
    </row>
    <row r="23" spans="2:29" s="175" customFormat="1" ht="20.100000000000001" customHeight="1">
      <c r="B23" s="278" t="s">
        <v>455</v>
      </c>
      <c r="C23" s="277" t="s">
        <v>57</v>
      </c>
      <c r="D23" s="176">
        <v>0</v>
      </c>
      <c r="E23" s="176">
        <v>0</v>
      </c>
      <c r="F23" s="176">
        <v>0</v>
      </c>
      <c r="G23" s="176">
        <v>0</v>
      </c>
      <c r="H23" s="176">
        <v>0</v>
      </c>
      <c r="I23" s="177" t="s">
        <v>38</v>
      </c>
      <c r="J23" s="176">
        <v>0</v>
      </c>
      <c r="K23" s="176">
        <v>0</v>
      </c>
      <c r="L23" s="177" t="s">
        <v>38</v>
      </c>
      <c r="M23" s="177" t="s">
        <v>38</v>
      </c>
      <c r="N23" s="176">
        <v>0</v>
      </c>
      <c r="O23" s="177" t="s">
        <v>38</v>
      </c>
      <c r="P23" s="176">
        <v>0</v>
      </c>
      <c r="Q23" s="176">
        <v>0</v>
      </c>
      <c r="R23" s="176">
        <v>0</v>
      </c>
      <c r="S23" s="176">
        <v>0</v>
      </c>
      <c r="T23" s="176">
        <v>0.6</v>
      </c>
      <c r="U23" s="176">
        <v>0.1</v>
      </c>
      <c r="V23" s="176">
        <v>0.6</v>
      </c>
      <c r="W23" s="176">
        <v>0</v>
      </c>
      <c r="X23" s="176">
        <v>0.1</v>
      </c>
      <c r="Y23" s="176">
        <v>0</v>
      </c>
      <c r="Z23" s="177" t="s">
        <v>38</v>
      </c>
      <c r="AA23" s="177" t="s">
        <v>38</v>
      </c>
      <c r="AB23" s="177" t="s">
        <v>38</v>
      </c>
      <c r="AC23" s="177" t="s">
        <v>38</v>
      </c>
    </row>
    <row r="24" spans="2:29" s="175" customFormat="1" ht="20.100000000000001" customHeight="1">
      <c r="B24" s="278" t="s">
        <v>455</v>
      </c>
      <c r="C24" s="277" t="s">
        <v>475</v>
      </c>
      <c r="D24" s="176">
        <v>0</v>
      </c>
      <c r="E24" s="176">
        <v>0.2</v>
      </c>
      <c r="F24" s="176">
        <v>0</v>
      </c>
      <c r="G24" s="176">
        <v>0</v>
      </c>
      <c r="H24" s="176">
        <v>0</v>
      </c>
      <c r="I24" s="177" t="s">
        <v>38</v>
      </c>
      <c r="J24" s="176">
        <v>0.1</v>
      </c>
      <c r="K24" s="176">
        <v>0</v>
      </c>
      <c r="L24" s="177" t="s">
        <v>38</v>
      </c>
      <c r="M24" s="177" t="s">
        <v>38</v>
      </c>
      <c r="N24" s="176">
        <v>0</v>
      </c>
      <c r="O24" s="176">
        <v>0</v>
      </c>
      <c r="P24" s="176">
        <v>0.2</v>
      </c>
      <c r="Q24" s="176">
        <v>0</v>
      </c>
      <c r="R24" s="176">
        <v>0.2</v>
      </c>
      <c r="S24" s="176">
        <v>0</v>
      </c>
      <c r="T24" s="176">
        <v>0.2</v>
      </c>
      <c r="U24" s="176">
        <v>0.2</v>
      </c>
      <c r="V24" s="176">
        <v>0.6</v>
      </c>
      <c r="W24" s="176">
        <v>0</v>
      </c>
      <c r="X24" s="176">
        <v>1.4</v>
      </c>
      <c r="Y24" s="176">
        <v>0</v>
      </c>
      <c r="Z24" s="176">
        <v>0.7</v>
      </c>
      <c r="AA24" s="176">
        <v>0</v>
      </c>
      <c r="AB24" s="176">
        <v>0.1</v>
      </c>
      <c r="AC24" s="176">
        <v>0</v>
      </c>
    </row>
    <row r="25" spans="2:29" s="175" customFormat="1" ht="20.100000000000001" customHeight="1">
      <c r="B25" s="278" t="s">
        <v>455</v>
      </c>
      <c r="C25" s="277" t="s">
        <v>58</v>
      </c>
      <c r="D25" s="176">
        <v>0.2</v>
      </c>
      <c r="E25" s="176">
        <v>0.2</v>
      </c>
      <c r="F25" s="176">
        <v>0</v>
      </c>
      <c r="G25" s="176">
        <v>0.1</v>
      </c>
      <c r="H25" s="176">
        <v>0.1</v>
      </c>
      <c r="I25" s="177" t="s">
        <v>38</v>
      </c>
      <c r="J25" s="176">
        <v>0.1</v>
      </c>
      <c r="K25" s="176">
        <v>0.1</v>
      </c>
      <c r="L25" s="176">
        <v>0</v>
      </c>
      <c r="M25" s="177" t="s">
        <v>38</v>
      </c>
      <c r="N25" s="176">
        <v>0.2</v>
      </c>
      <c r="O25" s="176">
        <v>0</v>
      </c>
      <c r="P25" s="176">
        <v>0.1</v>
      </c>
      <c r="Q25" s="176">
        <v>0.1</v>
      </c>
      <c r="R25" s="176">
        <v>0.1</v>
      </c>
      <c r="S25" s="176">
        <v>0.1</v>
      </c>
      <c r="T25" s="176">
        <v>1.7</v>
      </c>
      <c r="U25" s="176">
        <v>1</v>
      </c>
      <c r="V25" s="176">
        <v>3</v>
      </c>
      <c r="W25" s="176">
        <v>0</v>
      </c>
      <c r="X25" s="176">
        <v>29.6</v>
      </c>
      <c r="Y25" s="176">
        <v>0</v>
      </c>
      <c r="Z25" s="176">
        <v>33.799999999999997</v>
      </c>
      <c r="AA25" s="176">
        <v>0</v>
      </c>
      <c r="AB25" s="176">
        <v>0</v>
      </c>
      <c r="AC25" s="176">
        <v>0</v>
      </c>
    </row>
    <row r="26" spans="2:29" s="175" customFormat="1" ht="20.100000000000001" customHeight="1">
      <c r="B26" s="278" t="s">
        <v>455</v>
      </c>
      <c r="C26" s="277" t="s">
        <v>476</v>
      </c>
      <c r="D26" s="177" t="s">
        <v>38</v>
      </c>
      <c r="E26" s="177" t="s">
        <v>38</v>
      </c>
      <c r="F26" s="177" t="s">
        <v>38</v>
      </c>
      <c r="G26" s="177" t="s">
        <v>38</v>
      </c>
      <c r="H26" s="177" t="s">
        <v>38</v>
      </c>
      <c r="I26" s="177" t="s">
        <v>38</v>
      </c>
      <c r="J26" s="177" t="s">
        <v>38</v>
      </c>
      <c r="K26" s="177" t="s">
        <v>38</v>
      </c>
      <c r="L26" s="177" t="s">
        <v>38</v>
      </c>
      <c r="M26" s="177" t="s">
        <v>38</v>
      </c>
      <c r="N26" s="177" t="s">
        <v>38</v>
      </c>
      <c r="O26" s="177" t="s">
        <v>38</v>
      </c>
      <c r="P26" s="176">
        <v>0.3</v>
      </c>
      <c r="Q26" s="177" t="s">
        <v>38</v>
      </c>
      <c r="R26" s="176">
        <v>0</v>
      </c>
      <c r="S26" s="177" t="s">
        <v>38</v>
      </c>
      <c r="T26" s="176">
        <v>5.4</v>
      </c>
      <c r="U26" s="176">
        <v>0</v>
      </c>
      <c r="V26" s="177" t="s">
        <v>38</v>
      </c>
      <c r="W26" s="177" t="s">
        <v>38</v>
      </c>
      <c r="X26" s="177" t="s">
        <v>38</v>
      </c>
      <c r="Y26" s="177" t="s">
        <v>38</v>
      </c>
      <c r="Z26" s="176">
        <v>10.9</v>
      </c>
      <c r="AA26" s="177" t="s">
        <v>38</v>
      </c>
      <c r="AB26" s="177" t="s">
        <v>38</v>
      </c>
      <c r="AC26" s="177" t="s">
        <v>38</v>
      </c>
    </row>
    <row r="27" spans="2:29" s="175" customFormat="1" ht="20.100000000000001" customHeight="1">
      <c r="B27" s="278" t="s">
        <v>455</v>
      </c>
      <c r="C27" s="277" t="s">
        <v>477</v>
      </c>
      <c r="D27" s="177" t="s">
        <v>38</v>
      </c>
      <c r="E27" s="177" t="s">
        <v>38</v>
      </c>
      <c r="F27" s="177" t="s">
        <v>38</v>
      </c>
      <c r="G27" s="177" t="s">
        <v>38</v>
      </c>
      <c r="H27" s="177" t="s">
        <v>38</v>
      </c>
      <c r="I27" s="177" t="s">
        <v>38</v>
      </c>
      <c r="J27" s="177" t="s">
        <v>38</v>
      </c>
      <c r="K27" s="177" t="s">
        <v>38</v>
      </c>
      <c r="L27" s="177" t="s">
        <v>38</v>
      </c>
      <c r="M27" s="177" t="s">
        <v>38</v>
      </c>
      <c r="N27" s="177" t="s">
        <v>38</v>
      </c>
      <c r="O27" s="177" t="s">
        <v>38</v>
      </c>
      <c r="P27" s="177" t="s">
        <v>38</v>
      </c>
      <c r="Q27" s="177" t="s">
        <v>38</v>
      </c>
      <c r="R27" s="176">
        <v>0</v>
      </c>
      <c r="S27" s="177" t="s">
        <v>38</v>
      </c>
      <c r="T27" s="177" t="s">
        <v>38</v>
      </c>
      <c r="U27" s="177" t="s">
        <v>38</v>
      </c>
      <c r="V27" s="177" t="s">
        <v>38</v>
      </c>
      <c r="W27" s="177" t="s">
        <v>38</v>
      </c>
      <c r="X27" s="176">
        <v>0</v>
      </c>
      <c r="Y27" s="177" t="s">
        <v>38</v>
      </c>
      <c r="Z27" s="177" t="s">
        <v>38</v>
      </c>
      <c r="AA27" s="177" t="s">
        <v>38</v>
      </c>
      <c r="AB27" s="177" t="s">
        <v>38</v>
      </c>
      <c r="AC27" s="177" t="s">
        <v>38</v>
      </c>
    </row>
    <row r="28" spans="2:29" s="175" customFormat="1" ht="20.100000000000001" customHeight="1">
      <c r="B28" s="278" t="s">
        <v>455</v>
      </c>
      <c r="C28" s="277" t="s">
        <v>478</v>
      </c>
      <c r="D28" s="177" t="s">
        <v>38</v>
      </c>
      <c r="E28" s="176">
        <v>0</v>
      </c>
      <c r="F28" s="177" t="s">
        <v>38</v>
      </c>
      <c r="G28" s="176">
        <v>0</v>
      </c>
      <c r="H28" s="177" t="s">
        <v>38</v>
      </c>
      <c r="I28" s="177" t="s">
        <v>38</v>
      </c>
      <c r="J28" s="177" t="s">
        <v>38</v>
      </c>
      <c r="K28" s="176">
        <v>0</v>
      </c>
      <c r="L28" s="176">
        <v>0</v>
      </c>
      <c r="M28" s="177" t="s">
        <v>38</v>
      </c>
      <c r="N28" s="176">
        <v>0</v>
      </c>
      <c r="O28" s="177" t="s">
        <v>38</v>
      </c>
      <c r="P28" s="177" t="s">
        <v>38</v>
      </c>
      <c r="Q28" s="176">
        <v>0</v>
      </c>
      <c r="R28" s="177" t="s">
        <v>38</v>
      </c>
      <c r="S28" s="176">
        <v>0</v>
      </c>
      <c r="T28" s="176">
        <v>0.9</v>
      </c>
      <c r="U28" s="176">
        <v>0.3</v>
      </c>
      <c r="V28" s="177" t="s">
        <v>38</v>
      </c>
      <c r="W28" s="177" t="s">
        <v>38</v>
      </c>
      <c r="X28" s="176">
        <v>2</v>
      </c>
      <c r="Y28" s="177" t="s">
        <v>38</v>
      </c>
      <c r="Z28" s="177" t="s">
        <v>38</v>
      </c>
      <c r="AA28" s="176">
        <v>0</v>
      </c>
      <c r="AB28" s="177" t="s">
        <v>38</v>
      </c>
      <c r="AC28" s="177" t="s">
        <v>38</v>
      </c>
    </row>
    <row r="29" spans="2:29" s="175" customFormat="1" ht="20.100000000000001" customHeight="1">
      <c r="B29" s="278" t="s">
        <v>455</v>
      </c>
      <c r="C29" s="277" t="s">
        <v>162</v>
      </c>
      <c r="D29" s="177" t="s">
        <v>38</v>
      </c>
      <c r="E29" s="177" t="s">
        <v>38</v>
      </c>
      <c r="F29" s="177" t="s">
        <v>38</v>
      </c>
      <c r="G29" s="177" t="s">
        <v>38</v>
      </c>
      <c r="H29" s="177" t="s">
        <v>38</v>
      </c>
      <c r="I29" s="177" t="s">
        <v>38</v>
      </c>
      <c r="J29" s="177" t="s">
        <v>38</v>
      </c>
      <c r="K29" s="177" t="s">
        <v>38</v>
      </c>
      <c r="L29" s="177" t="s">
        <v>38</v>
      </c>
      <c r="M29" s="177" t="s">
        <v>38</v>
      </c>
      <c r="N29" s="177" t="s">
        <v>38</v>
      </c>
      <c r="O29" s="177" t="s">
        <v>38</v>
      </c>
      <c r="P29" s="177" t="s">
        <v>38</v>
      </c>
      <c r="Q29" s="177" t="s">
        <v>38</v>
      </c>
      <c r="R29" s="177" t="s">
        <v>38</v>
      </c>
      <c r="S29" s="177" t="s">
        <v>38</v>
      </c>
      <c r="T29" s="177" t="s">
        <v>38</v>
      </c>
      <c r="U29" s="177" t="s">
        <v>38</v>
      </c>
      <c r="V29" s="177" t="s">
        <v>38</v>
      </c>
      <c r="W29" s="177" t="s">
        <v>38</v>
      </c>
      <c r="X29" s="176">
        <v>0.2</v>
      </c>
      <c r="Y29" s="177" t="s">
        <v>38</v>
      </c>
      <c r="Z29" s="177" t="s">
        <v>38</v>
      </c>
      <c r="AA29" s="177" t="s">
        <v>38</v>
      </c>
      <c r="AB29" s="177" t="s">
        <v>38</v>
      </c>
      <c r="AC29" s="177" t="s">
        <v>38</v>
      </c>
    </row>
    <row r="30" spans="2:29" s="175" customFormat="1" ht="20.100000000000001" customHeight="1">
      <c r="B30" s="278" t="s">
        <v>455</v>
      </c>
      <c r="C30" s="277" t="s">
        <v>153</v>
      </c>
      <c r="D30" s="176">
        <v>1.5</v>
      </c>
      <c r="E30" s="176">
        <v>0.1</v>
      </c>
      <c r="F30" s="176">
        <v>0</v>
      </c>
      <c r="G30" s="176">
        <v>0</v>
      </c>
      <c r="H30" s="177" t="s">
        <v>38</v>
      </c>
      <c r="I30" s="177" t="s">
        <v>38</v>
      </c>
      <c r="J30" s="176">
        <v>1.2</v>
      </c>
      <c r="K30" s="176">
        <v>0.1</v>
      </c>
      <c r="L30" s="176">
        <v>0</v>
      </c>
      <c r="M30" s="177" t="s">
        <v>38</v>
      </c>
      <c r="N30" s="176">
        <v>0.1</v>
      </c>
      <c r="O30" s="177" t="s">
        <v>38</v>
      </c>
      <c r="P30" s="176">
        <v>1.1000000000000001</v>
      </c>
      <c r="Q30" s="176">
        <v>0.3</v>
      </c>
      <c r="R30" s="176">
        <v>0.6</v>
      </c>
      <c r="S30" s="176">
        <v>0</v>
      </c>
      <c r="T30" s="176">
        <v>4.2</v>
      </c>
      <c r="U30" s="176">
        <v>2.6</v>
      </c>
      <c r="V30" s="176">
        <v>0.2</v>
      </c>
      <c r="W30" s="176">
        <v>0.1</v>
      </c>
      <c r="X30" s="176">
        <v>20</v>
      </c>
      <c r="Y30" s="176">
        <v>0.2</v>
      </c>
      <c r="Z30" s="176">
        <v>8.4</v>
      </c>
      <c r="AA30" s="176">
        <v>0</v>
      </c>
      <c r="AB30" s="176">
        <v>0</v>
      </c>
      <c r="AC30" s="176">
        <v>0</v>
      </c>
    </row>
    <row r="31" spans="2:29" s="175" customFormat="1" ht="20.100000000000001" customHeight="1">
      <c r="B31" s="278" t="s">
        <v>455</v>
      </c>
      <c r="C31" s="277" t="s">
        <v>154</v>
      </c>
      <c r="D31" s="177" t="s">
        <v>38</v>
      </c>
      <c r="E31" s="177" t="s">
        <v>38</v>
      </c>
      <c r="F31" s="177" t="s">
        <v>38</v>
      </c>
      <c r="G31" s="176">
        <v>0.2</v>
      </c>
      <c r="H31" s="176">
        <v>0</v>
      </c>
      <c r="I31" s="177" t="s">
        <v>38</v>
      </c>
      <c r="J31" s="176">
        <v>0</v>
      </c>
      <c r="K31" s="176">
        <v>0</v>
      </c>
      <c r="L31" s="176">
        <v>0</v>
      </c>
      <c r="M31" s="177" t="s">
        <v>38</v>
      </c>
      <c r="N31" s="176">
        <v>0.2</v>
      </c>
      <c r="O31" s="177" t="s">
        <v>38</v>
      </c>
      <c r="P31" s="176">
        <v>0</v>
      </c>
      <c r="Q31" s="176">
        <v>0</v>
      </c>
      <c r="R31" s="176">
        <v>0</v>
      </c>
      <c r="S31" s="176">
        <v>0</v>
      </c>
      <c r="T31" s="176">
        <v>0.6</v>
      </c>
      <c r="U31" s="176">
        <v>0</v>
      </c>
      <c r="V31" s="176">
        <v>0.1</v>
      </c>
      <c r="W31" s="176">
        <v>0</v>
      </c>
      <c r="X31" s="176">
        <v>0.6</v>
      </c>
      <c r="Y31" s="176">
        <v>0</v>
      </c>
      <c r="Z31" s="176">
        <v>2.5</v>
      </c>
      <c r="AA31" s="176">
        <v>0</v>
      </c>
      <c r="AB31" s="176">
        <v>0</v>
      </c>
      <c r="AC31" s="177" t="s">
        <v>38</v>
      </c>
    </row>
    <row r="32" spans="2:29" s="175" customFormat="1" ht="20.100000000000001" customHeight="1">
      <c r="B32" s="278" t="s">
        <v>455</v>
      </c>
      <c r="C32" s="277" t="s">
        <v>479</v>
      </c>
      <c r="D32" s="177" t="s">
        <v>38</v>
      </c>
      <c r="E32" s="176">
        <v>0.3</v>
      </c>
      <c r="F32" s="177" t="s">
        <v>38</v>
      </c>
      <c r="G32" s="177" t="s">
        <v>38</v>
      </c>
      <c r="H32" s="177" t="s">
        <v>38</v>
      </c>
      <c r="I32" s="177" t="s">
        <v>38</v>
      </c>
      <c r="J32" s="177" t="s">
        <v>38</v>
      </c>
      <c r="K32" s="177" t="s">
        <v>38</v>
      </c>
      <c r="L32" s="177" t="s">
        <v>38</v>
      </c>
      <c r="M32" s="177" t="s">
        <v>38</v>
      </c>
      <c r="N32" s="176">
        <v>0</v>
      </c>
      <c r="O32" s="177" t="s">
        <v>38</v>
      </c>
      <c r="P32" s="176">
        <v>0</v>
      </c>
      <c r="Q32" s="176">
        <v>0.1</v>
      </c>
      <c r="R32" s="176">
        <v>0.3</v>
      </c>
      <c r="S32" s="177" t="s">
        <v>38</v>
      </c>
      <c r="T32" s="176">
        <v>0.1</v>
      </c>
      <c r="U32" s="176">
        <v>0.2</v>
      </c>
      <c r="V32" s="177" t="s">
        <v>38</v>
      </c>
      <c r="W32" s="177" t="s">
        <v>38</v>
      </c>
      <c r="X32" s="176">
        <v>1</v>
      </c>
      <c r="Y32" s="177" t="s">
        <v>38</v>
      </c>
      <c r="Z32" s="176">
        <v>5.7</v>
      </c>
      <c r="AA32" s="177" t="s">
        <v>38</v>
      </c>
      <c r="AB32" s="176">
        <v>7.1</v>
      </c>
      <c r="AC32" s="177" t="s">
        <v>38</v>
      </c>
    </row>
    <row r="33" spans="2:29" s="175" customFormat="1" ht="20.100000000000001" customHeight="1">
      <c r="B33" s="277" t="s">
        <v>84</v>
      </c>
      <c r="C33" s="277" t="s">
        <v>467</v>
      </c>
      <c r="D33" s="176">
        <v>366.4</v>
      </c>
      <c r="E33" s="176">
        <v>719.4</v>
      </c>
      <c r="F33" s="176">
        <v>0.1</v>
      </c>
      <c r="G33" s="176">
        <v>8.9</v>
      </c>
      <c r="H33" s="176">
        <v>20.5</v>
      </c>
      <c r="I33" s="176">
        <v>0</v>
      </c>
      <c r="J33" s="176">
        <v>0.4</v>
      </c>
      <c r="K33" s="176">
        <v>41.9</v>
      </c>
      <c r="L33" s="176">
        <v>7.1</v>
      </c>
      <c r="M33" s="176">
        <v>0</v>
      </c>
      <c r="N33" s="176">
        <v>28</v>
      </c>
      <c r="O33" s="176">
        <v>112.4</v>
      </c>
      <c r="P33" s="176">
        <v>5.9</v>
      </c>
      <c r="Q33" s="176">
        <v>0.6</v>
      </c>
      <c r="R33" s="176">
        <v>16.2</v>
      </c>
      <c r="S33" s="176">
        <v>1</v>
      </c>
      <c r="T33" s="176">
        <v>46.8</v>
      </c>
      <c r="U33" s="176">
        <v>34.200000000000003</v>
      </c>
      <c r="V33" s="176">
        <v>384.2</v>
      </c>
      <c r="W33" s="176">
        <v>0.3</v>
      </c>
      <c r="X33" s="176">
        <v>300.39999999999998</v>
      </c>
      <c r="Y33" s="176">
        <v>0.2</v>
      </c>
      <c r="Z33" s="176">
        <v>62.7</v>
      </c>
      <c r="AA33" s="176">
        <v>3.4</v>
      </c>
      <c r="AB33" s="176">
        <v>9.3000000000000007</v>
      </c>
      <c r="AC33" s="176">
        <v>0.9</v>
      </c>
    </row>
    <row r="34" spans="2:29" s="175" customFormat="1" ht="20.100000000000001" customHeight="1">
      <c r="B34" s="277" t="s">
        <v>480</v>
      </c>
      <c r="C34" s="277" t="s">
        <v>467</v>
      </c>
      <c r="D34" s="176">
        <v>3</v>
      </c>
      <c r="E34" s="177" t="s">
        <v>38</v>
      </c>
      <c r="F34" s="177" t="s">
        <v>38</v>
      </c>
      <c r="G34" s="177" t="s">
        <v>38</v>
      </c>
      <c r="H34" s="177" t="s">
        <v>38</v>
      </c>
      <c r="I34" s="177" t="s">
        <v>38</v>
      </c>
      <c r="J34" s="176">
        <v>0</v>
      </c>
      <c r="K34" s="176">
        <v>0.2</v>
      </c>
      <c r="L34" s="177" t="s">
        <v>38</v>
      </c>
      <c r="M34" s="177" t="s">
        <v>38</v>
      </c>
      <c r="N34" s="176">
        <v>0</v>
      </c>
      <c r="O34" s="177" t="s">
        <v>38</v>
      </c>
      <c r="P34" s="177" t="s">
        <v>38</v>
      </c>
      <c r="Q34" s="177" t="s">
        <v>38</v>
      </c>
      <c r="R34" s="176">
        <v>0</v>
      </c>
      <c r="S34" s="177" t="s">
        <v>38</v>
      </c>
      <c r="T34" s="177" t="s">
        <v>38</v>
      </c>
      <c r="U34" s="176">
        <v>0</v>
      </c>
      <c r="V34" s="177" t="s">
        <v>38</v>
      </c>
      <c r="W34" s="177" t="s">
        <v>38</v>
      </c>
      <c r="X34" s="177" t="s">
        <v>38</v>
      </c>
      <c r="Y34" s="177" t="s">
        <v>38</v>
      </c>
      <c r="Z34" s="177" t="s">
        <v>38</v>
      </c>
      <c r="AA34" s="177" t="s">
        <v>38</v>
      </c>
      <c r="AB34" s="177" t="s">
        <v>38</v>
      </c>
      <c r="AC34" s="177" t="s">
        <v>38</v>
      </c>
    </row>
    <row r="35" spans="2:29" s="175" customFormat="1" ht="20.100000000000001" customHeight="1">
      <c r="B35" s="277" t="s">
        <v>120</v>
      </c>
      <c r="C35" s="277" t="s">
        <v>467</v>
      </c>
      <c r="D35" s="176">
        <v>80.599999999999994</v>
      </c>
      <c r="E35" s="176">
        <v>59.3</v>
      </c>
      <c r="F35" s="177" t="s">
        <v>38</v>
      </c>
      <c r="G35" s="176">
        <v>4.2</v>
      </c>
      <c r="H35" s="176">
        <v>1.1000000000000001</v>
      </c>
      <c r="I35" s="177" t="s">
        <v>38</v>
      </c>
      <c r="J35" s="177" t="s">
        <v>38</v>
      </c>
      <c r="K35" s="177" t="s">
        <v>38</v>
      </c>
      <c r="L35" s="177" t="s">
        <v>38</v>
      </c>
      <c r="M35" s="177" t="s">
        <v>38</v>
      </c>
      <c r="N35" s="176">
        <v>2</v>
      </c>
      <c r="O35" s="176">
        <v>24.7</v>
      </c>
      <c r="P35" s="176">
        <v>0.3</v>
      </c>
      <c r="Q35" s="176">
        <v>0</v>
      </c>
      <c r="R35" s="176">
        <v>2.6</v>
      </c>
      <c r="S35" s="177" t="s">
        <v>38</v>
      </c>
      <c r="T35" s="176">
        <v>0.8</v>
      </c>
      <c r="U35" s="176">
        <v>0.5</v>
      </c>
      <c r="V35" s="176">
        <v>4.5999999999999996</v>
      </c>
      <c r="W35" s="177" t="s">
        <v>38</v>
      </c>
      <c r="X35" s="176">
        <v>0.7</v>
      </c>
      <c r="Y35" s="177" t="s">
        <v>38</v>
      </c>
      <c r="Z35" s="177" t="s">
        <v>38</v>
      </c>
      <c r="AA35" s="176">
        <v>0</v>
      </c>
      <c r="AB35" s="177" t="s">
        <v>38</v>
      </c>
      <c r="AC35" s="177" t="s">
        <v>38</v>
      </c>
    </row>
    <row r="36" spans="2:29" s="175" customFormat="1" ht="20.100000000000001" customHeight="1">
      <c r="B36" s="279" t="s">
        <v>481</v>
      </c>
      <c r="C36" s="279" t="s">
        <v>467</v>
      </c>
      <c r="D36" s="176">
        <v>2360.6999999999998</v>
      </c>
      <c r="E36" s="176">
        <v>1803.7</v>
      </c>
      <c r="F36" s="176">
        <v>9.5</v>
      </c>
      <c r="G36" s="176">
        <v>91.7</v>
      </c>
      <c r="H36" s="176">
        <v>65.400000000000006</v>
      </c>
      <c r="I36" s="176">
        <v>2.8</v>
      </c>
      <c r="J36" s="176">
        <v>72.3</v>
      </c>
      <c r="K36" s="176">
        <v>72.5</v>
      </c>
      <c r="L36" s="176">
        <v>33.5</v>
      </c>
      <c r="M36" s="176">
        <v>0.8</v>
      </c>
      <c r="N36" s="176">
        <v>234</v>
      </c>
      <c r="O36" s="176">
        <v>272.5</v>
      </c>
      <c r="P36" s="176">
        <v>75.099999999999994</v>
      </c>
      <c r="Q36" s="176">
        <v>70.900000000000006</v>
      </c>
      <c r="R36" s="176">
        <v>79.099999999999994</v>
      </c>
      <c r="S36" s="176">
        <v>22.6</v>
      </c>
      <c r="T36" s="176">
        <v>437.9</v>
      </c>
      <c r="U36" s="176">
        <v>557.6</v>
      </c>
      <c r="V36" s="176">
        <v>305.8</v>
      </c>
      <c r="W36" s="176">
        <v>23.5</v>
      </c>
      <c r="X36" s="176">
        <v>898.2</v>
      </c>
      <c r="Y36" s="176">
        <v>1.8</v>
      </c>
      <c r="Z36" s="176">
        <v>268.3</v>
      </c>
      <c r="AA36" s="176">
        <v>10.9</v>
      </c>
      <c r="AB36" s="176">
        <v>30.6</v>
      </c>
      <c r="AC36" s="176">
        <v>5</v>
      </c>
    </row>
    <row r="38" spans="2:29">
      <c r="B38" s="178" t="s">
        <v>629</v>
      </c>
      <c r="C38" s="329"/>
      <c r="D38" s="270"/>
    </row>
    <row r="39" spans="2:29">
      <c r="C39" s="270" t="s">
        <v>445</v>
      </c>
      <c r="D39" s="270" t="s">
        <v>446</v>
      </c>
    </row>
    <row r="40" spans="2:29">
      <c r="B40" s="166" t="s">
        <v>444</v>
      </c>
      <c r="C40" s="167">
        <f>SUM('2019 KESIS Energy Balance'!Z63:AE64)</f>
        <v>162.25</v>
      </c>
      <c r="D40" s="168">
        <f>C40/SUM($C$40:$C$42)</f>
        <v>0.53352756257645306</v>
      </c>
    </row>
    <row r="41" spans="2:29">
      <c r="B41" s="166" t="s">
        <v>422</v>
      </c>
      <c r="C41" s="167">
        <f>SUM('2019 KESIS Energy Balance'!AF63:AH64)</f>
        <v>84.221000000000004</v>
      </c>
      <c r="D41" s="168">
        <f>C41/SUM($C$40:$C$42)</f>
        <v>0.27694437502466229</v>
      </c>
    </row>
    <row r="42" spans="2:29">
      <c r="B42" s="166" t="s">
        <v>423</v>
      </c>
      <c r="C42" s="167">
        <f>SUM('2019 KESIS Energy Balance'!W63:Y64)</f>
        <v>57.636999999999993</v>
      </c>
      <c r="D42" s="168">
        <f>C42/SUM($C$40:$C$42)</f>
        <v>0.18952806239888459</v>
      </c>
    </row>
    <row r="44" spans="2:29">
      <c r="B44" s="178" t="s">
        <v>1160</v>
      </c>
      <c r="C44" s="329"/>
      <c r="D44" s="270"/>
    </row>
    <row r="45" spans="2:29">
      <c r="C45" s="270" t="s">
        <v>445</v>
      </c>
      <c r="D45" s="270" t="s">
        <v>446</v>
      </c>
    </row>
    <row r="46" spans="2:29">
      <c r="B46" s="166" t="s">
        <v>444</v>
      </c>
      <c r="C46" s="167">
        <f>SUM('2022 Energy Balance'!Z63:AE64)</f>
        <v>169.16900000000001</v>
      </c>
      <c r="D46" s="168">
        <f>C46/SUM($C$40:$C$42)</f>
        <v>0.55627934812632363</v>
      </c>
    </row>
    <row r="47" spans="2:29">
      <c r="B47" s="166" t="s">
        <v>422</v>
      </c>
      <c r="C47" s="167">
        <f>SUM('2022 Energy Balance'!AF63:AH64)</f>
        <v>103.83099999999999</v>
      </c>
      <c r="D47" s="168">
        <f>C47/SUM($C$40:$C$42)</f>
        <v>0.34142804529969611</v>
      </c>
    </row>
    <row r="48" spans="2:29">
      <c r="B48" s="166" t="s">
        <v>423</v>
      </c>
      <c r="C48" s="167">
        <f>SUM('2022 Energy Balance'!W63:Y64)</f>
        <v>52.103000000000002</v>
      </c>
      <c r="D48" s="168">
        <f>C48/SUM($C$40:$C$42)</f>
        <v>0.17133057992555276</v>
      </c>
    </row>
  </sheetData>
  <mergeCells count="3">
    <mergeCell ref="B18:B19"/>
    <mergeCell ref="C18:C19"/>
    <mergeCell ref="D18:AC18"/>
  </mergeCells>
  <phoneticPr fontId="37"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ECF19-9AB2-4767-89F5-DB3CC056162C}">
  <dimension ref="B2:AI40"/>
  <sheetViews>
    <sheetView zoomScale="64" zoomScaleNormal="64" workbookViewId="0">
      <selection activeCell="G43" sqref="G43"/>
    </sheetView>
  </sheetViews>
  <sheetFormatPr defaultRowHeight="16.5"/>
  <cols>
    <col min="2" max="2" width="28.875" customWidth="1"/>
    <col min="3" max="6" width="12.375" customWidth="1"/>
    <col min="7" max="10" width="11.375" customWidth="1"/>
  </cols>
  <sheetData>
    <row r="2" spans="2:11" s="355" customFormat="1">
      <c r="B2" s="369" t="s">
        <v>680</v>
      </c>
    </row>
    <row r="4" spans="2:11">
      <c r="B4" s="279"/>
      <c r="C4" s="357" t="s">
        <v>670</v>
      </c>
      <c r="D4" s="357" t="s">
        <v>671</v>
      </c>
      <c r="E4" s="357" t="s">
        <v>672</v>
      </c>
      <c r="F4" s="357" t="s">
        <v>673</v>
      </c>
      <c r="G4" s="357" t="s">
        <v>650</v>
      </c>
      <c r="H4" s="357" t="s">
        <v>651</v>
      </c>
      <c r="I4" s="357" t="s">
        <v>649</v>
      </c>
      <c r="J4" s="358" t="s">
        <v>443</v>
      </c>
      <c r="K4" s="360"/>
    </row>
    <row r="5" spans="2:11">
      <c r="B5" s="276" t="s">
        <v>652</v>
      </c>
      <c r="C5" s="276">
        <v>20.6</v>
      </c>
      <c r="D5" s="371">
        <v>4569</v>
      </c>
      <c r="E5" s="361">
        <f>D5/$D$24</f>
        <v>0.27649016641452345</v>
      </c>
      <c r="F5" s="372">
        <f>C5*D5</f>
        <v>94121.400000000009</v>
      </c>
      <c r="G5" s="379">
        <v>0</v>
      </c>
      <c r="H5" s="379">
        <v>0</v>
      </c>
      <c r="I5" s="380">
        <v>1</v>
      </c>
      <c r="J5" s="381">
        <v>0</v>
      </c>
      <c r="K5" t="s">
        <v>674</v>
      </c>
    </row>
    <row r="6" spans="2:11">
      <c r="B6" s="279" t="s">
        <v>653</v>
      </c>
      <c r="C6" s="279">
        <v>19.399999999999999</v>
      </c>
      <c r="D6" s="374"/>
      <c r="E6" s="375"/>
      <c r="F6" s="374"/>
      <c r="G6" s="375"/>
      <c r="H6" s="375"/>
      <c r="I6" s="375"/>
      <c r="J6" s="376"/>
    </row>
    <row r="7" spans="2:11">
      <c r="B7" s="279" t="s">
        <v>654</v>
      </c>
      <c r="C7" s="279">
        <v>35</v>
      </c>
      <c r="D7" s="374"/>
      <c r="E7" s="375"/>
      <c r="F7" s="374"/>
      <c r="G7" s="375"/>
      <c r="H7" s="375"/>
      <c r="I7" s="375"/>
      <c r="J7" s="376"/>
    </row>
    <row r="8" spans="2:11">
      <c r="B8" s="279" t="s">
        <v>655</v>
      </c>
      <c r="C8" s="279">
        <v>62.6</v>
      </c>
      <c r="D8" s="374"/>
      <c r="E8" s="375"/>
      <c r="F8" s="374"/>
      <c r="G8" s="375"/>
      <c r="H8" s="375"/>
      <c r="I8" s="375"/>
      <c r="J8" s="377"/>
    </row>
    <row r="9" spans="2:11">
      <c r="B9" s="276" t="s">
        <v>656</v>
      </c>
      <c r="C9" s="276">
        <v>1.9</v>
      </c>
      <c r="D9" s="371">
        <v>6742</v>
      </c>
      <c r="E9" s="361">
        <f>D9/$D$24</f>
        <v>0.40798789712556732</v>
      </c>
      <c r="F9" s="372">
        <f>C9*D9</f>
        <v>12809.8</v>
      </c>
      <c r="G9" s="381">
        <v>0.75</v>
      </c>
      <c r="H9" s="381">
        <v>0.25</v>
      </c>
      <c r="I9" s="381">
        <v>0</v>
      </c>
      <c r="J9" s="381">
        <v>0</v>
      </c>
    </row>
    <row r="10" spans="2:11">
      <c r="B10" s="279" t="s">
        <v>657</v>
      </c>
      <c r="C10" s="279">
        <v>1.7</v>
      </c>
      <c r="D10" s="374"/>
      <c r="E10" s="375"/>
      <c r="F10" s="374">
        <f>C10*E10</f>
        <v>0</v>
      </c>
      <c r="G10" s="382">
        <v>0.75</v>
      </c>
      <c r="H10" s="382">
        <v>0.25</v>
      </c>
      <c r="I10" s="279">
        <v>0</v>
      </c>
      <c r="J10" s="279">
        <v>0</v>
      </c>
    </row>
    <row r="11" spans="2:11">
      <c r="B11" s="279" t="s">
        <v>658</v>
      </c>
      <c r="C11" s="279">
        <v>9.6</v>
      </c>
      <c r="D11" s="374"/>
      <c r="E11" s="375"/>
      <c r="F11" s="374">
        <f>C11*E11</f>
        <v>0</v>
      </c>
      <c r="G11" s="382">
        <v>0.75</v>
      </c>
      <c r="H11" s="382">
        <v>0.25</v>
      </c>
      <c r="I11" s="279">
        <v>0</v>
      </c>
      <c r="J11" s="279">
        <v>0</v>
      </c>
    </row>
    <row r="12" spans="2:11">
      <c r="B12" s="276" t="s">
        <v>659</v>
      </c>
      <c r="C12" s="276">
        <v>9.5</v>
      </c>
      <c r="D12" s="371">
        <v>1019</v>
      </c>
      <c r="E12" s="361">
        <f>D12/$D$24</f>
        <v>6.1664145234493192E-2</v>
      </c>
      <c r="F12" s="372">
        <f>C12*D12</f>
        <v>9680.5</v>
      </c>
      <c r="G12" s="380">
        <f>G13*($C12-$C13)/($C14-$C13)+G14*($C14-$C12)/($C14-$C13)</f>
        <v>0.84124999999999994</v>
      </c>
      <c r="H12" s="380">
        <f>H13*($C12-$C13)/($C14-$C13)+H14*($C14-$C12)/($C14-$C13)</f>
        <v>0.13875000000000001</v>
      </c>
      <c r="I12" s="380">
        <f t="shared" ref="I12:J12" si="0">I13*($C12-$C13)/($C14-$C13)+I14*($C14-$C12)/($C14-$C13)</f>
        <v>1.8750000000000006E-3</v>
      </c>
      <c r="J12" s="380">
        <f t="shared" si="0"/>
        <v>1.8125000000000002E-2</v>
      </c>
    </row>
    <row r="13" spans="2:11">
      <c r="B13" s="279" t="s">
        <v>660</v>
      </c>
      <c r="C13" s="279">
        <v>8.6</v>
      </c>
      <c r="D13" s="374"/>
      <c r="E13" s="375"/>
      <c r="F13" s="374">
        <f>C13*E13</f>
        <v>0</v>
      </c>
      <c r="G13" s="382">
        <v>0.76</v>
      </c>
      <c r="H13" s="382">
        <v>0.22</v>
      </c>
      <c r="I13" s="382">
        <v>0.01</v>
      </c>
      <c r="J13" s="382">
        <v>0.01</v>
      </c>
    </row>
    <row r="14" spans="2:11">
      <c r="B14" s="279" t="s">
        <v>661</v>
      </c>
      <c r="C14" s="279">
        <v>13.4</v>
      </c>
      <c r="D14" s="374"/>
      <c r="E14" s="375"/>
      <c r="F14" s="374">
        <f>C14*E14</f>
        <v>0</v>
      </c>
      <c r="G14" s="382">
        <v>0.86</v>
      </c>
      <c r="H14" s="382">
        <v>0.12</v>
      </c>
      <c r="I14" s="382">
        <v>0</v>
      </c>
      <c r="J14" s="382">
        <v>0.02</v>
      </c>
    </row>
    <row r="15" spans="2:11">
      <c r="B15" s="276" t="s">
        <v>662</v>
      </c>
      <c r="C15" s="276">
        <v>24.1</v>
      </c>
      <c r="D15" s="371">
        <v>2019</v>
      </c>
      <c r="E15" s="361">
        <f>D15/$D$24</f>
        <v>0.12217851739788199</v>
      </c>
      <c r="F15" s="372">
        <f>C15*D15</f>
        <v>48657.9</v>
      </c>
      <c r="G15" s="380">
        <f>G16*($C15-$C16)/($C17-$C16)+G17*($C17-$C15)/($C17-$C16)</f>
        <v>0.74681818181818216</v>
      </c>
      <c r="H15" s="380">
        <f>H16*($C15-$C16)/($C17-$C16)+H17*($C17-$C15)/($C17-$C16)</f>
        <v>0</v>
      </c>
      <c r="I15" s="380">
        <f>I16*($C15-$C16)/($C17-$C16)+I17*($C17-$C15)/($C17-$C16)</f>
        <v>0.25318181818181795</v>
      </c>
      <c r="J15" s="380">
        <f>J16*($C15-$C16)/($C17-$C16)+J17*($C17-$C15)/($C17-$C16)</f>
        <v>0</v>
      </c>
      <c r="K15" t="s">
        <v>674</v>
      </c>
    </row>
    <row r="16" spans="2:11">
      <c r="B16" s="279" t="s">
        <v>663</v>
      </c>
      <c r="C16" s="279">
        <v>24.4</v>
      </c>
      <c r="D16" s="374"/>
      <c r="E16" s="375"/>
      <c r="F16" s="374">
        <f>C16*E16</f>
        <v>0</v>
      </c>
      <c r="G16" s="382">
        <f>1-I16</f>
        <v>0.43000000000000005</v>
      </c>
      <c r="H16" s="279">
        <v>0</v>
      </c>
      <c r="I16" s="382">
        <v>0.56999999999999995</v>
      </c>
      <c r="J16" s="279">
        <v>0</v>
      </c>
    </row>
    <row r="17" spans="2:11">
      <c r="B17" s="279" t="s">
        <v>664</v>
      </c>
      <c r="C17" s="279">
        <v>20</v>
      </c>
      <c r="D17" s="374"/>
      <c r="E17" s="375"/>
      <c r="F17" s="374">
        <f>C17*E17</f>
        <v>0</v>
      </c>
      <c r="G17" s="382">
        <v>0.77</v>
      </c>
      <c r="H17" s="279">
        <v>0</v>
      </c>
      <c r="I17" s="382">
        <f>1-G17</f>
        <v>0.22999999999999998</v>
      </c>
      <c r="J17" s="279">
        <v>0</v>
      </c>
    </row>
    <row r="18" spans="2:11">
      <c r="B18" s="276" t="s">
        <v>665</v>
      </c>
      <c r="C18" s="276">
        <v>24</v>
      </c>
      <c r="D18" s="371">
        <v>777</v>
      </c>
      <c r="E18" s="361">
        <f>D18/$D$24</f>
        <v>4.70196671709531E-2</v>
      </c>
      <c r="F18" s="372">
        <f>C18*D18</f>
        <v>18648</v>
      </c>
      <c r="G18" s="383">
        <f>G12</f>
        <v>0.84124999999999994</v>
      </c>
      <c r="H18" s="383">
        <f t="shared" ref="H18:J18" si="1">H12</f>
        <v>0.13875000000000001</v>
      </c>
      <c r="I18" s="383">
        <f t="shared" si="1"/>
        <v>1.8750000000000006E-3</v>
      </c>
      <c r="J18" s="383">
        <f t="shared" si="1"/>
        <v>1.8125000000000002E-2</v>
      </c>
      <c r="K18" t="s">
        <v>675</v>
      </c>
    </row>
    <row r="19" spans="2:11">
      <c r="B19" s="279" t="s">
        <v>666</v>
      </c>
      <c r="C19" s="279">
        <v>21.6</v>
      </c>
      <c r="D19" s="374"/>
      <c r="E19" s="375"/>
      <c r="F19" s="374">
        <f>C19*E19</f>
        <v>0</v>
      </c>
      <c r="G19" s="375"/>
      <c r="H19" s="375"/>
      <c r="I19" s="375"/>
      <c r="J19" s="375"/>
    </row>
    <row r="20" spans="2:11">
      <c r="B20" s="279" t="s">
        <v>667</v>
      </c>
      <c r="C20" s="279">
        <v>58.3</v>
      </c>
      <c r="D20" s="374"/>
      <c r="E20" s="375"/>
      <c r="F20" s="374">
        <f>C20*E20</f>
        <v>0</v>
      </c>
      <c r="G20" s="375"/>
      <c r="H20" s="375"/>
      <c r="I20" s="375"/>
      <c r="J20" s="375"/>
    </row>
    <row r="21" spans="2:11">
      <c r="B21" s="276" t="s">
        <v>668</v>
      </c>
      <c r="C21" s="276">
        <v>11</v>
      </c>
      <c r="D21" s="371">
        <v>1399</v>
      </c>
      <c r="E21" s="361">
        <f>D21/$D$24</f>
        <v>8.4659606656580941E-2</v>
      </c>
      <c r="F21" s="372">
        <f>C21*D21</f>
        <v>15389</v>
      </c>
      <c r="G21" s="383">
        <f>G15</f>
        <v>0.74681818181818216</v>
      </c>
      <c r="H21" s="383">
        <f t="shared" ref="H21:J21" si="2">H15</f>
        <v>0</v>
      </c>
      <c r="I21" s="383">
        <f t="shared" si="2"/>
        <v>0.25318181818181795</v>
      </c>
      <c r="J21" s="383">
        <f t="shared" si="2"/>
        <v>0</v>
      </c>
      <c r="K21" t="s">
        <v>676</v>
      </c>
    </row>
    <row r="22" spans="2:11">
      <c r="B22" s="279" t="s">
        <v>666</v>
      </c>
      <c r="C22" s="279">
        <v>10.6</v>
      </c>
      <c r="D22" s="374"/>
      <c r="E22" s="375"/>
      <c r="F22" s="374">
        <f>C22*E22</f>
        <v>0</v>
      </c>
      <c r="G22" s="375"/>
      <c r="H22" s="375"/>
      <c r="I22" s="375"/>
      <c r="J22" s="375"/>
    </row>
    <row r="23" spans="2:11">
      <c r="B23" s="279" t="s">
        <v>667</v>
      </c>
      <c r="C23" s="279">
        <v>16</v>
      </c>
      <c r="D23" s="374"/>
      <c r="E23" s="375"/>
      <c r="F23" s="374">
        <f>C23*E23</f>
        <v>0</v>
      </c>
      <c r="G23" s="375"/>
      <c r="H23" s="375"/>
      <c r="I23" s="375"/>
      <c r="J23" s="375"/>
    </row>
    <row r="24" spans="2:11" s="356" customFormat="1">
      <c r="B24" s="359" t="s">
        <v>669</v>
      </c>
      <c r="C24" s="378"/>
      <c r="D24" s="384">
        <f>SUM(D5,D9,D12,D15,D18,D21)</f>
        <v>16525</v>
      </c>
      <c r="E24" s="378"/>
      <c r="F24" s="378"/>
      <c r="G24" s="362">
        <f>($F$5*G5+$F$9*G9+$F$12*G12+$F$15*G15+$F$18*G18+$F$21*G21)/SUM($F$5,$F$9,$F$12,$F$15,$F$18,$F$21)</f>
        <v>0.40776416854279252</v>
      </c>
      <c r="H24" s="362">
        <f t="shared" ref="H24:J24" si="3">($F$5*H5+$F$9*H9+$F$12*H12+$F$15*H15+$F$18*H18+$F$21*H21)/SUM($F$5,$F$9,$F$12,$F$15,$F$18,$F$21)</f>
        <v>3.5789228128922976E-2</v>
      </c>
      <c r="I24" s="362">
        <f t="shared" si="3"/>
        <v>0.55387040132343379</v>
      </c>
      <c r="J24" s="362">
        <f t="shared" si="3"/>
        <v>2.5762020048508182E-3</v>
      </c>
    </row>
    <row r="26" spans="2:11" s="355" customFormat="1" ht="15">
      <c r="B26" s="369" t="s">
        <v>681</v>
      </c>
    </row>
    <row r="28" spans="2:11">
      <c r="B28" s="279" t="s">
        <v>679</v>
      </c>
      <c r="C28" s="354">
        <v>250.2</v>
      </c>
    </row>
    <row r="29" spans="2:11">
      <c r="B29" s="279" t="s">
        <v>29</v>
      </c>
      <c r="C29" s="392">
        <f>C28*About!$C$89/1000</f>
        <v>9922098411162</v>
      </c>
    </row>
    <row r="31" spans="2:11" s="355" customFormat="1">
      <c r="B31" s="369" t="s">
        <v>682</v>
      </c>
    </row>
    <row r="32" spans="2:11" s="386" customFormat="1">
      <c r="B32" s="385"/>
    </row>
    <row r="33" spans="2:35">
      <c r="C33" s="357" t="s">
        <v>650</v>
      </c>
      <c r="D33" s="357" t="s">
        <v>651</v>
      </c>
      <c r="E33" s="357" t="s">
        <v>649</v>
      </c>
      <c r="F33" s="358" t="s">
        <v>443</v>
      </c>
    </row>
    <row r="34" spans="2:35">
      <c r="C34" s="373">
        <f>$C$29*G24</f>
        <v>4045876208827.2358</v>
      </c>
      <c r="D34" s="373">
        <f>$C$29*H24</f>
        <v>355104243554.70099</v>
      </c>
      <c r="E34" s="373">
        <f>$C$29*I24</f>
        <v>5495556628960.9014</v>
      </c>
      <c r="F34" s="373">
        <f>$C$29*J24</f>
        <v>25561329819.162663</v>
      </c>
    </row>
    <row r="36" spans="2:35" s="355" customFormat="1">
      <c r="B36" s="369" t="s">
        <v>683</v>
      </c>
    </row>
    <row r="38" spans="2:35" s="363" customFormat="1">
      <c r="B38" s="364"/>
      <c r="C38" s="365">
        <v>2018</v>
      </c>
      <c r="D38" s="365">
        <v>2019</v>
      </c>
      <c r="E38" s="365">
        <v>2020</v>
      </c>
      <c r="F38" s="365">
        <v>2021</v>
      </c>
      <c r="G38" s="365">
        <v>2022</v>
      </c>
      <c r="H38" s="365">
        <v>2023</v>
      </c>
      <c r="I38" s="365">
        <v>2024</v>
      </c>
      <c r="J38" s="365">
        <v>2025</v>
      </c>
      <c r="K38" s="365">
        <v>2026</v>
      </c>
      <c r="L38" s="365">
        <v>2027</v>
      </c>
      <c r="M38" s="365">
        <v>2028</v>
      </c>
      <c r="N38" s="365">
        <v>2029</v>
      </c>
      <c r="O38" s="365">
        <v>2030</v>
      </c>
      <c r="P38" s="365">
        <v>2031</v>
      </c>
      <c r="Q38" s="365">
        <v>2032</v>
      </c>
      <c r="R38" s="365">
        <v>2033</v>
      </c>
      <c r="S38" s="365">
        <v>2034</v>
      </c>
      <c r="T38" s="365">
        <v>2035</v>
      </c>
      <c r="U38" s="365">
        <v>2036</v>
      </c>
      <c r="V38" s="365">
        <v>2037</v>
      </c>
      <c r="W38" s="365">
        <v>2038</v>
      </c>
      <c r="X38" s="365">
        <v>2039</v>
      </c>
      <c r="Y38" s="365">
        <v>2040</v>
      </c>
      <c r="Z38" s="365">
        <v>2041</v>
      </c>
      <c r="AA38" s="365">
        <v>2042</v>
      </c>
      <c r="AB38" s="365">
        <v>2043</v>
      </c>
      <c r="AC38" s="365">
        <v>2044</v>
      </c>
      <c r="AD38" s="365">
        <v>2045</v>
      </c>
      <c r="AE38" s="365">
        <v>2046</v>
      </c>
      <c r="AF38" s="365">
        <v>2047</v>
      </c>
      <c r="AG38" s="365">
        <v>2048</v>
      </c>
      <c r="AH38" s="365">
        <v>2049</v>
      </c>
      <c r="AI38" s="365">
        <v>2050</v>
      </c>
    </row>
    <row r="39" spans="2:35" s="363" customFormat="1">
      <c r="B39" s="366" t="s">
        <v>677</v>
      </c>
      <c r="C39" s="368">
        <v>51607</v>
      </c>
      <c r="D39" s="368">
        <v>51658.606999999996</v>
      </c>
      <c r="E39" s="368">
        <v>51710.265606999994</v>
      </c>
      <c r="F39" s="368">
        <v>51761.975872606985</v>
      </c>
      <c r="G39" s="368">
        <v>51813.737848479584</v>
      </c>
      <c r="H39" s="368">
        <v>51865.55158632806</v>
      </c>
      <c r="I39" s="368">
        <v>51917.417137914381</v>
      </c>
      <c r="J39" s="368">
        <v>51969.334555052286</v>
      </c>
      <c r="K39" s="368">
        <v>52021.303889607334</v>
      </c>
      <c r="L39" s="368">
        <v>52073.325193496938</v>
      </c>
      <c r="M39" s="368">
        <v>52125.398518690432</v>
      </c>
      <c r="N39" s="368">
        <v>52177.523917209117</v>
      </c>
      <c r="O39" s="368">
        <v>52229.701441126323</v>
      </c>
      <c r="P39" s="368">
        <v>52281.931142567446</v>
      </c>
      <c r="Q39" s="368">
        <v>52334.213073710009</v>
      </c>
      <c r="R39" s="368">
        <v>52386.547286783716</v>
      </c>
      <c r="S39" s="368">
        <v>52438.933834070493</v>
      </c>
      <c r="T39" s="368">
        <v>52491.372767904555</v>
      </c>
      <c r="U39" s="368">
        <v>52543.864140672456</v>
      </c>
      <c r="V39" s="368">
        <v>52596.408004813122</v>
      </c>
      <c r="W39" s="368">
        <v>52649.004412817929</v>
      </c>
      <c r="X39" s="368">
        <v>52701.653417230744</v>
      </c>
      <c r="Y39" s="368">
        <v>52754.355070647965</v>
      </c>
      <c r="Z39" s="367">
        <v>52490.583295294724</v>
      </c>
      <c r="AA39" s="367">
        <v>52228.130378818249</v>
      </c>
      <c r="AB39" s="367">
        <v>51966.989726924156</v>
      </c>
      <c r="AC39" s="367">
        <v>51707.154778289536</v>
      </c>
      <c r="AD39" s="367">
        <v>51448.61900439809</v>
      </c>
      <c r="AE39" s="367">
        <v>51191.375909376096</v>
      </c>
      <c r="AF39" s="367">
        <v>50935.419029829216</v>
      </c>
      <c r="AG39" s="367">
        <v>50680.741934680067</v>
      </c>
      <c r="AH39" s="367">
        <v>50427.338225006664</v>
      </c>
      <c r="AI39" s="367">
        <v>50175.201533881627</v>
      </c>
    </row>
    <row r="40" spans="2:35">
      <c r="B40" t="s">
        <v>678</v>
      </c>
      <c r="D40" s="370">
        <f>D39/C39-1</f>
        <v>9.9999999999988987E-4</v>
      </c>
      <c r="E40" s="370">
        <f t="shared" ref="E40:AI40" si="4">E39/D39-1</f>
        <v>9.9999999999988987E-4</v>
      </c>
      <c r="F40" s="370">
        <f t="shared" si="4"/>
        <v>9.9999999999988987E-4</v>
      </c>
      <c r="G40" s="370">
        <f t="shared" si="4"/>
        <v>9.9999999999988987E-4</v>
      </c>
      <c r="H40" s="370">
        <f t="shared" si="4"/>
        <v>9.9999999999988987E-4</v>
      </c>
      <c r="I40" s="370">
        <f t="shared" si="4"/>
        <v>9.9999999999988987E-4</v>
      </c>
      <c r="J40" s="370">
        <f t="shared" si="4"/>
        <v>9.9999999999988987E-4</v>
      </c>
      <c r="K40" s="370">
        <f t="shared" si="4"/>
        <v>9.9999999999988987E-4</v>
      </c>
      <c r="L40" s="370">
        <f t="shared" si="4"/>
        <v>9.9999999999988987E-4</v>
      </c>
      <c r="M40" s="370">
        <f t="shared" si="4"/>
        <v>9.9999999999988987E-4</v>
      </c>
      <c r="N40" s="370">
        <f t="shared" si="4"/>
        <v>9.9999999999988987E-4</v>
      </c>
      <c r="O40" s="370">
        <f t="shared" si="4"/>
        <v>9.9999999999988987E-4</v>
      </c>
      <c r="P40" s="370">
        <f t="shared" si="4"/>
        <v>9.9999999999988987E-4</v>
      </c>
      <c r="Q40" s="370">
        <f t="shared" si="4"/>
        <v>9.9999999999988987E-4</v>
      </c>
      <c r="R40" s="370">
        <f t="shared" si="4"/>
        <v>9.9999999999988987E-4</v>
      </c>
      <c r="S40" s="370">
        <f t="shared" si="4"/>
        <v>9.9999999999988987E-4</v>
      </c>
      <c r="T40" s="370">
        <f t="shared" si="4"/>
        <v>9.9999999999988987E-4</v>
      </c>
      <c r="U40" s="370">
        <f t="shared" si="4"/>
        <v>9.9999999999988987E-4</v>
      </c>
      <c r="V40" s="370">
        <f t="shared" si="4"/>
        <v>9.9999999999988987E-4</v>
      </c>
      <c r="W40" s="370">
        <f t="shared" si="4"/>
        <v>9.9999999999988987E-4</v>
      </c>
      <c r="X40" s="370">
        <f t="shared" si="4"/>
        <v>9.9999999999988987E-4</v>
      </c>
      <c r="Y40" s="370">
        <f t="shared" si="4"/>
        <v>9.9999999999988987E-4</v>
      </c>
      <c r="Z40" s="370">
        <f t="shared" si="4"/>
        <v>-5.0000000000000044E-3</v>
      </c>
      <c r="AA40" s="370">
        <f t="shared" si="4"/>
        <v>-5.0000000000000044E-3</v>
      </c>
      <c r="AB40" s="370">
        <f t="shared" si="4"/>
        <v>-5.0000000000000044E-3</v>
      </c>
      <c r="AC40" s="370">
        <f t="shared" si="4"/>
        <v>-5.0000000000000044E-3</v>
      </c>
      <c r="AD40" s="370">
        <f t="shared" si="4"/>
        <v>-5.0000000000000044E-3</v>
      </c>
      <c r="AE40" s="370">
        <f t="shared" si="4"/>
        <v>-5.0000000000000044E-3</v>
      </c>
      <c r="AF40" s="370">
        <f t="shared" si="4"/>
        <v>-5.0000000000000044E-3</v>
      </c>
      <c r="AG40" s="370">
        <f t="shared" si="4"/>
        <v>-5.0000000000000044E-3</v>
      </c>
      <c r="AH40" s="370">
        <f t="shared" si="4"/>
        <v>-5.0000000000000044E-3</v>
      </c>
      <c r="AI40" s="370">
        <f t="shared" si="4"/>
        <v>-5.0000000000001155E-3</v>
      </c>
    </row>
  </sheetData>
  <phoneticPr fontId="37"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0DF27-B509-4E22-A642-B811095430F2}">
  <dimension ref="A1:AG147"/>
  <sheetViews>
    <sheetView workbookViewId="0">
      <selection activeCell="B4" sqref="B4"/>
    </sheetView>
  </sheetViews>
  <sheetFormatPr defaultRowHeight="16.5"/>
  <cols>
    <col min="1" max="1" width="29.875" customWidth="1"/>
    <col min="2" max="2" width="11.875" bestFit="1" customWidth="1"/>
    <col min="6" max="6" width="8.75"/>
  </cols>
  <sheetData>
    <row r="1" spans="1:33">
      <c r="A1" t="s">
        <v>792</v>
      </c>
      <c r="B1" t="s">
        <v>793</v>
      </c>
      <c r="C1" t="s">
        <v>794</v>
      </c>
      <c r="D1">
        <v>2019</v>
      </c>
    </row>
    <row r="3" spans="1:33" ht="49.5">
      <c r="B3" s="406" t="s">
        <v>795</v>
      </c>
      <c r="C3" s="406" t="s">
        <v>796</v>
      </c>
      <c r="D3" s="406" t="s">
        <v>797</v>
      </c>
      <c r="E3" s="406" t="s">
        <v>798</v>
      </c>
      <c r="F3" s="406"/>
      <c r="G3" s="406" t="s">
        <v>799</v>
      </c>
    </row>
    <row r="4" spans="1:33">
      <c r="A4" t="s">
        <v>800</v>
      </c>
      <c r="B4">
        <v>229305</v>
      </c>
      <c r="C4">
        <v>57226</v>
      </c>
      <c r="D4">
        <v>381380</v>
      </c>
      <c r="E4">
        <v>20813</v>
      </c>
      <c r="G4">
        <v>242421</v>
      </c>
    </row>
    <row r="5" spans="1:33">
      <c r="A5" t="s">
        <v>801</v>
      </c>
      <c r="B5">
        <f>B4*$B$7</f>
        <v>217339177185000</v>
      </c>
      <c r="C5">
        <f t="shared" ref="C5:G5" si="0">C4*$B$7</f>
        <v>54239775642000</v>
      </c>
      <c r="D5">
        <f t="shared" si="0"/>
        <v>361478447460000</v>
      </c>
      <c r="E5">
        <f t="shared" si="0"/>
        <v>19726915221000</v>
      </c>
      <c r="G5">
        <f t="shared" si="0"/>
        <v>229770744957000</v>
      </c>
    </row>
    <row r="7" spans="1:33">
      <c r="A7" t="s">
        <v>802</v>
      </c>
      <c r="B7">
        <f>947817000</f>
        <v>947817000</v>
      </c>
    </row>
    <row r="9" spans="1:33">
      <c r="A9" s="1" t="s">
        <v>803</v>
      </c>
    </row>
    <row r="10" spans="1:33">
      <c r="B10">
        <v>2020</v>
      </c>
      <c r="C10">
        <v>2021</v>
      </c>
      <c r="D10">
        <v>2022</v>
      </c>
      <c r="E10">
        <v>2023</v>
      </c>
      <c r="F10">
        <v>2024</v>
      </c>
      <c r="G10">
        <v>2025</v>
      </c>
      <c r="H10">
        <v>2026</v>
      </c>
      <c r="I10">
        <v>2027</v>
      </c>
      <c r="J10">
        <v>2028</v>
      </c>
      <c r="K10">
        <v>2029</v>
      </c>
      <c r="L10">
        <v>2030</v>
      </c>
      <c r="M10">
        <v>2031</v>
      </c>
      <c r="N10">
        <v>2032</v>
      </c>
      <c r="O10">
        <v>2033</v>
      </c>
      <c r="P10">
        <v>2034</v>
      </c>
      <c r="Q10">
        <v>2035</v>
      </c>
      <c r="R10">
        <v>2036</v>
      </c>
      <c r="S10">
        <v>2037</v>
      </c>
      <c r="T10">
        <v>2038</v>
      </c>
      <c r="U10">
        <v>2039</v>
      </c>
      <c r="V10">
        <v>2040</v>
      </c>
      <c r="W10">
        <v>2041</v>
      </c>
      <c r="X10">
        <v>2042</v>
      </c>
      <c r="Y10">
        <v>2043</v>
      </c>
      <c r="Z10">
        <v>2044</v>
      </c>
      <c r="AA10">
        <v>2045</v>
      </c>
      <c r="AB10">
        <v>2046</v>
      </c>
      <c r="AC10">
        <v>2047</v>
      </c>
      <c r="AD10">
        <v>2048</v>
      </c>
      <c r="AE10">
        <v>2049</v>
      </c>
      <c r="AF10">
        <v>2050</v>
      </c>
    </row>
    <row r="11" spans="1:33">
      <c r="A11" t="s">
        <v>2</v>
      </c>
      <c r="B11" s="16">
        <f>'BIFUbC-electricity'!B2</f>
        <v>54056671663803.742</v>
      </c>
      <c r="C11" s="16">
        <f>'BIFUbC-electricity'!C2</f>
        <v>56043161122822.438</v>
      </c>
      <c r="D11" s="16">
        <f>'BIFUbC-electricity'!D2</f>
        <v>58029650581841.125</v>
      </c>
      <c r="E11" s="16">
        <f>'BIFUbC-electricity'!E2</f>
        <v>60016140040859.813</v>
      </c>
      <c r="F11" s="16">
        <f>'BIFUbC-electricity'!F2</f>
        <v>62002629499878.508</v>
      </c>
      <c r="G11" s="16">
        <f>'BIFUbC-electricity'!G2</f>
        <v>63989118958897.195</v>
      </c>
      <c r="H11" s="16">
        <f>'BIFUbC-electricity'!H2</f>
        <v>64504454516536.094</v>
      </c>
      <c r="I11" s="16">
        <f>'BIFUbC-electricity'!I2</f>
        <v>65019790074174.984</v>
      </c>
      <c r="J11" s="16">
        <f>'BIFUbC-electricity'!J2</f>
        <v>65535125631813.875</v>
      </c>
      <c r="K11" s="16">
        <f>'BIFUbC-electricity'!K2</f>
        <v>66050461189452.773</v>
      </c>
      <c r="L11" s="16">
        <f>'BIFUbC-electricity'!L2</f>
        <v>66565796747091.664</v>
      </c>
      <c r="M11" s="16">
        <f>'BIFUbC-electricity'!M2</f>
        <v>66838049494523.531</v>
      </c>
      <c r="N11" s="16">
        <f>'BIFUbC-electricity'!N2</f>
        <v>67110302241955.398</v>
      </c>
      <c r="O11" s="16">
        <f>'BIFUbC-electricity'!O2</f>
        <v>67382554989387.266</v>
      </c>
      <c r="P11" s="16">
        <f>'BIFUbC-electricity'!P2</f>
        <v>67654807736819.133</v>
      </c>
      <c r="Q11" s="16">
        <f>'BIFUbC-electricity'!Q2</f>
        <v>67927060484251.008</v>
      </c>
      <c r="R11" s="16">
        <f>'BIFUbC-electricity'!R2</f>
        <v>68121526732416.625</v>
      </c>
      <c r="S11" s="16">
        <f>'BIFUbC-electricity'!S2</f>
        <v>68315992980582.242</v>
      </c>
      <c r="T11" s="16">
        <f>'BIFUbC-electricity'!T2</f>
        <v>68510459228747.859</v>
      </c>
      <c r="U11" s="16">
        <f>'BIFUbC-electricity'!U2</f>
        <v>68704925476913.484</v>
      </c>
      <c r="V11" s="16">
        <f>'BIFUbC-electricity'!V2</f>
        <v>68899391725079.086</v>
      </c>
      <c r="W11" s="16">
        <f>'BIFUbC-electricity'!W2</f>
        <v>69197573305599.758</v>
      </c>
      <c r="X11" s="16">
        <f>'BIFUbC-electricity'!X2</f>
        <v>69425039886787.375</v>
      </c>
      <c r="Y11" s="16">
        <f>'BIFUbC-electricity'!Y2</f>
        <v>69652506467975.055</v>
      </c>
      <c r="Z11" s="16">
        <f>'BIFUbC-electricity'!Z2</f>
        <v>69879973049162.727</v>
      </c>
      <c r="AA11" s="16">
        <f>'BIFUbC-electricity'!AA2</f>
        <v>70107439630350.406</v>
      </c>
      <c r="AB11" s="16">
        <f>'BIFUbC-electricity'!AB2</f>
        <v>70334906211538.023</v>
      </c>
      <c r="AC11" s="16">
        <f>'BIFUbC-electricity'!AC2</f>
        <v>70562372792725.703</v>
      </c>
      <c r="AD11" s="16">
        <f>'BIFUbC-electricity'!AD2</f>
        <v>70789839373913.375</v>
      </c>
      <c r="AE11" s="16">
        <f>'BIFUbC-electricity'!AE2</f>
        <v>71017305955101.063</v>
      </c>
      <c r="AF11" s="16">
        <f>'BIFUbC-electricity'!AF2</f>
        <v>71244772536288.734</v>
      </c>
      <c r="AG11" s="16"/>
    </row>
    <row r="12" spans="1:33">
      <c r="A12" t="s">
        <v>3</v>
      </c>
      <c r="B12" s="16">
        <f>'BIFUbC-electricity'!B3</f>
        <v>0</v>
      </c>
      <c r="C12" s="16">
        <f>'BIFUbC-electricity'!C3</f>
        <v>0</v>
      </c>
      <c r="D12" s="16">
        <f>'BIFUbC-electricity'!D3</f>
        <v>0</v>
      </c>
      <c r="E12" s="16">
        <f>'BIFUbC-electricity'!E3</f>
        <v>0</v>
      </c>
      <c r="F12" s="16">
        <f>'BIFUbC-electricity'!F3</f>
        <v>0</v>
      </c>
      <c r="G12" s="16">
        <f>'BIFUbC-electricity'!G3</f>
        <v>0</v>
      </c>
      <c r="H12" s="16">
        <f>'BIFUbC-electricity'!H3</f>
        <v>0</v>
      </c>
      <c r="I12" s="16">
        <f>'BIFUbC-electricity'!I3</f>
        <v>0</v>
      </c>
      <c r="J12" s="16">
        <f>'BIFUbC-electricity'!J3</f>
        <v>0</v>
      </c>
      <c r="K12" s="16">
        <f>'BIFUbC-electricity'!K3</f>
        <v>0</v>
      </c>
      <c r="L12" s="16">
        <f>'BIFUbC-electricity'!L3</f>
        <v>0</v>
      </c>
      <c r="M12" s="16">
        <f>'BIFUbC-electricity'!M3</f>
        <v>0</v>
      </c>
      <c r="N12" s="16">
        <f>'BIFUbC-electricity'!N3</f>
        <v>0</v>
      </c>
      <c r="O12" s="16">
        <f>'BIFUbC-electricity'!O3</f>
        <v>0</v>
      </c>
      <c r="P12" s="16">
        <f>'BIFUbC-electricity'!P3</f>
        <v>0</v>
      </c>
      <c r="Q12" s="16">
        <f>'BIFUbC-electricity'!Q3</f>
        <v>0</v>
      </c>
      <c r="R12" s="16">
        <f>'BIFUbC-electricity'!R3</f>
        <v>0</v>
      </c>
      <c r="S12" s="16">
        <f>'BIFUbC-electricity'!S3</f>
        <v>0</v>
      </c>
      <c r="T12" s="16">
        <f>'BIFUbC-electricity'!T3</f>
        <v>0</v>
      </c>
      <c r="U12" s="16">
        <f>'BIFUbC-electricity'!U3</f>
        <v>0</v>
      </c>
      <c r="V12" s="16">
        <f>'BIFUbC-electricity'!V3</f>
        <v>0</v>
      </c>
      <c r="W12" s="16">
        <f>'BIFUbC-electricity'!W3</f>
        <v>0</v>
      </c>
      <c r="X12" s="16">
        <f>'BIFUbC-electricity'!X3</f>
        <v>0</v>
      </c>
      <c r="Y12" s="16">
        <f>'BIFUbC-electricity'!Y3</f>
        <v>0</v>
      </c>
      <c r="Z12" s="16">
        <f>'BIFUbC-electricity'!Z3</f>
        <v>0</v>
      </c>
      <c r="AA12" s="16">
        <f>'BIFUbC-electricity'!AA3</f>
        <v>0</v>
      </c>
      <c r="AB12" s="16">
        <f>'BIFUbC-electricity'!AB3</f>
        <v>0</v>
      </c>
      <c r="AC12" s="16">
        <f>'BIFUbC-electricity'!AC3</f>
        <v>0</v>
      </c>
      <c r="AD12" s="16">
        <f>'BIFUbC-electricity'!AD3</f>
        <v>0</v>
      </c>
      <c r="AE12" s="16">
        <f>'BIFUbC-electricity'!AE3</f>
        <v>0</v>
      </c>
      <c r="AF12" s="16">
        <f>'BIFUbC-electricity'!AF3</f>
        <v>0</v>
      </c>
      <c r="AG12" s="16"/>
    </row>
    <row r="13" spans="1:33">
      <c r="A13" t="s">
        <v>4</v>
      </c>
      <c r="B13" s="16">
        <f>'BIFUbC-electricity'!B4</f>
        <v>0</v>
      </c>
      <c r="C13" s="16">
        <f>'BIFUbC-electricity'!C4</f>
        <v>0</v>
      </c>
      <c r="D13" s="16">
        <f>'BIFUbC-electricity'!D4</f>
        <v>0</v>
      </c>
      <c r="E13" s="16">
        <f>'BIFUbC-electricity'!E4</f>
        <v>0</v>
      </c>
      <c r="F13" s="16">
        <f>'BIFUbC-electricity'!F4</f>
        <v>0</v>
      </c>
      <c r="G13" s="16">
        <f>'BIFUbC-electricity'!G4</f>
        <v>0</v>
      </c>
      <c r="H13" s="16">
        <f>'BIFUbC-electricity'!H4</f>
        <v>0</v>
      </c>
      <c r="I13" s="16">
        <f>'BIFUbC-electricity'!I4</f>
        <v>0</v>
      </c>
      <c r="J13" s="16">
        <f>'BIFUbC-electricity'!J4</f>
        <v>0</v>
      </c>
      <c r="K13" s="16">
        <f>'BIFUbC-electricity'!K4</f>
        <v>0</v>
      </c>
      <c r="L13" s="16">
        <f>'BIFUbC-electricity'!L4</f>
        <v>0</v>
      </c>
      <c r="M13" s="16">
        <f>'BIFUbC-electricity'!M4</f>
        <v>0</v>
      </c>
      <c r="N13" s="16">
        <f>'BIFUbC-electricity'!N4</f>
        <v>0</v>
      </c>
      <c r="O13" s="16">
        <f>'BIFUbC-electricity'!O4</f>
        <v>0</v>
      </c>
      <c r="P13" s="16">
        <f>'BIFUbC-electricity'!P4</f>
        <v>0</v>
      </c>
      <c r="Q13" s="16">
        <f>'BIFUbC-electricity'!Q4</f>
        <v>0</v>
      </c>
      <c r="R13" s="16">
        <f>'BIFUbC-electricity'!R4</f>
        <v>0</v>
      </c>
      <c r="S13" s="16">
        <f>'BIFUbC-electricity'!S4</f>
        <v>0</v>
      </c>
      <c r="T13" s="16">
        <f>'BIFUbC-electricity'!T4</f>
        <v>0</v>
      </c>
      <c r="U13" s="16">
        <f>'BIFUbC-electricity'!U4</f>
        <v>0</v>
      </c>
      <c r="V13" s="16">
        <f>'BIFUbC-electricity'!V4</f>
        <v>0</v>
      </c>
      <c r="W13" s="16">
        <f>'BIFUbC-electricity'!W4</f>
        <v>0</v>
      </c>
      <c r="X13" s="16">
        <f>'BIFUbC-electricity'!X4</f>
        <v>0</v>
      </c>
      <c r="Y13" s="16">
        <f>'BIFUbC-electricity'!Y4</f>
        <v>0</v>
      </c>
      <c r="Z13" s="16">
        <f>'BIFUbC-electricity'!Z4</f>
        <v>0</v>
      </c>
      <c r="AA13" s="16">
        <f>'BIFUbC-electricity'!AA4</f>
        <v>0</v>
      </c>
      <c r="AB13" s="16">
        <f>'BIFUbC-electricity'!AB4</f>
        <v>0</v>
      </c>
      <c r="AC13" s="16">
        <f>'BIFUbC-electricity'!AC4</f>
        <v>0</v>
      </c>
      <c r="AD13" s="16">
        <f>'BIFUbC-electricity'!AD4</f>
        <v>0</v>
      </c>
      <c r="AE13" s="16">
        <f>'BIFUbC-electricity'!AE4</f>
        <v>0</v>
      </c>
      <c r="AF13" s="16">
        <f>'BIFUbC-electricity'!AF4</f>
        <v>0</v>
      </c>
      <c r="AG13" s="16"/>
    </row>
    <row r="14" spans="1:33">
      <c r="A14" t="s">
        <v>5</v>
      </c>
      <c r="B14" s="16">
        <f>'BIFUbC-electricity'!B5</f>
        <v>4662339393723.8271</v>
      </c>
      <c r="C14" s="16">
        <f>'BIFUbC-electricity'!C5</f>
        <v>4833672325902.8828</v>
      </c>
      <c r="D14" s="16">
        <f>'BIFUbC-electricity'!D5</f>
        <v>5005005258081.9385</v>
      </c>
      <c r="E14" s="16">
        <f>'BIFUbC-electricity'!E5</f>
        <v>5176338190260.9941</v>
      </c>
      <c r="F14" s="16">
        <f>'BIFUbC-electricity'!F5</f>
        <v>5347671122440.0508</v>
      </c>
      <c r="G14" s="16">
        <f>'BIFUbC-electricity'!G5</f>
        <v>5519004054619.1055</v>
      </c>
      <c r="H14" s="16">
        <f>'BIFUbC-electricity'!H5</f>
        <v>5563451283747.6299</v>
      </c>
      <c r="I14" s="16">
        <f>'BIFUbC-electricity'!I5</f>
        <v>5607898512876.1533</v>
      </c>
      <c r="J14" s="16">
        <f>'BIFUbC-electricity'!J5</f>
        <v>5652345742004.6768</v>
      </c>
      <c r="K14" s="16">
        <f>'BIFUbC-electricity'!K5</f>
        <v>5696792971133.2002</v>
      </c>
      <c r="L14" s="16">
        <f>'BIFUbC-electricity'!L5</f>
        <v>5741240200261.7236</v>
      </c>
      <c r="M14" s="16">
        <f>'BIFUbC-electricity'!M5</f>
        <v>5764721755273.0195</v>
      </c>
      <c r="N14" s="16">
        <f>'BIFUbC-electricity'!N5</f>
        <v>5788203310284.3145</v>
      </c>
      <c r="O14" s="16">
        <f>'BIFUbC-electricity'!O5</f>
        <v>5811684865295.6104</v>
      </c>
      <c r="P14" s="16">
        <f>'BIFUbC-electricity'!P5</f>
        <v>5835166420306.9053</v>
      </c>
      <c r="Q14" s="16">
        <f>'BIFUbC-electricity'!Q5</f>
        <v>5858647975318.2012</v>
      </c>
      <c r="R14" s="16">
        <f>'BIFUbC-electricity'!R5</f>
        <v>5875420514611.9834</v>
      </c>
      <c r="S14" s="16">
        <f>'BIFUbC-electricity'!S5</f>
        <v>5892193053905.7656</v>
      </c>
      <c r="T14" s="16">
        <f>'BIFUbC-electricity'!T5</f>
        <v>5908965593199.5479</v>
      </c>
      <c r="U14" s="16">
        <f>'BIFUbC-electricity'!U5</f>
        <v>5925738132493.3301</v>
      </c>
      <c r="V14" s="16">
        <f>'BIFUbC-electricity'!V5</f>
        <v>5942510671787.1113</v>
      </c>
      <c r="W14" s="16">
        <f>'BIFUbC-electricity'!W5</f>
        <v>5968228565370.916</v>
      </c>
      <c r="X14" s="16">
        <f>'BIFUbC-electricity'!X5</f>
        <v>5987847353756.9727</v>
      </c>
      <c r="Y14" s="16">
        <f>'BIFUbC-electricity'!Y5</f>
        <v>6007466142143.0342</v>
      </c>
      <c r="Z14" s="16">
        <f>'BIFUbC-electricity'!Z5</f>
        <v>6027084930529.0957</v>
      </c>
      <c r="AA14" s="16">
        <f>'BIFUbC-electricity'!AA5</f>
        <v>6046703718915.1582</v>
      </c>
      <c r="AB14" s="16">
        <f>'BIFUbC-electricity'!AB5</f>
        <v>6066322507301.2139</v>
      </c>
      <c r="AC14" s="16">
        <f>'BIFUbC-electricity'!AC5</f>
        <v>6085941295687.2764</v>
      </c>
      <c r="AD14" s="16">
        <f>'BIFUbC-electricity'!AD5</f>
        <v>6105560084073.3379</v>
      </c>
      <c r="AE14" s="16">
        <f>'BIFUbC-electricity'!AE5</f>
        <v>6125178872459.3994</v>
      </c>
      <c r="AF14" s="16">
        <f>'BIFUbC-electricity'!AF5</f>
        <v>6144797660845.4609</v>
      </c>
      <c r="AG14" s="16"/>
    </row>
    <row r="15" spans="1:33">
      <c r="A15" t="s">
        <v>6</v>
      </c>
      <c r="B15" s="16">
        <f>'BIFUbC-electricity'!B6</f>
        <v>42826280355774.883</v>
      </c>
      <c r="C15" s="16">
        <f>'BIFUbC-electricity'!C6</f>
        <v>44400072301842.688</v>
      </c>
      <c r="D15" s="16">
        <f>'BIFUbC-electricity'!D6</f>
        <v>45973864247910.492</v>
      </c>
      <c r="E15" s="16">
        <f>'BIFUbC-electricity'!E6</f>
        <v>47547656193978.297</v>
      </c>
      <c r="F15" s="16">
        <f>'BIFUbC-electricity'!F6</f>
        <v>49121448140046.102</v>
      </c>
      <c r="G15" s="16">
        <f>'BIFUbC-electricity'!G6</f>
        <v>50695240086113.906</v>
      </c>
      <c r="H15" s="16">
        <f>'BIFUbC-electricity'!H6</f>
        <v>51103513558924.125</v>
      </c>
      <c r="I15" s="16">
        <f>'BIFUbC-electricity'!I6</f>
        <v>51511787031734.344</v>
      </c>
      <c r="J15" s="16">
        <f>'BIFUbC-electricity'!J6</f>
        <v>51920060504544.563</v>
      </c>
      <c r="K15" s="16">
        <f>'BIFUbC-electricity'!K6</f>
        <v>52328333977354.773</v>
      </c>
      <c r="L15" s="16">
        <f>'BIFUbC-electricity'!L6</f>
        <v>52736607450164.992</v>
      </c>
      <c r="M15" s="16">
        <f>'BIFUbC-electricity'!M6</f>
        <v>52952299096177.938</v>
      </c>
      <c r="N15" s="16">
        <f>'BIFUbC-electricity'!N6</f>
        <v>53167990742190.883</v>
      </c>
      <c r="O15" s="16">
        <f>'BIFUbC-electricity'!O6</f>
        <v>53383682388203.828</v>
      </c>
      <c r="P15" s="16">
        <f>'BIFUbC-electricity'!P6</f>
        <v>53599374034216.773</v>
      </c>
      <c r="Q15" s="16">
        <f>'BIFUbC-electricity'!Q6</f>
        <v>53815065680229.727</v>
      </c>
      <c r="R15" s="16">
        <f>'BIFUbC-electricity'!R6</f>
        <v>53969131141667.531</v>
      </c>
      <c r="S15" s="16">
        <f>'BIFUbC-electricity'!S6</f>
        <v>54123196603105.352</v>
      </c>
      <c r="T15" s="16">
        <f>'BIFUbC-electricity'!T6</f>
        <v>54277262064543.172</v>
      </c>
      <c r="U15" s="16">
        <f>'BIFUbC-electricity'!U6</f>
        <v>54431327525980.984</v>
      </c>
      <c r="V15" s="16">
        <f>'BIFUbC-electricity'!V6</f>
        <v>54585392987418.797</v>
      </c>
      <c r="W15" s="16">
        <f>'BIFUbC-electricity'!W6</f>
        <v>54821626694956.828</v>
      </c>
      <c r="X15" s="16">
        <f>'BIFUbC-electricity'!X6</f>
        <v>55001836598335.57</v>
      </c>
      <c r="Y15" s="16">
        <f>'BIFUbC-electricity'!Y6</f>
        <v>55182046501714.359</v>
      </c>
      <c r="Z15" s="16">
        <f>'BIFUbC-electricity'!Z6</f>
        <v>55362256405093.148</v>
      </c>
      <c r="AA15" s="16">
        <f>'BIFUbC-electricity'!AA6</f>
        <v>55542466308471.938</v>
      </c>
      <c r="AB15" s="16">
        <f>'BIFUbC-electricity'!AB6</f>
        <v>55722676211850.68</v>
      </c>
      <c r="AC15" s="16">
        <f>'BIFUbC-electricity'!AC6</f>
        <v>55902886115229.477</v>
      </c>
      <c r="AD15" s="16">
        <f>'BIFUbC-electricity'!AD6</f>
        <v>56083096018608.266</v>
      </c>
      <c r="AE15" s="16">
        <f>'BIFUbC-electricity'!AE6</f>
        <v>56263305921987.055</v>
      </c>
      <c r="AF15" s="16">
        <f>'BIFUbC-electricity'!AF6</f>
        <v>56443515825365.844</v>
      </c>
      <c r="AG15" s="16"/>
    </row>
    <row r="16" spans="1:33">
      <c r="A16" t="s">
        <v>7</v>
      </c>
      <c r="B16" s="16">
        <f>'BIFUbC-electricity'!B7</f>
        <v>32269617358653.113</v>
      </c>
      <c r="C16" s="16">
        <f>'BIFUbC-electricity'!C7</f>
        <v>33455470145302.844</v>
      </c>
      <c r="D16" s="16">
        <f>'BIFUbC-electricity'!D7</f>
        <v>34641322931952.57</v>
      </c>
      <c r="E16" s="16">
        <f>'BIFUbC-electricity'!E7</f>
        <v>35827175718602.297</v>
      </c>
      <c r="F16" s="16">
        <f>'BIFUbC-electricity'!F7</f>
        <v>37013028505252.023</v>
      </c>
      <c r="G16" s="16">
        <f>'BIFUbC-electricity'!G7</f>
        <v>38198881291901.75</v>
      </c>
      <c r="H16" s="16">
        <f>'BIFUbC-electricity'!H7</f>
        <v>38506515497717.094</v>
      </c>
      <c r="I16" s="16">
        <f>'BIFUbC-electricity'!I7</f>
        <v>38814149703532.445</v>
      </c>
      <c r="J16" s="16">
        <f>'BIFUbC-electricity'!J7</f>
        <v>39121783909347.789</v>
      </c>
      <c r="K16" s="16">
        <f>'BIFUbC-electricity'!K7</f>
        <v>39429418115163.133</v>
      </c>
      <c r="L16" s="16">
        <f>'BIFUbC-electricity'!L7</f>
        <v>39737052320978.484</v>
      </c>
      <c r="M16" s="16">
        <f>'BIFUbC-electricity'!M7</f>
        <v>39899576052352.625</v>
      </c>
      <c r="N16" s="16">
        <f>'BIFUbC-electricity'!N7</f>
        <v>40062099783726.773</v>
      </c>
      <c r="O16" s="16">
        <f>'BIFUbC-electricity'!O7</f>
        <v>40224623515100.914</v>
      </c>
      <c r="P16" s="16">
        <f>'BIFUbC-electricity'!P7</f>
        <v>40387147246475.063</v>
      </c>
      <c r="Q16" s="16">
        <f>'BIFUbC-electricity'!Q7</f>
        <v>40549670977849.211</v>
      </c>
      <c r="R16" s="16">
        <f>'BIFUbC-electricity'!R7</f>
        <v>40665759357402.172</v>
      </c>
      <c r="S16" s="16">
        <f>'BIFUbC-electricity'!S7</f>
        <v>40781847736955.133</v>
      </c>
      <c r="T16" s="16">
        <f>'BIFUbC-electricity'!T7</f>
        <v>40897936116508.086</v>
      </c>
      <c r="U16" s="16">
        <f>'BIFUbC-electricity'!U7</f>
        <v>41014024496061.047</v>
      </c>
      <c r="V16" s="16">
        <f>'BIFUbC-electricity'!V7</f>
        <v>41130112875614</v>
      </c>
      <c r="W16" s="16">
        <f>'BIFUbC-electricity'!W7</f>
        <v>41308115057595.242</v>
      </c>
      <c r="X16" s="16">
        <f>'BIFUbC-electricity'!X7</f>
        <v>41443903283375.344</v>
      </c>
      <c r="Y16" s="16">
        <f>'BIFUbC-electricity'!Y7</f>
        <v>41579691509155.484</v>
      </c>
      <c r="Z16" s="16">
        <f>'BIFUbC-electricity'!Z7</f>
        <v>41715479734935.617</v>
      </c>
      <c r="AA16" s="16">
        <f>'BIFUbC-electricity'!AA7</f>
        <v>41851267960715.758</v>
      </c>
      <c r="AB16" s="16">
        <f>'BIFUbC-electricity'!AB7</f>
        <v>41987056186495.859</v>
      </c>
      <c r="AC16" s="16">
        <f>'BIFUbC-electricity'!AC7</f>
        <v>42122844412275.992</v>
      </c>
      <c r="AD16" s="16">
        <f>'BIFUbC-electricity'!AD7</f>
        <v>42258632638056.133</v>
      </c>
      <c r="AE16" s="16">
        <f>'BIFUbC-electricity'!AE7</f>
        <v>42394420863836.273</v>
      </c>
      <c r="AF16" s="16">
        <f>'BIFUbC-electricity'!AF7</f>
        <v>42530209089616.406</v>
      </c>
      <c r="AG16" s="16"/>
    </row>
    <row r="17" spans="1:33">
      <c r="A17" t="s">
        <v>8</v>
      </c>
      <c r="B17" s="16">
        <f>'BIFUbC-electricity'!B8</f>
        <v>5418413083152.9258</v>
      </c>
      <c r="C17" s="16">
        <f>'BIFUbC-electricity'!C8</f>
        <v>5617530419514.9346</v>
      </c>
      <c r="D17" s="16">
        <f>'BIFUbC-electricity'!D8</f>
        <v>5816647755876.9424</v>
      </c>
      <c r="E17" s="16">
        <f>'BIFUbC-electricity'!E8</f>
        <v>6015765092238.9502</v>
      </c>
      <c r="F17" s="16">
        <f>'BIFUbC-electricity'!F8</f>
        <v>6214882428600.959</v>
      </c>
      <c r="G17" s="16">
        <f>'BIFUbC-electricity'!G8</f>
        <v>6413999764962.9668</v>
      </c>
      <c r="H17" s="16">
        <f>'BIFUbC-electricity'!H8</f>
        <v>6465654830689.0029</v>
      </c>
      <c r="I17" s="16">
        <f>'BIFUbC-electricity'!I8</f>
        <v>6517309896415.0381</v>
      </c>
      <c r="J17" s="16">
        <f>'BIFUbC-electricity'!J8</f>
        <v>6568964962141.0732</v>
      </c>
      <c r="K17" s="16">
        <f>'BIFUbC-electricity'!K8</f>
        <v>6620620027867.1084</v>
      </c>
      <c r="L17" s="16">
        <f>'BIFUbC-electricity'!L8</f>
        <v>6672275093593.1436</v>
      </c>
      <c r="M17" s="16">
        <f>'BIFUbC-electricity'!M8</f>
        <v>6699564562278.5957</v>
      </c>
      <c r="N17" s="16">
        <f>'BIFUbC-electricity'!N8</f>
        <v>6726854030964.0488</v>
      </c>
      <c r="O17" s="16">
        <f>'BIFUbC-electricity'!O8</f>
        <v>6754143499649.501</v>
      </c>
      <c r="P17" s="16">
        <f>'BIFUbC-electricity'!P8</f>
        <v>6781432968334.9531</v>
      </c>
      <c r="Q17" s="16">
        <f>'BIFUbC-electricity'!Q8</f>
        <v>6808722437020.4072</v>
      </c>
      <c r="R17" s="16">
        <f>'BIFUbC-electricity'!R8</f>
        <v>6828214914652.8721</v>
      </c>
      <c r="S17" s="16">
        <f>'BIFUbC-electricity'!S8</f>
        <v>6847707392285.3379</v>
      </c>
      <c r="T17" s="16">
        <f>'BIFUbC-electricity'!T8</f>
        <v>6867199869917.8047</v>
      </c>
      <c r="U17" s="16">
        <f>'BIFUbC-electricity'!U8</f>
        <v>6886692347550.2705</v>
      </c>
      <c r="V17" s="16">
        <f>'BIFUbC-electricity'!V8</f>
        <v>6906184825182.7354</v>
      </c>
      <c r="W17" s="16">
        <f>'BIFUbC-electricity'!W8</f>
        <v>6936073290885.8555</v>
      </c>
      <c r="X17" s="16">
        <f>'BIFUbC-electricity'!X8</f>
        <v>6958873582904.4316</v>
      </c>
      <c r="Y17" s="16">
        <f>'BIFUbC-electricity'!Y8</f>
        <v>6981673874923.0146</v>
      </c>
      <c r="Z17" s="16">
        <f>'BIFUbC-electricity'!Z8</f>
        <v>7004474166941.5977</v>
      </c>
      <c r="AA17" s="16">
        <f>'BIFUbC-electricity'!AA8</f>
        <v>7027274458960.1807</v>
      </c>
      <c r="AB17" s="16">
        <f>'BIFUbC-electricity'!AB8</f>
        <v>7050074750978.7568</v>
      </c>
      <c r="AC17" s="16">
        <f>'BIFUbC-electricity'!AC8</f>
        <v>7072875042997.3398</v>
      </c>
      <c r="AD17" s="16">
        <f>'BIFUbC-electricity'!AD8</f>
        <v>7095675335015.9229</v>
      </c>
      <c r="AE17" s="16">
        <f>'BIFUbC-electricity'!AE8</f>
        <v>7118475627034.5059</v>
      </c>
      <c r="AF17" s="16">
        <f>'BIFUbC-electricity'!AF8</f>
        <v>7141275919053.0889</v>
      </c>
      <c r="AG17" s="16"/>
    </row>
    <row r="18" spans="1:33">
      <c r="A18" t="s">
        <v>9</v>
      </c>
      <c r="B18" s="16">
        <f>'BIFUbC-electricity'!B9</f>
        <v>30934038521919.098</v>
      </c>
      <c r="C18" s="16">
        <f>'BIFUbC-electricity'!C9</f>
        <v>32070811089620.813</v>
      </c>
      <c r="D18" s="16">
        <f>'BIFUbC-electricity'!D9</f>
        <v>33207583657322.52</v>
      </c>
      <c r="E18" s="16">
        <f>'BIFUbC-electricity'!E9</f>
        <v>34344356225024.227</v>
      </c>
      <c r="F18" s="16">
        <f>'BIFUbC-electricity'!F9</f>
        <v>35481128792725.938</v>
      </c>
      <c r="G18" s="16">
        <f>'BIFUbC-electricity'!G9</f>
        <v>36617901360427.641</v>
      </c>
      <c r="H18" s="16">
        <f>'BIFUbC-electricity'!H9</f>
        <v>36912803164424.406</v>
      </c>
      <c r="I18" s="16">
        <f>'BIFUbC-electricity'!I9</f>
        <v>37207704968421.164</v>
      </c>
      <c r="J18" s="16">
        <f>'BIFUbC-electricity'!J9</f>
        <v>37502606772417.922</v>
      </c>
      <c r="K18" s="16">
        <f>'BIFUbC-electricity'!K9</f>
        <v>37797508576414.68</v>
      </c>
      <c r="L18" s="16">
        <f>'BIFUbC-electricity'!L9</f>
        <v>38092410380411.438</v>
      </c>
      <c r="M18" s="16">
        <f>'BIFUbC-electricity'!M9</f>
        <v>38248207559881.422</v>
      </c>
      <c r="N18" s="16">
        <f>'BIFUbC-electricity'!N9</f>
        <v>38404004739351.414</v>
      </c>
      <c r="O18" s="16">
        <f>'BIFUbC-electricity'!O9</f>
        <v>38559801918821.398</v>
      </c>
      <c r="P18" s="16">
        <f>'BIFUbC-electricity'!P9</f>
        <v>38715599098291.383</v>
      </c>
      <c r="Q18" s="16">
        <f>'BIFUbC-electricity'!Q9</f>
        <v>38871396277761.375</v>
      </c>
      <c r="R18" s="16">
        <f>'BIFUbC-electricity'!R9</f>
        <v>38982679977382.781</v>
      </c>
      <c r="S18" s="16">
        <f>'BIFUbC-electricity'!S9</f>
        <v>39093963677004.203</v>
      </c>
      <c r="T18" s="16">
        <f>'BIFUbC-electricity'!T9</f>
        <v>39205247376625.625</v>
      </c>
      <c r="U18" s="16">
        <f>'BIFUbC-electricity'!U9</f>
        <v>39316531076247.039</v>
      </c>
      <c r="V18" s="16">
        <f>'BIFUbC-electricity'!V9</f>
        <v>39427814775868.445</v>
      </c>
      <c r="W18" s="16">
        <f>'BIFUbC-electricity'!W9</f>
        <v>39598449781954.656</v>
      </c>
      <c r="X18" s="16">
        <f>'BIFUbC-electricity'!X9</f>
        <v>39728617988178.469</v>
      </c>
      <c r="Y18" s="16">
        <f>'BIFUbC-electricity'!Y9</f>
        <v>39858786194402.32</v>
      </c>
      <c r="Z18" s="16">
        <f>'BIFUbC-electricity'!Z9</f>
        <v>39988954400626.164</v>
      </c>
      <c r="AA18" s="16">
        <f>'BIFUbC-electricity'!AA9</f>
        <v>40119122606850.016</v>
      </c>
      <c r="AB18" s="16">
        <f>'BIFUbC-electricity'!AB9</f>
        <v>40249290813073.828</v>
      </c>
      <c r="AC18" s="16">
        <f>'BIFUbC-electricity'!AC9</f>
        <v>40379459019297.672</v>
      </c>
      <c r="AD18" s="16">
        <f>'BIFUbC-electricity'!AD9</f>
        <v>40509627225521.523</v>
      </c>
      <c r="AE18" s="16">
        <f>'BIFUbC-electricity'!AE9</f>
        <v>40639795431745.367</v>
      </c>
      <c r="AF18" s="16">
        <f>'BIFUbC-electricity'!AF9</f>
        <v>40769963637969.219</v>
      </c>
      <c r="AG18" s="16"/>
    </row>
    <row r="19" spans="1:33">
      <c r="A19" t="s">
        <v>648</v>
      </c>
      <c r="B19" s="16">
        <f>'BIFUbC-electricity'!B10</f>
        <v>0</v>
      </c>
      <c r="C19" s="16">
        <f>'BIFUbC-electricity'!C10</f>
        <v>0</v>
      </c>
      <c r="D19" s="16">
        <f>'BIFUbC-electricity'!D10</f>
        <v>0</v>
      </c>
      <c r="E19" s="16">
        <f>'BIFUbC-electricity'!E10</f>
        <v>0</v>
      </c>
      <c r="F19" s="16">
        <f>'BIFUbC-electricity'!F10</f>
        <v>0</v>
      </c>
      <c r="G19" s="16">
        <f>'BIFUbC-electricity'!G10</f>
        <v>0</v>
      </c>
      <c r="H19" s="16">
        <f>'BIFUbC-electricity'!H10</f>
        <v>0</v>
      </c>
      <c r="I19" s="16">
        <f>'BIFUbC-electricity'!I10</f>
        <v>0</v>
      </c>
      <c r="J19" s="16">
        <f>'BIFUbC-electricity'!J10</f>
        <v>0</v>
      </c>
      <c r="K19" s="16">
        <f>'BIFUbC-electricity'!K10</f>
        <v>0</v>
      </c>
      <c r="L19" s="16">
        <f>'BIFUbC-electricity'!L10</f>
        <v>0</v>
      </c>
      <c r="M19" s="16">
        <f>'BIFUbC-electricity'!M10</f>
        <v>0</v>
      </c>
      <c r="N19" s="16">
        <f>'BIFUbC-electricity'!N10</f>
        <v>0</v>
      </c>
      <c r="O19" s="16">
        <f>'BIFUbC-electricity'!O10</f>
        <v>0</v>
      </c>
      <c r="P19" s="16">
        <f>'BIFUbC-electricity'!P10</f>
        <v>0</v>
      </c>
      <c r="Q19" s="16">
        <f>'BIFUbC-electricity'!Q10</f>
        <v>0</v>
      </c>
      <c r="R19" s="16">
        <f>'BIFUbC-electricity'!R10</f>
        <v>0</v>
      </c>
      <c r="S19" s="16">
        <f>'BIFUbC-electricity'!S10</f>
        <v>0</v>
      </c>
      <c r="T19" s="16">
        <f>'BIFUbC-electricity'!T10</f>
        <v>0</v>
      </c>
      <c r="U19" s="16">
        <f>'BIFUbC-electricity'!U10</f>
        <v>0</v>
      </c>
      <c r="V19" s="16">
        <f>'BIFUbC-electricity'!V10</f>
        <v>0</v>
      </c>
      <c r="W19" s="16">
        <f>'BIFUbC-electricity'!W10</f>
        <v>0</v>
      </c>
      <c r="X19" s="16">
        <f>'BIFUbC-electricity'!X10</f>
        <v>0</v>
      </c>
      <c r="Y19" s="16">
        <f>'BIFUbC-electricity'!Y10</f>
        <v>0</v>
      </c>
      <c r="Z19" s="16">
        <f>'BIFUbC-electricity'!Z10</f>
        <v>0</v>
      </c>
      <c r="AA19" s="16">
        <f>'BIFUbC-electricity'!AA10</f>
        <v>0</v>
      </c>
      <c r="AB19" s="16">
        <f>'BIFUbC-electricity'!AB10</f>
        <v>0</v>
      </c>
      <c r="AC19" s="16">
        <f>'BIFUbC-electricity'!AC10</f>
        <v>0</v>
      </c>
      <c r="AD19" s="16">
        <f>'BIFUbC-electricity'!AD10</f>
        <v>0</v>
      </c>
      <c r="AE19" s="16">
        <f>'BIFUbC-electricity'!AE10</f>
        <v>0</v>
      </c>
      <c r="AF19" s="16">
        <f>'BIFUbC-electricity'!AF10</f>
        <v>0</v>
      </c>
      <c r="AG19" s="16"/>
    </row>
    <row r="20" spans="1:33">
      <c r="A20" t="s">
        <v>124</v>
      </c>
      <c r="B20" s="16">
        <f>'BIFUbC-electricity'!B11</f>
        <v>111955077231096.38</v>
      </c>
      <c r="C20" s="16">
        <f>'BIFUbC-electricity'!C11</f>
        <v>100559755918088.89</v>
      </c>
      <c r="D20" s="16">
        <f>'BIFUbC-electricity'!D11</f>
        <v>95645412317937.953</v>
      </c>
      <c r="E20" s="16">
        <f>'BIFUbC-electricity'!E11</f>
        <v>89850146300619.234</v>
      </c>
      <c r="F20" s="16">
        <f>'BIFUbC-electricity'!F11</f>
        <v>87643297723511.703</v>
      </c>
      <c r="G20" s="16">
        <f>'BIFUbC-electricity'!G11</f>
        <v>86689720232902.375</v>
      </c>
      <c r="H20" s="16">
        <f>'BIFUbC-electricity'!H11</f>
        <v>85594904052370.609</v>
      </c>
      <c r="I20" s="16">
        <f>'BIFUbC-electricity'!I11</f>
        <v>84360318872550.813</v>
      </c>
      <c r="J20" s="16">
        <f>'BIFUbC-electricity'!J11</f>
        <v>82976602199737.656</v>
      </c>
      <c r="K20" s="16">
        <f>'BIFUbC-electricity'!K11</f>
        <v>81438992845457.984</v>
      </c>
      <c r="L20" s="16">
        <f>'BIFUbC-electricity'!L11</f>
        <v>79741334421243.578</v>
      </c>
      <c r="M20" s="16">
        <f>'BIFUbC-electricity'!M11</f>
        <v>79164789736614.5</v>
      </c>
      <c r="N20" s="16">
        <f>'BIFUbC-electricity'!N11</f>
        <v>78586519206087.344</v>
      </c>
      <c r="O20" s="16">
        <f>'BIFUbC-electricity'!O11</f>
        <v>78006493321622.547</v>
      </c>
      <c r="P20" s="16">
        <f>'BIFUbC-electricity'!P11</f>
        <v>77424681715555.594</v>
      </c>
      <c r="Q20" s="16">
        <f>'BIFUbC-electricity'!Q11</f>
        <v>76841053124981.594</v>
      </c>
      <c r="R20" s="16">
        <f>'BIFUbC-electricity'!R11</f>
        <v>76789564070708.719</v>
      </c>
      <c r="S20" s="16">
        <f>'BIFUbC-electricity'!S11</f>
        <v>76738075016435.859</v>
      </c>
      <c r="T20" s="16">
        <f>'BIFUbC-electricity'!T11</f>
        <v>76686585962163.016</v>
      </c>
      <c r="U20" s="16">
        <f>'BIFUbC-electricity'!U11</f>
        <v>76635096907890.188</v>
      </c>
      <c r="V20" s="16">
        <f>'BIFUbC-electricity'!V11</f>
        <v>76583607853617.344</v>
      </c>
      <c r="W20" s="16">
        <f>'BIFUbC-electricity'!W11</f>
        <v>76506258854325.172</v>
      </c>
      <c r="X20" s="16">
        <f>'BIFUbC-electricity'!X11</f>
        <v>76428909855033</v>
      </c>
      <c r="Y20" s="16">
        <f>'BIFUbC-electricity'!Y11</f>
        <v>76351560855740.828</v>
      </c>
      <c r="Z20" s="16">
        <f>'BIFUbC-electricity'!Z11</f>
        <v>76274211856448.656</v>
      </c>
      <c r="AA20" s="16">
        <f>'BIFUbC-electricity'!AA11</f>
        <v>76196862857156.484</v>
      </c>
      <c r="AB20" s="16">
        <f>'BIFUbC-electricity'!AB11</f>
        <v>76119513857864.313</v>
      </c>
      <c r="AC20" s="16">
        <f>'BIFUbC-electricity'!AC11</f>
        <v>76042164858572.141</v>
      </c>
      <c r="AD20" s="16">
        <f>'BIFUbC-electricity'!AD11</f>
        <v>75964815859279.953</v>
      </c>
      <c r="AE20" s="16">
        <f>'BIFUbC-electricity'!AE11</f>
        <v>75887466859987.781</v>
      </c>
      <c r="AF20" s="16">
        <f>'BIFUbC-electricity'!AF11</f>
        <v>75810117860695.578</v>
      </c>
      <c r="AG20" s="16"/>
    </row>
    <row r="21" spans="1:33">
      <c r="A21" t="s">
        <v>12</v>
      </c>
      <c r="B21" s="16">
        <f>'BIFUbC-electricity'!B12</f>
        <v>90826797801985.109</v>
      </c>
      <c r="C21" s="16">
        <f>'BIFUbC-electricity'!C12</f>
        <v>81582013461845.297</v>
      </c>
      <c r="D21" s="16">
        <f>'BIFUbC-electricity'!D12</f>
        <v>77595109932860.813</v>
      </c>
      <c r="E21" s="16">
        <f>'BIFUbC-electricity'!E12</f>
        <v>72893532587894.094</v>
      </c>
      <c r="F21" s="16">
        <f>'BIFUbC-electricity'!F12</f>
        <v>71103162785559.922</v>
      </c>
      <c r="G21" s="16">
        <f>'BIFUbC-electricity'!G12</f>
        <v>70329545437689.953</v>
      </c>
      <c r="H21" s="16">
        <f>'BIFUbC-electricity'!H12</f>
        <v>69441344113383.43</v>
      </c>
      <c r="I21" s="16">
        <f>'BIFUbC-electricity'!I12</f>
        <v>68439751141718.945</v>
      </c>
      <c r="J21" s="16">
        <f>'BIFUbC-electricity'!J12</f>
        <v>67317170928608.891</v>
      </c>
      <c r="K21" s="16">
        <f>'BIFUbC-electricity'!K12</f>
        <v>66069740822055.313</v>
      </c>
      <c r="L21" s="16">
        <f>'BIFUbC-electricity'!L12</f>
        <v>64692466273669.492</v>
      </c>
      <c r="M21" s="16">
        <f>'BIFUbC-electricity'!M12</f>
        <v>64224727705756.914</v>
      </c>
      <c r="N21" s="16">
        <f>'BIFUbC-electricity'!N12</f>
        <v>63755588995391.688</v>
      </c>
      <c r="O21" s="16">
        <f>'BIFUbC-electricity'!O12</f>
        <v>63285026203322.359</v>
      </c>
      <c r="P21" s="16">
        <f>'BIFUbC-electricity'!P12</f>
        <v>62813014692901.875</v>
      </c>
      <c r="Q21" s="16">
        <f>'BIFUbC-electricity'!Q12</f>
        <v>62339529101193.5</v>
      </c>
      <c r="R21" s="16">
        <f>'BIFUbC-electricity'!R12</f>
        <v>62297757115169.109</v>
      </c>
      <c r="S21" s="16">
        <f>'BIFUbC-electricity'!S12</f>
        <v>62255985129144.719</v>
      </c>
      <c r="T21" s="16">
        <f>'BIFUbC-electricity'!T12</f>
        <v>62214213143120.352</v>
      </c>
      <c r="U21" s="16">
        <f>'BIFUbC-electricity'!U12</f>
        <v>62172441157095.984</v>
      </c>
      <c r="V21" s="16">
        <f>'BIFUbC-electricity'!V12</f>
        <v>62130669171071.609</v>
      </c>
      <c r="W21" s="16">
        <f>'BIFUbC-electricity'!W12</f>
        <v>62067917555935.891</v>
      </c>
      <c r="X21" s="16">
        <f>'BIFUbC-electricity'!X12</f>
        <v>62005165940800.172</v>
      </c>
      <c r="Y21" s="16">
        <f>'BIFUbC-electricity'!Y12</f>
        <v>61942414325664.445</v>
      </c>
      <c r="Z21" s="16">
        <f>'BIFUbC-electricity'!Z12</f>
        <v>61879662710528.719</v>
      </c>
      <c r="AA21" s="16">
        <f>'BIFUbC-electricity'!AA12</f>
        <v>61816911095392.992</v>
      </c>
      <c r="AB21" s="16">
        <f>'BIFUbC-electricity'!AB12</f>
        <v>61754159480257.273</v>
      </c>
      <c r="AC21" s="16">
        <f>'BIFUbC-electricity'!AC12</f>
        <v>61691407865121.547</v>
      </c>
      <c r="AD21" s="16">
        <f>'BIFUbC-electricity'!AD12</f>
        <v>61628656249985.813</v>
      </c>
      <c r="AE21" s="16">
        <f>'BIFUbC-electricity'!AE12</f>
        <v>61565904634850.086</v>
      </c>
      <c r="AF21" s="16">
        <f>'BIFUbC-electricity'!AF12</f>
        <v>61503153019714.336</v>
      </c>
      <c r="AG21" s="16"/>
    </row>
    <row r="22" spans="1:33">
      <c r="A22" t="s">
        <v>13</v>
      </c>
      <c r="B22" s="16">
        <f>'BIFUbC-electricity'!B13</f>
        <v>10404035147059.492</v>
      </c>
      <c r="C22" s="16">
        <f>'BIFUbC-electricity'!C13</f>
        <v>10786365496205.508</v>
      </c>
      <c r="D22" s="16">
        <f>'BIFUbC-electricity'!D13</f>
        <v>11168695845351.523</v>
      </c>
      <c r="E22" s="16">
        <f>'BIFUbC-electricity'!E13</f>
        <v>11551026194497.539</v>
      </c>
      <c r="F22" s="16">
        <f>'BIFUbC-electricity'!F13</f>
        <v>11933356543643.557</v>
      </c>
      <c r="G22" s="16">
        <f>'BIFUbC-electricity'!G13</f>
        <v>12315686892789.572</v>
      </c>
      <c r="H22" s="16">
        <f>'BIFUbC-electricity'!H13</f>
        <v>12414871120918.711</v>
      </c>
      <c r="I22" s="16">
        <f>'BIFUbC-electricity'!I13</f>
        <v>12514055349047.848</v>
      </c>
      <c r="J22" s="16">
        <f>'BIFUbC-electricity'!J13</f>
        <v>12613239577176.984</v>
      </c>
      <c r="K22" s="16">
        <f>'BIFUbC-electricity'!K13</f>
        <v>12712423805306.121</v>
      </c>
      <c r="L22" s="16">
        <f>'BIFUbC-electricity'!L13</f>
        <v>12811608033435.256</v>
      </c>
      <c r="M22" s="16">
        <f>'BIFUbC-electricity'!M13</f>
        <v>12864007248295.934</v>
      </c>
      <c r="N22" s="16">
        <f>'BIFUbC-electricity'!N13</f>
        <v>12916406463156.609</v>
      </c>
      <c r="O22" s="16">
        <f>'BIFUbC-electricity'!O13</f>
        <v>12968805678017.285</v>
      </c>
      <c r="P22" s="16">
        <f>'BIFUbC-electricity'!P13</f>
        <v>13021204892877.961</v>
      </c>
      <c r="Q22" s="16">
        <f>'BIFUbC-electricity'!Q13</f>
        <v>13073604107738.639</v>
      </c>
      <c r="R22" s="16">
        <f>'BIFUbC-electricity'!R13</f>
        <v>13111032118353.404</v>
      </c>
      <c r="S22" s="16">
        <f>'BIFUbC-electricity'!S13</f>
        <v>13148460128968.174</v>
      </c>
      <c r="T22" s="16">
        <f>'BIFUbC-electricity'!T13</f>
        <v>13185888139582.941</v>
      </c>
      <c r="U22" s="16">
        <f>'BIFUbC-electricity'!U13</f>
        <v>13223316150197.711</v>
      </c>
      <c r="V22" s="16">
        <f>'BIFUbC-electricity'!V13</f>
        <v>13260744160812.477</v>
      </c>
      <c r="W22" s="16">
        <f>'BIFUbC-electricity'!W13</f>
        <v>13318133777088.465</v>
      </c>
      <c r="X22" s="16">
        <f>'BIFUbC-electricity'!X13</f>
        <v>13361913207686.336</v>
      </c>
      <c r="Y22" s="16">
        <f>'BIFUbC-electricity'!Y13</f>
        <v>13405692638284.219</v>
      </c>
      <c r="Z22" s="16">
        <f>'BIFUbC-electricity'!Z13</f>
        <v>13449472068882.104</v>
      </c>
      <c r="AA22" s="16">
        <f>'BIFUbC-electricity'!AA13</f>
        <v>13493251499479.986</v>
      </c>
      <c r="AB22" s="16">
        <f>'BIFUbC-electricity'!AB13</f>
        <v>13537030930077.857</v>
      </c>
      <c r="AC22" s="16">
        <f>'BIFUbC-electricity'!AC13</f>
        <v>13580810360675.74</v>
      </c>
      <c r="AD22" s="16">
        <f>'BIFUbC-electricity'!AD13</f>
        <v>13624589791273.623</v>
      </c>
      <c r="AE22" s="16">
        <f>'BIFUbC-electricity'!AE13</f>
        <v>13668369221871.508</v>
      </c>
      <c r="AF22" s="16">
        <f>'BIFUbC-electricity'!AF13</f>
        <v>13712148652469.391</v>
      </c>
      <c r="AG22" s="16"/>
    </row>
    <row r="23" spans="1:33">
      <c r="A23" t="s">
        <v>14</v>
      </c>
      <c r="B23" s="16">
        <f>'BIFUbC-electricity'!B14</f>
        <v>26220007280777.914</v>
      </c>
      <c r="C23" s="16">
        <f>'BIFUbC-electricity'!C14</f>
        <v>27183547330054.297</v>
      </c>
      <c r="D23" s="16">
        <f>'BIFUbC-electricity'!D14</f>
        <v>28147087379330.68</v>
      </c>
      <c r="E23" s="16">
        <f>'BIFUbC-electricity'!E14</f>
        <v>29110627428607.059</v>
      </c>
      <c r="F23" s="16">
        <f>'BIFUbC-electricity'!F14</f>
        <v>30074167477883.441</v>
      </c>
      <c r="G23" s="16">
        <f>'BIFUbC-electricity'!G14</f>
        <v>31037707527159.824</v>
      </c>
      <c r="H23" s="16">
        <f>'BIFUbC-electricity'!H14</f>
        <v>31287669310922.094</v>
      </c>
      <c r="I23" s="16">
        <f>'BIFUbC-electricity'!I14</f>
        <v>31537631094684.359</v>
      </c>
      <c r="J23" s="16">
        <f>'BIFUbC-electricity'!J14</f>
        <v>31787592878446.625</v>
      </c>
      <c r="K23" s="16">
        <f>'BIFUbC-electricity'!K14</f>
        <v>32037554662208.891</v>
      </c>
      <c r="L23" s="16">
        <f>'BIFUbC-electricity'!L14</f>
        <v>32287516445971.156</v>
      </c>
      <c r="M23" s="16">
        <f>'BIFUbC-electricity'!M14</f>
        <v>32419571727958.766</v>
      </c>
      <c r="N23" s="16">
        <f>'BIFUbC-electricity'!N14</f>
        <v>32551627009946.379</v>
      </c>
      <c r="O23" s="16">
        <f>'BIFUbC-electricity'!O14</f>
        <v>32683682291933.992</v>
      </c>
      <c r="P23" s="16">
        <f>'BIFUbC-electricity'!P14</f>
        <v>32815737573921.602</v>
      </c>
      <c r="Q23" s="16">
        <f>'BIFUbC-electricity'!Q14</f>
        <v>32947792855909.219</v>
      </c>
      <c r="R23" s="16">
        <f>'BIFUbC-electricity'!R14</f>
        <v>33042118057328.938</v>
      </c>
      <c r="S23" s="16">
        <f>'BIFUbC-electricity'!S14</f>
        <v>33136443258748.66</v>
      </c>
      <c r="T23" s="16">
        <f>'BIFUbC-electricity'!T14</f>
        <v>33230768460168.383</v>
      </c>
      <c r="U23" s="16">
        <f>'BIFUbC-electricity'!U14</f>
        <v>33325093661588.105</v>
      </c>
      <c r="V23" s="16">
        <f>'BIFUbC-electricity'!V14</f>
        <v>33419418863007.824</v>
      </c>
      <c r="W23" s="16">
        <f>'BIFUbC-electricity'!W14</f>
        <v>33564050838518.09</v>
      </c>
      <c r="X23" s="16">
        <f>'BIFUbC-electricity'!X14</f>
        <v>33674382740784.773</v>
      </c>
      <c r="Y23" s="16">
        <f>'BIFUbC-electricity'!Y14</f>
        <v>33784714643051.488</v>
      </c>
      <c r="Z23" s="16">
        <f>'BIFUbC-electricity'!Z14</f>
        <v>33895046545318.199</v>
      </c>
      <c r="AA23" s="16">
        <f>'BIFUbC-electricity'!AA14</f>
        <v>34005378447584.91</v>
      </c>
      <c r="AB23" s="16">
        <f>'BIFUbC-electricity'!AB14</f>
        <v>34115710349851.594</v>
      </c>
      <c r="AC23" s="16">
        <f>'BIFUbC-electricity'!AC14</f>
        <v>34226042252118.309</v>
      </c>
      <c r="AD23" s="16">
        <f>'BIFUbC-electricity'!AD14</f>
        <v>34336374154385.02</v>
      </c>
      <c r="AE23" s="16">
        <f>'BIFUbC-electricity'!AE14</f>
        <v>34446706056651.73</v>
      </c>
      <c r="AF23" s="16">
        <f>'BIFUbC-electricity'!AF14</f>
        <v>34557037958918.445</v>
      </c>
      <c r="AG23" s="16"/>
    </row>
    <row r="24" spans="1:33">
      <c r="A24" t="s">
        <v>15</v>
      </c>
      <c r="B24" s="16">
        <f>'BIFUbC-electricity'!B15</f>
        <v>88624821284395.469</v>
      </c>
      <c r="C24" s="16">
        <f>'BIFUbC-electricity'!C15</f>
        <v>93499452277686.141</v>
      </c>
      <c r="D24" s="16">
        <f>'BIFUbC-electricity'!D15</f>
        <v>86230379765960.953</v>
      </c>
      <c r="E24" s="16">
        <f>'BIFUbC-electricity'!E15</f>
        <v>83536917246291.469</v>
      </c>
      <c r="F24" s="16">
        <f>'BIFUbC-electricity'!F15</f>
        <v>85804140384330.297</v>
      </c>
      <c r="G24" s="16">
        <f>'BIFUbC-electricity'!G15</f>
        <v>85804140384330.297</v>
      </c>
      <c r="H24" s="16">
        <f>'BIFUbC-electricity'!H15</f>
        <v>85804140384330.297</v>
      </c>
      <c r="I24" s="16">
        <f>'BIFUbC-electricity'!I15</f>
        <v>80768432170590.281</v>
      </c>
      <c r="J24" s="16">
        <f>'BIFUbC-electricity'!J15</f>
        <v>85689253223923.563</v>
      </c>
      <c r="K24" s="16">
        <f>'BIFUbC-electricity'!K15</f>
        <v>86514758799814.859</v>
      </c>
      <c r="L24" s="16">
        <f>'BIFUbC-electricity'!L15</f>
        <v>95290843171234.266</v>
      </c>
      <c r="M24" s="16">
        <f>'BIFUbC-electricity'!M15</f>
        <v>99784859077502.953</v>
      </c>
      <c r="N24" s="16">
        <f>'BIFUbC-electricity'!N15</f>
        <v>104166420286619.14</v>
      </c>
      <c r="O24" s="16">
        <f>'BIFUbC-electricity'!O15</f>
        <v>113703827739162.86</v>
      </c>
      <c r="P24" s="16">
        <f>'BIFUbC-electricity'!P15</f>
        <v>109041134948662.86</v>
      </c>
      <c r="Q24" s="16">
        <f>'BIFUbC-electricity'!Q15</f>
        <v>148721889221808.34</v>
      </c>
      <c r="R24" s="16">
        <f>'BIFUbC-electricity'!R15</f>
        <v>148721889221808.34</v>
      </c>
      <c r="S24" s="16">
        <f>'BIFUbC-electricity'!S15</f>
        <v>148721889221808.34</v>
      </c>
      <c r="T24" s="16">
        <f>'BIFUbC-electricity'!T15</f>
        <v>148588958197494.66</v>
      </c>
      <c r="U24" s="16">
        <f>'BIFUbC-electricity'!U15</f>
        <v>140260616535631.56</v>
      </c>
      <c r="V24" s="16">
        <f>'BIFUbC-electricity'!V15</f>
        <v>156156295623204.44</v>
      </c>
      <c r="W24" s="16">
        <f>'BIFUbC-electricity'!W15</f>
        <v>164848746990692.16</v>
      </c>
      <c r="X24" s="16">
        <f>'BIFUbC-electricity'!X15</f>
        <v>158353595751459.47</v>
      </c>
      <c r="Y24" s="16">
        <f>'BIFUbC-electricity'!Y15</f>
        <v>159298746012963.53</v>
      </c>
      <c r="Z24" s="16">
        <f>'BIFUbC-electricity'!Z15</f>
        <v>159298746012963.53</v>
      </c>
      <c r="AA24" s="16">
        <f>'BIFUbC-electricity'!AA15</f>
        <v>165657017647992.75</v>
      </c>
      <c r="AB24" s="16">
        <f>'BIFUbC-electricity'!AB15</f>
        <v>165657017647992.75</v>
      </c>
      <c r="AC24" s="16">
        <f>'BIFUbC-electricity'!AC15</f>
        <v>175194425100536.5</v>
      </c>
      <c r="AD24" s="16">
        <f>'BIFUbC-electricity'!AD15</f>
        <v>175194425100536.5</v>
      </c>
      <c r="AE24" s="16">
        <f>'BIFUbC-electricity'!AE15</f>
        <v>175194425100536.5</v>
      </c>
      <c r="AF24" s="16">
        <f>'BIFUbC-electricity'!AF15</f>
        <v>175194425100536.5</v>
      </c>
      <c r="AG24" s="16"/>
    </row>
    <row r="25" spans="1:33">
      <c r="A25" t="s">
        <v>16</v>
      </c>
      <c r="B25" s="16">
        <f>'BIFUbC-electricity'!B16</f>
        <v>13385046457348.111</v>
      </c>
      <c r="C25" s="16">
        <f>'BIFUbC-electricity'!C16</f>
        <v>13813226839212.182</v>
      </c>
      <c r="D25" s="16">
        <f>'BIFUbC-electricity'!D16</f>
        <v>15525948366668.449</v>
      </c>
      <c r="E25" s="16">
        <f>'BIFUbC-electricity'!E16</f>
        <v>14669587602940.316</v>
      </c>
      <c r="F25" s="16">
        <f>'BIFUbC-electricity'!F16</f>
        <v>15097767984804.383</v>
      </c>
      <c r="G25" s="16">
        <f>'BIFUbC-electricity'!G16</f>
        <v>15525948366668.449</v>
      </c>
      <c r="H25" s="16">
        <f>'BIFUbC-electricity'!H16</f>
        <v>15644036824427.035</v>
      </c>
      <c r="I25" s="16">
        <f>'BIFUbC-electricity'!I16</f>
        <v>15762125282185.619</v>
      </c>
      <c r="J25" s="16">
        <f>'BIFUbC-electricity'!J16</f>
        <v>15880213739944.203</v>
      </c>
      <c r="K25" s="16">
        <f>'BIFUbC-electricity'!K16</f>
        <v>15998302197702.789</v>
      </c>
      <c r="L25" s="16">
        <f>'BIFUbC-electricity'!L16</f>
        <v>16116390655461.373</v>
      </c>
      <c r="M25" s="16">
        <f>'BIFUbC-electricity'!M16</f>
        <v>16213008484536.578</v>
      </c>
      <c r="N25" s="16">
        <f>'BIFUbC-electricity'!N16</f>
        <v>16309626313611.783</v>
      </c>
      <c r="O25" s="16">
        <f>'BIFUbC-electricity'!O16</f>
        <v>16406244142686.99</v>
      </c>
      <c r="P25" s="16">
        <f>'BIFUbC-electricity'!P16</f>
        <v>16502861971762.195</v>
      </c>
      <c r="Q25" s="16">
        <f>'BIFUbC-electricity'!Q16</f>
        <v>16599479800837.402</v>
      </c>
      <c r="R25" s="16">
        <f>'BIFUbC-electricity'!R16</f>
        <v>16704149115668.873</v>
      </c>
      <c r="S25" s="16">
        <f>'BIFUbC-electricity'!S16</f>
        <v>16808818430500.346</v>
      </c>
      <c r="T25" s="16">
        <f>'BIFUbC-electricity'!T16</f>
        <v>16913487745331.818</v>
      </c>
      <c r="U25" s="16">
        <f>'BIFUbC-electricity'!U16</f>
        <v>17018157060163.291</v>
      </c>
      <c r="V25" s="16">
        <f>'BIFUbC-electricity'!V16</f>
        <v>17122826374994.764</v>
      </c>
      <c r="W25" s="16">
        <f>'BIFUbC-electricity'!W16</f>
        <v>17216760375484.547</v>
      </c>
      <c r="X25" s="16">
        <f>'BIFUbC-electricity'!X16</f>
        <v>17318013908480.02</v>
      </c>
      <c r="Y25" s="16">
        <f>'BIFUbC-electricity'!Y16</f>
        <v>17419267441475.492</v>
      </c>
      <c r="Z25" s="16">
        <f>'BIFUbC-electricity'!Z16</f>
        <v>17520520974470.967</v>
      </c>
      <c r="AA25" s="16">
        <f>'BIFUbC-electricity'!AA16</f>
        <v>17621774507466.438</v>
      </c>
      <c r="AB25" s="16">
        <f>'BIFUbC-electricity'!AB16</f>
        <v>17723028040461.953</v>
      </c>
      <c r="AC25" s="16">
        <f>'BIFUbC-electricity'!AC16</f>
        <v>17824281573457.426</v>
      </c>
      <c r="AD25" s="16">
        <f>'BIFUbC-electricity'!AD16</f>
        <v>17925535106452.898</v>
      </c>
      <c r="AE25" s="16">
        <f>'BIFUbC-electricity'!AE16</f>
        <v>18026788639448.371</v>
      </c>
      <c r="AF25" s="16">
        <f>'BIFUbC-electricity'!AF16</f>
        <v>18128042172443.844</v>
      </c>
      <c r="AG25" s="16"/>
    </row>
    <row r="26" spans="1:33">
      <c r="A26" t="s">
        <v>17</v>
      </c>
      <c r="B26" s="16">
        <f>'BIFUbC-electricity'!B17</f>
        <v>26170858905322.965</v>
      </c>
      <c r="C26" s="16">
        <f>'BIFUbC-electricity'!C17</f>
        <v>27008050497858.688</v>
      </c>
      <c r="D26" s="16">
        <f>'BIFUbC-electricity'!D17</f>
        <v>30356816868001.551</v>
      </c>
      <c r="E26" s="16">
        <f>'BIFUbC-electricity'!E17</f>
        <v>28682433682930.121</v>
      </c>
      <c r="F26" s="16">
        <f>'BIFUbC-electricity'!F17</f>
        <v>29519625275465.836</v>
      </c>
      <c r="G26" s="16">
        <f>'BIFUbC-electricity'!G17</f>
        <v>30356816868001.551</v>
      </c>
      <c r="H26" s="16">
        <f>'BIFUbC-electricity'!H17</f>
        <v>30587707091370.965</v>
      </c>
      <c r="I26" s="16">
        <f>'BIFUbC-electricity'!I17</f>
        <v>30818597314740.383</v>
      </c>
      <c r="J26" s="16">
        <f>'BIFUbC-electricity'!J17</f>
        <v>31049487538109.797</v>
      </c>
      <c r="K26" s="16">
        <f>'BIFUbC-electricity'!K17</f>
        <v>31280377761479.211</v>
      </c>
      <c r="L26" s="16">
        <f>'BIFUbC-electricity'!L17</f>
        <v>31511267984848.629</v>
      </c>
      <c r="M26" s="16">
        <f>'BIFUbC-electricity'!M17</f>
        <v>31700178167605.422</v>
      </c>
      <c r="N26" s="16">
        <f>'BIFUbC-electricity'!N17</f>
        <v>31889088350362.215</v>
      </c>
      <c r="O26" s="16">
        <f>'BIFUbC-electricity'!O17</f>
        <v>32077998533119.012</v>
      </c>
      <c r="P26" s="16">
        <f>'BIFUbC-electricity'!P17</f>
        <v>32266908715875.805</v>
      </c>
      <c r="Q26" s="16">
        <f>'BIFUbC-electricity'!Q17</f>
        <v>32455818898632.605</v>
      </c>
      <c r="R26" s="16">
        <f>'BIFUbC-electricity'!R17</f>
        <v>32660471596619.125</v>
      </c>
      <c r="S26" s="16">
        <f>'BIFUbC-electricity'!S17</f>
        <v>32865124294605.652</v>
      </c>
      <c r="T26" s="16">
        <f>'BIFUbC-electricity'!T17</f>
        <v>33069776992592.18</v>
      </c>
      <c r="U26" s="16">
        <f>'BIFUbC-electricity'!U17</f>
        <v>33274429690578.707</v>
      </c>
      <c r="V26" s="16">
        <f>'BIFUbC-electricity'!V17</f>
        <v>33479082388565.234</v>
      </c>
      <c r="W26" s="16">
        <f>'BIFUbC-electricity'!W17</f>
        <v>33662745066245.453</v>
      </c>
      <c r="X26" s="16">
        <f>'BIFUbC-electricity'!X17</f>
        <v>33860719121407.23</v>
      </c>
      <c r="Y26" s="16">
        <f>'BIFUbC-electricity'!Y17</f>
        <v>34058693176569.008</v>
      </c>
      <c r="Z26" s="16">
        <f>'BIFUbC-electricity'!Z17</f>
        <v>34256667231730.785</v>
      </c>
      <c r="AA26" s="16">
        <f>'BIFUbC-electricity'!AA17</f>
        <v>34454641286892.563</v>
      </c>
      <c r="AB26" s="16">
        <f>'BIFUbC-electricity'!AB17</f>
        <v>34652615342054.422</v>
      </c>
      <c r="AC26" s="16">
        <f>'BIFUbC-electricity'!AC17</f>
        <v>34850589397216.199</v>
      </c>
      <c r="AD26" s="16">
        <f>'BIFUbC-electricity'!AD17</f>
        <v>35048563452377.977</v>
      </c>
      <c r="AE26" s="16">
        <f>'BIFUbC-electricity'!AE17</f>
        <v>35246537507539.75</v>
      </c>
      <c r="AF26" s="16">
        <f>'BIFUbC-electricity'!AF17</f>
        <v>35444511562701.531</v>
      </c>
      <c r="AG26" s="16"/>
    </row>
    <row r="27" spans="1:33">
      <c r="A27" t="s">
        <v>18</v>
      </c>
      <c r="B27" s="16">
        <f>'BIFUbC-electricity'!B18</f>
        <v>192637186829205.59</v>
      </c>
      <c r="C27" s="16">
        <f>'BIFUbC-electricity'!C18</f>
        <v>201398099681835.91</v>
      </c>
      <c r="D27" s="16">
        <f>'BIFUbC-electricity'!D18</f>
        <v>236441751092357.22</v>
      </c>
      <c r="E27" s="16">
        <f>'BIFUbC-electricity'!E18</f>
        <v>218919925387096.59</v>
      </c>
      <c r="F27" s="16">
        <f>'BIFUbC-electricity'!F18</f>
        <v>227680838239726.91</v>
      </c>
      <c r="G27" s="16">
        <f>'BIFUbC-electricity'!G18</f>
        <v>236441751092357.22</v>
      </c>
      <c r="H27" s="16">
        <f>'BIFUbC-electricity'!H18</f>
        <v>240731891732814.81</v>
      </c>
      <c r="I27" s="16">
        <f>'BIFUbC-electricity'!I18</f>
        <v>245022032373273.53</v>
      </c>
      <c r="J27" s="16">
        <f>'BIFUbC-electricity'!J18</f>
        <v>249312173013732.22</v>
      </c>
      <c r="K27" s="16">
        <f>'BIFUbC-electricity'!K18</f>
        <v>253602313654190.94</v>
      </c>
      <c r="L27" s="16">
        <f>'BIFUbC-electricity'!L18</f>
        <v>257892454294650.75</v>
      </c>
      <c r="M27" s="16">
        <f>'BIFUbC-electricity'!M18</f>
        <v>261474171711402.94</v>
      </c>
      <c r="N27" s="16">
        <f>'BIFUbC-electricity'!N18</f>
        <v>265055889128155.13</v>
      </c>
      <c r="O27" s="16">
        <f>'BIFUbC-electricity'!O18</f>
        <v>268637606544907.31</v>
      </c>
      <c r="P27" s="16">
        <f>'BIFUbC-electricity'!P18</f>
        <v>272219323961659.5</v>
      </c>
      <c r="Q27" s="16">
        <f>'BIFUbC-electricity'!Q18</f>
        <v>275801041378411.69</v>
      </c>
      <c r="R27" s="16">
        <f>'BIFUbC-electricity'!R18</f>
        <v>279488362257082.84</v>
      </c>
      <c r="S27" s="16">
        <f>'BIFUbC-electricity'!S18</f>
        <v>283175683135754</v>
      </c>
      <c r="T27" s="16">
        <f>'BIFUbC-electricity'!T18</f>
        <v>286863004014425.19</v>
      </c>
      <c r="U27" s="16">
        <f>'BIFUbC-electricity'!U18</f>
        <v>290550324893096.38</v>
      </c>
      <c r="V27" s="16">
        <f>'BIFUbC-electricity'!V18</f>
        <v>294237645771767.5</v>
      </c>
      <c r="W27" s="16">
        <f>'BIFUbC-electricity'!W18</f>
        <v>297784162034546.75</v>
      </c>
      <c r="X27" s="16">
        <f>'BIFUbC-electricity'!X18</f>
        <v>301426681444524.88</v>
      </c>
      <c r="Y27" s="16">
        <f>'BIFUbC-electricity'!Y18</f>
        <v>305069200854504.19</v>
      </c>
      <c r="Z27" s="16">
        <f>'BIFUbC-electricity'!Z18</f>
        <v>308711720264482.31</v>
      </c>
      <c r="AA27" s="16">
        <f>'BIFUbC-electricity'!AA18</f>
        <v>312354239674460.5</v>
      </c>
      <c r="AB27" s="16">
        <f>'BIFUbC-electricity'!AB18</f>
        <v>315996759084438.69</v>
      </c>
      <c r="AC27" s="16">
        <f>'BIFUbC-electricity'!AC18</f>
        <v>319639278494416.81</v>
      </c>
      <c r="AD27" s="16">
        <f>'BIFUbC-electricity'!AD18</f>
        <v>323281797904395</v>
      </c>
      <c r="AE27" s="16">
        <f>'BIFUbC-electricity'!AE18</f>
        <v>326924317314373.19</v>
      </c>
      <c r="AF27" s="16">
        <f>'BIFUbC-electricity'!AF18</f>
        <v>330566836724351.31</v>
      </c>
      <c r="AG27" s="16"/>
    </row>
    <row r="28" spans="1:33">
      <c r="A28" t="s">
        <v>19</v>
      </c>
      <c r="B28" s="16">
        <f>'BIFUbC-electricity'!B19</f>
        <v>33545824591684.805</v>
      </c>
      <c r="C28" s="16">
        <f>'BIFUbC-electricity'!C19</f>
        <v>35071449268076.813</v>
      </c>
      <c r="D28" s="16">
        <f>'BIFUbC-electricity'!D19</f>
        <v>41173947973644.852</v>
      </c>
      <c r="E28" s="16">
        <f>'BIFUbC-electricity'!E19</f>
        <v>38122698620860.836</v>
      </c>
      <c r="F28" s="16">
        <f>'BIFUbC-electricity'!F19</f>
        <v>39648323297252.844</v>
      </c>
      <c r="G28" s="16">
        <f>'BIFUbC-electricity'!G19</f>
        <v>41173947973644.852</v>
      </c>
      <c r="H28" s="16">
        <f>'BIFUbC-electricity'!H19</f>
        <v>41921032727981.75</v>
      </c>
      <c r="I28" s="16">
        <f>'BIFUbC-electricity'!I19</f>
        <v>42668117482318.844</v>
      </c>
      <c r="J28" s="16">
        <f>'BIFUbC-electricity'!J19</f>
        <v>43415202236655.938</v>
      </c>
      <c r="K28" s="16">
        <f>'BIFUbC-electricity'!K19</f>
        <v>44162286990993.031</v>
      </c>
      <c r="L28" s="16">
        <f>'BIFUbC-electricity'!L19</f>
        <v>44909371745330.32</v>
      </c>
      <c r="M28" s="16">
        <f>'BIFUbC-electricity'!M19</f>
        <v>45533091735105.086</v>
      </c>
      <c r="N28" s="16">
        <f>'BIFUbC-electricity'!N19</f>
        <v>46156811724879.844</v>
      </c>
      <c r="O28" s="16">
        <f>'BIFUbC-electricity'!O19</f>
        <v>46780531714654.609</v>
      </c>
      <c r="P28" s="16">
        <f>'BIFUbC-electricity'!P19</f>
        <v>47404251704429.375</v>
      </c>
      <c r="Q28" s="16">
        <f>'BIFUbC-electricity'!Q19</f>
        <v>48027971694204.141</v>
      </c>
      <c r="R28" s="16">
        <f>'BIFUbC-electricity'!R19</f>
        <v>48670081462547.195</v>
      </c>
      <c r="S28" s="16">
        <f>'BIFUbC-electricity'!S19</f>
        <v>49312191230890.258</v>
      </c>
      <c r="T28" s="16">
        <f>'BIFUbC-electricity'!T19</f>
        <v>49954300999233.32</v>
      </c>
      <c r="U28" s="16">
        <f>'BIFUbC-electricity'!U19</f>
        <v>50596410767576.383</v>
      </c>
      <c r="V28" s="16">
        <f>'BIFUbC-electricity'!V19</f>
        <v>51238520535919.445</v>
      </c>
      <c r="W28" s="16">
        <f>'BIFUbC-electricity'!W19</f>
        <v>51856110599504.773</v>
      </c>
      <c r="X28" s="16">
        <f>'BIFUbC-electricity'!X19</f>
        <v>52490418643606.719</v>
      </c>
      <c r="Y28" s="16">
        <f>'BIFUbC-electricity'!Y19</f>
        <v>53124726687708.859</v>
      </c>
      <c r="Z28" s="16">
        <f>'BIFUbC-electricity'!Z19</f>
        <v>53759034731810.813</v>
      </c>
      <c r="AA28" s="16">
        <f>'BIFUbC-electricity'!AA19</f>
        <v>54393342775912.758</v>
      </c>
      <c r="AB28" s="16">
        <f>'BIFUbC-electricity'!AB19</f>
        <v>55027650820014.703</v>
      </c>
      <c r="AC28" s="16">
        <f>'BIFUbC-electricity'!AC19</f>
        <v>55661958864116.648</v>
      </c>
      <c r="AD28" s="16">
        <f>'BIFUbC-electricity'!AD19</f>
        <v>56296266908218.602</v>
      </c>
      <c r="AE28" s="16">
        <f>'BIFUbC-electricity'!AE19</f>
        <v>56930574952320.547</v>
      </c>
      <c r="AF28" s="16">
        <f>'BIFUbC-electricity'!AF19</f>
        <v>57564882996422.492</v>
      </c>
      <c r="AG28" s="16"/>
    </row>
    <row r="29" spans="1:33">
      <c r="A29" t="s">
        <v>20</v>
      </c>
      <c r="B29" s="16">
        <f>'BIFUbC-electricity'!B20</f>
        <v>52369204288318.344</v>
      </c>
      <c r="C29" s="16">
        <f>'BIFUbC-electricity'!C20</f>
        <v>54750894150402.602</v>
      </c>
      <c r="D29" s="16">
        <f>'BIFUbC-electricity'!D20</f>
        <v>64277653598739.664</v>
      </c>
      <c r="E29" s="16">
        <f>'BIFUbC-electricity'!E20</f>
        <v>59514273874571.141</v>
      </c>
      <c r="F29" s="16">
        <f>'BIFUbC-electricity'!F20</f>
        <v>61895963736655.398</v>
      </c>
      <c r="G29" s="16">
        <f>'BIFUbC-electricity'!G20</f>
        <v>64277653598739.664</v>
      </c>
      <c r="H29" s="16">
        <f>'BIFUbC-electricity'!H20</f>
        <v>65443945815335.086</v>
      </c>
      <c r="I29" s="16">
        <f>'BIFUbC-electricity'!I20</f>
        <v>66610238031930.813</v>
      </c>
      <c r="J29" s="16">
        <f>'BIFUbC-electricity'!J20</f>
        <v>67776530248526.531</v>
      </c>
      <c r="K29" s="16">
        <f>'BIFUbC-electricity'!K20</f>
        <v>68942822465122.258</v>
      </c>
      <c r="L29" s="16">
        <f>'BIFUbC-electricity'!L20</f>
        <v>70109114681718.281</v>
      </c>
      <c r="M29" s="16">
        <f>'BIFUbC-electricity'!M20</f>
        <v>71082819157932.563</v>
      </c>
      <c r="N29" s="16">
        <f>'BIFUbC-electricity'!N20</f>
        <v>72056523634146.828</v>
      </c>
      <c r="O29" s="16">
        <f>'BIFUbC-electricity'!O20</f>
        <v>73030228110361.109</v>
      </c>
      <c r="P29" s="16">
        <f>'BIFUbC-electricity'!P20</f>
        <v>74003932586575.375</v>
      </c>
      <c r="Q29" s="16">
        <f>'BIFUbC-electricity'!Q20</f>
        <v>74977637062789.656</v>
      </c>
      <c r="R29" s="16">
        <f>'BIFUbC-electricity'!R20</f>
        <v>75980050270489.359</v>
      </c>
      <c r="S29" s="16">
        <f>'BIFUbC-electricity'!S20</f>
        <v>76982463478189.078</v>
      </c>
      <c r="T29" s="16">
        <f>'BIFUbC-electricity'!T20</f>
        <v>77984876685888.781</v>
      </c>
      <c r="U29" s="16">
        <f>'BIFUbC-electricity'!U20</f>
        <v>78987289893588.484</v>
      </c>
      <c r="V29" s="16">
        <f>'BIFUbC-electricity'!V20</f>
        <v>79989703101288.203</v>
      </c>
      <c r="W29" s="16">
        <f>'BIFUbC-electricity'!W20</f>
        <v>80953838000340.656</v>
      </c>
      <c r="X29" s="16">
        <f>'BIFUbC-electricity'!X20</f>
        <v>81944071746198.047</v>
      </c>
      <c r="Y29" s="16">
        <f>'BIFUbC-electricity'!Y20</f>
        <v>82934305492055.719</v>
      </c>
      <c r="Z29" s="16">
        <f>'BIFUbC-electricity'!Z20</f>
        <v>83924539237913.094</v>
      </c>
      <c r="AA29" s="16">
        <f>'BIFUbC-electricity'!AA20</f>
        <v>84914772983770.469</v>
      </c>
      <c r="AB29" s="16">
        <f>'BIFUbC-electricity'!AB20</f>
        <v>85905006729627.844</v>
      </c>
      <c r="AC29" s="16">
        <f>'BIFUbC-electricity'!AC20</f>
        <v>86895240475485.219</v>
      </c>
      <c r="AD29" s="16">
        <f>'BIFUbC-electricity'!AD20</f>
        <v>87885474221342.594</v>
      </c>
      <c r="AE29" s="16">
        <f>'BIFUbC-electricity'!AE20</f>
        <v>88875707967199.969</v>
      </c>
      <c r="AF29" s="16">
        <f>'BIFUbC-electricity'!AF20</f>
        <v>89865941713057.344</v>
      </c>
      <c r="AG29" s="16"/>
    </row>
    <row r="30" spans="1:33">
      <c r="A30" t="s">
        <v>21</v>
      </c>
      <c r="B30" s="16">
        <f>'BIFUbC-electricity'!B21</f>
        <v>54677648064913.984</v>
      </c>
      <c r="C30" s="16">
        <f>'BIFUbC-electricity'!C21</f>
        <v>57164323236869.289</v>
      </c>
      <c r="D30" s="16">
        <f>'BIFUbC-electricity'!D21</f>
        <v>67111023924690.547</v>
      </c>
      <c r="E30" s="16">
        <f>'BIFUbC-electricity'!E21</f>
        <v>62137673580779.922</v>
      </c>
      <c r="F30" s="16">
        <f>'BIFUbC-electricity'!F21</f>
        <v>64624348752735.234</v>
      </c>
      <c r="G30" s="16">
        <f>'BIFUbC-electricity'!G21</f>
        <v>67111023924690.547</v>
      </c>
      <c r="H30" s="16">
        <f>'BIFUbC-electricity'!H21</f>
        <v>68328726508231.188</v>
      </c>
      <c r="I30" s="16">
        <f>'BIFUbC-electricity'!I21</f>
        <v>69546429091772.148</v>
      </c>
      <c r="J30" s="16">
        <f>'BIFUbC-electricity'!J21</f>
        <v>70764131675313.109</v>
      </c>
      <c r="K30" s="16">
        <f>'BIFUbC-electricity'!K21</f>
        <v>71981834258854.063</v>
      </c>
      <c r="L30" s="16">
        <f>'BIFUbC-electricity'!L21</f>
        <v>73199536842395.328</v>
      </c>
      <c r="M30" s="16">
        <f>'BIFUbC-electricity'!M21</f>
        <v>74216162383936.188</v>
      </c>
      <c r="N30" s="16">
        <f>'BIFUbC-electricity'!N21</f>
        <v>75232787925477.047</v>
      </c>
      <c r="O30" s="16">
        <f>'BIFUbC-electricity'!O21</f>
        <v>76249413467017.906</v>
      </c>
      <c r="P30" s="16">
        <f>'BIFUbC-electricity'!P21</f>
        <v>77266039008558.766</v>
      </c>
      <c r="Q30" s="16">
        <f>'BIFUbC-electricity'!Q21</f>
        <v>78282664550099.625</v>
      </c>
      <c r="R30" s="16">
        <f>'BIFUbC-electricity'!R21</f>
        <v>79329264309081.5</v>
      </c>
      <c r="S30" s="16">
        <f>'BIFUbC-electricity'!S21</f>
        <v>80375864068063.359</v>
      </c>
      <c r="T30" s="16">
        <f>'BIFUbC-electricity'!T21</f>
        <v>81422463827045.234</v>
      </c>
      <c r="U30" s="16">
        <f>'BIFUbC-electricity'!U21</f>
        <v>82469063586027.109</v>
      </c>
      <c r="V30" s="16">
        <f>'BIFUbC-electricity'!V21</f>
        <v>83515663345008.969</v>
      </c>
      <c r="W30" s="16">
        <f>'BIFUbC-electricity'!W21</f>
        <v>84522297480736.156</v>
      </c>
      <c r="X30" s="16">
        <f>'BIFUbC-electricity'!X21</f>
        <v>85556180905046.063</v>
      </c>
      <c r="Y30" s="16">
        <f>'BIFUbC-electricity'!Y21</f>
        <v>86590064329356.266</v>
      </c>
      <c r="Z30" s="16">
        <f>'BIFUbC-electricity'!Z21</f>
        <v>87623947753666.172</v>
      </c>
      <c r="AA30" s="16">
        <f>'BIFUbC-electricity'!AA21</f>
        <v>88657831177976.063</v>
      </c>
      <c r="AB30" s="16">
        <f>'BIFUbC-electricity'!AB21</f>
        <v>89691714602285.953</v>
      </c>
      <c r="AC30" s="16">
        <f>'BIFUbC-electricity'!AC21</f>
        <v>90725598026595.859</v>
      </c>
      <c r="AD30" s="16">
        <f>'BIFUbC-electricity'!AD21</f>
        <v>91759481450905.75</v>
      </c>
      <c r="AE30" s="16">
        <f>'BIFUbC-electricity'!AE21</f>
        <v>92793364875215.641</v>
      </c>
      <c r="AF30" s="16">
        <f>'BIFUbC-electricity'!AF21</f>
        <v>93827248299525.547</v>
      </c>
      <c r="AG30" s="16"/>
    </row>
    <row r="31" spans="1:33">
      <c r="A31" t="s">
        <v>22</v>
      </c>
      <c r="B31" s="16">
        <f>'BIFUbC-electricity'!B22</f>
        <v>14001890190217.949</v>
      </c>
      <c r="C31" s="16">
        <f>'BIFUbC-electricity'!C22</f>
        <v>14638679699801.885</v>
      </c>
      <c r="D31" s="16">
        <f>'BIFUbC-electricity'!D22</f>
        <v>17185837738137.629</v>
      </c>
      <c r="E31" s="16">
        <f>'BIFUbC-electricity'!E22</f>
        <v>15912258718969.758</v>
      </c>
      <c r="F31" s="16">
        <f>'BIFUbC-electricity'!F22</f>
        <v>16549048228553.693</v>
      </c>
      <c r="G31" s="16">
        <f>'BIFUbC-electricity'!G22</f>
        <v>17185837738137.629</v>
      </c>
      <c r="H31" s="16">
        <f>'BIFUbC-electricity'!H22</f>
        <v>17497667863655.074</v>
      </c>
      <c r="I31" s="16">
        <f>'BIFUbC-electricity'!I22</f>
        <v>17809497989172.598</v>
      </c>
      <c r="J31" s="16">
        <f>'BIFUbC-electricity'!J22</f>
        <v>18121328114690.121</v>
      </c>
      <c r="K31" s="16">
        <f>'BIFUbC-electricity'!K22</f>
        <v>18433158240207.648</v>
      </c>
      <c r="L31" s="16">
        <f>'BIFUbC-electricity'!L22</f>
        <v>18744988365725.254</v>
      </c>
      <c r="M31" s="16">
        <f>'BIFUbC-electricity'!M22</f>
        <v>19005326542311.164</v>
      </c>
      <c r="N31" s="16">
        <f>'BIFUbC-electricity'!N22</f>
        <v>19265664718897.078</v>
      </c>
      <c r="O31" s="16">
        <f>'BIFUbC-electricity'!O22</f>
        <v>19526002895482.992</v>
      </c>
      <c r="P31" s="16">
        <f>'BIFUbC-electricity'!P22</f>
        <v>19786341072068.906</v>
      </c>
      <c r="Q31" s="16">
        <f>'BIFUbC-electricity'!Q22</f>
        <v>20046679248654.816</v>
      </c>
      <c r="R31" s="16">
        <f>'BIFUbC-electricity'!R22</f>
        <v>20314693243715.008</v>
      </c>
      <c r="S31" s="16">
        <f>'BIFUbC-electricity'!S22</f>
        <v>20582707238775.199</v>
      </c>
      <c r="T31" s="16">
        <f>'BIFUbC-electricity'!T22</f>
        <v>20850721233835.391</v>
      </c>
      <c r="U31" s="16">
        <f>'BIFUbC-electricity'!U22</f>
        <v>21118735228895.578</v>
      </c>
      <c r="V31" s="16">
        <f>'BIFUbC-electricity'!V22</f>
        <v>21386749223955.77</v>
      </c>
      <c r="W31" s="16">
        <f>'BIFUbC-electricity'!W22</f>
        <v>21644528794383.59</v>
      </c>
      <c r="X31" s="16">
        <f>'BIFUbC-electricity'!X22</f>
        <v>21909286381606.199</v>
      </c>
      <c r="Y31" s="16">
        <f>'BIFUbC-electricity'!Y22</f>
        <v>22174043968828.891</v>
      </c>
      <c r="Z31" s="16">
        <f>'BIFUbC-electricity'!Z22</f>
        <v>22438801556051.504</v>
      </c>
      <c r="AA31" s="16">
        <f>'BIFUbC-electricity'!AA22</f>
        <v>22703559143274.113</v>
      </c>
      <c r="AB31" s="16">
        <f>'BIFUbC-electricity'!AB22</f>
        <v>22968316730496.727</v>
      </c>
      <c r="AC31" s="16">
        <f>'BIFUbC-electricity'!AC22</f>
        <v>23233074317719.336</v>
      </c>
      <c r="AD31" s="16">
        <f>'BIFUbC-electricity'!AD22</f>
        <v>23497831904941.945</v>
      </c>
      <c r="AE31" s="16">
        <f>'BIFUbC-electricity'!AE22</f>
        <v>23762589492164.559</v>
      </c>
      <c r="AF31" s="16">
        <f>'BIFUbC-electricity'!AF22</f>
        <v>24027347079387.168</v>
      </c>
      <c r="AG31" s="16"/>
    </row>
    <row r="32" spans="1:33">
      <c r="A32" t="s">
        <v>23</v>
      </c>
      <c r="B32" s="16">
        <f>'BIFUbC-electricity'!B23</f>
        <v>13649136967668.264</v>
      </c>
      <c r="C32" s="16">
        <f>'BIFUbC-electricity'!C23</f>
        <v>14150719212309.693</v>
      </c>
      <c r="D32" s="16">
        <f>'BIFUbC-electricity'!D23</f>
        <v>14652301456951.119</v>
      </c>
      <c r="E32" s="16">
        <f>'BIFUbC-electricity'!E23</f>
        <v>15153883701592.547</v>
      </c>
      <c r="F32" s="16">
        <f>'BIFUbC-electricity'!F23</f>
        <v>15655465946233.975</v>
      </c>
      <c r="G32" s="16">
        <f>'BIFUbC-electricity'!G23</f>
        <v>16157048190875.402</v>
      </c>
      <c r="H32" s="16">
        <f>'BIFUbC-electricity'!H23</f>
        <v>16287168773479.324</v>
      </c>
      <c r="I32" s="16">
        <f>'BIFUbC-electricity'!I23</f>
        <v>16417289356083.244</v>
      </c>
      <c r="J32" s="16">
        <f>'BIFUbC-electricity'!J23</f>
        <v>16547409938687.164</v>
      </c>
      <c r="K32" s="16">
        <f>'BIFUbC-electricity'!K23</f>
        <v>16677530521291.084</v>
      </c>
      <c r="L32" s="16">
        <f>'BIFUbC-electricity'!L23</f>
        <v>16807651103895.004</v>
      </c>
      <c r="M32" s="16">
        <f>'BIFUbC-electricity'!M23</f>
        <v>16876394053195.188</v>
      </c>
      <c r="N32" s="16">
        <f>'BIFUbC-electricity'!N23</f>
        <v>16945137002495.371</v>
      </c>
      <c r="O32" s="16">
        <f>'BIFUbC-electricity'!O23</f>
        <v>17013879951795.555</v>
      </c>
      <c r="P32" s="16">
        <f>'BIFUbC-electricity'!P23</f>
        <v>17082622901095.74</v>
      </c>
      <c r="Q32" s="16">
        <f>'BIFUbC-electricity'!Q23</f>
        <v>17151365850395.926</v>
      </c>
      <c r="R32" s="16">
        <f>'BIFUbC-electricity'!R23</f>
        <v>17200467957038.912</v>
      </c>
      <c r="S32" s="16">
        <f>'BIFUbC-electricity'!S23</f>
        <v>17249570063681.9</v>
      </c>
      <c r="T32" s="16">
        <f>'BIFUbC-electricity'!T23</f>
        <v>17298672170324.889</v>
      </c>
      <c r="U32" s="16">
        <f>'BIFUbC-electricity'!U23</f>
        <v>17347774276967.877</v>
      </c>
      <c r="V32" s="16">
        <f>'BIFUbC-electricity'!V23</f>
        <v>17396876383610.863</v>
      </c>
      <c r="W32" s="16">
        <f>'BIFUbC-electricity'!W23</f>
        <v>17472166280463.459</v>
      </c>
      <c r="X32" s="16">
        <f>'BIFUbC-electricity'!X23</f>
        <v>17529600865809.488</v>
      </c>
      <c r="Y32" s="16">
        <f>'BIFUbC-electricity'!Y23</f>
        <v>17587035451155.533</v>
      </c>
      <c r="Z32" s="16">
        <f>'BIFUbC-electricity'!Z23</f>
        <v>17644470036501.578</v>
      </c>
      <c r="AA32" s="16">
        <f>'BIFUbC-electricity'!AA23</f>
        <v>17701904621847.621</v>
      </c>
      <c r="AB32" s="16">
        <f>'BIFUbC-electricity'!AB23</f>
        <v>17759339207193.652</v>
      </c>
      <c r="AC32" s="16">
        <f>'BIFUbC-electricity'!AC23</f>
        <v>17816773792539.695</v>
      </c>
      <c r="AD32" s="16">
        <f>'BIFUbC-electricity'!AD23</f>
        <v>17874208377885.738</v>
      </c>
      <c r="AE32" s="16">
        <f>'BIFUbC-electricity'!AE23</f>
        <v>17931642963231.785</v>
      </c>
      <c r="AF32" s="16">
        <f>'BIFUbC-electricity'!AF23</f>
        <v>17989077548577.828</v>
      </c>
      <c r="AG32" s="16"/>
    </row>
    <row r="33" spans="1:33">
      <c r="A33" t="s">
        <v>24</v>
      </c>
      <c r="B33" s="16">
        <f>'BIFUbC-electricity'!B24</f>
        <v>0</v>
      </c>
      <c r="C33" s="16">
        <f>'BIFUbC-electricity'!C24</f>
        <v>0</v>
      </c>
      <c r="D33" s="16">
        <f>'BIFUbC-electricity'!D24</f>
        <v>0</v>
      </c>
      <c r="E33" s="16">
        <f>'BIFUbC-electricity'!E24</f>
        <v>0</v>
      </c>
      <c r="F33" s="16">
        <f>'BIFUbC-electricity'!F24</f>
        <v>0</v>
      </c>
      <c r="G33" s="16">
        <f>'BIFUbC-electricity'!G24</f>
        <v>0</v>
      </c>
      <c r="H33" s="16">
        <f>'BIFUbC-electricity'!H24</f>
        <v>0</v>
      </c>
      <c r="I33" s="16">
        <f>'BIFUbC-electricity'!I24</f>
        <v>0</v>
      </c>
      <c r="J33" s="16">
        <f>'BIFUbC-electricity'!J24</f>
        <v>0</v>
      </c>
      <c r="K33" s="16">
        <f>'BIFUbC-electricity'!K24</f>
        <v>0</v>
      </c>
      <c r="L33" s="16">
        <f>'BIFUbC-electricity'!L24</f>
        <v>0</v>
      </c>
      <c r="M33" s="16">
        <f>'BIFUbC-electricity'!M24</f>
        <v>0</v>
      </c>
      <c r="N33" s="16">
        <f>'BIFUbC-electricity'!N24</f>
        <v>0</v>
      </c>
      <c r="O33" s="16">
        <f>'BIFUbC-electricity'!O24</f>
        <v>0</v>
      </c>
      <c r="P33" s="16">
        <f>'BIFUbC-electricity'!P24</f>
        <v>0</v>
      </c>
      <c r="Q33" s="16">
        <f>'BIFUbC-electricity'!Q24</f>
        <v>0</v>
      </c>
      <c r="R33" s="16">
        <f>'BIFUbC-electricity'!R24</f>
        <v>0</v>
      </c>
      <c r="S33" s="16">
        <f>'BIFUbC-electricity'!S24</f>
        <v>0</v>
      </c>
      <c r="T33" s="16">
        <f>'BIFUbC-electricity'!T24</f>
        <v>0</v>
      </c>
      <c r="U33" s="16">
        <f>'BIFUbC-electricity'!U24</f>
        <v>0</v>
      </c>
      <c r="V33" s="16">
        <f>'BIFUbC-electricity'!V24</f>
        <v>0</v>
      </c>
      <c r="W33" s="16">
        <f>'BIFUbC-electricity'!W24</f>
        <v>0</v>
      </c>
      <c r="X33" s="16">
        <f>'BIFUbC-electricity'!X24</f>
        <v>0</v>
      </c>
      <c r="Y33" s="16">
        <f>'BIFUbC-electricity'!Y24</f>
        <v>0</v>
      </c>
      <c r="Z33" s="16">
        <f>'BIFUbC-electricity'!Z24</f>
        <v>0</v>
      </c>
      <c r="AA33" s="16">
        <f>'BIFUbC-electricity'!AA24</f>
        <v>0</v>
      </c>
      <c r="AB33" s="16">
        <f>'BIFUbC-electricity'!AB24</f>
        <v>0</v>
      </c>
      <c r="AC33" s="16">
        <f>'BIFUbC-electricity'!AC24</f>
        <v>0</v>
      </c>
      <c r="AD33" s="16">
        <f>'BIFUbC-electricity'!AD24</f>
        <v>0</v>
      </c>
      <c r="AE33" s="16">
        <f>'BIFUbC-electricity'!AE24</f>
        <v>0</v>
      </c>
      <c r="AF33" s="16">
        <f>'BIFUbC-electricity'!AF24</f>
        <v>0</v>
      </c>
      <c r="AG33" s="16"/>
    </row>
    <row r="34" spans="1:33">
      <c r="A34" t="s">
        <v>25</v>
      </c>
      <c r="B34" s="16">
        <f>'BIFUbC-electricity'!B25</f>
        <v>4053972007121.0981</v>
      </c>
      <c r="C34" s="16">
        <f>'BIFUbC-electricity'!C25</f>
        <v>4058025979128.2188</v>
      </c>
      <c r="D34" s="16">
        <f>'BIFUbC-electricity'!D25</f>
        <v>4062084005107.3467</v>
      </c>
      <c r="E34" s="16">
        <f>'BIFUbC-electricity'!E25</f>
        <v>4066146089112.4536</v>
      </c>
      <c r="F34" s="16">
        <f>'BIFUbC-electricity'!F25</f>
        <v>4070212235201.5654</v>
      </c>
      <c r="G34" s="16">
        <f>'BIFUbC-electricity'!G25</f>
        <v>4074282447436.7666</v>
      </c>
      <c r="H34" s="16">
        <f>'BIFUbC-electricity'!H25</f>
        <v>4078356729884.2031</v>
      </c>
      <c r="I34" s="16">
        <f>'BIFUbC-electricity'!I25</f>
        <v>4082435086614.0869</v>
      </c>
      <c r="J34" s="16">
        <f>'BIFUbC-electricity'!J25</f>
        <v>4086517521700.7007</v>
      </c>
      <c r="K34" s="16">
        <f>'BIFUbC-electricity'!K25</f>
        <v>4090604039222.4009</v>
      </c>
      <c r="L34" s="16">
        <f>'BIFUbC-electricity'!L25</f>
        <v>4094694643261.623</v>
      </c>
      <c r="M34" s="16">
        <f>'BIFUbC-electricity'!M25</f>
        <v>4098789337904.8843</v>
      </c>
      <c r="N34" s="16">
        <f>'BIFUbC-electricity'!N25</f>
        <v>4102888127242.7886</v>
      </c>
      <c r="O34" s="16">
        <f>'BIFUbC-electricity'!O25</f>
        <v>4106991015370.0308</v>
      </c>
      <c r="P34" s="16">
        <f>'BIFUbC-electricity'!P25</f>
        <v>4111098006385.4004</v>
      </c>
      <c r="Q34" s="16">
        <f>'BIFUbC-electricity'!Q25</f>
        <v>4115209104391.7852</v>
      </c>
      <c r="R34" s="16">
        <f>'BIFUbC-electricity'!R25</f>
        <v>4119324313496.1763</v>
      </c>
      <c r="S34" s="16">
        <f>'BIFUbC-electricity'!S25</f>
        <v>4123443637809.6719</v>
      </c>
      <c r="T34" s="16">
        <f>'BIFUbC-electricity'!T25</f>
        <v>4127567081447.481</v>
      </c>
      <c r="U34" s="16">
        <f>'BIFUbC-electricity'!U25</f>
        <v>4131694648528.9282</v>
      </c>
      <c r="V34" s="16">
        <f>'BIFUbC-electricity'!V25</f>
        <v>4135826343177.4565</v>
      </c>
      <c r="W34" s="16">
        <f>'BIFUbC-electricity'!W25</f>
        <v>4115147211461.5693</v>
      </c>
      <c r="X34" s="16">
        <f>'BIFUbC-electricity'!X25</f>
        <v>4094571475404.2612</v>
      </c>
      <c r="Y34" s="16">
        <f>'BIFUbC-electricity'!Y25</f>
        <v>4074098618027.2397</v>
      </c>
      <c r="Z34" s="16">
        <f>'BIFUbC-electricity'!Z25</f>
        <v>4053728124937.1035</v>
      </c>
      <c r="AA34" s="16">
        <f>'BIFUbC-electricity'!AA25</f>
        <v>4033459484312.418</v>
      </c>
      <c r="AB34" s="16">
        <f>'BIFUbC-electricity'!AB25</f>
        <v>4013292186890.856</v>
      </c>
      <c r="AC34" s="16">
        <f>'BIFUbC-electricity'!AC25</f>
        <v>3993225725956.4019</v>
      </c>
      <c r="AD34" s="16">
        <f>'BIFUbC-electricity'!AD25</f>
        <v>3973259597326.6196</v>
      </c>
      <c r="AE34" s="16">
        <f>'BIFUbC-electricity'!AE25</f>
        <v>3953393299339.9863</v>
      </c>
      <c r="AF34" s="16">
        <f>'BIFUbC-electricity'!AF25</f>
        <v>3933626332843.2861</v>
      </c>
      <c r="AG34" s="16"/>
    </row>
    <row r="35" spans="1:33">
      <c r="A35" t="s">
        <v>26</v>
      </c>
      <c r="B35" s="16">
        <f>'BIFUbC-electricity'!B26</f>
        <v>30366447483.196106</v>
      </c>
      <c r="C35" s="16">
        <f>'BIFUbC-electricity'!C26</f>
        <v>31482362059.076401</v>
      </c>
      <c r="D35" s="16">
        <f>'BIFUbC-electricity'!D26</f>
        <v>32598276634.956688</v>
      </c>
      <c r="E35" s="16">
        <f>'BIFUbC-electricity'!E26</f>
        <v>33714191210.836979</v>
      </c>
      <c r="F35" s="16">
        <f>'BIFUbC-electricity'!F26</f>
        <v>34830105786.71727</v>
      </c>
      <c r="G35" s="16">
        <f>'BIFUbC-electricity'!G26</f>
        <v>35946020362.597565</v>
      </c>
      <c r="H35" s="16">
        <f>'BIFUbC-electricity'!H26</f>
        <v>36235511181.503151</v>
      </c>
      <c r="I35" s="16">
        <f>'BIFUbC-electricity'!I26</f>
        <v>36525002000.408737</v>
      </c>
      <c r="J35" s="16">
        <f>'BIFUbC-electricity'!J26</f>
        <v>36814492819.314331</v>
      </c>
      <c r="K35" s="16">
        <f>'BIFUbC-electricity'!K26</f>
        <v>37103983638.219917</v>
      </c>
      <c r="L35" s="16">
        <f>'BIFUbC-electricity'!L26</f>
        <v>37393474457.125504</v>
      </c>
      <c r="M35" s="16">
        <f>'BIFUbC-electricity'!M26</f>
        <v>37546413002.962418</v>
      </c>
      <c r="N35" s="16">
        <f>'BIFUbC-electricity'!N26</f>
        <v>37699351548.799332</v>
      </c>
      <c r="O35" s="16">
        <f>'BIFUbC-electricity'!O26</f>
        <v>37852290094.636246</v>
      </c>
      <c r="P35" s="16">
        <f>'BIFUbC-electricity'!P26</f>
        <v>38005228640.47316</v>
      </c>
      <c r="Q35" s="16">
        <f>'BIFUbC-electricity'!Q26</f>
        <v>38158167186.310074</v>
      </c>
      <c r="R35" s="16">
        <f>'BIFUbC-electricity'!R26</f>
        <v>38267409004.765015</v>
      </c>
      <c r="S35" s="16">
        <f>'BIFUbC-electricity'!S26</f>
        <v>38376650823.219948</v>
      </c>
      <c r="T35" s="16">
        <f>'BIFUbC-electricity'!T26</f>
        <v>38485892641.674889</v>
      </c>
      <c r="U35" s="16">
        <f>'BIFUbC-electricity'!U26</f>
        <v>38595134460.129829</v>
      </c>
      <c r="V35" s="16">
        <f>'BIFUbC-electricity'!V26</f>
        <v>38704376278.584755</v>
      </c>
      <c r="W35" s="16">
        <f>'BIFUbC-electricity'!W26</f>
        <v>38871880400.215698</v>
      </c>
      <c r="X35" s="16">
        <f>'BIFUbC-electricity'!X26</f>
        <v>38999660224.226593</v>
      </c>
      <c r="Y35" s="16">
        <f>'BIFUbC-electricity'!Y26</f>
        <v>39127440048.237534</v>
      </c>
      <c r="Z35" s="16">
        <f>'BIFUbC-electricity'!Z26</f>
        <v>39255219872.248466</v>
      </c>
      <c r="AA35" s="16">
        <f>'BIFUbC-electricity'!AA26</f>
        <v>39382999696.259407</v>
      </c>
      <c r="AB35" s="16">
        <f>'BIFUbC-electricity'!AB26</f>
        <v>39510779520.270302</v>
      </c>
      <c r="AC35" s="16">
        <f>'BIFUbC-electricity'!AC26</f>
        <v>39638559344.281242</v>
      </c>
      <c r="AD35" s="16">
        <f>'BIFUbC-electricity'!AD26</f>
        <v>39766339168.292175</v>
      </c>
      <c r="AE35" s="16">
        <f>'BIFUbC-electricity'!AE26</f>
        <v>39894118992.303108</v>
      </c>
      <c r="AF35" s="16">
        <f>'BIFUbC-electricity'!AF26</f>
        <v>40021898816.314049</v>
      </c>
      <c r="AG35" s="16"/>
    </row>
    <row r="37" spans="1:33">
      <c r="A37" s="1" t="s">
        <v>804</v>
      </c>
    </row>
    <row r="38" spans="1:33">
      <c r="B38">
        <v>2020</v>
      </c>
      <c r="C38">
        <v>2021</v>
      </c>
      <c r="D38">
        <v>2022</v>
      </c>
      <c r="E38">
        <v>2023</v>
      </c>
      <c r="F38">
        <v>2024</v>
      </c>
      <c r="G38">
        <v>2025</v>
      </c>
      <c r="H38">
        <v>2026</v>
      </c>
      <c r="I38">
        <v>2027</v>
      </c>
      <c r="J38">
        <v>2028</v>
      </c>
      <c r="K38">
        <v>2029</v>
      </c>
      <c r="L38">
        <v>2030</v>
      </c>
      <c r="M38">
        <v>2031</v>
      </c>
      <c r="N38">
        <v>2032</v>
      </c>
      <c r="O38">
        <v>2033</v>
      </c>
      <c r="P38">
        <v>2034</v>
      </c>
      <c r="Q38">
        <v>2035</v>
      </c>
      <c r="R38">
        <v>2036</v>
      </c>
      <c r="S38">
        <v>2037</v>
      </c>
      <c r="T38">
        <v>2038</v>
      </c>
      <c r="U38">
        <v>2039</v>
      </c>
      <c r="V38">
        <v>2040</v>
      </c>
      <c r="W38">
        <v>2041</v>
      </c>
      <c r="X38">
        <v>2042</v>
      </c>
      <c r="Y38">
        <v>2043</v>
      </c>
      <c r="Z38">
        <v>2044</v>
      </c>
      <c r="AA38">
        <v>2045</v>
      </c>
      <c r="AB38">
        <v>2046</v>
      </c>
      <c r="AC38">
        <v>2047</v>
      </c>
      <c r="AD38">
        <v>2048</v>
      </c>
      <c r="AE38">
        <v>2049</v>
      </c>
      <c r="AF38">
        <v>2050</v>
      </c>
    </row>
    <row r="39" spans="1:33">
      <c r="A39" t="s">
        <v>2</v>
      </c>
      <c r="B39" s="16">
        <f>B$5*$B11/SUM($B$11:$B$35)</f>
        <v>13014713877738.818</v>
      </c>
      <c r="C39" s="16">
        <f>IFERROR($B39*C11/$B11,0)</f>
        <v>13492982167933.68</v>
      </c>
      <c r="D39" s="16">
        <f t="shared" ref="D39:AF48" si="1">IFERROR($B39*D11/$B11,0)</f>
        <v>13971250458128.541</v>
      </c>
      <c r="E39" s="16">
        <f t="shared" si="1"/>
        <v>14449518748323.404</v>
      </c>
      <c r="F39" s="16">
        <f t="shared" si="1"/>
        <v>14927787038518.266</v>
      </c>
      <c r="G39" s="16">
        <f t="shared" si="1"/>
        <v>15406055328713.125</v>
      </c>
      <c r="H39" s="16">
        <f t="shared" si="1"/>
        <v>15530127799830.25</v>
      </c>
      <c r="I39" s="16">
        <f t="shared" si="1"/>
        <v>15654200270947.375</v>
      </c>
      <c r="J39" s="16">
        <f t="shared" si="1"/>
        <v>15778272742064.498</v>
      </c>
      <c r="K39" s="16">
        <f t="shared" si="1"/>
        <v>15902345213181.625</v>
      </c>
      <c r="L39" s="16">
        <f t="shared" si="1"/>
        <v>16026417684298.75</v>
      </c>
      <c r="M39" s="16">
        <f t="shared" si="1"/>
        <v>16091965404888.928</v>
      </c>
      <c r="N39" s="16">
        <f t="shared" si="1"/>
        <v>16157513125479.107</v>
      </c>
      <c r="O39" s="16">
        <f t="shared" si="1"/>
        <v>16223060846069.285</v>
      </c>
      <c r="P39" s="16">
        <f t="shared" si="1"/>
        <v>16288608566659.463</v>
      </c>
      <c r="Q39" s="16">
        <f t="shared" si="1"/>
        <v>16354156287249.645</v>
      </c>
      <c r="R39" s="16">
        <f t="shared" si="1"/>
        <v>16400976087671.201</v>
      </c>
      <c r="S39" s="16">
        <f t="shared" si="1"/>
        <v>16447795888092.756</v>
      </c>
      <c r="T39" s="16">
        <f t="shared" si="1"/>
        <v>16494615688514.313</v>
      </c>
      <c r="U39" s="16">
        <f t="shared" si="1"/>
        <v>16541435488935.869</v>
      </c>
      <c r="V39" s="16">
        <f t="shared" si="1"/>
        <v>16588255289357.422</v>
      </c>
      <c r="W39" s="16">
        <f t="shared" si="1"/>
        <v>16660045650003.82</v>
      </c>
      <c r="X39" s="16">
        <f t="shared" si="1"/>
        <v>16714810628678.721</v>
      </c>
      <c r="Y39" s="16">
        <f t="shared" si="1"/>
        <v>16769575607353.637</v>
      </c>
      <c r="Z39" s="16">
        <f t="shared" si="1"/>
        <v>16824340586028.549</v>
      </c>
      <c r="AA39" s="16">
        <f t="shared" si="1"/>
        <v>16879105564703.465</v>
      </c>
      <c r="AB39" s="16">
        <f t="shared" si="1"/>
        <v>16933870543378.363</v>
      </c>
      <c r="AC39" s="16">
        <f t="shared" si="1"/>
        <v>16988635522053.279</v>
      </c>
      <c r="AD39" s="16">
        <f t="shared" si="1"/>
        <v>17043400500728.193</v>
      </c>
      <c r="AE39" s="16">
        <f t="shared" si="1"/>
        <v>17098165479403.109</v>
      </c>
      <c r="AF39" s="16">
        <f t="shared" si="1"/>
        <v>17152930458078.023</v>
      </c>
      <c r="AG39" s="16"/>
    </row>
    <row r="40" spans="1:33">
      <c r="A40" t="s">
        <v>3</v>
      </c>
      <c r="B40" s="16">
        <f t="shared" ref="B40:B63" si="2">B$5*$B12/SUM($B$11:$B$35)</f>
        <v>0</v>
      </c>
      <c r="C40" s="16">
        <f t="shared" ref="C40:R63" si="3">IFERROR($B40*C12/$B12,0)</f>
        <v>0</v>
      </c>
      <c r="D40" s="16">
        <f t="shared" si="3"/>
        <v>0</v>
      </c>
      <c r="E40" s="16">
        <f t="shared" si="3"/>
        <v>0</v>
      </c>
      <c r="F40" s="16">
        <f t="shared" si="3"/>
        <v>0</v>
      </c>
      <c r="G40" s="16">
        <f t="shared" si="3"/>
        <v>0</v>
      </c>
      <c r="H40" s="16">
        <f t="shared" si="3"/>
        <v>0</v>
      </c>
      <c r="I40" s="16">
        <f t="shared" si="3"/>
        <v>0</v>
      </c>
      <c r="J40" s="16">
        <f t="shared" si="3"/>
        <v>0</v>
      </c>
      <c r="K40" s="16">
        <f t="shared" si="3"/>
        <v>0</v>
      </c>
      <c r="L40" s="16">
        <f t="shared" si="3"/>
        <v>0</v>
      </c>
      <c r="M40" s="16">
        <f t="shared" si="3"/>
        <v>0</v>
      </c>
      <c r="N40" s="16">
        <f t="shared" si="3"/>
        <v>0</v>
      </c>
      <c r="O40" s="16">
        <f t="shared" si="3"/>
        <v>0</v>
      </c>
      <c r="P40" s="16">
        <f t="shared" si="3"/>
        <v>0</v>
      </c>
      <c r="Q40" s="16">
        <f t="shared" si="3"/>
        <v>0</v>
      </c>
      <c r="R40" s="16">
        <f t="shared" si="3"/>
        <v>0</v>
      </c>
      <c r="S40" s="16">
        <f t="shared" si="1"/>
        <v>0</v>
      </c>
      <c r="T40" s="16">
        <f t="shared" si="1"/>
        <v>0</v>
      </c>
      <c r="U40" s="16">
        <f t="shared" si="1"/>
        <v>0</v>
      </c>
      <c r="V40" s="16">
        <f t="shared" si="1"/>
        <v>0</v>
      </c>
      <c r="W40" s="16">
        <f t="shared" si="1"/>
        <v>0</v>
      </c>
      <c r="X40" s="16">
        <f t="shared" si="1"/>
        <v>0</v>
      </c>
      <c r="Y40" s="16">
        <f t="shared" si="1"/>
        <v>0</v>
      </c>
      <c r="Z40" s="16">
        <f t="shared" si="1"/>
        <v>0</v>
      </c>
      <c r="AA40" s="16">
        <f t="shared" si="1"/>
        <v>0</v>
      </c>
      <c r="AB40" s="16">
        <f t="shared" si="1"/>
        <v>0</v>
      </c>
      <c r="AC40" s="16">
        <f t="shared" si="1"/>
        <v>0</v>
      </c>
      <c r="AD40" s="16">
        <f t="shared" si="1"/>
        <v>0</v>
      </c>
      <c r="AE40" s="16">
        <f t="shared" si="1"/>
        <v>0</v>
      </c>
      <c r="AF40" s="16">
        <f t="shared" si="1"/>
        <v>0</v>
      </c>
      <c r="AG40" s="16"/>
    </row>
    <row r="41" spans="1:33">
      <c r="A41" t="s">
        <v>4</v>
      </c>
      <c r="B41" s="16">
        <f t="shared" si="2"/>
        <v>0</v>
      </c>
      <c r="C41" s="16">
        <f t="shared" si="3"/>
        <v>0</v>
      </c>
      <c r="D41" s="16">
        <f t="shared" si="1"/>
        <v>0</v>
      </c>
      <c r="E41" s="16">
        <f t="shared" si="1"/>
        <v>0</v>
      </c>
      <c r="F41" s="16">
        <f t="shared" si="1"/>
        <v>0</v>
      </c>
      <c r="G41" s="16">
        <f t="shared" si="1"/>
        <v>0</v>
      </c>
      <c r="H41" s="16">
        <f t="shared" si="1"/>
        <v>0</v>
      </c>
      <c r="I41" s="16">
        <f t="shared" si="1"/>
        <v>0</v>
      </c>
      <c r="J41" s="16">
        <f t="shared" si="1"/>
        <v>0</v>
      </c>
      <c r="K41" s="16">
        <f t="shared" si="1"/>
        <v>0</v>
      </c>
      <c r="L41" s="16">
        <f t="shared" si="1"/>
        <v>0</v>
      </c>
      <c r="M41" s="16">
        <f t="shared" si="1"/>
        <v>0</v>
      </c>
      <c r="N41" s="16">
        <f t="shared" si="1"/>
        <v>0</v>
      </c>
      <c r="O41" s="16">
        <f t="shared" si="1"/>
        <v>0</v>
      </c>
      <c r="P41" s="16">
        <f t="shared" si="1"/>
        <v>0</v>
      </c>
      <c r="Q41" s="16">
        <f t="shared" si="1"/>
        <v>0</v>
      </c>
      <c r="R41" s="16">
        <f t="shared" si="1"/>
        <v>0</v>
      </c>
      <c r="S41" s="16">
        <f t="shared" si="1"/>
        <v>0</v>
      </c>
      <c r="T41" s="16">
        <f t="shared" si="1"/>
        <v>0</v>
      </c>
      <c r="U41" s="16">
        <f t="shared" si="1"/>
        <v>0</v>
      </c>
      <c r="V41" s="16">
        <f t="shared" si="1"/>
        <v>0</v>
      </c>
      <c r="W41" s="16">
        <f t="shared" si="1"/>
        <v>0</v>
      </c>
      <c r="X41" s="16">
        <f t="shared" si="1"/>
        <v>0</v>
      </c>
      <c r="Y41" s="16">
        <f t="shared" si="1"/>
        <v>0</v>
      </c>
      <c r="Z41" s="16">
        <f t="shared" si="1"/>
        <v>0</v>
      </c>
      <c r="AA41" s="16">
        <f t="shared" si="1"/>
        <v>0</v>
      </c>
      <c r="AB41" s="16">
        <f t="shared" si="1"/>
        <v>0</v>
      </c>
      <c r="AC41" s="16">
        <f t="shared" si="1"/>
        <v>0</v>
      </c>
      <c r="AD41" s="16">
        <f t="shared" si="1"/>
        <v>0</v>
      </c>
      <c r="AE41" s="16">
        <f t="shared" si="1"/>
        <v>0</v>
      </c>
      <c r="AF41" s="16">
        <f t="shared" si="1"/>
        <v>0</v>
      </c>
      <c r="AG41" s="16"/>
    </row>
    <row r="42" spans="1:33">
      <c r="A42" t="s">
        <v>5</v>
      </c>
      <c r="B42" s="16">
        <f t="shared" si="2"/>
        <v>1122507386093.0371</v>
      </c>
      <c r="C42" s="16">
        <f t="shared" si="3"/>
        <v>1163757596687.0708</v>
      </c>
      <c r="D42" s="16">
        <f t="shared" si="1"/>
        <v>1205007807281.1045</v>
      </c>
      <c r="E42" s="16">
        <f t="shared" si="1"/>
        <v>1246258017875.1384</v>
      </c>
      <c r="F42" s="16">
        <f t="shared" si="1"/>
        <v>1287508228469.1724</v>
      </c>
      <c r="G42" s="16">
        <f t="shared" si="1"/>
        <v>1328758439063.2058</v>
      </c>
      <c r="H42" s="16">
        <f t="shared" si="1"/>
        <v>1339459578292.8596</v>
      </c>
      <c r="I42" s="16">
        <f t="shared" si="1"/>
        <v>1350160717522.5129</v>
      </c>
      <c r="J42" s="16">
        <f t="shared" si="1"/>
        <v>1360861856752.1667</v>
      </c>
      <c r="K42" s="16">
        <f t="shared" si="1"/>
        <v>1371562995981.8201</v>
      </c>
      <c r="L42" s="16">
        <f t="shared" si="1"/>
        <v>1382264135211.4739</v>
      </c>
      <c r="M42" s="16">
        <f t="shared" si="1"/>
        <v>1387917567257.3286</v>
      </c>
      <c r="N42" s="16">
        <f t="shared" si="1"/>
        <v>1393570999303.1831</v>
      </c>
      <c r="O42" s="16">
        <f t="shared" si="1"/>
        <v>1399224431349.0381</v>
      </c>
      <c r="P42" s="16">
        <f t="shared" si="1"/>
        <v>1404877863394.8926</v>
      </c>
      <c r="Q42" s="16">
        <f t="shared" si="1"/>
        <v>1410531295440.7473</v>
      </c>
      <c r="R42" s="16">
        <f t="shared" si="1"/>
        <v>1414569461187.7861</v>
      </c>
      <c r="S42" s="16">
        <f t="shared" si="1"/>
        <v>1418607626934.8254</v>
      </c>
      <c r="T42" s="16">
        <f t="shared" si="1"/>
        <v>1422645792681.8645</v>
      </c>
      <c r="U42" s="16">
        <f t="shared" si="1"/>
        <v>1426683958428.9033</v>
      </c>
      <c r="V42" s="16">
        <f t="shared" si="1"/>
        <v>1430722124175.9421</v>
      </c>
      <c r="W42" s="16">
        <f t="shared" si="1"/>
        <v>1436913978321.4031</v>
      </c>
      <c r="X42" s="16">
        <f t="shared" si="1"/>
        <v>1441637408558.8481</v>
      </c>
      <c r="Y42" s="16">
        <f t="shared" si="1"/>
        <v>1446360838796.2939</v>
      </c>
      <c r="Z42" s="16">
        <f t="shared" si="1"/>
        <v>1451084269033.7397</v>
      </c>
      <c r="AA42" s="16">
        <f t="shared" si="1"/>
        <v>1455807699271.186</v>
      </c>
      <c r="AB42" s="16">
        <f t="shared" si="1"/>
        <v>1460531129508.6304</v>
      </c>
      <c r="AC42" s="16">
        <f t="shared" si="1"/>
        <v>1465254559746.0767</v>
      </c>
      <c r="AD42" s="16">
        <f t="shared" si="1"/>
        <v>1469977989983.5225</v>
      </c>
      <c r="AE42" s="16">
        <f t="shared" si="1"/>
        <v>1474701420220.9683</v>
      </c>
      <c r="AF42" s="16">
        <f t="shared" si="1"/>
        <v>1479424850458.4143</v>
      </c>
      <c r="AG42" s="16"/>
    </row>
    <row r="43" spans="1:33">
      <c r="A43" t="s">
        <v>6</v>
      </c>
      <c r="B43" s="16">
        <f t="shared" si="2"/>
        <v>10310878715299.299</v>
      </c>
      <c r="C43" s="16">
        <f t="shared" si="3"/>
        <v>10689785726233.107</v>
      </c>
      <c r="D43" s="16">
        <f t="shared" si="1"/>
        <v>11068692737166.918</v>
      </c>
      <c r="E43" s="16">
        <f t="shared" si="1"/>
        <v>11447599748100.729</v>
      </c>
      <c r="F43" s="16">
        <f t="shared" si="1"/>
        <v>11826506759034.537</v>
      </c>
      <c r="G43" s="16">
        <f t="shared" si="1"/>
        <v>12205413769968.348</v>
      </c>
      <c r="H43" s="16">
        <f t="shared" si="1"/>
        <v>12303709914901.992</v>
      </c>
      <c r="I43" s="16">
        <f t="shared" si="1"/>
        <v>12402006059835.639</v>
      </c>
      <c r="J43" s="16">
        <f t="shared" si="1"/>
        <v>12500302204769.285</v>
      </c>
      <c r="K43" s="16">
        <f t="shared" si="1"/>
        <v>12598598349702.93</v>
      </c>
      <c r="L43" s="16">
        <f t="shared" si="1"/>
        <v>12696894494636.576</v>
      </c>
      <c r="M43" s="16">
        <f t="shared" si="1"/>
        <v>12748824533469.445</v>
      </c>
      <c r="N43" s="16">
        <f t="shared" si="1"/>
        <v>12800754572302.314</v>
      </c>
      <c r="O43" s="16">
        <f t="shared" si="1"/>
        <v>12852684611135.184</v>
      </c>
      <c r="P43" s="16">
        <f t="shared" si="1"/>
        <v>12904614649968.055</v>
      </c>
      <c r="Q43" s="16">
        <f t="shared" si="1"/>
        <v>12956544688800.926</v>
      </c>
      <c r="R43" s="16">
        <f t="shared" si="1"/>
        <v>12993637573681.545</v>
      </c>
      <c r="S43" s="16">
        <f t="shared" si="1"/>
        <v>13030730458562.166</v>
      </c>
      <c r="T43" s="16">
        <f t="shared" si="1"/>
        <v>13067823343442.785</v>
      </c>
      <c r="U43" s="16">
        <f t="shared" si="1"/>
        <v>13104916228323.406</v>
      </c>
      <c r="V43" s="16">
        <f t="shared" si="1"/>
        <v>13142009113204.025</v>
      </c>
      <c r="W43" s="16">
        <f t="shared" si="1"/>
        <v>13198884870020.99</v>
      </c>
      <c r="X43" s="16">
        <f t="shared" si="1"/>
        <v>13242272305063.16</v>
      </c>
      <c r="Y43" s="16">
        <f t="shared" si="1"/>
        <v>13285659740105.344</v>
      </c>
      <c r="Z43" s="16">
        <f t="shared" si="1"/>
        <v>13329047175147.527</v>
      </c>
      <c r="AA43" s="16">
        <f t="shared" si="1"/>
        <v>13372434610189.711</v>
      </c>
      <c r="AB43" s="16">
        <f t="shared" si="1"/>
        <v>13415822045231.881</v>
      </c>
      <c r="AC43" s="16">
        <f t="shared" si="1"/>
        <v>13459209480274.066</v>
      </c>
      <c r="AD43" s="16">
        <f t="shared" si="1"/>
        <v>13502596915316.248</v>
      </c>
      <c r="AE43" s="16">
        <f t="shared" si="1"/>
        <v>13545984350358.432</v>
      </c>
      <c r="AF43" s="16">
        <f t="shared" si="1"/>
        <v>13589371785400.615</v>
      </c>
      <c r="AG43" s="16"/>
    </row>
    <row r="44" spans="1:33">
      <c r="A44" t="s">
        <v>7</v>
      </c>
      <c r="B44" s="16">
        <f t="shared" si="2"/>
        <v>7769250750008.7539</v>
      </c>
      <c r="C44" s="16">
        <f t="shared" si="3"/>
        <v>8054757316438.7354</v>
      </c>
      <c r="D44" s="16">
        <f t="shared" si="1"/>
        <v>8340263882868.7158</v>
      </c>
      <c r="E44" s="16">
        <f t="shared" si="1"/>
        <v>8625770449298.6973</v>
      </c>
      <c r="F44" s="16">
        <f t="shared" si="1"/>
        <v>8911277015728.6777</v>
      </c>
      <c r="G44" s="16">
        <f t="shared" si="1"/>
        <v>9196783582158.6602</v>
      </c>
      <c r="H44" s="16">
        <f t="shared" si="1"/>
        <v>9270849762048.4043</v>
      </c>
      <c r="I44" s="16">
        <f t="shared" si="1"/>
        <v>9344915941938.1484</v>
      </c>
      <c r="J44" s="16">
        <f t="shared" si="1"/>
        <v>9418982121827.8926</v>
      </c>
      <c r="K44" s="16">
        <f t="shared" si="1"/>
        <v>9493048301717.6367</v>
      </c>
      <c r="L44" s="16">
        <f t="shared" si="1"/>
        <v>9567114481607.3828</v>
      </c>
      <c r="M44" s="16">
        <f t="shared" si="1"/>
        <v>9606243784190.6426</v>
      </c>
      <c r="N44" s="16">
        <f t="shared" si="1"/>
        <v>9645373086773.9063</v>
      </c>
      <c r="O44" s="16">
        <f t="shared" si="1"/>
        <v>9684502389357.1641</v>
      </c>
      <c r="P44" s="16">
        <f t="shared" si="1"/>
        <v>9723631691940.4277</v>
      </c>
      <c r="Q44" s="16">
        <f t="shared" si="1"/>
        <v>9762760994523.6895</v>
      </c>
      <c r="R44" s="16">
        <f t="shared" si="1"/>
        <v>9790710496368.877</v>
      </c>
      <c r="S44" s="16">
        <f t="shared" si="1"/>
        <v>9818659998214.0625</v>
      </c>
      <c r="T44" s="16">
        <f t="shared" si="1"/>
        <v>9846609500059.2461</v>
      </c>
      <c r="U44" s="16">
        <f t="shared" si="1"/>
        <v>9874559001904.4355</v>
      </c>
      <c r="V44" s="16">
        <f t="shared" si="1"/>
        <v>9902508503749.6191</v>
      </c>
      <c r="W44" s="16">
        <f t="shared" si="1"/>
        <v>9945364406578.9141</v>
      </c>
      <c r="X44" s="16">
        <f t="shared" si="1"/>
        <v>9978056854191.7617</v>
      </c>
      <c r="Y44" s="16">
        <f t="shared" si="1"/>
        <v>10010749301804.619</v>
      </c>
      <c r="Z44" s="16">
        <f t="shared" si="1"/>
        <v>10043441749417.475</v>
      </c>
      <c r="AA44" s="16">
        <f t="shared" si="1"/>
        <v>10076134197030.33</v>
      </c>
      <c r="AB44" s="16">
        <f t="shared" si="1"/>
        <v>10108826644643.18</v>
      </c>
      <c r="AC44" s="16">
        <f t="shared" si="1"/>
        <v>10141519092256.035</v>
      </c>
      <c r="AD44" s="16">
        <f t="shared" si="1"/>
        <v>10174211539868.893</v>
      </c>
      <c r="AE44" s="16">
        <f t="shared" si="1"/>
        <v>10206903987481.748</v>
      </c>
      <c r="AF44" s="16">
        <f t="shared" si="1"/>
        <v>10239596435094.605</v>
      </c>
      <c r="AG44" s="16"/>
    </row>
    <row r="45" spans="1:33">
      <c r="A45" t="s">
        <v>8</v>
      </c>
      <c r="B45" s="16">
        <f t="shared" si="2"/>
        <v>1304540101677.2446</v>
      </c>
      <c r="C45" s="16">
        <f t="shared" si="3"/>
        <v>1352479700640.4612</v>
      </c>
      <c r="D45" s="16">
        <f t="shared" si="1"/>
        <v>1400419299603.6775</v>
      </c>
      <c r="E45" s="16">
        <f t="shared" si="1"/>
        <v>1448358898566.8938</v>
      </c>
      <c r="F45" s="16">
        <f t="shared" si="1"/>
        <v>1496298497530.1104</v>
      </c>
      <c r="G45" s="16">
        <f t="shared" si="1"/>
        <v>1544238096493.3269</v>
      </c>
      <c r="H45" s="16">
        <f t="shared" si="1"/>
        <v>1556674598410.0791</v>
      </c>
      <c r="I45" s="16">
        <f t="shared" si="1"/>
        <v>1569111100326.8315</v>
      </c>
      <c r="J45" s="16">
        <f t="shared" si="1"/>
        <v>1581547602243.5837</v>
      </c>
      <c r="K45" s="16">
        <f t="shared" si="1"/>
        <v>1593984104160.3357</v>
      </c>
      <c r="L45" s="16">
        <f t="shared" si="1"/>
        <v>1606420606077.0881</v>
      </c>
      <c r="M45" s="16">
        <f t="shared" si="1"/>
        <v>1612990833504.8062</v>
      </c>
      <c r="N45" s="16">
        <f t="shared" si="1"/>
        <v>1619561060932.5244</v>
      </c>
      <c r="O45" s="16">
        <f t="shared" si="1"/>
        <v>1626131288360.2424</v>
      </c>
      <c r="P45" s="16">
        <f t="shared" si="1"/>
        <v>1632701515787.9607</v>
      </c>
      <c r="Q45" s="16">
        <f t="shared" si="1"/>
        <v>1639271743215.679</v>
      </c>
      <c r="R45" s="16">
        <f t="shared" si="1"/>
        <v>1643964762806.906</v>
      </c>
      <c r="S45" s="16">
        <f t="shared" si="1"/>
        <v>1648657782398.1333</v>
      </c>
      <c r="T45" s="16">
        <f t="shared" si="1"/>
        <v>1653350801989.3606</v>
      </c>
      <c r="U45" s="16">
        <f t="shared" si="1"/>
        <v>1658043821580.5876</v>
      </c>
      <c r="V45" s="16">
        <f t="shared" si="1"/>
        <v>1662736841171.8147</v>
      </c>
      <c r="W45" s="16">
        <f t="shared" si="1"/>
        <v>1669932804545.0313</v>
      </c>
      <c r="X45" s="16">
        <f t="shared" si="1"/>
        <v>1675422215339.6169</v>
      </c>
      <c r="Y45" s="16">
        <f t="shared" si="1"/>
        <v>1680911626134.2043</v>
      </c>
      <c r="Z45" s="16">
        <f t="shared" si="1"/>
        <v>1686401036928.7917</v>
      </c>
      <c r="AA45" s="16">
        <f t="shared" si="1"/>
        <v>1691890447723.3792</v>
      </c>
      <c r="AB45" s="16">
        <f t="shared" si="1"/>
        <v>1697379858517.9648</v>
      </c>
      <c r="AC45" s="16">
        <f t="shared" si="1"/>
        <v>1702869269312.5522</v>
      </c>
      <c r="AD45" s="16">
        <f t="shared" si="1"/>
        <v>1708358680107.1396</v>
      </c>
      <c r="AE45" s="16">
        <f t="shared" si="1"/>
        <v>1713848090901.7268</v>
      </c>
      <c r="AF45" s="16">
        <f t="shared" si="1"/>
        <v>1719337501696.3142</v>
      </c>
      <c r="AG45" s="16"/>
    </row>
    <row r="46" spans="1:33">
      <c r="A46" t="s">
        <v>9</v>
      </c>
      <c r="B46" s="16">
        <f t="shared" si="2"/>
        <v>7447696057752.4131</v>
      </c>
      <c r="C46" s="16">
        <f t="shared" si="3"/>
        <v>7721386043786.2158</v>
      </c>
      <c r="D46" s="16">
        <f t="shared" si="1"/>
        <v>7995076029820.0156</v>
      </c>
      <c r="E46" s="16">
        <f t="shared" si="1"/>
        <v>8268766015853.8174</v>
      </c>
      <c r="F46" s="16">
        <f t="shared" si="1"/>
        <v>8542456001887.6191</v>
      </c>
      <c r="G46" s="16">
        <f t="shared" si="1"/>
        <v>8816145987921.418</v>
      </c>
      <c r="H46" s="16">
        <f t="shared" si="1"/>
        <v>8887146707775.5215</v>
      </c>
      <c r="I46" s="16">
        <f t="shared" si="1"/>
        <v>8958147427629.6211</v>
      </c>
      <c r="J46" s="16">
        <f t="shared" si="1"/>
        <v>9029148147483.7227</v>
      </c>
      <c r="K46" s="16">
        <f t="shared" si="1"/>
        <v>9100148867337.8223</v>
      </c>
      <c r="L46" s="16">
        <f t="shared" si="1"/>
        <v>9171149587191.9238</v>
      </c>
      <c r="M46" s="16">
        <f t="shared" si="1"/>
        <v>9208659401454.4668</v>
      </c>
      <c r="N46" s="16">
        <f t="shared" si="1"/>
        <v>9246169215717.0117</v>
      </c>
      <c r="O46" s="16">
        <f t="shared" si="1"/>
        <v>9283679029979.5547</v>
      </c>
      <c r="P46" s="16">
        <f t="shared" si="1"/>
        <v>9321188844242.0977</v>
      </c>
      <c r="Q46" s="16">
        <f t="shared" si="1"/>
        <v>9358698658504.6426</v>
      </c>
      <c r="R46" s="16">
        <f t="shared" si="1"/>
        <v>9385491382977.8848</v>
      </c>
      <c r="S46" s="16">
        <f t="shared" si="1"/>
        <v>9412284107451.1328</v>
      </c>
      <c r="T46" s="16">
        <f t="shared" si="1"/>
        <v>9439076831924.3789</v>
      </c>
      <c r="U46" s="16">
        <f t="shared" si="1"/>
        <v>9465869556397.623</v>
      </c>
      <c r="V46" s="16">
        <f t="shared" si="1"/>
        <v>9492662280870.8652</v>
      </c>
      <c r="W46" s="16">
        <f t="shared" si="1"/>
        <v>9533744458396.5176</v>
      </c>
      <c r="X46" s="16">
        <f t="shared" si="1"/>
        <v>9565083827022.791</v>
      </c>
      <c r="Y46" s="16">
        <f t="shared" si="1"/>
        <v>9596423195649.0762</v>
      </c>
      <c r="Z46" s="16">
        <f t="shared" si="1"/>
        <v>9627762564275.3574</v>
      </c>
      <c r="AA46" s="16">
        <f t="shared" si="1"/>
        <v>9659101932901.6406</v>
      </c>
      <c r="AB46" s="16">
        <f t="shared" si="1"/>
        <v>9690441301527.916</v>
      </c>
      <c r="AC46" s="16">
        <f t="shared" si="1"/>
        <v>9721780670154.1973</v>
      </c>
      <c r="AD46" s="16">
        <f t="shared" si="1"/>
        <v>9753120038780.4805</v>
      </c>
      <c r="AE46" s="16">
        <f t="shared" si="1"/>
        <v>9784459407406.7617</v>
      </c>
      <c r="AF46" s="16">
        <f t="shared" si="1"/>
        <v>9815798776033.0469</v>
      </c>
      <c r="AG46" s="16"/>
    </row>
    <row r="47" spans="1:33">
      <c r="A47" t="s">
        <v>648</v>
      </c>
      <c r="B47" s="16">
        <f t="shared" si="2"/>
        <v>0</v>
      </c>
      <c r="C47" s="16">
        <f t="shared" si="3"/>
        <v>0</v>
      </c>
      <c r="D47" s="16">
        <f t="shared" si="1"/>
        <v>0</v>
      </c>
      <c r="E47" s="16">
        <f t="shared" si="1"/>
        <v>0</v>
      </c>
      <c r="F47" s="16">
        <f t="shared" si="1"/>
        <v>0</v>
      </c>
      <c r="G47" s="16">
        <f t="shared" si="1"/>
        <v>0</v>
      </c>
      <c r="H47" s="16">
        <f t="shared" si="1"/>
        <v>0</v>
      </c>
      <c r="I47" s="16">
        <f t="shared" si="1"/>
        <v>0</v>
      </c>
      <c r="J47" s="16">
        <f t="shared" si="1"/>
        <v>0</v>
      </c>
      <c r="K47" s="16">
        <f t="shared" si="1"/>
        <v>0</v>
      </c>
      <c r="L47" s="16">
        <f t="shared" si="1"/>
        <v>0</v>
      </c>
      <c r="M47" s="16">
        <f t="shared" si="1"/>
        <v>0</v>
      </c>
      <c r="N47" s="16">
        <f t="shared" si="1"/>
        <v>0</v>
      </c>
      <c r="O47" s="16">
        <f t="shared" si="1"/>
        <v>0</v>
      </c>
      <c r="P47" s="16">
        <f t="shared" si="1"/>
        <v>0</v>
      </c>
      <c r="Q47" s="16">
        <f t="shared" si="1"/>
        <v>0</v>
      </c>
      <c r="R47" s="16">
        <f t="shared" si="1"/>
        <v>0</v>
      </c>
      <c r="S47" s="16">
        <f t="shared" si="1"/>
        <v>0</v>
      </c>
      <c r="T47" s="16">
        <f t="shared" si="1"/>
        <v>0</v>
      </c>
      <c r="U47" s="16">
        <f t="shared" si="1"/>
        <v>0</v>
      </c>
      <c r="V47" s="16">
        <f t="shared" si="1"/>
        <v>0</v>
      </c>
      <c r="W47" s="16">
        <f t="shared" si="1"/>
        <v>0</v>
      </c>
      <c r="X47" s="16">
        <f t="shared" si="1"/>
        <v>0</v>
      </c>
      <c r="Y47" s="16">
        <f t="shared" si="1"/>
        <v>0</v>
      </c>
      <c r="Z47" s="16">
        <f t="shared" si="1"/>
        <v>0</v>
      </c>
      <c r="AA47" s="16">
        <f t="shared" si="1"/>
        <v>0</v>
      </c>
      <c r="AB47" s="16">
        <f t="shared" si="1"/>
        <v>0</v>
      </c>
      <c r="AC47" s="16">
        <f t="shared" si="1"/>
        <v>0</v>
      </c>
      <c r="AD47" s="16">
        <f t="shared" si="1"/>
        <v>0</v>
      </c>
      <c r="AE47" s="16">
        <f t="shared" si="1"/>
        <v>0</v>
      </c>
      <c r="AF47" s="16">
        <f t="shared" si="1"/>
        <v>0</v>
      </c>
      <c r="AG47" s="16"/>
    </row>
    <row r="48" spans="1:33">
      <c r="A48" t="s">
        <v>124</v>
      </c>
      <c r="B48" s="16">
        <f t="shared" si="2"/>
        <v>26954365714279.047</v>
      </c>
      <c r="C48" s="16">
        <f t="shared" si="3"/>
        <v>24210821913505.281</v>
      </c>
      <c r="D48" s="16">
        <f t="shared" si="1"/>
        <v>23027641856644.922</v>
      </c>
      <c r="E48" s="16">
        <f t="shared" si="1"/>
        <v>21632370436127.742</v>
      </c>
      <c r="F48" s="16">
        <f t="shared" si="1"/>
        <v>21101048363966.547</v>
      </c>
      <c r="G48" s="16">
        <f t="shared" si="1"/>
        <v>20871464525033.258</v>
      </c>
      <c r="H48" s="16">
        <f t="shared" si="1"/>
        <v>20607875981754.875</v>
      </c>
      <c r="I48" s="16">
        <f t="shared" si="1"/>
        <v>20310636577653.523</v>
      </c>
      <c r="J48" s="16">
        <f t="shared" si="1"/>
        <v>19977492193616.676</v>
      </c>
      <c r="K48" s="16">
        <f t="shared" si="1"/>
        <v>19607296523299.734</v>
      </c>
      <c r="L48" s="16">
        <f t="shared" si="1"/>
        <v>19198567351243.105</v>
      </c>
      <c r="M48" s="16">
        <f t="shared" ref="D48:AF57" si="4">IFERROR($B48*M20/$B20,0)</f>
        <v>19059758137186.316</v>
      </c>
      <c r="N48" s="16">
        <f t="shared" si="4"/>
        <v>18920533407525.82</v>
      </c>
      <c r="O48" s="16">
        <f t="shared" si="4"/>
        <v>18780886057889.855</v>
      </c>
      <c r="P48" s="16">
        <f t="shared" si="4"/>
        <v>18640808776942.879</v>
      </c>
      <c r="Q48" s="16">
        <f t="shared" si="4"/>
        <v>18500294037810.789</v>
      </c>
      <c r="R48" s="16">
        <f t="shared" si="4"/>
        <v>18487897504902.43</v>
      </c>
      <c r="S48" s="16">
        <f t="shared" si="4"/>
        <v>18475500971994.07</v>
      </c>
      <c r="T48" s="16">
        <f t="shared" si="4"/>
        <v>18463104439085.715</v>
      </c>
      <c r="U48" s="16">
        <f t="shared" si="4"/>
        <v>18450707906177.367</v>
      </c>
      <c r="V48" s="16">
        <f t="shared" si="4"/>
        <v>18438311373269.012</v>
      </c>
      <c r="W48" s="16">
        <f t="shared" si="4"/>
        <v>18419688785833.777</v>
      </c>
      <c r="X48" s="16">
        <f t="shared" si="4"/>
        <v>18401066198398.539</v>
      </c>
      <c r="Y48" s="16">
        <f t="shared" si="4"/>
        <v>18382443610963.305</v>
      </c>
      <c r="Z48" s="16">
        <f t="shared" si="4"/>
        <v>18363821023528.066</v>
      </c>
      <c r="AA48" s="16">
        <f t="shared" si="4"/>
        <v>18345198436092.828</v>
      </c>
      <c r="AB48" s="16">
        <f t="shared" si="4"/>
        <v>18326575848657.594</v>
      </c>
      <c r="AC48" s="16">
        <f t="shared" si="4"/>
        <v>18307953261222.359</v>
      </c>
      <c r="AD48" s="16">
        <f t="shared" si="4"/>
        <v>18289330673787.117</v>
      </c>
      <c r="AE48" s="16">
        <f t="shared" si="4"/>
        <v>18270708086351.883</v>
      </c>
      <c r="AF48" s="16">
        <f t="shared" si="4"/>
        <v>18252085498916.637</v>
      </c>
      <c r="AG48" s="16"/>
    </row>
    <row r="49" spans="1:33">
      <c r="A49" t="s">
        <v>12</v>
      </c>
      <c r="B49" s="16">
        <f t="shared" si="2"/>
        <v>21867509586528.895</v>
      </c>
      <c r="C49" s="16">
        <f t="shared" si="3"/>
        <v>19641730245236.504</v>
      </c>
      <c r="D49" s="16">
        <f t="shared" si="4"/>
        <v>18681841167888.359</v>
      </c>
      <c r="E49" s="16">
        <f t="shared" si="4"/>
        <v>17549886831162.643</v>
      </c>
      <c r="F49" s="16">
        <f t="shared" si="4"/>
        <v>17118836416929.955</v>
      </c>
      <c r="G49" s="16">
        <f t="shared" si="4"/>
        <v>16932579880530.496</v>
      </c>
      <c r="H49" s="16">
        <f t="shared" si="4"/>
        <v>16718736043204.15</v>
      </c>
      <c r="I49" s="16">
        <f t="shared" si="4"/>
        <v>16477591970752.941</v>
      </c>
      <c r="J49" s="16">
        <f t="shared" si="4"/>
        <v>16207318943784.074</v>
      </c>
      <c r="K49" s="16">
        <f t="shared" si="4"/>
        <v>15906986988086.867</v>
      </c>
      <c r="L49" s="16">
        <f t="shared" si="4"/>
        <v>15575393613455.629</v>
      </c>
      <c r="M49" s="16">
        <f t="shared" si="4"/>
        <v>15462780619654.873</v>
      </c>
      <c r="N49" s="16">
        <f t="shared" si="4"/>
        <v>15349830526790.33</v>
      </c>
      <c r="O49" s="16">
        <f t="shared" si="4"/>
        <v>15236537571234.705</v>
      </c>
      <c r="P49" s="16">
        <f t="shared" si="4"/>
        <v>15122895821455.365</v>
      </c>
      <c r="Q49" s="16">
        <f t="shared" si="4"/>
        <v>15008899171057.77</v>
      </c>
      <c r="R49" s="16">
        <f t="shared" si="4"/>
        <v>14998842124823.152</v>
      </c>
      <c r="S49" s="16">
        <f t="shared" si="4"/>
        <v>14988785078588.535</v>
      </c>
      <c r="T49" s="16">
        <f t="shared" si="4"/>
        <v>14978728032353.926</v>
      </c>
      <c r="U49" s="16">
        <f t="shared" si="4"/>
        <v>14968670986119.314</v>
      </c>
      <c r="V49" s="16">
        <f t="shared" si="4"/>
        <v>14958613939884.701</v>
      </c>
      <c r="W49" s="16">
        <f t="shared" si="4"/>
        <v>14943505826654.264</v>
      </c>
      <c r="X49" s="16">
        <f t="shared" si="4"/>
        <v>14928397713423.826</v>
      </c>
      <c r="Y49" s="16">
        <f t="shared" si="4"/>
        <v>14913289600193.387</v>
      </c>
      <c r="Z49" s="16">
        <f t="shared" si="4"/>
        <v>14898181486962.947</v>
      </c>
      <c r="AA49" s="16">
        <f t="shared" si="4"/>
        <v>14883073373732.506</v>
      </c>
      <c r="AB49" s="16">
        <f t="shared" si="4"/>
        <v>14867965260502.066</v>
      </c>
      <c r="AC49" s="16">
        <f t="shared" si="4"/>
        <v>14852857147271.627</v>
      </c>
      <c r="AD49" s="16">
        <f t="shared" si="4"/>
        <v>14837749034041.186</v>
      </c>
      <c r="AE49" s="16">
        <f t="shared" si="4"/>
        <v>14822640920810.746</v>
      </c>
      <c r="AF49" s="16">
        <f t="shared" si="4"/>
        <v>14807532807580.301</v>
      </c>
      <c r="AG49" s="16"/>
    </row>
    <row r="50" spans="1:33">
      <c r="A50" t="s">
        <v>13</v>
      </c>
      <c r="B50" s="16">
        <f t="shared" si="2"/>
        <v>2504881200512.1089</v>
      </c>
      <c r="C50" s="16">
        <f t="shared" si="3"/>
        <v>2596931264782.7739</v>
      </c>
      <c r="D50" s="16">
        <f t="shared" si="4"/>
        <v>2688981329053.439</v>
      </c>
      <c r="E50" s="16">
        <f t="shared" si="4"/>
        <v>2781031393324.104</v>
      </c>
      <c r="F50" s="16">
        <f t="shared" si="4"/>
        <v>2873081457594.7695</v>
      </c>
      <c r="G50" s="16">
        <f t="shared" si="4"/>
        <v>2965131521865.4351</v>
      </c>
      <c r="H50" s="16">
        <f t="shared" si="4"/>
        <v>2989011170955.0674</v>
      </c>
      <c r="I50" s="16">
        <f t="shared" si="4"/>
        <v>3012890820044.6997</v>
      </c>
      <c r="J50" s="16">
        <f t="shared" si="4"/>
        <v>3036770469134.332</v>
      </c>
      <c r="K50" s="16">
        <f t="shared" si="4"/>
        <v>3060650118223.9639</v>
      </c>
      <c r="L50" s="16">
        <f t="shared" si="4"/>
        <v>3084529767313.5952</v>
      </c>
      <c r="M50" s="16">
        <f t="shared" si="4"/>
        <v>3097145430983.5898</v>
      </c>
      <c r="N50" s="16">
        <f t="shared" si="4"/>
        <v>3109761094653.5845</v>
      </c>
      <c r="O50" s="16">
        <f t="shared" si="4"/>
        <v>3122376758323.5786</v>
      </c>
      <c r="P50" s="16">
        <f t="shared" si="4"/>
        <v>3134992421993.5723</v>
      </c>
      <c r="Q50" s="16">
        <f t="shared" si="4"/>
        <v>3147608085663.5674</v>
      </c>
      <c r="R50" s="16">
        <f t="shared" si="4"/>
        <v>3156619273999.2769</v>
      </c>
      <c r="S50" s="16">
        <f t="shared" si="4"/>
        <v>3165630462334.9873</v>
      </c>
      <c r="T50" s="16">
        <f t="shared" si="4"/>
        <v>3174641650670.6973</v>
      </c>
      <c r="U50" s="16">
        <f t="shared" si="4"/>
        <v>3183652839006.4077</v>
      </c>
      <c r="V50" s="16">
        <f t="shared" si="4"/>
        <v>3192664027342.1172</v>
      </c>
      <c r="W50" s="16">
        <f t="shared" si="4"/>
        <v>3206481182790.2085</v>
      </c>
      <c r="X50" s="16">
        <f t="shared" si="4"/>
        <v>3217021542479.855</v>
      </c>
      <c r="Y50" s="16">
        <f t="shared" si="4"/>
        <v>3227561902169.5044</v>
      </c>
      <c r="Z50" s="16">
        <f t="shared" si="4"/>
        <v>3238102261859.1543</v>
      </c>
      <c r="AA50" s="16">
        <f t="shared" si="4"/>
        <v>3248642621548.8037</v>
      </c>
      <c r="AB50" s="16">
        <f t="shared" si="4"/>
        <v>3259182981238.4502</v>
      </c>
      <c r="AC50" s="16">
        <f t="shared" si="4"/>
        <v>3269723340928.0996</v>
      </c>
      <c r="AD50" s="16">
        <f t="shared" si="4"/>
        <v>3280263700617.749</v>
      </c>
      <c r="AE50" s="16">
        <f t="shared" si="4"/>
        <v>3290804060307.3984</v>
      </c>
      <c r="AF50" s="16">
        <f t="shared" si="4"/>
        <v>3301344419997.0479</v>
      </c>
      <c r="AG50" s="16"/>
    </row>
    <row r="51" spans="1:33">
      <c r="A51" t="s">
        <v>14</v>
      </c>
      <c r="B51" s="16">
        <f t="shared" si="2"/>
        <v>6312743314162.4746</v>
      </c>
      <c r="C51" s="16">
        <f t="shared" si="3"/>
        <v>6544725744177.1475</v>
      </c>
      <c r="D51" s="16">
        <f t="shared" si="4"/>
        <v>6776708174191.8193</v>
      </c>
      <c r="E51" s="16">
        <f t="shared" si="4"/>
        <v>7008690604206.4912</v>
      </c>
      <c r="F51" s="16">
        <f t="shared" si="4"/>
        <v>7240673034221.1641</v>
      </c>
      <c r="G51" s="16">
        <f t="shared" si="4"/>
        <v>7472655464235.8359</v>
      </c>
      <c r="H51" s="16">
        <f t="shared" si="4"/>
        <v>7532836400203.6992</v>
      </c>
      <c r="I51" s="16">
        <f t="shared" si="4"/>
        <v>7593017336171.5615</v>
      </c>
      <c r="J51" s="16">
        <f t="shared" si="4"/>
        <v>7653198272139.4229</v>
      </c>
      <c r="K51" s="16">
        <f t="shared" si="4"/>
        <v>7713379208107.2842</v>
      </c>
      <c r="L51" s="16">
        <f t="shared" si="4"/>
        <v>7773560144075.1465</v>
      </c>
      <c r="M51" s="16">
        <f t="shared" si="4"/>
        <v>7805353846095.9033</v>
      </c>
      <c r="N51" s="16">
        <f t="shared" si="4"/>
        <v>7837147548116.6602</v>
      </c>
      <c r="O51" s="16">
        <f t="shared" si="4"/>
        <v>7868941250137.4189</v>
      </c>
      <c r="P51" s="16">
        <f t="shared" si="4"/>
        <v>7900734952158.1758</v>
      </c>
      <c r="Q51" s="16">
        <f t="shared" si="4"/>
        <v>7932528654178.9336</v>
      </c>
      <c r="R51" s="16">
        <f t="shared" si="4"/>
        <v>7955238441336.6172</v>
      </c>
      <c r="S51" s="16">
        <f t="shared" si="4"/>
        <v>7977948228494.2998</v>
      </c>
      <c r="T51" s="16">
        <f t="shared" si="4"/>
        <v>8000658015651.9844</v>
      </c>
      <c r="U51" s="16">
        <f t="shared" si="4"/>
        <v>8023367802809.667</v>
      </c>
      <c r="V51" s="16">
        <f t="shared" si="4"/>
        <v>8046077589967.3496</v>
      </c>
      <c r="W51" s="16">
        <f t="shared" si="4"/>
        <v>8080899263609.1377</v>
      </c>
      <c r="X51" s="16">
        <f t="shared" si="4"/>
        <v>8107462832829.9375</v>
      </c>
      <c r="Y51" s="16">
        <f t="shared" si="4"/>
        <v>8134026402050.7451</v>
      </c>
      <c r="Z51" s="16">
        <f t="shared" si="4"/>
        <v>8160589971271.5527</v>
      </c>
      <c r="AA51" s="16">
        <f t="shared" si="4"/>
        <v>8187153540492.3594</v>
      </c>
      <c r="AB51" s="16">
        <f t="shared" si="4"/>
        <v>8213717109713.1602</v>
      </c>
      <c r="AC51" s="16">
        <f t="shared" si="4"/>
        <v>8240280678933.9678</v>
      </c>
      <c r="AD51" s="16">
        <f t="shared" si="4"/>
        <v>8266844248154.7754</v>
      </c>
      <c r="AE51" s="16">
        <f t="shared" si="4"/>
        <v>8293407817375.582</v>
      </c>
      <c r="AF51" s="16">
        <f t="shared" si="4"/>
        <v>8319971386596.3896</v>
      </c>
      <c r="AG51" s="16"/>
    </row>
    <row r="52" spans="1:33">
      <c r="A52" t="s">
        <v>15</v>
      </c>
      <c r="B52" s="16">
        <f t="shared" si="2"/>
        <v>21337360514085.758</v>
      </c>
      <c r="C52" s="16">
        <f t="shared" si="3"/>
        <v>22510979341967.023</v>
      </c>
      <c r="D52" s="16">
        <f t="shared" si="4"/>
        <v>20760873462622.129</v>
      </c>
      <c r="E52" s="16">
        <f t="shared" si="4"/>
        <v>20112393951121.16</v>
      </c>
      <c r="F52" s="16">
        <f t="shared" si="4"/>
        <v>20658251835640.574</v>
      </c>
      <c r="G52" s="16">
        <f t="shared" si="4"/>
        <v>20658251835640.574</v>
      </c>
      <c r="H52" s="16">
        <f t="shared" si="4"/>
        <v>20658251835640.574</v>
      </c>
      <c r="I52" s="16">
        <f t="shared" si="4"/>
        <v>19445851967938.586</v>
      </c>
      <c r="J52" s="16">
        <f t="shared" si="4"/>
        <v>20630591539974.965</v>
      </c>
      <c r="K52" s="16">
        <f t="shared" si="4"/>
        <v>20829340714573.098</v>
      </c>
      <c r="L52" s="16">
        <f t="shared" si="4"/>
        <v>22942275594679.66</v>
      </c>
      <c r="M52" s="16">
        <f t="shared" si="4"/>
        <v>24024257325738.727</v>
      </c>
      <c r="N52" s="16">
        <f t="shared" si="4"/>
        <v>25079164402317.59</v>
      </c>
      <c r="O52" s="16">
        <f t="shared" si="4"/>
        <v>27375395844428.098</v>
      </c>
      <c r="P52" s="16">
        <f t="shared" si="4"/>
        <v>26252803374333.664</v>
      </c>
      <c r="Q52" s="16">
        <f t="shared" si="4"/>
        <v>35806363507109.164</v>
      </c>
      <c r="R52" s="16">
        <f t="shared" si="4"/>
        <v>35806363507109.164</v>
      </c>
      <c r="S52" s="16">
        <f t="shared" si="4"/>
        <v>35806363507109.164</v>
      </c>
      <c r="T52" s="16">
        <f t="shared" si="4"/>
        <v>35774358960886.32</v>
      </c>
      <c r="U52" s="16">
        <f t="shared" si="4"/>
        <v>33769222860770.516</v>
      </c>
      <c r="V52" s="16">
        <f t="shared" si="4"/>
        <v>37596275264288.039</v>
      </c>
      <c r="W52" s="16">
        <f t="shared" si="4"/>
        <v>39689074616560.469</v>
      </c>
      <c r="X52" s="16">
        <f t="shared" si="4"/>
        <v>38125298446673.617</v>
      </c>
      <c r="Y52" s="16">
        <f t="shared" si="4"/>
        <v>38352853341311.758</v>
      </c>
      <c r="Z52" s="16">
        <f t="shared" si="4"/>
        <v>38352853341311.758</v>
      </c>
      <c r="AA52" s="16">
        <f t="shared" si="4"/>
        <v>39883674302718.781</v>
      </c>
      <c r="AB52" s="16">
        <f t="shared" si="4"/>
        <v>39883674302718.781</v>
      </c>
      <c r="AC52" s="16">
        <f t="shared" si="4"/>
        <v>42179905744829.297</v>
      </c>
      <c r="AD52" s="16">
        <f t="shared" si="4"/>
        <v>42179905744829.297</v>
      </c>
      <c r="AE52" s="16">
        <f t="shared" si="4"/>
        <v>42179905744829.297</v>
      </c>
      <c r="AF52" s="16">
        <f t="shared" si="4"/>
        <v>42179905744829.297</v>
      </c>
      <c r="AG52" s="16"/>
    </row>
    <row r="53" spans="1:33">
      <c r="A53" t="s">
        <v>16</v>
      </c>
      <c r="B53" s="16">
        <f t="shared" si="2"/>
        <v>3222591116338.9849</v>
      </c>
      <c r="C53" s="16">
        <f t="shared" si="3"/>
        <v>3325680059599.8638</v>
      </c>
      <c r="D53" s="16">
        <f t="shared" si="4"/>
        <v>3738035832643.376</v>
      </c>
      <c r="E53" s="16">
        <f t="shared" si="4"/>
        <v>3531857946121.6201</v>
      </c>
      <c r="F53" s="16">
        <f t="shared" si="4"/>
        <v>3634946889382.498</v>
      </c>
      <c r="G53" s="16">
        <f t="shared" si="4"/>
        <v>3738035832643.376</v>
      </c>
      <c r="H53" s="16">
        <f t="shared" si="4"/>
        <v>3766466874412.8335</v>
      </c>
      <c r="I53" s="16">
        <f t="shared" si="4"/>
        <v>3794897916182.29</v>
      </c>
      <c r="J53" s="16">
        <f t="shared" si="4"/>
        <v>3823328957951.7471</v>
      </c>
      <c r="K53" s="16">
        <f t="shared" si="4"/>
        <v>3851759999721.2041</v>
      </c>
      <c r="L53" s="16">
        <f t="shared" si="4"/>
        <v>3880191041490.6611</v>
      </c>
      <c r="M53" s="16">
        <f t="shared" si="4"/>
        <v>3903452802938.3979</v>
      </c>
      <c r="N53" s="16">
        <f t="shared" si="4"/>
        <v>3926714564386.1362</v>
      </c>
      <c r="O53" s="16">
        <f t="shared" si="4"/>
        <v>3949976325833.874</v>
      </c>
      <c r="P53" s="16">
        <f t="shared" si="4"/>
        <v>3973238087281.6113</v>
      </c>
      <c r="Q53" s="16">
        <f t="shared" si="4"/>
        <v>3996499848729.3491</v>
      </c>
      <c r="R53" s="16">
        <f t="shared" si="4"/>
        <v>4021700090297.7305</v>
      </c>
      <c r="S53" s="16">
        <f t="shared" si="4"/>
        <v>4046900331866.1128</v>
      </c>
      <c r="T53" s="16">
        <f t="shared" si="4"/>
        <v>4072100573434.4951</v>
      </c>
      <c r="U53" s="16">
        <f t="shared" si="4"/>
        <v>4097300815002.8774</v>
      </c>
      <c r="V53" s="16">
        <f t="shared" si="4"/>
        <v>4122501056571.2598</v>
      </c>
      <c r="W53" s="16">
        <f t="shared" si="4"/>
        <v>4145116657978.7827</v>
      </c>
      <c r="X53" s="16">
        <f t="shared" si="4"/>
        <v>4169494514041.4346</v>
      </c>
      <c r="Y53" s="16">
        <f t="shared" si="4"/>
        <v>4193872370104.0869</v>
      </c>
      <c r="Z53" s="16">
        <f t="shared" si="4"/>
        <v>4218250226166.7397</v>
      </c>
      <c r="AA53" s="16">
        <f t="shared" si="4"/>
        <v>4242628082229.3916</v>
      </c>
      <c r="AB53" s="16">
        <f t="shared" si="4"/>
        <v>4267005938292.0547</v>
      </c>
      <c r="AC53" s="16">
        <f t="shared" si="4"/>
        <v>4291383794354.707</v>
      </c>
      <c r="AD53" s="16">
        <f t="shared" si="4"/>
        <v>4315761650417.3589</v>
      </c>
      <c r="AE53" s="16">
        <f t="shared" si="4"/>
        <v>4340139506480.0117</v>
      </c>
      <c r="AF53" s="16">
        <f t="shared" si="4"/>
        <v>4364517362542.6636</v>
      </c>
      <c r="AG53" s="16"/>
    </row>
    <row r="54" spans="1:33">
      <c r="A54" t="s">
        <v>17</v>
      </c>
      <c r="B54" s="16">
        <f t="shared" si="2"/>
        <v>6300910324368.3564</v>
      </c>
      <c r="C54" s="16">
        <f t="shared" si="3"/>
        <v>6502473030734.4736</v>
      </c>
      <c r="D54" s="16">
        <f t="shared" si="4"/>
        <v>7308723856198.9404</v>
      </c>
      <c r="E54" s="16">
        <f t="shared" si="4"/>
        <v>6905598443466.708</v>
      </c>
      <c r="F54" s="16">
        <f t="shared" si="4"/>
        <v>7107161149832.8252</v>
      </c>
      <c r="G54" s="16">
        <f t="shared" si="4"/>
        <v>7308723856198.9404</v>
      </c>
      <c r="H54" s="16">
        <f t="shared" si="4"/>
        <v>7364313112840.7295</v>
      </c>
      <c r="I54" s="16">
        <f t="shared" si="4"/>
        <v>7419902369482.5205</v>
      </c>
      <c r="J54" s="16">
        <f t="shared" si="4"/>
        <v>7475491626124.3096</v>
      </c>
      <c r="K54" s="16">
        <f t="shared" si="4"/>
        <v>7531080882766.0986</v>
      </c>
      <c r="L54" s="16">
        <f t="shared" si="4"/>
        <v>7586670139407.8896</v>
      </c>
      <c r="M54" s="16">
        <f t="shared" si="4"/>
        <v>7632152258478.4443</v>
      </c>
      <c r="N54" s="16">
        <f t="shared" si="4"/>
        <v>7677634377548.999</v>
      </c>
      <c r="O54" s="16">
        <f t="shared" si="4"/>
        <v>7723116496619.5547</v>
      </c>
      <c r="P54" s="16">
        <f t="shared" si="4"/>
        <v>7768598615690.1094</v>
      </c>
      <c r="Q54" s="16">
        <f t="shared" si="4"/>
        <v>7814080734760.667</v>
      </c>
      <c r="R54" s="16">
        <f t="shared" si="4"/>
        <v>7863353030420.4326</v>
      </c>
      <c r="S54" s="16">
        <f t="shared" si="4"/>
        <v>7912625326080.2002</v>
      </c>
      <c r="T54" s="16">
        <f t="shared" si="4"/>
        <v>7961897621739.9688</v>
      </c>
      <c r="U54" s="16">
        <f t="shared" si="4"/>
        <v>8011169917399.7363</v>
      </c>
      <c r="V54" s="16">
        <f t="shared" si="4"/>
        <v>8060442213059.5049</v>
      </c>
      <c r="W54" s="16">
        <f t="shared" si="4"/>
        <v>8104660939933.6563</v>
      </c>
      <c r="X54" s="16">
        <f t="shared" si="4"/>
        <v>8152325281888.9063</v>
      </c>
      <c r="Y54" s="16">
        <f t="shared" si="4"/>
        <v>8199989623844.1572</v>
      </c>
      <c r="Z54" s="16">
        <f t="shared" si="4"/>
        <v>8247653965799.4063</v>
      </c>
      <c r="AA54" s="16">
        <f t="shared" si="4"/>
        <v>8295318307754.6563</v>
      </c>
      <c r="AB54" s="16">
        <f t="shared" si="4"/>
        <v>8342982649709.9268</v>
      </c>
      <c r="AC54" s="16">
        <f t="shared" si="4"/>
        <v>8390646991665.1768</v>
      </c>
      <c r="AD54" s="16">
        <f t="shared" si="4"/>
        <v>8438311333620.4258</v>
      </c>
      <c r="AE54" s="16">
        <f t="shared" si="4"/>
        <v>8485975675575.6758</v>
      </c>
      <c r="AF54" s="16">
        <f t="shared" si="4"/>
        <v>8533640017530.9268</v>
      </c>
      <c r="AG54" s="16"/>
    </row>
    <row r="55" spans="1:33">
      <c r="A55" t="s">
        <v>18</v>
      </c>
      <c r="B55" s="16">
        <f t="shared" si="2"/>
        <v>46379434612386.43</v>
      </c>
      <c r="C55" s="16">
        <f t="shared" si="3"/>
        <v>48488716789319.57</v>
      </c>
      <c r="D55" s="16">
        <f t="shared" si="4"/>
        <v>56925845497052.156</v>
      </c>
      <c r="E55" s="16">
        <f t="shared" si="4"/>
        <v>52707281143185.867</v>
      </c>
      <c r="F55" s="16">
        <f t="shared" si="4"/>
        <v>54816563320119.016</v>
      </c>
      <c r="G55" s="16">
        <f t="shared" si="4"/>
        <v>56925845497052.156</v>
      </c>
      <c r="H55" s="16">
        <f t="shared" si="4"/>
        <v>57958742107447.828</v>
      </c>
      <c r="I55" s="16">
        <f t="shared" si="4"/>
        <v>58991638717843.781</v>
      </c>
      <c r="J55" s="16">
        <f t="shared" si="4"/>
        <v>60024535328239.719</v>
      </c>
      <c r="K55" s="16">
        <f t="shared" si="4"/>
        <v>61057431938635.664</v>
      </c>
      <c r="L55" s="16">
        <f t="shared" si="4"/>
        <v>62090328549031.875</v>
      </c>
      <c r="M55" s="16">
        <f t="shared" si="4"/>
        <v>62952664796070.125</v>
      </c>
      <c r="N55" s="16">
        <f t="shared" si="4"/>
        <v>63815001043108.375</v>
      </c>
      <c r="O55" s="16">
        <f t="shared" si="4"/>
        <v>64677337290146.625</v>
      </c>
      <c r="P55" s="16">
        <f t="shared" si="4"/>
        <v>65539673537184.875</v>
      </c>
      <c r="Q55" s="16">
        <f t="shared" si="4"/>
        <v>66402009784223.125</v>
      </c>
      <c r="R55" s="16">
        <f t="shared" si="4"/>
        <v>67289771178594.203</v>
      </c>
      <c r="S55" s="16">
        <f t="shared" si="4"/>
        <v>68177532572965.273</v>
      </c>
      <c r="T55" s="16">
        <f t="shared" si="4"/>
        <v>69065293967336.352</v>
      </c>
      <c r="U55" s="16">
        <f t="shared" si="4"/>
        <v>69953055361707.43</v>
      </c>
      <c r="V55" s="16">
        <f t="shared" si="4"/>
        <v>70840816756078.5</v>
      </c>
      <c r="W55" s="16">
        <f t="shared" si="4"/>
        <v>71694677954005.813</v>
      </c>
      <c r="X55" s="16">
        <f t="shared" si="4"/>
        <v>72571652922235.672</v>
      </c>
      <c r="Y55" s="16">
        <f t="shared" si="4"/>
        <v>73448627890465.797</v>
      </c>
      <c r="Z55" s="16">
        <f t="shared" si="4"/>
        <v>74325602858695.641</v>
      </c>
      <c r="AA55" s="16">
        <f t="shared" si="4"/>
        <v>75202577826925.484</v>
      </c>
      <c r="AB55" s="16">
        <f t="shared" si="4"/>
        <v>76079552795155.359</v>
      </c>
      <c r="AC55" s="16">
        <f t="shared" si="4"/>
        <v>76956527763385.188</v>
      </c>
      <c r="AD55" s="16">
        <f t="shared" si="4"/>
        <v>77833502731615.047</v>
      </c>
      <c r="AE55" s="16">
        <f t="shared" si="4"/>
        <v>78710477699844.906</v>
      </c>
      <c r="AF55" s="16">
        <f t="shared" si="4"/>
        <v>79587452668074.75</v>
      </c>
      <c r="AG55" s="16"/>
    </row>
    <row r="56" spans="1:33">
      <c r="A56" t="s">
        <v>19</v>
      </c>
      <c r="B56" s="16">
        <f t="shared" si="2"/>
        <v>8076511102438.6621</v>
      </c>
      <c r="C56" s="16">
        <f t="shared" si="3"/>
        <v>8443821335143.1123</v>
      </c>
      <c r="D56" s="16">
        <f t="shared" si="4"/>
        <v>9913062265960.9199</v>
      </c>
      <c r="E56" s="16">
        <f t="shared" si="4"/>
        <v>9178441800552.0176</v>
      </c>
      <c r="F56" s="16">
        <f t="shared" si="4"/>
        <v>9545752033256.4688</v>
      </c>
      <c r="G56" s="16">
        <f t="shared" si="4"/>
        <v>9913062265960.9199</v>
      </c>
      <c r="H56" s="16">
        <f t="shared" si="4"/>
        <v>10092930800608.902</v>
      </c>
      <c r="I56" s="16">
        <f t="shared" si="4"/>
        <v>10272799335256.934</v>
      </c>
      <c r="J56" s="16">
        <f t="shared" si="4"/>
        <v>10452667869904.963</v>
      </c>
      <c r="K56" s="16">
        <f t="shared" si="4"/>
        <v>10632536404552.994</v>
      </c>
      <c r="L56" s="16">
        <f t="shared" si="4"/>
        <v>10812404939201.07</v>
      </c>
      <c r="M56" s="16">
        <f t="shared" si="4"/>
        <v>10962572105563.631</v>
      </c>
      <c r="N56" s="16">
        <f t="shared" si="4"/>
        <v>11112739271926.189</v>
      </c>
      <c r="O56" s="16">
        <f t="shared" si="4"/>
        <v>11262906438288.752</v>
      </c>
      <c r="P56" s="16">
        <f t="shared" si="4"/>
        <v>11413073604651.313</v>
      </c>
      <c r="Q56" s="16">
        <f t="shared" si="4"/>
        <v>11563240771013.873</v>
      </c>
      <c r="R56" s="16">
        <f t="shared" si="4"/>
        <v>11717835470536.998</v>
      </c>
      <c r="S56" s="16">
        <f t="shared" si="4"/>
        <v>11872430170060.125</v>
      </c>
      <c r="T56" s="16">
        <f t="shared" si="4"/>
        <v>12027024869583.254</v>
      </c>
      <c r="U56" s="16">
        <f t="shared" si="4"/>
        <v>12181619569106.383</v>
      </c>
      <c r="V56" s="16">
        <f t="shared" si="4"/>
        <v>12336214268629.51</v>
      </c>
      <c r="W56" s="16">
        <f t="shared" si="4"/>
        <v>12484905590605.213</v>
      </c>
      <c r="X56" s="16">
        <f t="shared" si="4"/>
        <v>12637621942726.885</v>
      </c>
      <c r="Y56" s="16">
        <f t="shared" si="4"/>
        <v>12790338294848.602</v>
      </c>
      <c r="Z56" s="16">
        <f t="shared" si="4"/>
        <v>12943054646970.273</v>
      </c>
      <c r="AA56" s="16">
        <f t="shared" si="4"/>
        <v>13095770999091.943</v>
      </c>
      <c r="AB56" s="16">
        <f t="shared" si="4"/>
        <v>13248487351213.611</v>
      </c>
      <c r="AC56" s="16">
        <f t="shared" si="4"/>
        <v>13401203703335.283</v>
      </c>
      <c r="AD56" s="16">
        <f t="shared" si="4"/>
        <v>13553920055456.955</v>
      </c>
      <c r="AE56" s="16">
        <f t="shared" si="4"/>
        <v>13706636407578.625</v>
      </c>
      <c r="AF56" s="16">
        <f t="shared" si="4"/>
        <v>13859352759700.295</v>
      </c>
      <c r="AG56" s="16"/>
    </row>
    <row r="57" spans="1:33">
      <c r="A57" t="s">
        <v>20</v>
      </c>
      <c r="B57" s="16">
        <f t="shared" si="2"/>
        <v>12608438308156.035</v>
      </c>
      <c r="C57" s="16">
        <f t="shared" si="3"/>
        <v>13181855263852.428</v>
      </c>
      <c r="D57" s="16">
        <f t="shared" si="4"/>
        <v>15475523086638.012</v>
      </c>
      <c r="E57" s="16">
        <f t="shared" si="4"/>
        <v>14328689175245.223</v>
      </c>
      <c r="F57" s="16">
        <f t="shared" si="4"/>
        <v>14902106130941.613</v>
      </c>
      <c r="G57" s="16">
        <f t="shared" ref="D57:AF63" si="5">IFERROR($B57*G29/$B29,0)</f>
        <v>15475523086638.012</v>
      </c>
      <c r="H57" s="16">
        <f t="shared" si="5"/>
        <v>15756320239507.986</v>
      </c>
      <c r="I57" s="16">
        <f t="shared" si="5"/>
        <v>16037117392378.035</v>
      </c>
      <c r="J57" s="16">
        <f t="shared" si="5"/>
        <v>16317914545248.082</v>
      </c>
      <c r="K57" s="16">
        <f t="shared" si="5"/>
        <v>16598711698118.131</v>
      </c>
      <c r="L57" s="16">
        <f t="shared" si="5"/>
        <v>16879508850988.254</v>
      </c>
      <c r="M57" s="16">
        <f t="shared" si="5"/>
        <v>17113938473999.762</v>
      </c>
      <c r="N57" s="16">
        <f t="shared" si="5"/>
        <v>17348368097011.266</v>
      </c>
      <c r="O57" s="16">
        <f t="shared" si="5"/>
        <v>17582797720022.775</v>
      </c>
      <c r="P57" s="16">
        <f t="shared" si="5"/>
        <v>17817227343034.281</v>
      </c>
      <c r="Q57" s="16">
        <f t="shared" si="5"/>
        <v>18051656966045.789</v>
      </c>
      <c r="R57" s="16">
        <f t="shared" si="5"/>
        <v>18292998518974.098</v>
      </c>
      <c r="S57" s="16">
        <f t="shared" si="5"/>
        <v>18534340071902.406</v>
      </c>
      <c r="T57" s="16">
        <f t="shared" si="5"/>
        <v>18775681624830.715</v>
      </c>
      <c r="U57" s="16">
        <f t="shared" si="5"/>
        <v>19017023177759.023</v>
      </c>
      <c r="V57" s="16">
        <f t="shared" si="5"/>
        <v>19258364730687.332</v>
      </c>
      <c r="W57" s="16">
        <f t="shared" si="5"/>
        <v>19490490377059.902</v>
      </c>
      <c r="X57" s="16">
        <f t="shared" si="5"/>
        <v>19728899596084.109</v>
      </c>
      <c r="Y57" s="16">
        <f t="shared" si="5"/>
        <v>19967308815108.387</v>
      </c>
      <c r="Z57" s="16">
        <f t="shared" si="5"/>
        <v>20205718034132.59</v>
      </c>
      <c r="AA57" s="16">
        <f t="shared" si="5"/>
        <v>20444127253156.793</v>
      </c>
      <c r="AB57" s="16">
        <f t="shared" si="5"/>
        <v>20682536472181</v>
      </c>
      <c r="AC57" s="16">
        <f t="shared" si="5"/>
        <v>20920945691205.203</v>
      </c>
      <c r="AD57" s="16">
        <f t="shared" si="5"/>
        <v>21159354910229.406</v>
      </c>
      <c r="AE57" s="16">
        <f t="shared" si="5"/>
        <v>21397764129253.609</v>
      </c>
      <c r="AF57" s="16">
        <f t="shared" si="5"/>
        <v>21636173348277.816</v>
      </c>
      <c r="AG57" s="16"/>
    </row>
    <row r="58" spans="1:33">
      <c r="A58" t="s">
        <v>21</v>
      </c>
      <c r="B58" s="16">
        <f t="shared" si="2"/>
        <v>13164220496191.787</v>
      </c>
      <c r="C58" s="16">
        <f t="shared" si="3"/>
        <v>13762913772595.367</v>
      </c>
      <c r="D58" s="16">
        <f t="shared" si="5"/>
        <v>16157686878209.699</v>
      </c>
      <c r="E58" s="16">
        <f t="shared" si="5"/>
        <v>14960300325402.535</v>
      </c>
      <c r="F58" s="16">
        <f t="shared" si="5"/>
        <v>15558993601806.119</v>
      </c>
      <c r="G58" s="16">
        <f t="shared" si="5"/>
        <v>16157686878209.699</v>
      </c>
      <c r="H58" s="16">
        <f t="shared" si="5"/>
        <v>16450861619183.932</v>
      </c>
      <c r="I58" s="16">
        <f t="shared" si="5"/>
        <v>16744036360158.24</v>
      </c>
      <c r="J58" s="16">
        <f t="shared" si="5"/>
        <v>17037211101132.553</v>
      </c>
      <c r="K58" s="16">
        <f t="shared" si="5"/>
        <v>17330385842106.859</v>
      </c>
      <c r="L58" s="16">
        <f t="shared" si="5"/>
        <v>17623560583081.242</v>
      </c>
      <c r="M58" s="16">
        <f t="shared" si="5"/>
        <v>17868323905289.535</v>
      </c>
      <c r="N58" s="16">
        <f t="shared" si="5"/>
        <v>18113087227497.832</v>
      </c>
      <c r="O58" s="16">
        <f t="shared" si="5"/>
        <v>18357850549706.125</v>
      </c>
      <c r="P58" s="16">
        <f t="shared" si="5"/>
        <v>18602613871914.418</v>
      </c>
      <c r="Q58" s="16">
        <f t="shared" si="5"/>
        <v>18847377194122.715</v>
      </c>
      <c r="R58" s="16">
        <f t="shared" si="5"/>
        <v>19099357125339.605</v>
      </c>
      <c r="S58" s="16">
        <f t="shared" si="5"/>
        <v>19351337056556.5</v>
      </c>
      <c r="T58" s="16">
        <f t="shared" si="5"/>
        <v>19603316987773.391</v>
      </c>
      <c r="U58" s="16">
        <f t="shared" si="5"/>
        <v>19855296918990.285</v>
      </c>
      <c r="V58" s="16">
        <f t="shared" si="5"/>
        <v>20107276850207.176</v>
      </c>
      <c r="W58" s="16">
        <f t="shared" si="5"/>
        <v>20349634636079.273</v>
      </c>
      <c r="X58" s="16">
        <f t="shared" si="5"/>
        <v>20598552975595.543</v>
      </c>
      <c r="Y58" s="16">
        <f t="shared" si="5"/>
        <v>20847471315111.883</v>
      </c>
      <c r="Z58" s="16">
        <f t="shared" si="5"/>
        <v>21096389654628.156</v>
      </c>
      <c r="AA58" s="16">
        <f t="shared" si="5"/>
        <v>21345307994144.422</v>
      </c>
      <c r="AB58" s="16">
        <f t="shared" si="5"/>
        <v>21594226333660.688</v>
      </c>
      <c r="AC58" s="16">
        <f t="shared" si="5"/>
        <v>21843144673176.961</v>
      </c>
      <c r="AD58" s="16">
        <f t="shared" si="5"/>
        <v>22092063012693.227</v>
      </c>
      <c r="AE58" s="16">
        <f t="shared" si="5"/>
        <v>22340981352209.492</v>
      </c>
      <c r="AF58" s="16">
        <f t="shared" si="5"/>
        <v>22589899691725.762</v>
      </c>
      <c r="AG58" s="16"/>
    </row>
    <row r="59" spans="1:33">
      <c r="A59" t="s">
        <v>22</v>
      </c>
      <c r="B59" s="16">
        <f t="shared" si="2"/>
        <v>3371102751322.8472</v>
      </c>
      <c r="C59" s="16">
        <f t="shared" si="3"/>
        <v>3524416542433.1113</v>
      </c>
      <c r="D59" s="16">
        <f t="shared" si="5"/>
        <v>4137671706874.1685</v>
      </c>
      <c r="E59" s="16">
        <f t="shared" si="5"/>
        <v>3831044124653.6401</v>
      </c>
      <c r="F59" s="16">
        <f t="shared" si="5"/>
        <v>3984357915763.9043</v>
      </c>
      <c r="G59" s="16">
        <f t="shared" si="5"/>
        <v>4137671706874.1685</v>
      </c>
      <c r="H59" s="16">
        <f t="shared" si="5"/>
        <v>4212748098689.583</v>
      </c>
      <c r="I59" s="16">
        <f t="shared" si="5"/>
        <v>4287824490505.0161</v>
      </c>
      <c r="J59" s="16">
        <f t="shared" si="5"/>
        <v>4362900882320.4487</v>
      </c>
      <c r="K59" s="16">
        <f t="shared" si="5"/>
        <v>4437977274135.8838</v>
      </c>
      <c r="L59" s="16">
        <f t="shared" si="5"/>
        <v>4513053665951.3359</v>
      </c>
      <c r="M59" s="16">
        <f t="shared" si="5"/>
        <v>4575732827938.7842</v>
      </c>
      <c r="N59" s="16">
        <f t="shared" si="5"/>
        <v>4638411989926.2334</v>
      </c>
      <c r="O59" s="16">
        <f t="shared" si="5"/>
        <v>4701091151913.6826</v>
      </c>
      <c r="P59" s="16">
        <f t="shared" si="5"/>
        <v>4763770313901.1318</v>
      </c>
      <c r="Q59" s="16">
        <f t="shared" si="5"/>
        <v>4826449475888.5801</v>
      </c>
      <c r="R59" s="16">
        <f t="shared" si="5"/>
        <v>4890976672136.1016</v>
      </c>
      <c r="S59" s="16">
        <f t="shared" si="5"/>
        <v>4955503868383.623</v>
      </c>
      <c r="T59" s="16">
        <f t="shared" si="5"/>
        <v>5020031064631.1445</v>
      </c>
      <c r="U59" s="16">
        <f t="shared" si="5"/>
        <v>5084558260878.666</v>
      </c>
      <c r="V59" s="16">
        <f t="shared" si="5"/>
        <v>5149085457126.1875</v>
      </c>
      <c r="W59" s="16">
        <f t="shared" si="5"/>
        <v>5211148607693.6113</v>
      </c>
      <c r="X59" s="16">
        <f t="shared" si="5"/>
        <v>5274891789406.5547</v>
      </c>
      <c r="Y59" s="16">
        <f t="shared" si="5"/>
        <v>5338634971119.5176</v>
      </c>
      <c r="Z59" s="16">
        <f t="shared" si="5"/>
        <v>5402378152832.4609</v>
      </c>
      <c r="AA59" s="16">
        <f t="shared" si="5"/>
        <v>5466121334545.4043</v>
      </c>
      <c r="AB59" s="16">
        <f t="shared" si="5"/>
        <v>5529864516258.3496</v>
      </c>
      <c r="AC59" s="16">
        <f t="shared" si="5"/>
        <v>5593607697971.292</v>
      </c>
      <c r="AD59" s="16">
        <f t="shared" si="5"/>
        <v>5657350879684.2354</v>
      </c>
      <c r="AE59" s="16">
        <f t="shared" si="5"/>
        <v>5721094061397.1787</v>
      </c>
      <c r="AF59" s="16">
        <f t="shared" si="5"/>
        <v>5784837243110.1211</v>
      </c>
      <c r="AG59" s="16"/>
    </row>
    <row r="60" spans="1:33">
      <c r="A60" t="s">
        <v>23</v>
      </c>
      <c r="B60" s="16">
        <f t="shared" si="2"/>
        <v>3286173692251.5205</v>
      </c>
      <c r="C60" s="16">
        <f t="shared" si="3"/>
        <v>3406934908198.4009</v>
      </c>
      <c r="D60" s="16">
        <f t="shared" si="5"/>
        <v>3527696124145.2798</v>
      </c>
      <c r="E60" s="16">
        <f t="shared" si="5"/>
        <v>3648457340092.1597</v>
      </c>
      <c r="F60" s="16">
        <f t="shared" si="5"/>
        <v>3769218556039.0391</v>
      </c>
      <c r="G60" s="16">
        <f t="shared" si="5"/>
        <v>3889979771985.9189</v>
      </c>
      <c r="H60" s="16">
        <f t="shared" si="5"/>
        <v>3921307674723.3843</v>
      </c>
      <c r="I60" s="16">
        <f t="shared" si="5"/>
        <v>3952635577460.8486</v>
      </c>
      <c r="J60" s="16">
        <f t="shared" si="5"/>
        <v>3983963480198.313</v>
      </c>
      <c r="K60" s="16">
        <f t="shared" si="5"/>
        <v>4015291382935.7773</v>
      </c>
      <c r="L60" s="16">
        <f t="shared" si="5"/>
        <v>4046619285673.2422</v>
      </c>
      <c r="M60" s="16">
        <f t="shared" si="5"/>
        <v>4063169875798.6948</v>
      </c>
      <c r="N60" s="16">
        <f t="shared" si="5"/>
        <v>4079720465924.1479</v>
      </c>
      <c r="O60" s="16">
        <f t="shared" si="5"/>
        <v>4096271056049.6001</v>
      </c>
      <c r="P60" s="16">
        <f t="shared" si="5"/>
        <v>4112821646175.0537</v>
      </c>
      <c r="Q60" s="16">
        <f t="shared" si="5"/>
        <v>4129372236300.5073</v>
      </c>
      <c r="R60" s="16">
        <f t="shared" si="5"/>
        <v>4141194086390.1162</v>
      </c>
      <c r="S60" s="16">
        <f t="shared" si="5"/>
        <v>4153015936479.7246</v>
      </c>
      <c r="T60" s="16">
        <f t="shared" si="5"/>
        <v>4164837786569.334</v>
      </c>
      <c r="U60" s="16">
        <f t="shared" si="5"/>
        <v>4176659636658.9434</v>
      </c>
      <c r="V60" s="16">
        <f t="shared" si="5"/>
        <v>4188481486748.5522</v>
      </c>
      <c r="W60" s="16">
        <f t="shared" si="5"/>
        <v>4206608323552.6226</v>
      </c>
      <c r="X60" s="16">
        <f t="shared" si="5"/>
        <v>4220436305778.647</v>
      </c>
      <c r="Y60" s="16">
        <f t="shared" si="5"/>
        <v>4234264288004.6763</v>
      </c>
      <c r="Z60" s="16">
        <f t="shared" si="5"/>
        <v>4248092270230.7046</v>
      </c>
      <c r="AA60" s="16">
        <f t="shared" si="5"/>
        <v>4261920252456.7329</v>
      </c>
      <c r="AB60" s="16">
        <f t="shared" si="5"/>
        <v>4275748234682.7583</v>
      </c>
      <c r="AC60" s="16">
        <f t="shared" si="5"/>
        <v>4289576216908.7866</v>
      </c>
      <c r="AD60" s="16">
        <f t="shared" si="5"/>
        <v>4303404199134.8145</v>
      </c>
      <c r="AE60" s="16">
        <f t="shared" si="5"/>
        <v>4317232181360.8438</v>
      </c>
      <c r="AF60" s="16">
        <f t="shared" si="5"/>
        <v>4331060163586.8721</v>
      </c>
      <c r="AG60" s="16"/>
    </row>
    <row r="61" spans="1:33">
      <c r="A61" t="s">
        <v>24</v>
      </c>
      <c r="B61" s="16">
        <f t="shared" si="2"/>
        <v>0</v>
      </c>
      <c r="C61" s="16">
        <f t="shared" si="3"/>
        <v>0</v>
      </c>
      <c r="D61" s="16">
        <f t="shared" si="5"/>
        <v>0</v>
      </c>
      <c r="E61" s="16">
        <f t="shared" si="5"/>
        <v>0</v>
      </c>
      <c r="F61" s="16">
        <f t="shared" si="5"/>
        <v>0</v>
      </c>
      <c r="G61" s="16">
        <f t="shared" si="5"/>
        <v>0</v>
      </c>
      <c r="H61" s="16">
        <f t="shared" si="5"/>
        <v>0</v>
      </c>
      <c r="I61" s="16">
        <f t="shared" si="5"/>
        <v>0</v>
      </c>
      <c r="J61" s="16">
        <f t="shared" si="5"/>
        <v>0</v>
      </c>
      <c r="K61" s="16">
        <f t="shared" si="5"/>
        <v>0</v>
      </c>
      <c r="L61" s="16">
        <f t="shared" si="5"/>
        <v>0</v>
      </c>
      <c r="M61" s="16">
        <f t="shared" si="5"/>
        <v>0</v>
      </c>
      <c r="N61" s="16">
        <f t="shared" si="5"/>
        <v>0</v>
      </c>
      <c r="O61" s="16">
        <f t="shared" si="5"/>
        <v>0</v>
      </c>
      <c r="P61" s="16">
        <f t="shared" si="5"/>
        <v>0</v>
      </c>
      <c r="Q61" s="16">
        <f t="shared" si="5"/>
        <v>0</v>
      </c>
      <c r="R61" s="16">
        <f t="shared" si="5"/>
        <v>0</v>
      </c>
      <c r="S61" s="16">
        <f t="shared" si="5"/>
        <v>0</v>
      </c>
      <c r="T61" s="16">
        <f t="shared" si="5"/>
        <v>0</v>
      </c>
      <c r="U61" s="16">
        <f t="shared" si="5"/>
        <v>0</v>
      </c>
      <c r="V61" s="16">
        <f t="shared" si="5"/>
        <v>0</v>
      </c>
      <c r="W61" s="16">
        <f t="shared" si="5"/>
        <v>0</v>
      </c>
      <c r="X61" s="16">
        <f t="shared" si="5"/>
        <v>0</v>
      </c>
      <c r="Y61" s="16">
        <f t="shared" si="5"/>
        <v>0</v>
      </c>
      <c r="Z61" s="16">
        <f t="shared" si="5"/>
        <v>0</v>
      </c>
      <c r="AA61" s="16">
        <f t="shared" si="5"/>
        <v>0</v>
      </c>
      <c r="AB61" s="16">
        <f t="shared" si="5"/>
        <v>0</v>
      </c>
      <c r="AC61" s="16">
        <f t="shared" si="5"/>
        <v>0</v>
      </c>
      <c r="AD61" s="16">
        <f t="shared" si="5"/>
        <v>0</v>
      </c>
      <c r="AE61" s="16">
        <f t="shared" si="5"/>
        <v>0</v>
      </c>
      <c r="AF61" s="16">
        <f t="shared" si="5"/>
        <v>0</v>
      </c>
      <c r="AG61" s="16"/>
    </row>
    <row r="62" spans="1:33">
      <c r="A62" t="s">
        <v>25</v>
      </c>
      <c r="B62" s="16">
        <f t="shared" si="2"/>
        <v>976036520879.11511</v>
      </c>
      <c r="C62" s="16">
        <f t="shared" si="3"/>
        <v>977012557399.99414</v>
      </c>
      <c r="D62" s="16">
        <f t="shared" si="5"/>
        <v>977989569957.39404</v>
      </c>
      <c r="E62" s="16">
        <f t="shared" si="5"/>
        <v>978967559527.35132</v>
      </c>
      <c r="F62" s="16">
        <f t="shared" si="5"/>
        <v>979946527086.87854</v>
      </c>
      <c r="G62" s="16">
        <f t="shared" si="5"/>
        <v>980926473613.96521</v>
      </c>
      <c r="H62" s="16">
        <f t="shared" si="5"/>
        <v>981907400087.57922</v>
      </c>
      <c r="I62" s="16">
        <f t="shared" si="5"/>
        <v>982889307487.66663</v>
      </c>
      <c r="J62" s="16">
        <f t="shared" si="5"/>
        <v>983872196795.1543</v>
      </c>
      <c r="K62" s="16">
        <f t="shared" si="5"/>
        <v>984856068991.94934</v>
      </c>
      <c r="L62" s="16">
        <f t="shared" si="5"/>
        <v>985840925060.94116</v>
      </c>
      <c r="M62" s="16">
        <f t="shared" si="5"/>
        <v>986826765986.00208</v>
      </c>
      <c r="N62" s="16">
        <f t="shared" si="5"/>
        <v>987813592751.98792</v>
      </c>
      <c r="O62" s="16">
        <f t="shared" si="5"/>
        <v>988801406344.73987</v>
      </c>
      <c r="P62" s="16">
        <f t="shared" si="5"/>
        <v>989790207751.08447</v>
      </c>
      <c r="Q62" s="16">
        <f t="shared" si="5"/>
        <v>990779997958.83533</v>
      </c>
      <c r="R62" s="16">
        <f t="shared" si="5"/>
        <v>991770777956.79395</v>
      </c>
      <c r="S62" s="16">
        <f t="shared" si="5"/>
        <v>992762548734.75073</v>
      </c>
      <c r="T62" s="16">
        <f t="shared" si="5"/>
        <v>993755311283.48535</v>
      </c>
      <c r="U62" s="16">
        <f t="shared" si="5"/>
        <v>994749066594.7688</v>
      </c>
      <c r="V62" s="16">
        <f t="shared" si="5"/>
        <v>995743815661.3634</v>
      </c>
      <c r="W62" s="16">
        <f t="shared" si="5"/>
        <v>990765096583.05664</v>
      </c>
      <c r="X62" s="16">
        <f t="shared" si="5"/>
        <v>985811271100.14124</v>
      </c>
      <c r="Y62" s="16">
        <f t="shared" si="5"/>
        <v>980882214744.6405</v>
      </c>
      <c r="Z62" s="16">
        <f t="shared" si="5"/>
        <v>975977803670.91724</v>
      </c>
      <c r="AA62" s="16">
        <f t="shared" si="5"/>
        <v>971097914652.56262</v>
      </c>
      <c r="AB62" s="16">
        <f t="shared" si="5"/>
        <v>966242425079.2998</v>
      </c>
      <c r="AC62" s="16">
        <f t="shared" si="5"/>
        <v>961411212953.90332</v>
      </c>
      <c r="AD62" s="16">
        <f t="shared" si="5"/>
        <v>956604156889.13379</v>
      </c>
      <c r="AE62" s="16">
        <f t="shared" si="5"/>
        <v>951821136104.68811</v>
      </c>
      <c r="AF62" s="16">
        <f t="shared" si="5"/>
        <v>947062030424.16467</v>
      </c>
      <c r="AG62" s="16"/>
    </row>
    <row r="63" spans="1:33">
      <c r="A63" t="s">
        <v>26</v>
      </c>
      <c r="B63" s="16">
        <f t="shared" si="2"/>
        <v>7311042528.3880692</v>
      </c>
      <c r="C63" s="16">
        <f t="shared" si="3"/>
        <v>7579710732.8865919</v>
      </c>
      <c r="D63" s="16">
        <f t="shared" si="5"/>
        <v>7848378937.3851118</v>
      </c>
      <c r="E63" s="16">
        <f t="shared" si="5"/>
        <v>8117047141.8836336</v>
      </c>
      <c r="F63" s="16">
        <f t="shared" si="5"/>
        <v>8385715346.3821545</v>
      </c>
      <c r="G63" s="16">
        <f t="shared" si="5"/>
        <v>8654383550.8806782</v>
      </c>
      <c r="H63" s="16">
        <f t="shared" si="5"/>
        <v>8724081519.0005188</v>
      </c>
      <c r="I63" s="16">
        <f t="shared" si="5"/>
        <v>8793779487.1203594</v>
      </c>
      <c r="J63" s="16">
        <f t="shared" si="5"/>
        <v>8863477455.240202</v>
      </c>
      <c r="K63" s="16">
        <f t="shared" si="5"/>
        <v>8933175423.3600445</v>
      </c>
      <c r="L63" s="16">
        <f t="shared" si="5"/>
        <v>9002873391.4798851</v>
      </c>
      <c r="M63" s="16">
        <f t="shared" si="5"/>
        <v>9039694959.5431976</v>
      </c>
      <c r="N63" s="16">
        <f t="shared" si="5"/>
        <v>9076516527.6065102</v>
      </c>
      <c r="O63" s="16">
        <f t="shared" si="5"/>
        <v>9113338095.6698227</v>
      </c>
      <c r="P63" s="16">
        <f t="shared" si="5"/>
        <v>9150159663.7331333</v>
      </c>
      <c r="Q63" s="16">
        <f t="shared" si="5"/>
        <v>9186981231.7964458</v>
      </c>
      <c r="R63" s="16">
        <f t="shared" si="5"/>
        <v>9213282351.841671</v>
      </c>
      <c r="S63" s="16">
        <f t="shared" si="5"/>
        <v>9239583471.8868923</v>
      </c>
      <c r="T63" s="16">
        <f t="shared" si="5"/>
        <v>9265884591.9321156</v>
      </c>
      <c r="U63" s="16">
        <f t="shared" si="5"/>
        <v>9292185711.9773388</v>
      </c>
      <c r="V63" s="16">
        <f t="shared" si="5"/>
        <v>9318486832.0225582</v>
      </c>
      <c r="W63" s="16">
        <f t="shared" si="5"/>
        <v>9358815216.0919113</v>
      </c>
      <c r="X63" s="16">
        <f t="shared" si="5"/>
        <v>9389579556.5084362</v>
      </c>
      <c r="Y63" s="16">
        <f t="shared" si="5"/>
        <v>9420343896.9249725</v>
      </c>
      <c r="Z63" s="16">
        <f t="shared" si="5"/>
        <v>9451108237.341507</v>
      </c>
      <c r="AA63" s="16">
        <f t="shared" si="5"/>
        <v>9481872577.7580433</v>
      </c>
      <c r="AB63" s="16">
        <f t="shared" si="5"/>
        <v>9512636918.1745701</v>
      </c>
      <c r="AC63" s="16">
        <f t="shared" si="5"/>
        <v>9543401258.5911064</v>
      </c>
      <c r="AD63" s="16">
        <f t="shared" si="5"/>
        <v>9574165599.0076408</v>
      </c>
      <c r="AE63" s="16">
        <f t="shared" si="5"/>
        <v>9604929939.4241772</v>
      </c>
      <c r="AF63" s="16">
        <f t="shared" si="5"/>
        <v>9635694279.8407135</v>
      </c>
      <c r="AG63" s="16"/>
    </row>
    <row r="65" spans="1:32">
      <c r="A65" s="1" t="s">
        <v>805</v>
      </c>
    </row>
    <row r="66" spans="1:32">
      <c r="B66">
        <v>2020</v>
      </c>
      <c r="C66">
        <v>2021</v>
      </c>
      <c r="D66">
        <v>2022</v>
      </c>
      <c r="E66">
        <v>2023</v>
      </c>
      <c r="F66">
        <v>2024</v>
      </c>
      <c r="G66">
        <v>2025</v>
      </c>
      <c r="H66">
        <v>2026</v>
      </c>
      <c r="I66">
        <v>2027</v>
      </c>
      <c r="J66">
        <v>2028</v>
      </c>
      <c r="K66">
        <v>2029</v>
      </c>
      <c r="L66">
        <v>2030</v>
      </c>
      <c r="M66">
        <v>2031</v>
      </c>
      <c r="N66">
        <v>2032</v>
      </c>
      <c r="O66">
        <v>2033</v>
      </c>
      <c r="P66">
        <v>2034</v>
      </c>
      <c r="Q66">
        <v>2035</v>
      </c>
      <c r="R66">
        <v>2036</v>
      </c>
      <c r="S66">
        <v>2037</v>
      </c>
      <c r="T66">
        <v>2038</v>
      </c>
      <c r="U66">
        <v>2039</v>
      </c>
      <c r="V66">
        <v>2040</v>
      </c>
      <c r="W66">
        <v>2041</v>
      </c>
      <c r="X66">
        <v>2042</v>
      </c>
      <c r="Y66">
        <v>2043</v>
      </c>
      <c r="Z66">
        <v>2044</v>
      </c>
      <c r="AA66">
        <v>2045</v>
      </c>
      <c r="AB66">
        <v>2046</v>
      </c>
      <c r="AC66">
        <v>2047</v>
      </c>
      <c r="AD66">
        <v>2048</v>
      </c>
      <c r="AE66">
        <v>2049</v>
      </c>
      <c r="AF66">
        <v>2050</v>
      </c>
    </row>
    <row r="67" spans="1:32">
      <c r="A67" t="s">
        <v>2</v>
      </c>
      <c r="B67" s="16">
        <f>C$5*$B11/SUM($B$11:$B$35)</f>
        <v>3247988558328.3472</v>
      </c>
      <c r="C67" s="16">
        <f>IFERROR($B67*C11/$B11,0)</f>
        <v>3367346536456.5664</v>
      </c>
      <c r="D67" s="16">
        <f t="shared" ref="D67:AF76" si="6">IFERROR($B67*D11/$B11,0)</f>
        <v>3486704514584.7842</v>
      </c>
      <c r="E67" s="16">
        <f t="shared" si="6"/>
        <v>3606062492713.0024</v>
      </c>
      <c r="F67" s="16">
        <f t="shared" si="6"/>
        <v>3725420470841.2212</v>
      </c>
      <c r="G67" s="16">
        <f t="shared" si="6"/>
        <v>3844778448969.4399</v>
      </c>
      <c r="H67" s="16">
        <f t="shared" si="6"/>
        <v>3875742323425.5073</v>
      </c>
      <c r="I67" s="16">
        <f t="shared" si="6"/>
        <v>3906706197881.5747</v>
      </c>
      <c r="J67" s="16">
        <f t="shared" si="6"/>
        <v>3937670072337.6426</v>
      </c>
      <c r="K67" s="16">
        <f t="shared" si="6"/>
        <v>3968633946793.71</v>
      </c>
      <c r="L67" s="16">
        <f t="shared" si="6"/>
        <v>3999597821249.7778</v>
      </c>
      <c r="M67" s="16">
        <f t="shared" si="6"/>
        <v>4015956094547.3223</v>
      </c>
      <c r="N67" s="16">
        <f t="shared" si="6"/>
        <v>4032314367844.8677</v>
      </c>
      <c r="O67" s="16">
        <f t="shared" si="6"/>
        <v>4048672641142.4131</v>
      </c>
      <c r="P67" s="16">
        <f t="shared" si="6"/>
        <v>4065030914439.9575</v>
      </c>
      <c r="Q67" s="16">
        <f t="shared" si="6"/>
        <v>4081389187737.5034</v>
      </c>
      <c r="R67" s="16">
        <f t="shared" si="6"/>
        <v>4093073668664.3213</v>
      </c>
      <c r="S67" s="16">
        <f t="shared" si="6"/>
        <v>4104758149591.1392</v>
      </c>
      <c r="T67" s="16">
        <f t="shared" si="6"/>
        <v>4116442630517.9565</v>
      </c>
      <c r="U67" s="16">
        <f t="shared" si="6"/>
        <v>4128127111444.7749</v>
      </c>
      <c r="V67" s="16">
        <f t="shared" si="6"/>
        <v>4139811592371.5918</v>
      </c>
      <c r="W67" s="16">
        <f t="shared" si="6"/>
        <v>4157727796459.3828</v>
      </c>
      <c r="X67" s="16">
        <f t="shared" si="6"/>
        <v>4171395098391.9609</v>
      </c>
      <c r="Y67" s="16">
        <f t="shared" si="6"/>
        <v>4185062400324.5425</v>
      </c>
      <c r="Z67" s="16">
        <f t="shared" si="6"/>
        <v>4198729702257.124</v>
      </c>
      <c r="AA67" s="16">
        <f t="shared" si="6"/>
        <v>4212397004189.7056</v>
      </c>
      <c r="AB67" s="16">
        <f t="shared" si="6"/>
        <v>4226064306122.2837</v>
      </c>
      <c r="AC67" s="16">
        <f t="shared" si="6"/>
        <v>4239731608054.8662</v>
      </c>
      <c r="AD67" s="16">
        <f t="shared" si="6"/>
        <v>4253398909987.4473</v>
      </c>
      <c r="AE67" s="16">
        <f t="shared" si="6"/>
        <v>4267066211920.0298</v>
      </c>
      <c r="AF67" s="16">
        <f t="shared" si="6"/>
        <v>4280733513852.6113</v>
      </c>
    </row>
    <row r="68" spans="1:32">
      <c r="A68" t="s">
        <v>3</v>
      </c>
      <c r="B68" s="16">
        <f t="shared" ref="B68:B91" si="7">C$5*$B12/SUM($B$11:$B$35)</f>
        <v>0</v>
      </c>
      <c r="C68" s="16">
        <f t="shared" ref="C68:R91" si="8">IFERROR($B68*C12/$B12,0)</f>
        <v>0</v>
      </c>
      <c r="D68" s="16">
        <f t="shared" si="8"/>
        <v>0</v>
      </c>
      <c r="E68" s="16">
        <f t="shared" si="8"/>
        <v>0</v>
      </c>
      <c r="F68" s="16">
        <f t="shared" si="8"/>
        <v>0</v>
      </c>
      <c r="G68" s="16">
        <f t="shared" si="8"/>
        <v>0</v>
      </c>
      <c r="H68" s="16">
        <f t="shared" si="8"/>
        <v>0</v>
      </c>
      <c r="I68" s="16">
        <f t="shared" si="8"/>
        <v>0</v>
      </c>
      <c r="J68" s="16">
        <f t="shared" si="8"/>
        <v>0</v>
      </c>
      <c r="K68" s="16">
        <f t="shared" si="8"/>
        <v>0</v>
      </c>
      <c r="L68" s="16">
        <f t="shared" si="8"/>
        <v>0</v>
      </c>
      <c r="M68" s="16">
        <f t="shared" si="8"/>
        <v>0</v>
      </c>
      <c r="N68" s="16">
        <f t="shared" si="8"/>
        <v>0</v>
      </c>
      <c r="O68" s="16">
        <f t="shared" si="8"/>
        <v>0</v>
      </c>
      <c r="P68" s="16">
        <f t="shared" si="8"/>
        <v>0</v>
      </c>
      <c r="Q68" s="16">
        <f t="shared" si="8"/>
        <v>0</v>
      </c>
      <c r="R68" s="16">
        <f t="shared" si="8"/>
        <v>0</v>
      </c>
      <c r="S68" s="16">
        <f t="shared" si="6"/>
        <v>0</v>
      </c>
      <c r="T68" s="16">
        <f t="shared" si="6"/>
        <v>0</v>
      </c>
      <c r="U68" s="16">
        <f t="shared" si="6"/>
        <v>0</v>
      </c>
      <c r="V68" s="16">
        <f t="shared" si="6"/>
        <v>0</v>
      </c>
      <c r="W68" s="16">
        <f t="shared" si="6"/>
        <v>0</v>
      </c>
      <c r="X68" s="16">
        <f t="shared" si="6"/>
        <v>0</v>
      </c>
      <c r="Y68" s="16">
        <f t="shared" si="6"/>
        <v>0</v>
      </c>
      <c r="Z68" s="16">
        <f t="shared" si="6"/>
        <v>0</v>
      </c>
      <c r="AA68" s="16">
        <f t="shared" si="6"/>
        <v>0</v>
      </c>
      <c r="AB68" s="16">
        <f t="shared" si="6"/>
        <v>0</v>
      </c>
      <c r="AC68" s="16">
        <f t="shared" si="6"/>
        <v>0</v>
      </c>
      <c r="AD68" s="16">
        <f t="shared" si="6"/>
        <v>0</v>
      </c>
      <c r="AE68" s="16">
        <f t="shared" si="6"/>
        <v>0</v>
      </c>
      <c r="AF68" s="16">
        <f t="shared" si="6"/>
        <v>0</v>
      </c>
    </row>
    <row r="69" spans="1:32">
      <c r="A69" t="s">
        <v>4</v>
      </c>
      <c r="B69" s="16">
        <f t="shared" si="7"/>
        <v>0</v>
      </c>
      <c r="C69" s="16">
        <f t="shared" si="8"/>
        <v>0</v>
      </c>
      <c r="D69" s="16">
        <f t="shared" si="6"/>
        <v>0</v>
      </c>
      <c r="E69" s="16">
        <f t="shared" si="6"/>
        <v>0</v>
      </c>
      <c r="F69" s="16">
        <f t="shared" si="6"/>
        <v>0</v>
      </c>
      <c r="G69" s="16">
        <f t="shared" si="6"/>
        <v>0</v>
      </c>
      <c r="H69" s="16">
        <f t="shared" si="6"/>
        <v>0</v>
      </c>
      <c r="I69" s="16">
        <f t="shared" si="6"/>
        <v>0</v>
      </c>
      <c r="J69" s="16">
        <f t="shared" si="6"/>
        <v>0</v>
      </c>
      <c r="K69" s="16">
        <f t="shared" si="6"/>
        <v>0</v>
      </c>
      <c r="L69" s="16">
        <f t="shared" si="6"/>
        <v>0</v>
      </c>
      <c r="M69" s="16">
        <f t="shared" si="6"/>
        <v>0</v>
      </c>
      <c r="N69" s="16">
        <f t="shared" si="6"/>
        <v>0</v>
      </c>
      <c r="O69" s="16">
        <f t="shared" si="6"/>
        <v>0</v>
      </c>
      <c r="P69" s="16">
        <f t="shared" si="6"/>
        <v>0</v>
      </c>
      <c r="Q69" s="16">
        <f t="shared" si="6"/>
        <v>0</v>
      </c>
      <c r="R69" s="16">
        <f t="shared" si="6"/>
        <v>0</v>
      </c>
      <c r="S69" s="16">
        <f t="shared" si="6"/>
        <v>0</v>
      </c>
      <c r="T69" s="16">
        <f t="shared" si="6"/>
        <v>0</v>
      </c>
      <c r="U69" s="16">
        <f t="shared" si="6"/>
        <v>0</v>
      </c>
      <c r="V69" s="16">
        <f t="shared" si="6"/>
        <v>0</v>
      </c>
      <c r="W69" s="16">
        <f t="shared" si="6"/>
        <v>0</v>
      </c>
      <c r="X69" s="16">
        <f t="shared" si="6"/>
        <v>0</v>
      </c>
      <c r="Y69" s="16">
        <f t="shared" si="6"/>
        <v>0</v>
      </c>
      <c r="Z69" s="16">
        <f t="shared" si="6"/>
        <v>0</v>
      </c>
      <c r="AA69" s="16">
        <f t="shared" si="6"/>
        <v>0</v>
      </c>
      <c r="AB69" s="16">
        <f t="shared" si="6"/>
        <v>0</v>
      </c>
      <c r="AC69" s="16">
        <f t="shared" si="6"/>
        <v>0</v>
      </c>
      <c r="AD69" s="16">
        <f t="shared" si="6"/>
        <v>0</v>
      </c>
      <c r="AE69" s="16">
        <f t="shared" si="6"/>
        <v>0</v>
      </c>
      <c r="AF69" s="16">
        <f t="shared" si="6"/>
        <v>0</v>
      </c>
    </row>
    <row r="70" spans="1:32">
      <c r="A70" t="s">
        <v>5</v>
      </c>
      <c r="B70" s="16">
        <f t="shared" si="7"/>
        <v>280136096799.2854</v>
      </c>
      <c r="C70" s="16">
        <f t="shared" si="8"/>
        <v>290430615241.77106</v>
      </c>
      <c r="D70" s="16">
        <f t="shared" si="6"/>
        <v>300725133684.25671</v>
      </c>
      <c r="E70" s="16">
        <f t="shared" si="6"/>
        <v>311019652126.74237</v>
      </c>
      <c r="F70" s="16">
        <f t="shared" si="6"/>
        <v>321314170569.22809</v>
      </c>
      <c r="G70" s="16">
        <f t="shared" si="6"/>
        <v>331608689011.71368</v>
      </c>
      <c r="H70" s="16">
        <f t="shared" si="6"/>
        <v>334279295381.20483</v>
      </c>
      <c r="I70" s="16">
        <f t="shared" si="6"/>
        <v>336949901750.69592</v>
      </c>
      <c r="J70" s="16">
        <f t="shared" si="6"/>
        <v>339620508120.18701</v>
      </c>
      <c r="K70" s="16">
        <f t="shared" si="6"/>
        <v>342291114489.6781</v>
      </c>
      <c r="L70" s="16">
        <f t="shared" si="6"/>
        <v>344961720859.16913</v>
      </c>
      <c r="M70" s="16">
        <f t="shared" si="6"/>
        <v>346372607243.05133</v>
      </c>
      <c r="N70" s="16">
        <f t="shared" si="6"/>
        <v>347783493626.93335</v>
      </c>
      <c r="O70" s="16">
        <f t="shared" si="6"/>
        <v>349194380010.81543</v>
      </c>
      <c r="P70" s="16">
        <f t="shared" si="6"/>
        <v>350605266394.69751</v>
      </c>
      <c r="Q70" s="16">
        <f t="shared" si="6"/>
        <v>352016152778.57959</v>
      </c>
      <c r="R70" s="16">
        <f t="shared" si="6"/>
        <v>353023928767.06677</v>
      </c>
      <c r="S70" s="16">
        <f t="shared" si="6"/>
        <v>354031704755.55402</v>
      </c>
      <c r="T70" s="16">
        <f t="shared" si="6"/>
        <v>355039480744.0412</v>
      </c>
      <c r="U70" s="16">
        <f t="shared" si="6"/>
        <v>356047256732.52838</v>
      </c>
      <c r="V70" s="16">
        <f t="shared" si="6"/>
        <v>357055032721.0155</v>
      </c>
      <c r="W70" s="16">
        <f t="shared" si="6"/>
        <v>358600289236.69617</v>
      </c>
      <c r="X70" s="16">
        <f t="shared" si="6"/>
        <v>359779081756.56281</v>
      </c>
      <c r="Y70" s="16">
        <f t="shared" si="6"/>
        <v>360957874276.42969</v>
      </c>
      <c r="Z70" s="16">
        <f t="shared" si="6"/>
        <v>362136666796.29657</v>
      </c>
      <c r="AA70" s="16">
        <f t="shared" si="6"/>
        <v>363315459316.16357</v>
      </c>
      <c r="AB70" s="16">
        <f t="shared" si="6"/>
        <v>364494251836.03015</v>
      </c>
      <c r="AC70" s="16">
        <f t="shared" si="6"/>
        <v>365673044355.89703</v>
      </c>
      <c r="AD70" s="16">
        <f t="shared" si="6"/>
        <v>366851836875.76398</v>
      </c>
      <c r="AE70" s="16">
        <f t="shared" si="6"/>
        <v>368030629395.63086</v>
      </c>
      <c r="AF70" s="16">
        <f t="shared" si="6"/>
        <v>369209421915.4978</v>
      </c>
    </row>
    <row r="71" spans="1:32">
      <c r="A71" t="s">
        <v>6</v>
      </c>
      <c r="B71" s="16">
        <f t="shared" si="7"/>
        <v>2573211859147.0649</v>
      </c>
      <c r="C71" s="16">
        <f t="shared" si="8"/>
        <v>2667772957281.4194</v>
      </c>
      <c r="D71" s="16">
        <f t="shared" si="6"/>
        <v>2762334055415.7739</v>
      </c>
      <c r="E71" s="16">
        <f t="shared" si="6"/>
        <v>2856895153550.1289</v>
      </c>
      <c r="F71" s="16">
        <f t="shared" si="6"/>
        <v>2951456251684.4834</v>
      </c>
      <c r="G71" s="16">
        <f t="shared" si="6"/>
        <v>3046017349818.8379</v>
      </c>
      <c r="H71" s="16">
        <f t="shared" si="6"/>
        <v>3070548411897.6104</v>
      </c>
      <c r="I71" s="16">
        <f t="shared" si="6"/>
        <v>3095079473976.3823</v>
      </c>
      <c r="J71" s="16">
        <f t="shared" si="6"/>
        <v>3119610536055.1543</v>
      </c>
      <c r="K71" s="16">
        <f t="shared" si="6"/>
        <v>3144141598133.9263</v>
      </c>
      <c r="L71" s="16">
        <f t="shared" si="6"/>
        <v>3168672660212.6982</v>
      </c>
      <c r="M71" s="16">
        <f t="shared" si="6"/>
        <v>3181632466593.9365</v>
      </c>
      <c r="N71" s="16">
        <f t="shared" si="6"/>
        <v>3194592272975.1743</v>
      </c>
      <c r="O71" s="16">
        <f t="shared" si="6"/>
        <v>3207552079356.4121</v>
      </c>
      <c r="P71" s="16">
        <f t="shared" si="6"/>
        <v>3220511885737.6504</v>
      </c>
      <c r="Q71" s="16">
        <f t="shared" si="6"/>
        <v>3233471692118.8892</v>
      </c>
      <c r="R71" s="16">
        <f t="shared" si="6"/>
        <v>3242728696676.9155</v>
      </c>
      <c r="S71" s="16">
        <f t="shared" si="6"/>
        <v>3251985701234.9424</v>
      </c>
      <c r="T71" s="16">
        <f t="shared" si="6"/>
        <v>3261242705792.9702</v>
      </c>
      <c r="U71" s="16">
        <f t="shared" si="6"/>
        <v>3270499710350.9966</v>
      </c>
      <c r="V71" s="16">
        <f t="shared" si="6"/>
        <v>3279756714909.0234</v>
      </c>
      <c r="W71" s="16">
        <f t="shared" si="6"/>
        <v>3293950788564.668</v>
      </c>
      <c r="X71" s="16">
        <f t="shared" si="6"/>
        <v>3304778678744.6611</v>
      </c>
      <c r="Y71" s="16">
        <f t="shared" si="6"/>
        <v>3315606568924.6567</v>
      </c>
      <c r="Z71" s="16">
        <f t="shared" si="6"/>
        <v>3326434459104.6528</v>
      </c>
      <c r="AA71" s="16">
        <f t="shared" si="6"/>
        <v>3337262349284.6489</v>
      </c>
      <c r="AB71" s="16">
        <f t="shared" si="6"/>
        <v>3348090239464.6416</v>
      </c>
      <c r="AC71" s="16">
        <f t="shared" si="6"/>
        <v>3358918129644.6382</v>
      </c>
      <c r="AD71" s="16">
        <f t="shared" si="6"/>
        <v>3369746019824.6343</v>
      </c>
      <c r="AE71" s="16">
        <f t="shared" si="6"/>
        <v>3380573910004.6304</v>
      </c>
      <c r="AF71" s="16">
        <f t="shared" si="6"/>
        <v>3391401800184.6265</v>
      </c>
    </row>
    <row r="72" spans="1:32">
      <c r="A72" t="s">
        <v>7</v>
      </c>
      <c r="B72" s="16">
        <f t="shared" si="7"/>
        <v>1938916043784.4832</v>
      </c>
      <c r="C72" s="16">
        <f t="shared" si="8"/>
        <v>2010167864593.1096</v>
      </c>
      <c r="D72" s="16">
        <f t="shared" si="6"/>
        <v>2081419685401.7363</v>
      </c>
      <c r="E72" s="16">
        <f t="shared" si="6"/>
        <v>2152671506210.3625</v>
      </c>
      <c r="F72" s="16">
        <f t="shared" si="6"/>
        <v>2223923327018.9893</v>
      </c>
      <c r="G72" s="16">
        <f t="shared" si="6"/>
        <v>2295175147827.6157</v>
      </c>
      <c r="H72" s="16">
        <f t="shared" si="6"/>
        <v>2313659311759.3682</v>
      </c>
      <c r="I72" s="16">
        <f t="shared" si="6"/>
        <v>2332143475691.1211</v>
      </c>
      <c r="J72" s="16">
        <f t="shared" si="6"/>
        <v>2350627639622.873</v>
      </c>
      <c r="K72" s="16">
        <f t="shared" si="6"/>
        <v>2369111803554.626</v>
      </c>
      <c r="L72" s="16">
        <f t="shared" si="6"/>
        <v>2387595967486.3784</v>
      </c>
      <c r="M72" s="16">
        <f t="shared" si="6"/>
        <v>2397361186167.3042</v>
      </c>
      <c r="N72" s="16">
        <f t="shared" si="6"/>
        <v>2407126404848.23</v>
      </c>
      <c r="O72" s="16">
        <f t="shared" si="6"/>
        <v>2416891623529.1558</v>
      </c>
      <c r="P72" s="16">
        <f t="shared" si="6"/>
        <v>2426656842210.0815</v>
      </c>
      <c r="Q72" s="16">
        <f t="shared" si="6"/>
        <v>2436422060891.0078</v>
      </c>
      <c r="R72" s="16">
        <f t="shared" si="6"/>
        <v>2443397217091.6694</v>
      </c>
      <c r="S72" s="16">
        <f t="shared" si="6"/>
        <v>2450372373292.3306</v>
      </c>
      <c r="T72" s="16">
        <f t="shared" si="6"/>
        <v>2457347529492.9917</v>
      </c>
      <c r="U72" s="16">
        <f t="shared" si="6"/>
        <v>2464322685693.6528</v>
      </c>
      <c r="V72" s="16">
        <f t="shared" si="6"/>
        <v>2471297841894.314</v>
      </c>
      <c r="W72" s="16">
        <f t="shared" si="6"/>
        <v>2481993081401.9966</v>
      </c>
      <c r="X72" s="16">
        <f t="shared" si="6"/>
        <v>2490151900473.0718</v>
      </c>
      <c r="Y72" s="16">
        <f t="shared" si="6"/>
        <v>2498310719544.1494</v>
      </c>
      <c r="Z72" s="16">
        <f t="shared" si="6"/>
        <v>2506469538615.2256</v>
      </c>
      <c r="AA72" s="16">
        <f t="shared" si="6"/>
        <v>2514628357686.3027</v>
      </c>
      <c r="AB72" s="16">
        <f t="shared" si="6"/>
        <v>2522787176757.3779</v>
      </c>
      <c r="AC72" s="16">
        <f t="shared" si="6"/>
        <v>2530945995828.4546</v>
      </c>
      <c r="AD72" s="16">
        <f t="shared" si="6"/>
        <v>2539104814899.5322</v>
      </c>
      <c r="AE72" s="16">
        <f t="shared" si="6"/>
        <v>2547263633970.6089</v>
      </c>
      <c r="AF72" s="16">
        <f t="shared" si="6"/>
        <v>2555422453041.6855</v>
      </c>
    </row>
    <row r="73" spans="1:32">
      <c r="A73" t="s">
        <v>8</v>
      </c>
      <c r="B73" s="16">
        <f t="shared" si="7"/>
        <v>325564692695.67609</v>
      </c>
      <c r="C73" s="16">
        <f t="shared" si="8"/>
        <v>337528633692.46649</v>
      </c>
      <c r="D73" s="16">
        <f t="shared" si="6"/>
        <v>349492574689.2569</v>
      </c>
      <c r="E73" s="16">
        <f t="shared" si="6"/>
        <v>361456515686.0473</v>
      </c>
      <c r="F73" s="16">
        <f t="shared" si="6"/>
        <v>373420456682.83771</v>
      </c>
      <c r="G73" s="16">
        <f t="shared" si="6"/>
        <v>385384397679.62811</v>
      </c>
      <c r="H73" s="16">
        <f t="shared" si="6"/>
        <v>388488086036.56787</v>
      </c>
      <c r="I73" s="16">
        <f t="shared" si="6"/>
        <v>391591774393.50757</v>
      </c>
      <c r="J73" s="16">
        <f t="shared" si="6"/>
        <v>394695462750.44733</v>
      </c>
      <c r="K73" s="16">
        <f t="shared" si="6"/>
        <v>397799151107.38702</v>
      </c>
      <c r="L73" s="16">
        <f t="shared" si="6"/>
        <v>400902839464.32672</v>
      </c>
      <c r="M73" s="16">
        <f t="shared" si="6"/>
        <v>402542523879.31378</v>
      </c>
      <c r="N73" s="16">
        <f t="shared" si="6"/>
        <v>404182208294.30084</v>
      </c>
      <c r="O73" s="16">
        <f t="shared" si="6"/>
        <v>405821892709.28778</v>
      </c>
      <c r="P73" s="16">
        <f t="shared" si="6"/>
        <v>407461577124.27478</v>
      </c>
      <c r="Q73" s="16">
        <f t="shared" si="6"/>
        <v>409101261539.26196</v>
      </c>
      <c r="R73" s="16">
        <f t="shared" si="6"/>
        <v>410272464692.82404</v>
      </c>
      <c r="S73" s="16">
        <f t="shared" si="6"/>
        <v>411443667846.38611</v>
      </c>
      <c r="T73" s="16">
        <f t="shared" si="6"/>
        <v>412614870999.94836</v>
      </c>
      <c r="U73" s="16">
        <f t="shared" si="6"/>
        <v>413786074153.5105</v>
      </c>
      <c r="V73" s="16">
        <f t="shared" si="6"/>
        <v>414957277307.07257</v>
      </c>
      <c r="W73" s="16">
        <f t="shared" si="6"/>
        <v>416753122142.53485</v>
      </c>
      <c r="X73" s="16">
        <f t="shared" si="6"/>
        <v>418123074922.1557</v>
      </c>
      <c r="Y73" s="16">
        <f t="shared" si="6"/>
        <v>419493027701.77704</v>
      </c>
      <c r="Z73" s="16">
        <f t="shared" si="6"/>
        <v>420862980481.39832</v>
      </c>
      <c r="AA73" s="16">
        <f t="shared" si="6"/>
        <v>422232933261.01953</v>
      </c>
      <c r="AB73" s="16">
        <f t="shared" si="6"/>
        <v>423602886040.64044</v>
      </c>
      <c r="AC73" s="16">
        <f t="shared" si="6"/>
        <v>424972838820.26172</v>
      </c>
      <c r="AD73" s="16">
        <f t="shared" si="6"/>
        <v>426342791599.883</v>
      </c>
      <c r="AE73" s="16">
        <f t="shared" si="6"/>
        <v>427712744379.50427</v>
      </c>
      <c r="AF73" s="16">
        <f t="shared" si="6"/>
        <v>429082697159.12561</v>
      </c>
    </row>
    <row r="74" spans="1:32">
      <c r="A74" t="s">
        <v>9</v>
      </c>
      <c r="B74" s="16">
        <f t="shared" si="7"/>
        <v>1858667951422.5142</v>
      </c>
      <c r="C74" s="16">
        <f t="shared" si="8"/>
        <v>1926970793230.4573</v>
      </c>
      <c r="D74" s="16">
        <f t="shared" si="6"/>
        <v>1995273635038.3999</v>
      </c>
      <c r="E74" s="16">
        <f t="shared" si="6"/>
        <v>2063576476846.3425</v>
      </c>
      <c r="F74" s="16">
        <f t="shared" si="6"/>
        <v>2131879318654.2854</v>
      </c>
      <c r="G74" s="16">
        <f t="shared" si="6"/>
        <v>2200182160462.2275</v>
      </c>
      <c r="H74" s="16">
        <f t="shared" si="6"/>
        <v>2217901299575.5083</v>
      </c>
      <c r="I74" s="16">
        <f t="shared" si="6"/>
        <v>2235620438688.7891</v>
      </c>
      <c r="J74" s="16">
        <f t="shared" si="6"/>
        <v>2253339577802.0693</v>
      </c>
      <c r="K74" s="16">
        <f t="shared" si="6"/>
        <v>2271058716915.3496</v>
      </c>
      <c r="L74" s="16">
        <f t="shared" si="6"/>
        <v>2288777856028.6299</v>
      </c>
      <c r="M74" s="16">
        <f t="shared" si="6"/>
        <v>2298138910654.5137</v>
      </c>
      <c r="N74" s="16">
        <f t="shared" si="6"/>
        <v>2307499965280.3984</v>
      </c>
      <c r="O74" s="16">
        <f t="shared" si="6"/>
        <v>2316861019906.2822</v>
      </c>
      <c r="P74" s="16">
        <f t="shared" si="6"/>
        <v>2326222074532.166</v>
      </c>
      <c r="Q74" s="16">
        <f t="shared" si="6"/>
        <v>2335583129158.0503</v>
      </c>
      <c r="R74" s="16">
        <f t="shared" si="6"/>
        <v>2342269596747.9668</v>
      </c>
      <c r="S74" s="16">
        <f t="shared" si="6"/>
        <v>2348956064337.8843</v>
      </c>
      <c r="T74" s="16">
        <f t="shared" si="6"/>
        <v>2355642531927.8018</v>
      </c>
      <c r="U74" s="16">
        <f t="shared" si="6"/>
        <v>2362328999517.7183</v>
      </c>
      <c r="V74" s="16">
        <f t="shared" si="6"/>
        <v>2369015467107.6348</v>
      </c>
      <c r="W74" s="16">
        <f t="shared" si="6"/>
        <v>2379268050745.5098</v>
      </c>
      <c r="X74" s="16">
        <f t="shared" si="6"/>
        <v>2387089191623.4111</v>
      </c>
      <c r="Y74" s="16">
        <f t="shared" si="6"/>
        <v>2394910332501.3149</v>
      </c>
      <c r="Z74" s="16">
        <f t="shared" si="6"/>
        <v>2402731473379.2183</v>
      </c>
      <c r="AA74" s="16">
        <f t="shared" si="6"/>
        <v>2410552614257.1216</v>
      </c>
      <c r="AB74" s="16">
        <f t="shared" si="6"/>
        <v>2418373755135.0234</v>
      </c>
      <c r="AC74" s="16">
        <f t="shared" si="6"/>
        <v>2426194896012.9263</v>
      </c>
      <c r="AD74" s="16">
        <f t="shared" si="6"/>
        <v>2434016036890.8301</v>
      </c>
      <c r="AE74" s="16">
        <f t="shared" si="6"/>
        <v>2441837177768.7334</v>
      </c>
      <c r="AF74" s="16">
        <f t="shared" si="6"/>
        <v>2449658318646.6372</v>
      </c>
    </row>
    <row r="75" spans="1:32">
      <c r="A75" t="s">
        <v>648</v>
      </c>
      <c r="B75" s="16">
        <f t="shared" si="7"/>
        <v>0</v>
      </c>
      <c r="C75" s="16">
        <f t="shared" si="8"/>
        <v>0</v>
      </c>
      <c r="D75" s="16">
        <f t="shared" si="6"/>
        <v>0</v>
      </c>
      <c r="E75" s="16">
        <f t="shared" si="6"/>
        <v>0</v>
      </c>
      <c r="F75" s="16">
        <f t="shared" si="6"/>
        <v>0</v>
      </c>
      <c r="G75" s="16">
        <f t="shared" si="6"/>
        <v>0</v>
      </c>
      <c r="H75" s="16">
        <f t="shared" si="6"/>
        <v>0</v>
      </c>
      <c r="I75" s="16">
        <f t="shared" si="6"/>
        <v>0</v>
      </c>
      <c r="J75" s="16">
        <f t="shared" si="6"/>
        <v>0</v>
      </c>
      <c r="K75" s="16">
        <f t="shared" si="6"/>
        <v>0</v>
      </c>
      <c r="L75" s="16">
        <f t="shared" si="6"/>
        <v>0</v>
      </c>
      <c r="M75" s="16">
        <f t="shared" si="6"/>
        <v>0</v>
      </c>
      <c r="N75" s="16">
        <f t="shared" si="6"/>
        <v>0</v>
      </c>
      <c r="O75" s="16">
        <f t="shared" si="6"/>
        <v>0</v>
      </c>
      <c r="P75" s="16">
        <f t="shared" si="6"/>
        <v>0</v>
      </c>
      <c r="Q75" s="16">
        <f t="shared" si="6"/>
        <v>0</v>
      </c>
      <c r="R75" s="16">
        <f t="shared" si="6"/>
        <v>0</v>
      </c>
      <c r="S75" s="16">
        <f t="shared" si="6"/>
        <v>0</v>
      </c>
      <c r="T75" s="16">
        <f t="shared" si="6"/>
        <v>0</v>
      </c>
      <c r="U75" s="16">
        <f t="shared" si="6"/>
        <v>0</v>
      </c>
      <c r="V75" s="16">
        <f t="shared" si="6"/>
        <v>0</v>
      </c>
      <c r="W75" s="16">
        <f t="shared" si="6"/>
        <v>0</v>
      </c>
      <c r="X75" s="16">
        <f t="shared" si="6"/>
        <v>0</v>
      </c>
      <c r="Y75" s="16">
        <f t="shared" si="6"/>
        <v>0</v>
      </c>
      <c r="Z75" s="16">
        <f t="shared" si="6"/>
        <v>0</v>
      </c>
      <c r="AA75" s="16">
        <f t="shared" si="6"/>
        <v>0</v>
      </c>
      <c r="AB75" s="16">
        <f t="shared" si="6"/>
        <v>0</v>
      </c>
      <c r="AC75" s="16">
        <f t="shared" si="6"/>
        <v>0</v>
      </c>
      <c r="AD75" s="16">
        <f t="shared" si="6"/>
        <v>0</v>
      </c>
      <c r="AE75" s="16">
        <f t="shared" si="6"/>
        <v>0</v>
      </c>
      <c r="AF75" s="16">
        <f t="shared" si="6"/>
        <v>0</v>
      </c>
    </row>
    <row r="76" spans="1:32">
      <c r="A76" t="s">
        <v>124</v>
      </c>
      <c r="B76" s="16">
        <f t="shared" si="7"/>
        <v>6726807232137.6885</v>
      </c>
      <c r="C76" s="16">
        <f t="shared" si="8"/>
        <v>6042120733617.9043</v>
      </c>
      <c r="D76" s="16">
        <f t="shared" si="6"/>
        <v>5746842994650.627</v>
      </c>
      <c r="E76" s="16">
        <f t="shared" si="6"/>
        <v>5398635139128.4365</v>
      </c>
      <c r="F76" s="16">
        <f t="shared" si="6"/>
        <v>5266036910125.5957</v>
      </c>
      <c r="G76" s="16">
        <f t="shared" si="6"/>
        <v>5208741322298.0439</v>
      </c>
      <c r="H76" s="16">
        <f t="shared" si="6"/>
        <v>5142959424922.7207</v>
      </c>
      <c r="I76" s="16">
        <f t="shared" si="6"/>
        <v>5068779524183.0771</v>
      </c>
      <c r="J76" s="16">
        <f t="shared" si="6"/>
        <v>4985639075780.7627</v>
      </c>
      <c r="K76" s="16">
        <f t="shared" si="6"/>
        <v>4893252004284.0352</v>
      </c>
      <c r="L76" s="16">
        <f t="shared" si="6"/>
        <v>4791248403838.7217</v>
      </c>
      <c r="M76" s="16">
        <f t="shared" ref="D76:AF85" si="9">IFERROR($B76*M20/$B20,0)</f>
        <v>4756606786413.834</v>
      </c>
      <c r="N76" s="16">
        <f t="shared" si="9"/>
        <v>4721861471747.5527</v>
      </c>
      <c r="O76" s="16">
        <f t="shared" si="9"/>
        <v>4687010686852.9033</v>
      </c>
      <c r="P76" s="16">
        <f t="shared" si="9"/>
        <v>4652052607092.4453</v>
      </c>
      <c r="Q76" s="16">
        <f t="shared" si="9"/>
        <v>4616985354038.334</v>
      </c>
      <c r="R76" s="16">
        <f t="shared" si="9"/>
        <v>4613891640459.416</v>
      </c>
      <c r="S76" s="16">
        <f t="shared" si="9"/>
        <v>4610797926880.498</v>
      </c>
      <c r="T76" s="16">
        <f t="shared" si="9"/>
        <v>4607704213301.582</v>
      </c>
      <c r="U76" s="16">
        <f t="shared" si="9"/>
        <v>4604610499722.665</v>
      </c>
      <c r="V76" s="16">
        <f t="shared" si="9"/>
        <v>4601516786143.749</v>
      </c>
      <c r="W76" s="16">
        <f t="shared" si="9"/>
        <v>4596869280905.8838</v>
      </c>
      <c r="X76" s="16">
        <f t="shared" si="9"/>
        <v>4592221775668.0176</v>
      </c>
      <c r="Y76" s="16">
        <f t="shared" si="9"/>
        <v>4587574270430.1514</v>
      </c>
      <c r="Z76" s="16">
        <f t="shared" si="9"/>
        <v>4582926765192.2861</v>
      </c>
      <c r="AA76" s="16">
        <f t="shared" si="9"/>
        <v>4578279259954.4199</v>
      </c>
      <c r="AB76" s="16">
        <f t="shared" si="9"/>
        <v>4573631754716.5547</v>
      </c>
      <c r="AC76" s="16">
        <f t="shared" si="9"/>
        <v>4568984249478.6885</v>
      </c>
      <c r="AD76" s="16">
        <f t="shared" si="9"/>
        <v>4564336744240.8213</v>
      </c>
      <c r="AE76" s="16">
        <f t="shared" si="9"/>
        <v>4559689239002.9561</v>
      </c>
      <c r="AF76" s="16">
        <f t="shared" si="9"/>
        <v>4555041733765.0879</v>
      </c>
    </row>
    <row r="77" spans="1:32">
      <c r="A77" t="s">
        <v>12</v>
      </c>
      <c r="B77" s="16">
        <f t="shared" si="7"/>
        <v>5457317126092.7695</v>
      </c>
      <c r="C77" s="16">
        <f t="shared" si="8"/>
        <v>4901845380667.252</v>
      </c>
      <c r="D77" s="16">
        <f t="shared" si="9"/>
        <v>4662292765851.5049</v>
      </c>
      <c r="E77" s="16">
        <f t="shared" si="9"/>
        <v>4379799061512.4541</v>
      </c>
      <c r="F77" s="16">
        <f t="shared" si="9"/>
        <v>4272224909161.3066</v>
      </c>
      <c r="G77" s="16">
        <f t="shared" si="9"/>
        <v>4225742204676.0347</v>
      </c>
      <c r="H77" s="16">
        <f t="shared" si="9"/>
        <v>4172374735868.8242</v>
      </c>
      <c r="I77" s="16">
        <f t="shared" si="9"/>
        <v>4112194143687.6992</v>
      </c>
      <c r="J77" s="16">
        <f t="shared" si="9"/>
        <v>4044744047783.4648</v>
      </c>
      <c r="K77" s="16">
        <f t="shared" si="9"/>
        <v>3969792361179.4731</v>
      </c>
      <c r="L77" s="16">
        <f t="shared" si="9"/>
        <v>3887038987041.7651</v>
      </c>
      <c r="M77" s="16">
        <f t="shared" si="9"/>
        <v>3858934971938.5522</v>
      </c>
      <c r="N77" s="16">
        <f t="shared" si="9"/>
        <v>3830746829445.9487</v>
      </c>
      <c r="O77" s="16">
        <f t="shared" si="9"/>
        <v>3802473121176.936</v>
      </c>
      <c r="P77" s="16">
        <f t="shared" si="9"/>
        <v>3774112366841.564</v>
      </c>
      <c r="Q77" s="16">
        <f t="shared" si="9"/>
        <v>3745663042510.856</v>
      </c>
      <c r="R77" s="16">
        <f t="shared" si="9"/>
        <v>3743153177798.6948</v>
      </c>
      <c r="S77" s="16">
        <f t="shared" si="9"/>
        <v>3740643313086.5337</v>
      </c>
      <c r="T77" s="16">
        <f t="shared" si="9"/>
        <v>3738133448374.374</v>
      </c>
      <c r="U77" s="16">
        <f t="shared" si="9"/>
        <v>3735623583662.2134</v>
      </c>
      <c r="V77" s="16">
        <f t="shared" si="9"/>
        <v>3733113718950.0527</v>
      </c>
      <c r="W77" s="16">
        <f t="shared" si="9"/>
        <v>3729343295768.1558</v>
      </c>
      <c r="X77" s="16">
        <f t="shared" si="9"/>
        <v>3725572872586.2578</v>
      </c>
      <c r="Y77" s="16">
        <f t="shared" si="9"/>
        <v>3721802449404.3594</v>
      </c>
      <c r="Z77" s="16">
        <f t="shared" si="9"/>
        <v>3718032026222.4614</v>
      </c>
      <c r="AA77" s="16">
        <f t="shared" si="9"/>
        <v>3714261603040.5635</v>
      </c>
      <c r="AB77" s="16">
        <f t="shared" si="9"/>
        <v>3710491179858.6655</v>
      </c>
      <c r="AC77" s="16">
        <f t="shared" si="9"/>
        <v>3706720756676.7671</v>
      </c>
      <c r="AD77" s="16">
        <f t="shared" si="9"/>
        <v>3702950333494.8682</v>
      </c>
      <c r="AE77" s="16">
        <f t="shared" si="9"/>
        <v>3699179910312.9702</v>
      </c>
      <c r="AF77" s="16">
        <f t="shared" si="9"/>
        <v>3695409487131.0708</v>
      </c>
    </row>
    <row r="78" spans="1:32">
      <c r="A78" t="s">
        <v>13</v>
      </c>
      <c r="B78" s="16">
        <f t="shared" si="7"/>
        <v>625125189509.63098</v>
      </c>
      <c r="C78" s="16">
        <f t="shared" si="8"/>
        <v>648097462150.66846</v>
      </c>
      <c r="D78" s="16">
        <f t="shared" si="9"/>
        <v>671069734791.70581</v>
      </c>
      <c r="E78" s="16">
        <f t="shared" si="9"/>
        <v>694042007432.74329</v>
      </c>
      <c r="F78" s="16">
        <f t="shared" si="9"/>
        <v>717014280073.78076</v>
      </c>
      <c r="G78" s="16">
        <f t="shared" si="9"/>
        <v>739986552714.81824</v>
      </c>
      <c r="H78" s="16">
        <f t="shared" si="9"/>
        <v>745946025028.12708</v>
      </c>
      <c r="I78" s="16">
        <f t="shared" si="9"/>
        <v>751905497341.43591</v>
      </c>
      <c r="J78" s="16">
        <f t="shared" si="9"/>
        <v>757864969654.74475</v>
      </c>
      <c r="K78" s="16">
        <f t="shared" si="9"/>
        <v>763824441968.05359</v>
      </c>
      <c r="L78" s="16">
        <f t="shared" si="9"/>
        <v>769783914281.3623</v>
      </c>
      <c r="M78" s="16">
        <f t="shared" si="9"/>
        <v>772932314748.77087</v>
      </c>
      <c r="N78" s="16">
        <f t="shared" si="9"/>
        <v>776080715216.17932</v>
      </c>
      <c r="O78" s="16">
        <f t="shared" si="9"/>
        <v>779229115683.58777</v>
      </c>
      <c r="P78" s="16">
        <f t="shared" si="9"/>
        <v>782377516150.99609</v>
      </c>
      <c r="Q78" s="16">
        <f t="shared" si="9"/>
        <v>785525916618.40466</v>
      </c>
      <c r="R78" s="16">
        <f t="shared" si="9"/>
        <v>787774774095.12476</v>
      </c>
      <c r="S78" s="16">
        <f t="shared" si="9"/>
        <v>790023631571.84521</v>
      </c>
      <c r="T78" s="16">
        <f t="shared" si="9"/>
        <v>792272489048.56543</v>
      </c>
      <c r="U78" s="16">
        <f t="shared" si="9"/>
        <v>794521346525.28577</v>
      </c>
      <c r="V78" s="16">
        <f t="shared" si="9"/>
        <v>796770204002.00598</v>
      </c>
      <c r="W78" s="16">
        <f t="shared" si="9"/>
        <v>800218452132.97766</v>
      </c>
      <c r="X78" s="16">
        <f t="shared" si="9"/>
        <v>802848933908.77722</v>
      </c>
      <c r="Y78" s="16">
        <f t="shared" si="9"/>
        <v>805479415684.57751</v>
      </c>
      <c r="Z78" s="16">
        <f t="shared" si="9"/>
        <v>808109897460.37781</v>
      </c>
      <c r="AA78" s="16">
        <f t="shared" si="9"/>
        <v>810740379236.1781</v>
      </c>
      <c r="AB78" s="16">
        <f t="shared" si="9"/>
        <v>813370861011.97766</v>
      </c>
      <c r="AC78" s="16">
        <f t="shared" si="9"/>
        <v>816001342787.77795</v>
      </c>
      <c r="AD78" s="16">
        <f t="shared" si="9"/>
        <v>818631824563.57813</v>
      </c>
      <c r="AE78" s="16">
        <f t="shared" si="9"/>
        <v>821262306339.37854</v>
      </c>
      <c r="AF78" s="16">
        <f t="shared" si="9"/>
        <v>823892788115.17883</v>
      </c>
    </row>
    <row r="79" spans="1:32">
      <c r="A79" t="s">
        <v>14</v>
      </c>
      <c r="B79" s="16">
        <f t="shared" si="7"/>
        <v>1575425956242.8286</v>
      </c>
      <c r="C79" s="16">
        <f t="shared" si="8"/>
        <v>1633320143199.1516</v>
      </c>
      <c r="D79" s="16">
        <f t="shared" si="9"/>
        <v>1691214330155.4746</v>
      </c>
      <c r="E79" s="16">
        <f t="shared" si="9"/>
        <v>1749108517111.7974</v>
      </c>
      <c r="F79" s="16">
        <f t="shared" si="9"/>
        <v>1807002704068.1204</v>
      </c>
      <c r="G79" s="16">
        <f t="shared" si="9"/>
        <v>1864896891024.4436</v>
      </c>
      <c r="H79" s="16">
        <f t="shared" si="9"/>
        <v>1879915814474.4204</v>
      </c>
      <c r="I79" s="16">
        <f t="shared" si="9"/>
        <v>1894934737924.397</v>
      </c>
      <c r="J79" s="16">
        <f t="shared" si="9"/>
        <v>1909953661374.3733</v>
      </c>
      <c r="K79" s="16">
        <f t="shared" si="9"/>
        <v>1924972584824.3499</v>
      </c>
      <c r="L79" s="16">
        <f t="shared" si="9"/>
        <v>1939991508274.3264</v>
      </c>
      <c r="M79" s="16">
        <f t="shared" si="9"/>
        <v>1947926033870.54</v>
      </c>
      <c r="N79" s="16">
        <f t="shared" si="9"/>
        <v>1955860559466.7544</v>
      </c>
      <c r="O79" s="16">
        <f t="shared" si="9"/>
        <v>1963795085062.9683</v>
      </c>
      <c r="P79" s="16">
        <f t="shared" si="9"/>
        <v>1971729610659.1824</v>
      </c>
      <c r="Q79" s="16">
        <f t="shared" si="9"/>
        <v>1979664136255.3967</v>
      </c>
      <c r="R79" s="16">
        <f t="shared" si="9"/>
        <v>1985331654538.4065</v>
      </c>
      <c r="S79" s="16">
        <f t="shared" si="9"/>
        <v>1990999172821.4163</v>
      </c>
      <c r="T79" s="16">
        <f t="shared" si="9"/>
        <v>1996666691104.4263</v>
      </c>
      <c r="U79" s="16">
        <f t="shared" si="9"/>
        <v>2002334209387.4363</v>
      </c>
      <c r="V79" s="16">
        <f t="shared" si="9"/>
        <v>2008001727670.446</v>
      </c>
      <c r="W79" s="16">
        <f t="shared" si="9"/>
        <v>2016691922371.063</v>
      </c>
      <c r="X79" s="16">
        <f t="shared" si="9"/>
        <v>2023321201332.4006</v>
      </c>
      <c r="Y79" s="16">
        <f t="shared" si="9"/>
        <v>2029950480293.74</v>
      </c>
      <c r="Z79" s="16">
        <f t="shared" si="9"/>
        <v>2036579759255.0793</v>
      </c>
      <c r="AA79" s="16">
        <f t="shared" si="9"/>
        <v>2043209038216.4185</v>
      </c>
      <c r="AB79" s="16">
        <f t="shared" si="9"/>
        <v>2049838317177.7563</v>
      </c>
      <c r="AC79" s="16">
        <f t="shared" si="9"/>
        <v>2056467596139.0955</v>
      </c>
      <c r="AD79" s="16">
        <f t="shared" si="9"/>
        <v>2063096875100.4348</v>
      </c>
      <c r="AE79" s="16">
        <f t="shared" si="9"/>
        <v>2069726154061.7742</v>
      </c>
      <c r="AF79" s="16">
        <f t="shared" si="9"/>
        <v>2076355433023.1135</v>
      </c>
    </row>
    <row r="80" spans="1:32">
      <c r="A80" t="s">
        <v>15</v>
      </c>
      <c r="B80" s="16">
        <f t="shared" si="7"/>
        <v>5325011634194.9434</v>
      </c>
      <c r="C80" s="16">
        <f t="shared" si="8"/>
        <v>5617903245997.2744</v>
      </c>
      <c r="D80" s="16">
        <f t="shared" si="9"/>
        <v>5181141906072.7578</v>
      </c>
      <c r="E80" s="16">
        <f t="shared" si="9"/>
        <v>5019305537371.0098</v>
      </c>
      <c r="F80" s="16">
        <f t="shared" si="9"/>
        <v>5155531364542.2793</v>
      </c>
      <c r="G80" s="16">
        <f t="shared" si="9"/>
        <v>5155531364542.2793</v>
      </c>
      <c r="H80" s="16">
        <f t="shared" si="9"/>
        <v>5155531364542.2793</v>
      </c>
      <c r="I80" s="16">
        <f t="shared" si="9"/>
        <v>4852961447492.4375</v>
      </c>
      <c r="J80" s="16">
        <f t="shared" si="9"/>
        <v>5148628383448.2773</v>
      </c>
      <c r="K80" s="16">
        <f t="shared" si="9"/>
        <v>5198228785818.7129</v>
      </c>
      <c r="L80" s="16">
        <f t="shared" si="9"/>
        <v>5725538750490.125</v>
      </c>
      <c r="M80" s="16">
        <f t="shared" si="9"/>
        <v>5995561150968.0313</v>
      </c>
      <c r="N80" s="16">
        <f t="shared" si="9"/>
        <v>6258826724611.4395</v>
      </c>
      <c r="O80" s="16">
        <f t="shared" si="9"/>
        <v>6831880694242.3506</v>
      </c>
      <c r="P80" s="16">
        <f t="shared" si="9"/>
        <v>6551723363640.6455</v>
      </c>
      <c r="Q80" s="16">
        <f t="shared" si="9"/>
        <v>8935936669753.5117</v>
      </c>
      <c r="R80" s="16">
        <f t="shared" si="9"/>
        <v>8935936669753.5117</v>
      </c>
      <c r="S80" s="16">
        <f t="shared" si="9"/>
        <v>8935936669753.5117</v>
      </c>
      <c r="T80" s="16">
        <f t="shared" si="9"/>
        <v>8927949525285.8867</v>
      </c>
      <c r="U80" s="16">
        <f t="shared" si="9"/>
        <v>8427542126994.4111</v>
      </c>
      <c r="V80" s="16">
        <f t="shared" si="9"/>
        <v>9382632076379.2637</v>
      </c>
      <c r="W80" s="16">
        <f t="shared" si="9"/>
        <v>9904916962156.4688</v>
      </c>
      <c r="X80" s="16">
        <f t="shared" si="9"/>
        <v>9514656587991.2969</v>
      </c>
      <c r="Y80" s="16">
        <f t="shared" si="9"/>
        <v>9571445826780.5176</v>
      </c>
      <c r="Z80" s="16">
        <f t="shared" si="9"/>
        <v>9571445826780.5176</v>
      </c>
      <c r="AA80" s="16">
        <f t="shared" si="9"/>
        <v>9953481806534.4609</v>
      </c>
      <c r="AB80" s="16">
        <f t="shared" si="9"/>
        <v>9953481806534.4609</v>
      </c>
      <c r="AC80" s="16">
        <f t="shared" si="9"/>
        <v>10526535776165.375</v>
      </c>
      <c r="AD80" s="16">
        <f t="shared" si="9"/>
        <v>10526535776165.375</v>
      </c>
      <c r="AE80" s="16">
        <f t="shared" si="9"/>
        <v>10526535776165.375</v>
      </c>
      <c r="AF80" s="16">
        <f t="shared" si="9"/>
        <v>10526535776165.375</v>
      </c>
    </row>
    <row r="81" spans="1:32">
      <c r="A81" t="s">
        <v>16</v>
      </c>
      <c r="B81" s="16">
        <f t="shared" si="7"/>
        <v>804238892407.99255</v>
      </c>
      <c r="C81" s="16">
        <f t="shared" si="8"/>
        <v>829966058701.99854</v>
      </c>
      <c r="D81" s="16">
        <f t="shared" si="9"/>
        <v>932874723878.02197</v>
      </c>
      <c r="E81" s="16">
        <f t="shared" si="9"/>
        <v>881420391290.01038</v>
      </c>
      <c r="F81" s="16">
        <f t="shared" si="9"/>
        <v>907147557584.01611</v>
      </c>
      <c r="G81" s="16">
        <f t="shared" si="9"/>
        <v>932874723878.02197</v>
      </c>
      <c r="H81" s="16">
        <f t="shared" si="9"/>
        <v>939970054535.00256</v>
      </c>
      <c r="I81" s="16">
        <f t="shared" si="9"/>
        <v>947065385191.98328</v>
      </c>
      <c r="J81" s="16">
        <f t="shared" si="9"/>
        <v>954160715848.96387</v>
      </c>
      <c r="K81" s="16">
        <f t="shared" si="9"/>
        <v>961256046505.94458</v>
      </c>
      <c r="L81" s="16">
        <f t="shared" si="9"/>
        <v>968351377162.92517</v>
      </c>
      <c r="M81" s="16">
        <f t="shared" si="9"/>
        <v>974156647700.45471</v>
      </c>
      <c r="N81" s="16">
        <f t="shared" si="9"/>
        <v>979961918237.98438</v>
      </c>
      <c r="O81" s="16">
        <f t="shared" si="9"/>
        <v>985767188775.51404</v>
      </c>
      <c r="P81" s="16">
        <f t="shared" si="9"/>
        <v>991572459313.04346</v>
      </c>
      <c r="Q81" s="16">
        <f t="shared" si="9"/>
        <v>997377729850.57336</v>
      </c>
      <c r="R81" s="16">
        <f t="shared" si="9"/>
        <v>1003666772932.8969</v>
      </c>
      <c r="S81" s="16">
        <f t="shared" si="9"/>
        <v>1009955816015.2207</v>
      </c>
      <c r="T81" s="16">
        <f t="shared" si="9"/>
        <v>1016244859097.5443</v>
      </c>
      <c r="U81" s="16">
        <f t="shared" si="9"/>
        <v>1022533902179.868</v>
      </c>
      <c r="V81" s="16">
        <f t="shared" si="9"/>
        <v>1028822945262.1919</v>
      </c>
      <c r="W81" s="16">
        <f t="shared" si="9"/>
        <v>1034466958284.7902</v>
      </c>
      <c r="X81" s="16">
        <f t="shared" si="9"/>
        <v>1040550764529.928</v>
      </c>
      <c r="Y81" s="16">
        <f t="shared" si="9"/>
        <v>1046634570775.0658</v>
      </c>
      <c r="Z81" s="16">
        <f t="shared" si="9"/>
        <v>1052718377020.2039</v>
      </c>
      <c r="AA81" s="16">
        <f t="shared" si="9"/>
        <v>1058802183265.3417</v>
      </c>
      <c r="AB81" s="16">
        <f t="shared" si="9"/>
        <v>1064885989510.4821</v>
      </c>
      <c r="AC81" s="16">
        <f t="shared" si="9"/>
        <v>1070969795755.6199</v>
      </c>
      <c r="AD81" s="16">
        <f t="shared" si="9"/>
        <v>1077053602000.7578</v>
      </c>
      <c r="AE81" s="16">
        <f t="shared" si="9"/>
        <v>1083137408245.8958</v>
      </c>
      <c r="AF81" s="16">
        <f t="shared" si="9"/>
        <v>1089221214491.0336</v>
      </c>
    </row>
    <row r="82" spans="1:32">
      <c r="A82" t="s">
        <v>17</v>
      </c>
      <c r="B82" s="16">
        <f t="shared" si="7"/>
        <v>1572472882066.6951</v>
      </c>
      <c r="C82" s="16">
        <f t="shared" si="8"/>
        <v>1622775437329.3691</v>
      </c>
      <c r="D82" s="16">
        <f t="shared" si="9"/>
        <v>1823985658380.0637</v>
      </c>
      <c r="E82" s="16">
        <f t="shared" si="9"/>
        <v>1723380547854.7166</v>
      </c>
      <c r="F82" s="16">
        <f t="shared" si="9"/>
        <v>1773683103117.3901</v>
      </c>
      <c r="G82" s="16">
        <f t="shared" si="9"/>
        <v>1823985658380.0637</v>
      </c>
      <c r="H82" s="16">
        <f t="shared" si="9"/>
        <v>1837858669437.7512</v>
      </c>
      <c r="I82" s="16">
        <f t="shared" si="9"/>
        <v>1851731680495.439</v>
      </c>
      <c r="J82" s="16">
        <f t="shared" si="9"/>
        <v>1865604691553.1265</v>
      </c>
      <c r="K82" s="16">
        <f t="shared" si="9"/>
        <v>1879477702610.814</v>
      </c>
      <c r="L82" s="16">
        <f t="shared" si="9"/>
        <v>1893350713668.502</v>
      </c>
      <c r="M82" s="16">
        <f t="shared" si="9"/>
        <v>1904701359079.3369</v>
      </c>
      <c r="N82" s="16">
        <f t="shared" si="9"/>
        <v>1916052004490.1724</v>
      </c>
      <c r="O82" s="16">
        <f t="shared" si="9"/>
        <v>1927402649901.0078</v>
      </c>
      <c r="P82" s="16">
        <f t="shared" si="9"/>
        <v>1938753295311.8428</v>
      </c>
      <c r="Q82" s="16">
        <f t="shared" si="9"/>
        <v>1950103940722.6785</v>
      </c>
      <c r="R82" s="16">
        <f t="shared" si="9"/>
        <v>1962400473251.083</v>
      </c>
      <c r="S82" s="16">
        <f t="shared" si="9"/>
        <v>1974697005779.488</v>
      </c>
      <c r="T82" s="16">
        <f t="shared" si="9"/>
        <v>1986993538307.8931</v>
      </c>
      <c r="U82" s="16">
        <f t="shared" si="9"/>
        <v>1999290070836.2979</v>
      </c>
      <c r="V82" s="16">
        <f t="shared" si="9"/>
        <v>2011586603364.7029</v>
      </c>
      <c r="W82" s="16">
        <f t="shared" si="9"/>
        <v>2022621953069.6819</v>
      </c>
      <c r="X82" s="16">
        <f t="shared" si="9"/>
        <v>2034517200154.2683</v>
      </c>
      <c r="Y82" s="16">
        <f t="shared" si="9"/>
        <v>2046412447238.855</v>
      </c>
      <c r="Z82" s="16">
        <f t="shared" si="9"/>
        <v>2058307694323.4417</v>
      </c>
      <c r="AA82" s="16">
        <f t="shared" si="9"/>
        <v>2070202941408.0281</v>
      </c>
      <c r="AB82" s="16">
        <f t="shared" si="9"/>
        <v>2082098188492.6196</v>
      </c>
      <c r="AC82" s="16">
        <f t="shared" si="9"/>
        <v>2093993435577.2065</v>
      </c>
      <c r="AD82" s="16">
        <f t="shared" si="9"/>
        <v>2105888682661.793</v>
      </c>
      <c r="AE82" s="16">
        <f t="shared" si="9"/>
        <v>2117783929746.3794</v>
      </c>
      <c r="AF82" s="16">
        <f t="shared" si="9"/>
        <v>2129679176830.9663</v>
      </c>
    </row>
    <row r="83" spans="1:32">
      <c r="A83" t="s">
        <v>18</v>
      </c>
      <c r="B83" s="16">
        <f t="shared" si="7"/>
        <v>11574581998335.951</v>
      </c>
      <c r="C83" s="16">
        <f t="shared" si="8"/>
        <v>12100980384141.652</v>
      </c>
      <c r="D83" s="16">
        <f t="shared" si="9"/>
        <v>14206573927364.455</v>
      </c>
      <c r="E83" s="16">
        <f t="shared" si="9"/>
        <v>13153777155753.055</v>
      </c>
      <c r="F83" s="16">
        <f t="shared" si="9"/>
        <v>13680175541558.754</v>
      </c>
      <c r="G83" s="16">
        <f t="shared" si="9"/>
        <v>14206573927364.455</v>
      </c>
      <c r="H83" s="16">
        <f t="shared" si="9"/>
        <v>14464346507231.893</v>
      </c>
      <c r="I83" s="16">
        <f t="shared" si="9"/>
        <v>14722119087099.398</v>
      </c>
      <c r="J83" s="16">
        <f t="shared" si="9"/>
        <v>14979891666966.902</v>
      </c>
      <c r="K83" s="16">
        <f t="shared" si="9"/>
        <v>15237664246834.408</v>
      </c>
      <c r="L83" s="16">
        <f t="shared" si="9"/>
        <v>15495436826701.979</v>
      </c>
      <c r="M83" s="16">
        <f t="shared" si="9"/>
        <v>15710643883124.693</v>
      </c>
      <c r="N83" s="16">
        <f t="shared" si="9"/>
        <v>15925850939547.41</v>
      </c>
      <c r="O83" s="16">
        <f t="shared" si="9"/>
        <v>16141057995970.127</v>
      </c>
      <c r="P83" s="16">
        <f t="shared" si="9"/>
        <v>16356265052392.846</v>
      </c>
      <c r="Q83" s="16">
        <f t="shared" si="9"/>
        <v>16571472108815.561</v>
      </c>
      <c r="R83" s="16">
        <f t="shared" si="9"/>
        <v>16793024336435.014</v>
      </c>
      <c r="S83" s="16">
        <f t="shared" si="9"/>
        <v>17014576564054.469</v>
      </c>
      <c r="T83" s="16">
        <f t="shared" si="9"/>
        <v>17236128791673.926</v>
      </c>
      <c r="U83" s="16">
        <f t="shared" si="9"/>
        <v>17457681019293.381</v>
      </c>
      <c r="V83" s="16">
        <f t="shared" si="9"/>
        <v>17679233246912.832</v>
      </c>
      <c r="W83" s="16">
        <f t="shared" si="9"/>
        <v>17892325246269.973</v>
      </c>
      <c r="X83" s="16">
        <f t="shared" si="9"/>
        <v>18111185583078.684</v>
      </c>
      <c r="Y83" s="16">
        <f t="shared" si="9"/>
        <v>18330045919887.461</v>
      </c>
      <c r="Z83" s="16">
        <f t="shared" si="9"/>
        <v>18548906256696.172</v>
      </c>
      <c r="AA83" s="16">
        <f t="shared" si="9"/>
        <v>18767766593504.883</v>
      </c>
      <c r="AB83" s="16">
        <f t="shared" si="9"/>
        <v>18986626930313.594</v>
      </c>
      <c r="AC83" s="16">
        <f t="shared" si="9"/>
        <v>19205487267122.305</v>
      </c>
      <c r="AD83" s="16">
        <f t="shared" si="9"/>
        <v>19424347603931.016</v>
      </c>
      <c r="AE83" s="16">
        <f t="shared" si="9"/>
        <v>19643207940739.73</v>
      </c>
      <c r="AF83" s="16">
        <f t="shared" si="9"/>
        <v>19862068277548.438</v>
      </c>
    </row>
    <row r="84" spans="1:32">
      <c r="A84" t="s">
        <v>19</v>
      </c>
      <c r="B84" s="16">
        <f t="shared" si="7"/>
        <v>2015596800541.4402</v>
      </c>
      <c r="C84" s="16">
        <f t="shared" si="8"/>
        <v>2107263774121.3662</v>
      </c>
      <c r="D84" s="16">
        <f t="shared" si="9"/>
        <v>2473931668441.0703</v>
      </c>
      <c r="E84" s="16">
        <f t="shared" si="9"/>
        <v>2290597721281.2183</v>
      </c>
      <c r="F84" s="16">
        <f t="shared" si="9"/>
        <v>2382264694861.1445</v>
      </c>
      <c r="G84" s="16">
        <f t="shared" si="9"/>
        <v>2473931668441.0703</v>
      </c>
      <c r="H84" s="16">
        <f t="shared" si="9"/>
        <v>2518820165263.0562</v>
      </c>
      <c r="I84" s="16">
        <f t="shared" si="9"/>
        <v>2563708662085.0537</v>
      </c>
      <c r="J84" s="16">
        <f t="shared" si="9"/>
        <v>2608597158907.0518</v>
      </c>
      <c r="K84" s="16">
        <f t="shared" si="9"/>
        <v>2653485655729.0493</v>
      </c>
      <c r="L84" s="16">
        <f t="shared" si="9"/>
        <v>2698374152551.0586</v>
      </c>
      <c r="M84" s="16">
        <f t="shared" si="9"/>
        <v>2735850292461.937</v>
      </c>
      <c r="N84" s="16">
        <f t="shared" si="9"/>
        <v>2773326432372.8145</v>
      </c>
      <c r="O84" s="16">
        <f t="shared" si="9"/>
        <v>2810802572283.6929</v>
      </c>
      <c r="P84" s="16">
        <f t="shared" si="9"/>
        <v>2848278712194.5708</v>
      </c>
      <c r="Q84" s="16">
        <f t="shared" si="9"/>
        <v>2885754852105.4492</v>
      </c>
      <c r="R84" s="16">
        <f t="shared" si="9"/>
        <v>2924335939630.4067</v>
      </c>
      <c r="S84" s="16">
        <f t="shared" si="9"/>
        <v>2962917027155.3647</v>
      </c>
      <c r="T84" s="16">
        <f t="shared" si="9"/>
        <v>3001498114680.3228</v>
      </c>
      <c r="U84" s="16">
        <f t="shared" si="9"/>
        <v>3040079202205.2808</v>
      </c>
      <c r="V84" s="16">
        <f t="shared" si="9"/>
        <v>3078660289730.2388</v>
      </c>
      <c r="W84" s="16">
        <f t="shared" si="9"/>
        <v>3115768113769.7568</v>
      </c>
      <c r="X84" s="16">
        <f t="shared" si="9"/>
        <v>3153880435640.2554</v>
      </c>
      <c r="Y84" s="16">
        <f t="shared" si="9"/>
        <v>3191992757510.7656</v>
      </c>
      <c r="Z84" s="16">
        <f t="shared" si="9"/>
        <v>3230105079381.2646</v>
      </c>
      <c r="AA84" s="16">
        <f t="shared" si="9"/>
        <v>3268217401251.7632</v>
      </c>
      <c r="AB84" s="16">
        <f t="shared" si="9"/>
        <v>3306329723122.2622</v>
      </c>
      <c r="AC84" s="16">
        <f t="shared" si="9"/>
        <v>3344442044992.7607</v>
      </c>
      <c r="AD84" s="16">
        <f t="shared" si="9"/>
        <v>3382554366863.2598</v>
      </c>
      <c r="AE84" s="16">
        <f t="shared" si="9"/>
        <v>3420666688733.7583</v>
      </c>
      <c r="AF84" s="16">
        <f t="shared" si="9"/>
        <v>3458779010604.2568</v>
      </c>
    </row>
    <row r="85" spans="1:32">
      <c r="A85" t="s">
        <v>20</v>
      </c>
      <c r="B85" s="16">
        <f t="shared" si="7"/>
        <v>3146597285809.4561</v>
      </c>
      <c r="C85" s="16">
        <f t="shared" si="8"/>
        <v>3289700832206.9692</v>
      </c>
      <c r="D85" s="16">
        <f t="shared" si="9"/>
        <v>3862115017797.0249</v>
      </c>
      <c r="E85" s="16">
        <f t="shared" si="9"/>
        <v>3575907925001.9976</v>
      </c>
      <c r="F85" s="16">
        <f t="shared" si="9"/>
        <v>3719011471399.5112</v>
      </c>
      <c r="G85" s="16">
        <f t="shared" ref="D85:AF91" si="10">IFERROR($B85*G29/$B29,0)</f>
        <v>3862115017797.0249</v>
      </c>
      <c r="H85" s="16">
        <f t="shared" si="10"/>
        <v>3932191544127.1851</v>
      </c>
      <c r="I85" s="16">
        <f t="shared" si="10"/>
        <v>4002268070457.3628</v>
      </c>
      <c r="J85" s="16">
        <f t="shared" si="10"/>
        <v>4072344596787.54</v>
      </c>
      <c r="K85" s="16">
        <f t="shared" si="10"/>
        <v>4142421123117.7178</v>
      </c>
      <c r="L85" s="16">
        <f t="shared" si="10"/>
        <v>4212497649447.9141</v>
      </c>
      <c r="M85" s="16">
        <f t="shared" si="10"/>
        <v>4271002564763.5703</v>
      </c>
      <c r="N85" s="16">
        <f t="shared" si="10"/>
        <v>4329507480079.2256</v>
      </c>
      <c r="O85" s="16">
        <f t="shared" si="10"/>
        <v>4388012395394.8818</v>
      </c>
      <c r="P85" s="16">
        <f t="shared" si="10"/>
        <v>4446517310710.5371</v>
      </c>
      <c r="Q85" s="16">
        <f t="shared" si="10"/>
        <v>4505022226026.1943</v>
      </c>
      <c r="R85" s="16">
        <f t="shared" si="10"/>
        <v>4565252101989.9766</v>
      </c>
      <c r="S85" s="16">
        <f t="shared" si="10"/>
        <v>4625481977953.7607</v>
      </c>
      <c r="T85" s="16">
        <f t="shared" si="10"/>
        <v>4685711853917.5439</v>
      </c>
      <c r="U85" s="16">
        <f t="shared" si="10"/>
        <v>4745941729881.3281</v>
      </c>
      <c r="V85" s="16">
        <f t="shared" si="10"/>
        <v>4806171605845.1123</v>
      </c>
      <c r="W85" s="16">
        <f t="shared" si="10"/>
        <v>4864101534278.0586</v>
      </c>
      <c r="X85" s="16">
        <f t="shared" si="10"/>
        <v>4923599608754.7568</v>
      </c>
      <c r="Y85" s="16">
        <f t="shared" si="10"/>
        <v>4983097683231.4717</v>
      </c>
      <c r="Z85" s="16">
        <f t="shared" si="10"/>
        <v>5042595757708.1689</v>
      </c>
      <c r="AA85" s="16">
        <f t="shared" si="10"/>
        <v>5102093832184.8662</v>
      </c>
      <c r="AB85" s="16">
        <f t="shared" si="10"/>
        <v>5161591906661.5645</v>
      </c>
      <c r="AC85" s="16">
        <f t="shared" si="10"/>
        <v>5221089981138.2607</v>
      </c>
      <c r="AD85" s="16">
        <f t="shared" si="10"/>
        <v>5280588055614.959</v>
      </c>
      <c r="AE85" s="16">
        <f t="shared" si="10"/>
        <v>5340086130091.6563</v>
      </c>
      <c r="AF85" s="16">
        <f t="shared" si="10"/>
        <v>5399584204568.3535</v>
      </c>
    </row>
    <row r="86" spans="1:32">
      <c r="A86" t="s">
        <v>21</v>
      </c>
      <c r="B86" s="16">
        <f t="shared" si="7"/>
        <v>3285299850047.1919</v>
      </c>
      <c r="C86" s="16">
        <f t="shared" si="8"/>
        <v>3434711426050.6431</v>
      </c>
      <c r="D86" s="16">
        <f t="shared" si="10"/>
        <v>4032357730064.4492</v>
      </c>
      <c r="E86" s="16">
        <f t="shared" si="10"/>
        <v>3733534578057.5459</v>
      </c>
      <c r="F86" s="16">
        <f t="shared" si="10"/>
        <v>3882946154060.998</v>
      </c>
      <c r="G86" s="16">
        <f t="shared" si="10"/>
        <v>4032357730064.4492</v>
      </c>
      <c r="H86" s="16">
        <f t="shared" si="10"/>
        <v>4105523242054.9917</v>
      </c>
      <c r="I86" s="16">
        <f t="shared" si="10"/>
        <v>4178688754045.5537</v>
      </c>
      <c r="J86" s="16">
        <f t="shared" si="10"/>
        <v>4251854266036.1157</v>
      </c>
      <c r="K86" s="16">
        <f t="shared" si="10"/>
        <v>4325019778026.6772</v>
      </c>
      <c r="L86" s="16">
        <f t="shared" si="10"/>
        <v>4398185290017.2578</v>
      </c>
      <c r="M86" s="16">
        <f t="shared" si="10"/>
        <v>4459269112335.5322</v>
      </c>
      <c r="N86" s="16">
        <f t="shared" si="10"/>
        <v>4520352934653.8057</v>
      </c>
      <c r="O86" s="16">
        <f t="shared" si="10"/>
        <v>4581436756972.0801</v>
      </c>
      <c r="P86" s="16">
        <f t="shared" si="10"/>
        <v>4642520579290.3545</v>
      </c>
      <c r="Q86" s="16">
        <f t="shared" si="10"/>
        <v>4703604401608.6279</v>
      </c>
      <c r="R86" s="16">
        <f t="shared" si="10"/>
        <v>4766489221145.1328</v>
      </c>
      <c r="S86" s="16">
        <f t="shared" si="10"/>
        <v>4829374040681.6348</v>
      </c>
      <c r="T86" s="16">
        <f t="shared" si="10"/>
        <v>4892258860218.1396</v>
      </c>
      <c r="U86" s="16">
        <f t="shared" si="10"/>
        <v>4955143679754.6426</v>
      </c>
      <c r="V86" s="16">
        <f t="shared" si="10"/>
        <v>5018028499291.1455</v>
      </c>
      <c r="W86" s="16">
        <f t="shared" si="10"/>
        <v>5078511989203.3428</v>
      </c>
      <c r="X86" s="16">
        <f t="shared" si="10"/>
        <v>5140632749313.9297</v>
      </c>
      <c r="Y86" s="16">
        <f t="shared" si="10"/>
        <v>5202753509424.5342</v>
      </c>
      <c r="Z86" s="16">
        <f t="shared" si="10"/>
        <v>5264874269535.1211</v>
      </c>
      <c r="AA86" s="16">
        <f t="shared" si="10"/>
        <v>5326995029645.707</v>
      </c>
      <c r="AB86" s="16">
        <f t="shared" si="10"/>
        <v>5389115789756.293</v>
      </c>
      <c r="AC86" s="16">
        <f t="shared" si="10"/>
        <v>5451236549866.8799</v>
      </c>
      <c r="AD86" s="16">
        <f t="shared" si="10"/>
        <v>5513357309977.4658</v>
      </c>
      <c r="AE86" s="16">
        <f t="shared" si="10"/>
        <v>5575478070088.0518</v>
      </c>
      <c r="AF86" s="16">
        <f t="shared" si="10"/>
        <v>5637598830198.6387</v>
      </c>
    </row>
    <row r="87" spans="1:32">
      <c r="A87" t="s">
        <v>22</v>
      </c>
      <c r="B87" s="16">
        <f t="shared" si="7"/>
        <v>841301873257.02112</v>
      </c>
      <c r="C87" s="16">
        <f t="shared" si="8"/>
        <v>879563293679.93372</v>
      </c>
      <c r="D87" s="16">
        <f t="shared" si="10"/>
        <v>1032608975371.5842</v>
      </c>
      <c r="E87" s="16">
        <f t="shared" si="10"/>
        <v>956086134525.75903</v>
      </c>
      <c r="F87" s="16">
        <f t="shared" si="10"/>
        <v>994347554948.67175</v>
      </c>
      <c r="G87" s="16">
        <f t="shared" si="10"/>
        <v>1032608975371.5842</v>
      </c>
      <c r="H87" s="16">
        <f t="shared" si="10"/>
        <v>1051345250629.5547</v>
      </c>
      <c r="I87" s="16">
        <f t="shared" si="10"/>
        <v>1070081525887.5298</v>
      </c>
      <c r="J87" s="16">
        <f t="shared" si="10"/>
        <v>1088817801145.5048</v>
      </c>
      <c r="K87" s="16">
        <f t="shared" si="10"/>
        <v>1107554076403.4802</v>
      </c>
      <c r="L87" s="16">
        <f t="shared" si="10"/>
        <v>1126290351661.4602</v>
      </c>
      <c r="M87" s="16">
        <f t="shared" si="10"/>
        <v>1141932739415.2976</v>
      </c>
      <c r="N87" s="16">
        <f t="shared" si="10"/>
        <v>1157575127169.1355</v>
      </c>
      <c r="O87" s="16">
        <f t="shared" si="10"/>
        <v>1173217514922.9734</v>
      </c>
      <c r="P87" s="16">
        <f t="shared" si="10"/>
        <v>1188859902676.811</v>
      </c>
      <c r="Q87" s="16">
        <f t="shared" si="10"/>
        <v>1204502290430.6487</v>
      </c>
      <c r="R87" s="16">
        <f t="shared" si="10"/>
        <v>1220605878806.2209</v>
      </c>
      <c r="S87" s="16">
        <f t="shared" si="10"/>
        <v>1236709467181.7937</v>
      </c>
      <c r="T87" s="16">
        <f t="shared" si="10"/>
        <v>1252813055557.3662</v>
      </c>
      <c r="U87" s="16">
        <f t="shared" si="10"/>
        <v>1268916643932.9385</v>
      </c>
      <c r="V87" s="16">
        <f t="shared" si="10"/>
        <v>1285020232308.511</v>
      </c>
      <c r="W87" s="16">
        <f t="shared" si="10"/>
        <v>1300508886521.7705</v>
      </c>
      <c r="X87" s="16">
        <f t="shared" si="10"/>
        <v>1316416814027.5156</v>
      </c>
      <c r="Y87" s="16">
        <f t="shared" si="10"/>
        <v>1332324741533.2656</v>
      </c>
      <c r="Z87" s="16">
        <f t="shared" si="10"/>
        <v>1348232669039.011</v>
      </c>
      <c r="AA87" s="16">
        <f t="shared" si="10"/>
        <v>1364140596544.7561</v>
      </c>
      <c r="AB87" s="16">
        <f t="shared" si="10"/>
        <v>1380048524050.5015</v>
      </c>
      <c r="AC87" s="16">
        <f t="shared" si="10"/>
        <v>1395956451556.2463</v>
      </c>
      <c r="AD87" s="16">
        <f t="shared" si="10"/>
        <v>1411864379061.9915</v>
      </c>
      <c r="AE87" s="16">
        <f t="shared" si="10"/>
        <v>1427772306567.7368</v>
      </c>
      <c r="AF87" s="16">
        <f t="shared" si="10"/>
        <v>1443680234073.4819</v>
      </c>
    </row>
    <row r="88" spans="1:32">
      <c r="A88" t="s">
        <v>23</v>
      </c>
      <c r="B88" s="16">
        <f t="shared" si="7"/>
        <v>820106738678.98877</v>
      </c>
      <c r="C88" s="16">
        <f t="shared" si="8"/>
        <v>850244246992.2666</v>
      </c>
      <c r="D88" s="16">
        <f t="shared" si="10"/>
        <v>880381755305.54407</v>
      </c>
      <c r="E88" s="16">
        <f t="shared" si="10"/>
        <v>910519263618.82178</v>
      </c>
      <c r="F88" s="16">
        <f t="shared" si="10"/>
        <v>940656771932.09949</v>
      </c>
      <c r="G88" s="16">
        <f t="shared" si="10"/>
        <v>970794280245.3772</v>
      </c>
      <c r="H88" s="16">
        <f t="shared" si="10"/>
        <v>978612559663.85547</v>
      </c>
      <c r="I88" s="16">
        <f t="shared" si="10"/>
        <v>986430839082.33374</v>
      </c>
      <c r="J88" s="16">
        <f t="shared" si="10"/>
        <v>994249118500.81189</v>
      </c>
      <c r="K88" s="16">
        <f t="shared" si="10"/>
        <v>1002067397919.2902</v>
      </c>
      <c r="L88" s="16">
        <f t="shared" si="10"/>
        <v>1009885677337.7683</v>
      </c>
      <c r="M88" s="16">
        <f t="shared" si="10"/>
        <v>1014016089106.0209</v>
      </c>
      <c r="N88" s="16">
        <f t="shared" si="10"/>
        <v>1018146500874.2734</v>
      </c>
      <c r="O88" s="16">
        <f t="shared" si="10"/>
        <v>1022276912642.526</v>
      </c>
      <c r="P88" s="16">
        <f t="shared" si="10"/>
        <v>1026407324410.7788</v>
      </c>
      <c r="Q88" s="16">
        <f t="shared" si="10"/>
        <v>1030537736179.0316</v>
      </c>
      <c r="R88" s="16">
        <f t="shared" si="10"/>
        <v>1033488030299.2119</v>
      </c>
      <c r="S88" s="16">
        <f t="shared" si="10"/>
        <v>1036438324419.3923</v>
      </c>
      <c r="T88" s="16">
        <f t="shared" si="10"/>
        <v>1039388618539.5728</v>
      </c>
      <c r="U88" s="16">
        <f t="shared" si="10"/>
        <v>1042338912659.7532</v>
      </c>
      <c r="V88" s="16">
        <f t="shared" si="10"/>
        <v>1045289206779.9335</v>
      </c>
      <c r="W88" s="16">
        <f t="shared" si="10"/>
        <v>1049812991097.5442</v>
      </c>
      <c r="X88" s="16">
        <f t="shared" si="10"/>
        <v>1053263941189.6334</v>
      </c>
      <c r="Y88" s="16">
        <f t="shared" si="10"/>
        <v>1056714891281.7234</v>
      </c>
      <c r="Z88" s="16">
        <f t="shared" si="10"/>
        <v>1060165841373.8136</v>
      </c>
      <c r="AA88" s="16">
        <f t="shared" si="10"/>
        <v>1063616791465.9034</v>
      </c>
      <c r="AB88" s="16">
        <f t="shared" si="10"/>
        <v>1067067741557.9928</v>
      </c>
      <c r="AC88" s="16">
        <f t="shared" si="10"/>
        <v>1070518691650.0826</v>
      </c>
      <c r="AD88" s="16">
        <f t="shared" si="10"/>
        <v>1073969641742.1727</v>
      </c>
      <c r="AE88" s="16">
        <f t="shared" si="10"/>
        <v>1077420591834.2628</v>
      </c>
      <c r="AF88" s="16">
        <f t="shared" si="10"/>
        <v>1080871541926.3529</v>
      </c>
    </row>
    <row r="89" spans="1:32">
      <c r="A89" t="s">
        <v>24</v>
      </c>
      <c r="B89" s="16">
        <f t="shared" si="7"/>
        <v>0</v>
      </c>
      <c r="C89" s="16">
        <f t="shared" si="8"/>
        <v>0</v>
      </c>
      <c r="D89" s="16">
        <f t="shared" si="10"/>
        <v>0</v>
      </c>
      <c r="E89" s="16">
        <f t="shared" si="10"/>
        <v>0</v>
      </c>
      <c r="F89" s="16">
        <f t="shared" si="10"/>
        <v>0</v>
      </c>
      <c r="G89" s="16">
        <f t="shared" si="10"/>
        <v>0</v>
      </c>
      <c r="H89" s="16">
        <f t="shared" si="10"/>
        <v>0</v>
      </c>
      <c r="I89" s="16">
        <f t="shared" si="10"/>
        <v>0</v>
      </c>
      <c r="J89" s="16">
        <f t="shared" si="10"/>
        <v>0</v>
      </c>
      <c r="K89" s="16">
        <f t="shared" si="10"/>
        <v>0</v>
      </c>
      <c r="L89" s="16">
        <f t="shared" si="10"/>
        <v>0</v>
      </c>
      <c r="M89" s="16">
        <f t="shared" si="10"/>
        <v>0</v>
      </c>
      <c r="N89" s="16">
        <f t="shared" si="10"/>
        <v>0</v>
      </c>
      <c r="O89" s="16">
        <f t="shared" si="10"/>
        <v>0</v>
      </c>
      <c r="P89" s="16">
        <f t="shared" si="10"/>
        <v>0</v>
      </c>
      <c r="Q89" s="16">
        <f t="shared" si="10"/>
        <v>0</v>
      </c>
      <c r="R89" s="16">
        <f t="shared" si="10"/>
        <v>0</v>
      </c>
      <c r="S89" s="16">
        <f t="shared" si="10"/>
        <v>0</v>
      </c>
      <c r="T89" s="16">
        <f t="shared" si="10"/>
        <v>0</v>
      </c>
      <c r="U89" s="16">
        <f t="shared" si="10"/>
        <v>0</v>
      </c>
      <c r="V89" s="16">
        <f t="shared" si="10"/>
        <v>0</v>
      </c>
      <c r="W89" s="16">
        <f t="shared" si="10"/>
        <v>0</v>
      </c>
      <c r="X89" s="16">
        <f t="shared" si="10"/>
        <v>0</v>
      </c>
      <c r="Y89" s="16">
        <f t="shared" si="10"/>
        <v>0</v>
      </c>
      <c r="Z89" s="16">
        <f t="shared" si="10"/>
        <v>0</v>
      </c>
      <c r="AA89" s="16">
        <f t="shared" si="10"/>
        <v>0</v>
      </c>
      <c r="AB89" s="16">
        <f t="shared" si="10"/>
        <v>0</v>
      </c>
      <c r="AC89" s="16">
        <f t="shared" si="10"/>
        <v>0</v>
      </c>
      <c r="AD89" s="16">
        <f t="shared" si="10"/>
        <v>0</v>
      </c>
      <c r="AE89" s="16">
        <f t="shared" si="10"/>
        <v>0</v>
      </c>
      <c r="AF89" s="16">
        <f t="shared" si="10"/>
        <v>0</v>
      </c>
    </row>
    <row r="90" spans="1:32">
      <c r="A90" t="s">
        <v>25</v>
      </c>
      <c r="B90" s="16">
        <f t="shared" si="7"/>
        <v>243582416187.29742</v>
      </c>
      <c r="C90" s="16">
        <f t="shared" si="8"/>
        <v>243825998603.48471</v>
      </c>
      <c r="D90" s="16">
        <f t="shared" si="10"/>
        <v>244069824602.08817</v>
      </c>
      <c r="E90" s="16">
        <f t="shared" si="10"/>
        <v>244313894426.69022</v>
      </c>
      <c r="F90" s="16">
        <f t="shared" si="10"/>
        <v>244558208321.11688</v>
      </c>
      <c r="G90" s="16">
        <f t="shared" si="10"/>
        <v>244802766529.43796</v>
      </c>
      <c r="H90" s="16">
        <f t="shared" si="10"/>
        <v>245047569295.96741</v>
      </c>
      <c r="I90" s="16">
        <f t="shared" si="10"/>
        <v>245292616865.26334</v>
      </c>
      <c r="J90" s="16">
        <f t="shared" si="10"/>
        <v>245537909482.12857</v>
      </c>
      <c r="K90" s="16">
        <f t="shared" si="10"/>
        <v>245783447391.61069</v>
      </c>
      <c r="L90" s="16">
        <f t="shared" si="10"/>
        <v>246029230839.00226</v>
      </c>
      <c r="M90" s="16">
        <f t="shared" si="10"/>
        <v>246275260069.84125</v>
      </c>
      <c r="N90" s="16">
        <f t="shared" si="10"/>
        <v>246521535329.91107</v>
      </c>
      <c r="O90" s="16">
        <f t="shared" si="10"/>
        <v>246768056865.24094</v>
      </c>
      <c r="P90" s="16">
        <f t="shared" si="10"/>
        <v>247014824922.10614</v>
      </c>
      <c r="Q90" s="16">
        <f t="shared" si="10"/>
        <v>247261839747.0282</v>
      </c>
      <c r="R90" s="16">
        <f t="shared" si="10"/>
        <v>247509101586.77521</v>
      </c>
      <c r="S90" s="16">
        <f t="shared" si="10"/>
        <v>247756610688.36194</v>
      </c>
      <c r="T90" s="16">
        <f t="shared" si="10"/>
        <v>248004367299.05026</v>
      </c>
      <c r="U90" s="16">
        <f t="shared" si="10"/>
        <v>248252371666.3493</v>
      </c>
      <c r="V90" s="16">
        <f t="shared" si="10"/>
        <v>248500624038.01563</v>
      </c>
      <c r="W90" s="16">
        <f t="shared" si="10"/>
        <v>247258120917.82556</v>
      </c>
      <c r="X90" s="16">
        <f t="shared" si="10"/>
        <v>246021830313.23642</v>
      </c>
      <c r="Y90" s="16">
        <f t="shared" si="10"/>
        <v>244791721161.6702</v>
      </c>
      <c r="Z90" s="16">
        <f t="shared" si="10"/>
        <v>243567762555.86188</v>
      </c>
      <c r="AA90" s="16">
        <f t="shared" si="10"/>
        <v>242349923743.08252</v>
      </c>
      <c r="AB90" s="16">
        <f t="shared" si="10"/>
        <v>241138174124.36716</v>
      </c>
      <c r="AC90" s="16">
        <f t="shared" si="10"/>
        <v>239932483253.74533</v>
      </c>
      <c r="AD90" s="16">
        <f t="shared" si="10"/>
        <v>238732820837.47656</v>
      </c>
      <c r="AE90" s="16">
        <f t="shared" si="10"/>
        <v>237539156733.28918</v>
      </c>
      <c r="AF90" s="16">
        <f t="shared" si="10"/>
        <v>236351460949.62274</v>
      </c>
    </row>
    <row r="91" spans="1:32">
      <c r="A91" t="s">
        <v>26</v>
      </c>
      <c r="B91" s="16">
        <f t="shared" si="7"/>
        <v>1824564312.7255647</v>
      </c>
      <c r="C91" s="16">
        <f t="shared" si="8"/>
        <v>1891613904.6255774</v>
      </c>
      <c r="D91" s="16">
        <f t="shared" si="10"/>
        <v>1958663496.5255899</v>
      </c>
      <c r="E91" s="16">
        <f t="shared" si="10"/>
        <v>2025713088.4256024</v>
      </c>
      <c r="F91" s="16">
        <f t="shared" si="10"/>
        <v>2092762680.3256152</v>
      </c>
      <c r="G91" s="16">
        <f t="shared" si="10"/>
        <v>2159812272.2256279</v>
      </c>
      <c r="H91" s="16">
        <f t="shared" si="10"/>
        <v>2177206292.9562097</v>
      </c>
      <c r="I91" s="16">
        <f t="shared" si="10"/>
        <v>2194600313.6867909</v>
      </c>
      <c r="J91" s="16">
        <f t="shared" si="10"/>
        <v>2211994334.4173732</v>
      </c>
      <c r="K91" s="16">
        <f t="shared" si="10"/>
        <v>2229388355.1479549</v>
      </c>
      <c r="L91" s="16">
        <f t="shared" si="10"/>
        <v>2246782375.8785367</v>
      </c>
      <c r="M91" s="16">
        <f t="shared" si="10"/>
        <v>2255971669.8494101</v>
      </c>
      <c r="N91" s="16">
        <f t="shared" si="10"/>
        <v>2265160963.8202834</v>
      </c>
      <c r="O91" s="16">
        <f t="shared" si="10"/>
        <v>2274350257.7911568</v>
      </c>
      <c r="P91" s="16">
        <f t="shared" si="10"/>
        <v>2283539551.7620296</v>
      </c>
      <c r="Q91" s="16">
        <f t="shared" si="10"/>
        <v>2292728845.7329035</v>
      </c>
      <c r="R91" s="16">
        <f t="shared" si="10"/>
        <v>2299292627.1406703</v>
      </c>
      <c r="S91" s="16">
        <f t="shared" si="10"/>
        <v>2305856408.5484366</v>
      </c>
      <c r="T91" s="16">
        <f t="shared" si="10"/>
        <v>2312420189.9562035</v>
      </c>
      <c r="U91" s="16">
        <f t="shared" si="10"/>
        <v>2318983971.3639698</v>
      </c>
      <c r="V91" s="16">
        <f t="shared" si="10"/>
        <v>2325547752.7717361</v>
      </c>
      <c r="W91" s="16">
        <f t="shared" si="10"/>
        <v>2335612217.5969806</v>
      </c>
      <c r="X91" s="16">
        <f t="shared" si="10"/>
        <v>2343289852.8193965</v>
      </c>
      <c r="Y91" s="16">
        <f t="shared" si="10"/>
        <v>2350967488.0418153</v>
      </c>
      <c r="Z91" s="16">
        <f t="shared" si="10"/>
        <v>2358645123.2642336</v>
      </c>
      <c r="AA91" s="16">
        <f t="shared" si="10"/>
        <v>2366322758.4866524</v>
      </c>
      <c r="AB91" s="16">
        <f t="shared" si="10"/>
        <v>2374000393.7090683</v>
      </c>
      <c r="AC91" s="16">
        <f t="shared" si="10"/>
        <v>2381678028.9314871</v>
      </c>
      <c r="AD91" s="16">
        <f t="shared" si="10"/>
        <v>2389355664.1539054</v>
      </c>
      <c r="AE91" s="16">
        <f t="shared" si="10"/>
        <v>2397033299.3763237</v>
      </c>
      <c r="AF91" s="16">
        <f t="shared" si="10"/>
        <v>2404710934.5987425</v>
      </c>
    </row>
    <row r="93" spans="1:32">
      <c r="A93" s="1" t="s">
        <v>806</v>
      </c>
    </row>
    <row r="94" spans="1:32">
      <c r="B94">
        <v>2020</v>
      </c>
      <c r="C94">
        <v>2021</v>
      </c>
      <c r="D94">
        <v>2022</v>
      </c>
      <c r="E94">
        <v>2023</v>
      </c>
      <c r="F94">
        <v>2024</v>
      </c>
      <c r="G94">
        <v>2025</v>
      </c>
      <c r="H94">
        <v>2026</v>
      </c>
      <c r="I94">
        <v>2027</v>
      </c>
      <c r="J94">
        <v>2028</v>
      </c>
      <c r="K94">
        <v>2029</v>
      </c>
      <c r="L94">
        <v>2030</v>
      </c>
      <c r="M94">
        <v>2031</v>
      </c>
      <c r="N94">
        <v>2032</v>
      </c>
      <c r="O94">
        <v>2033</v>
      </c>
      <c r="P94">
        <v>2034</v>
      </c>
      <c r="Q94">
        <v>2035</v>
      </c>
      <c r="R94">
        <v>2036</v>
      </c>
      <c r="S94">
        <v>2037</v>
      </c>
      <c r="T94">
        <v>2038</v>
      </c>
      <c r="U94">
        <v>2039</v>
      </c>
      <c r="V94">
        <v>2040</v>
      </c>
      <c r="W94">
        <v>2041</v>
      </c>
      <c r="X94">
        <v>2042</v>
      </c>
      <c r="Y94">
        <v>2043</v>
      </c>
      <c r="Z94">
        <v>2044</v>
      </c>
      <c r="AA94">
        <v>2045</v>
      </c>
      <c r="AB94">
        <v>2046</v>
      </c>
      <c r="AC94">
        <v>2047</v>
      </c>
      <c r="AD94">
        <v>2048</v>
      </c>
      <c r="AE94">
        <v>2049</v>
      </c>
      <c r="AF94">
        <v>2050</v>
      </c>
    </row>
    <row r="95" spans="1:32">
      <c r="A95" t="s">
        <v>2</v>
      </c>
      <c r="B95" s="16">
        <f>D$5*$B11/SUM($B$11:$B$35)</f>
        <v>21646067807906.637</v>
      </c>
      <c r="C95" s="16">
        <f>IFERROR($B95*C11/$B11,0)</f>
        <v>22441523469643.262</v>
      </c>
      <c r="D95" s="16">
        <f t="shared" ref="D95:AF104" si="11">IFERROR($B95*D11/$B11,0)</f>
        <v>23236979131379.883</v>
      </c>
      <c r="E95" s="16">
        <f t="shared" si="11"/>
        <v>24032434793116.504</v>
      </c>
      <c r="F95" s="16">
        <f t="shared" si="11"/>
        <v>24827890454853.129</v>
      </c>
      <c r="G95" s="16">
        <f t="shared" si="11"/>
        <v>25623346116589.75</v>
      </c>
      <c r="H95" s="16">
        <f t="shared" si="11"/>
        <v>25829703409429.633</v>
      </c>
      <c r="I95" s="16">
        <f t="shared" si="11"/>
        <v>26036060702269.512</v>
      </c>
      <c r="J95" s="16">
        <f t="shared" si="11"/>
        <v>26242417995109.395</v>
      </c>
      <c r="K95" s="16">
        <f t="shared" si="11"/>
        <v>26448775287949.277</v>
      </c>
      <c r="L95" s="16">
        <f t="shared" si="11"/>
        <v>26655132580789.16</v>
      </c>
      <c r="M95" s="16">
        <f t="shared" si="11"/>
        <v>26764151527949.852</v>
      </c>
      <c r="N95" s="16">
        <f t="shared" si="11"/>
        <v>26873170475110.539</v>
      </c>
      <c r="O95" s="16">
        <f t="shared" si="11"/>
        <v>26982189422271.234</v>
      </c>
      <c r="P95" s="16">
        <f t="shared" si="11"/>
        <v>27091208369431.922</v>
      </c>
      <c r="Q95" s="16">
        <f t="shared" si="11"/>
        <v>27200227316592.617</v>
      </c>
      <c r="R95" s="16">
        <f t="shared" si="11"/>
        <v>27278097993135.969</v>
      </c>
      <c r="S95" s="16">
        <f t="shared" si="11"/>
        <v>27355968669679.32</v>
      </c>
      <c r="T95" s="16">
        <f t="shared" si="11"/>
        <v>27433839346222.672</v>
      </c>
      <c r="U95" s="16">
        <f t="shared" si="11"/>
        <v>27511710022766.023</v>
      </c>
      <c r="V95" s="16">
        <f t="shared" si="11"/>
        <v>27589580699309.367</v>
      </c>
      <c r="W95" s="16">
        <f t="shared" si="11"/>
        <v>27708982403342.527</v>
      </c>
      <c r="X95" s="16">
        <f t="shared" si="11"/>
        <v>27800067497723.52</v>
      </c>
      <c r="Y95" s="16">
        <f t="shared" si="11"/>
        <v>27891152592104.535</v>
      </c>
      <c r="Z95" s="16">
        <f t="shared" si="11"/>
        <v>27982237686485.551</v>
      </c>
      <c r="AA95" s="16">
        <f t="shared" si="11"/>
        <v>28073322780866.57</v>
      </c>
      <c r="AB95" s="16">
        <f t="shared" si="11"/>
        <v>28164407875247.563</v>
      </c>
      <c r="AC95" s="16">
        <f t="shared" si="11"/>
        <v>28255492969628.578</v>
      </c>
      <c r="AD95" s="16">
        <f t="shared" si="11"/>
        <v>28346578064009.59</v>
      </c>
      <c r="AE95" s="16">
        <f t="shared" si="11"/>
        <v>28437663158390.613</v>
      </c>
      <c r="AF95" s="16">
        <f t="shared" si="11"/>
        <v>28528748252771.625</v>
      </c>
    </row>
    <row r="96" spans="1:32">
      <c r="A96" t="s">
        <v>3</v>
      </c>
      <c r="B96" s="16">
        <f t="shared" ref="B96:B119" si="12">D$5*$B12/SUM($B$11:$B$35)</f>
        <v>0</v>
      </c>
      <c r="C96" s="16">
        <f t="shared" ref="C96:R119" si="13">IFERROR($B96*C12/$B12,0)</f>
        <v>0</v>
      </c>
      <c r="D96" s="16">
        <f t="shared" si="13"/>
        <v>0</v>
      </c>
      <c r="E96" s="16">
        <f t="shared" si="13"/>
        <v>0</v>
      </c>
      <c r="F96" s="16">
        <f t="shared" si="13"/>
        <v>0</v>
      </c>
      <c r="G96" s="16">
        <f t="shared" si="13"/>
        <v>0</v>
      </c>
      <c r="H96" s="16">
        <f t="shared" si="13"/>
        <v>0</v>
      </c>
      <c r="I96" s="16">
        <f t="shared" si="13"/>
        <v>0</v>
      </c>
      <c r="J96" s="16">
        <f t="shared" si="13"/>
        <v>0</v>
      </c>
      <c r="K96" s="16">
        <f t="shared" si="13"/>
        <v>0</v>
      </c>
      <c r="L96" s="16">
        <f t="shared" si="13"/>
        <v>0</v>
      </c>
      <c r="M96" s="16">
        <f t="shared" si="13"/>
        <v>0</v>
      </c>
      <c r="N96" s="16">
        <f t="shared" si="13"/>
        <v>0</v>
      </c>
      <c r="O96" s="16">
        <f t="shared" si="13"/>
        <v>0</v>
      </c>
      <c r="P96" s="16">
        <f t="shared" si="13"/>
        <v>0</v>
      </c>
      <c r="Q96" s="16">
        <f t="shared" si="13"/>
        <v>0</v>
      </c>
      <c r="R96" s="16">
        <f t="shared" si="13"/>
        <v>0</v>
      </c>
      <c r="S96" s="16">
        <f t="shared" si="11"/>
        <v>0</v>
      </c>
      <c r="T96" s="16">
        <f t="shared" si="11"/>
        <v>0</v>
      </c>
      <c r="U96" s="16">
        <f t="shared" si="11"/>
        <v>0</v>
      </c>
      <c r="V96" s="16">
        <f t="shared" si="11"/>
        <v>0</v>
      </c>
      <c r="W96" s="16">
        <f t="shared" si="11"/>
        <v>0</v>
      </c>
      <c r="X96" s="16">
        <f t="shared" si="11"/>
        <v>0</v>
      </c>
      <c r="Y96" s="16">
        <f t="shared" si="11"/>
        <v>0</v>
      </c>
      <c r="Z96" s="16">
        <f t="shared" si="11"/>
        <v>0</v>
      </c>
      <c r="AA96" s="16">
        <f t="shared" si="11"/>
        <v>0</v>
      </c>
      <c r="AB96" s="16">
        <f t="shared" si="11"/>
        <v>0</v>
      </c>
      <c r="AC96" s="16">
        <f t="shared" si="11"/>
        <v>0</v>
      </c>
      <c r="AD96" s="16">
        <f t="shared" si="11"/>
        <v>0</v>
      </c>
      <c r="AE96" s="16">
        <f t="shared" si="11"/>
        <v>0</v>
      </c>
      <c r="AF96" s="16">
        <f t="shared" si="11"/>
        <v>0</v>
      </c>
    </row>
    <row r="97" spans="1:32">
      <c r="A97" t="s">
        <v>4</v>
      </c>
      <c r="B97" s="16">
        <f t="shared" si="12"/>
        <v>0</v>
      </c>
      <c r="C97" s="16">
        <f t="shared" si="13"/>
        <v>0</v>
      </c>
      <c r="D97" s="16">
        <f t="shared" si="11"/>
        <v>0</v>
      </c>
      <c r="E97" s="16">
        <f t="shared" si="11"/>
        <v>0</v>
      </c>
      <c r="F97" s="16">
        <f t="shared" si="11"/>
        <v>0</v>
      </c>
      <c r="G97" s="16">
        <f t="shared" si="11"/>
        <v>0</v>
      </c>
      <c r="H97" s="16">
        <f t="shared" si="11"/>
        <v>0</v>
      </c>
      <c r="I97" s="16">
        <f t="shared" si="11"/>
        <v>0</v>
      </c>
      <c r="J97" s="16">
        <f t="shared" si="11"/>
        <v>0</v>
      </c>
      <c r="K97" s="16">
        <f t="shared" si="11"/>
        <v>0</v>
      </c>
      <c r="L97" s="16">
        <f t="shared" si="11"/>
        <v>0</v>
      </c>
      <c r="M97" s="16">
        <f t="shared" si="11"/>
        <v>0</v>
      </c>
      <c r="N97" s="16">
        <f t="shared" si="11"/>
        <v>0</v>
      </c>
      <c r="O97" s="16">
        <f t="shared" si="11"/>
        <v>0</v>
      </c>
      <c r="P97" s="16">
        <f t="shared" si="11"/>
        <v>0</v>
      </c>
      <c r="Q97" s="16">
        <f t="shared" si="11"/>
        <v>0</v>
      </c>
      <c r="R97" s="16">
        <f t="shared" si="11"/>
        <v>0</v>
      </c>
      <c r="S97" s="16">
        <f t="shared" si="11"/>
        <v>0</v>
      </c>
      <c r="T97" s="16">
        <f t="shared" si="11"/>
        <v>0</v>
      </c>
      <c r="U97" s="16">
        <f t="shared" si="11"/>
        <v>0</v>
      </c>
      <c r="V97" s="16">
        <f t="shared" si="11"/>
        <v>0</v>
      </c>
      <c r="W97" s="16">
        <f t="shared" si="11"/>
        <v>0</v>
      </c>
      <c r="X97" s="16">
        <f t="shared" si="11"/>
        <v>0</v>
      </c>
      <c r="Y97" s="16">
        <f t="shared" si="11"/>
        <v>0</v>
      </c>
      <c r="Z97" s="16">
        <f t="shared" si="11"/>
        <v>0</v>
      </c>
      <c r="AA97" s="16">
        <f t="shared" si="11"/>
        <v>0</v>
      </c>
      <c r="AB97" s="16">
        <f t="shared" si="11"/>
        <v>0</v>
      </c>
      <c r="AC97" s="16">
        <f t="shared" si="11"/>
        <v>0</v>
      </c>
      <c r="AD97" s="16">
        <f t="shared" si="11"/>
        <v>0</v>
      </c>
      <c r="AE97" s="16">
        <f t="shared" si="11"/>
        <v>0</v>
      </c>
      <c r="AF97" s="16">
        <f t="shared" si="11"/>
        <v>0</v>
      </c>
    </row>
    <row r="98" spans="1:32">
      <c r="A98" t="s">
        <v>5</v>
      </c>
      <c r="B98" s="16">
        <f t="shared" si="12"/>
        <v>1866953912510.2483</v>
      </c>
      <c r="C98" s="16">
        <f t="shared" si="13"/>
        <v>1935561249098.428</v>
      </c>
      <c r="D98" s="16">
        <f t="shared" si="11"/>
        <v>2004168585686.6079</v>
      </c>
      <c r="E98" s="16">
        <f t="shared" si="11"/>
        <v>2072775922274.7878</v>
      </c>
      <c r="F98" s="16">
        <f t="shared" si="11"/>
        <v>2141383258862.968</v>
      </c>
      <c r="G98" s="16">
        <f t="shared" si="11"/>
        <v>2209990595451.1475</v>
      </c>
      <c r="H98" s="16">
        <f t="shared" si="11"/>
        <v>2227788726671.1621</v>
      </c>
      <c r="I98" s="16">
        <f t="shared" si="11"/>
        <v>2245586857891.1758</v>
      </c>
      <c r="J98" s="16">
        <f t="shared" si="11"/>
        <v>2263384989111.1895</v>
      </c>
      <c r="K98" s="16">
        <f t="shared" si="11"/>
        <v>2281183120331.2031</v>
      </c>
      <c r="L98" s="16">
        <f t="shared" si="11"/>
        <v>2298981251551.2173</v>
      </c>
      <c r="M98" s="16">
        <f t="shared" si="11"/>
        <v>2308384037856.1299</v>
      </c>
      <c r="N98" s="16">
        <f t="shared" si="11"/>
        <v>2317786824161.043</v>
      </c>
      <c r="O98" s="16">
        <f t="shared" si="11"/>
        <v>2327189610465.9561</v>
      </c>
      <c r="P98" s="16">
        <f t="shared" si="11"/>
        <v>2336592396770.8691</v>
      </c>
      <c r="Q98" s="16">
        <f t="shared" si="11"/>
        <v>2345995183075.7817</v>
      </c>
      <c r="R98" s="16">
        <f t="shared" si="11"/>
        <v>2352711459007.8628</v>
      </c>
      <c r="S98" s="16">
        <f t="shared" si="11"/>
        <v>2359427734939.9434</v>
      </c>
      <c r="T98" s="16">
        <f t="shared" si="11"/>
        <v>2366144010872.0234</v>
      </c>
      <c r="U98" s="16">
        <f t="shared" si="11"/>
        <v>2372860286804.1045</v>
      </c>
      <c r="V98" s="16">
        <f t="shared" si="11"/>
        <v>2379576562736.1846</v>
      </c>
      <c r="W98" s="16">
        <f t="shared" si="11"/>
        <v>2389874852498.7104</v>
      </c>
      <c r="X98" s="16">
        <f t="shared" si="11"/>
        <v>2397730860104.1123</v>
      </c>
      <c r="Y98" s="16">
        <f t="shared" si="11"/>
        <v>2405586867709.5161</v>
      </c>
      <c r="Z98" s="16">
        <f t="shared" si="11"/>
        <v>2413442875314.9199</v>
      </c>
      <c r="AA98" s="16">
        <f t="shared" si="11"/>
        <v>2421298882920.3237</v>
      </c>
      <c r="AB98" s="16">
        <f t="shared" si="11"/>
        <v>2429154890525.7251</v>
      </c>
      <c r="AC98" s="16">
        <f t="shared" si="11"/>
        <v>2437010898131.1294</v>
      </c>
      <c r="AD98" s="16">
        <f t="shared" si="11"/>
        <v>2444866905736.5337</v>
      </c>
      <c r="AE98" s="16">
        <f t="shared" si="11"/>
        <v>2452722913341.9375</v>
      </c>
      <c r="AF98" s="16">
        <f t="shared" si="11"/>
        <v>2460578920947.3413</v>
      </c>
    </row>
    <row r="99" spans="1:32">
      <c r="A99" t="s">
        <v>6</v>
      </c>
      <c r="B99" s="16">
        <f t="shared" si="12"/>
        <v>17149050061886.336</v>
      </c>
      <c r="C99" s="16">
        <f t="shared" si="13"/>
        <v>17779248076887.91</v>
      </c>
      <c r="D99" s="16">
        <f t="shared" si="11"/>
        <v>18409446091889.488</v>
      </c>
      <c r="E99" s="16">
        <f t="shared" si="11"/>
        <v>19039644106891.063</v>
      </c>
      <c r="F99" s="16">
        <f t="shared" si="11"/>
        <v>19669842121892.641</v>
      </c>
      <c r="G99" s="16">
        <f t="shared" si="11"/>
        <v>20300040136894.215</v>
      </c>
      <c r="H99" s="16">
        <f t="shared" si="11"/>
        <v>20463526252568.941</v>
      </c>
      <c r="I99" s="16">
        <f t="shared" si="11"/>
        <v>20627012368243.676</v>
      </c>
      <c r="J99" s="16">
        <f t="shared" si="11"/>
        <v>20790498483918.406</v>
      </c>
      <c r="K99" s="16">
        <f t="shared" si="11"/>
        <v>20953984599593.129</v>
      </c>
      <c r="L99" s="16">
        <f t="shared" si="11"/>
        <v>21117470715267.863</v>
      </c>
      <c r="M99" s="16">
        <f t="shared" si="11"/>
        <v>21203840738643.191</v>
      </c>
      <c r="N99" s="16">
        <f t="shared" si="11"/>
        <v>21290210762018.52</v>
      </c>
      <c r="O99" s="16">
        <f t="shared" si="11"/>
        <v>21376580785393.848</v>
      </c>
      <c r="P99" s="16">
        <f t="shared" si="11"/>
        <v>21462950808769.18</v>
      </c>
      <c r="Q99" s="16">
        <f t="shared" si="11"/>
        <v>21549320832144.508</v>
      </c>
      <c r="R99" s="16">
        <f t="shared" si="11"/>
        <v>21611013705984.023</v>
      </c>
      <c r="S99" s="16">
        <f t="shared" si="11"/>
        <v>21672706579823.547</v>
      </c>
      <c r="T99" s="16">
        <f t="shared" si="11"/>
        <v>21734399453663.066</v>
      </c>
      <c r="U99" s="16">
        <f t="shared" si="11"/>
        <v>21796092327502.586</v>
      </c>
      <c r="V99" s="16">
        <f t="shared" si="11"/>
        <v>21857785201342.105</v>
      </c>
      <c r="W99" s="16">
        <f t="shared" si="11"/>
        <v>21952380941229.387</v>
      </c>
      <c r="X99" s="16">
        <f t="shared" si="11"/>
        <v>22024542908811.355</v>
      </c>
      <c r="Y99" s="16">
        <f t="shared" si="11"/>
        <v>22096704876393.344</v>
      </c>
      <c r="Z99" s="16">
        <f t="shared" si="11"/>
        <v>22168866843975.328</v>
      </c>
      <c r="AA99" s="16">
        <f t="shared" si="11"/>
        <v>22241028811557.32</v>
      </c>
      <c r="AB99" s="16">
        <f t="shared" si="11"/>
        <v>22313190779139.289</v>
      </c>
      <c r="AC99" s="16">
        <f t="shared" si="11"/>
        <v>22385352746721.281</v>
      </c>
      <c r="AD99" s="16">
        <f t="shared" si="11"/>
        <v>22457514714303.266</v>
      </c>
      <c r="AE99" s="16">
        <f t="shared" si="11"/>
        <v>22529676681885.254</v>
      </c>
      <c r="AF99" s="16">
        <f t="shared" si="11"/>
        <v>22601838649467.242</v>
      </c>
    </row>
    <row r="100" spans="1:32">
      <c r="A100" t="s">
        <v>7</v>
      </c>
      <c r="B100" s="16">
        <f t="shared" si="12"/>
        <v>12921815272402.863</v>
      </c>
      <c r="C100" s="16">
        <f t="shared" si="13"/>
        <v>13396669699061.971</v>
      </c>
      <c r="D100" s="16">
        <f t="shared" si="11"/>
        <v>13871524125721.076</v>
      </c>
      <c r="E100" s="16">
        <f t="shared" si="11"/>
        <v>14346378552380.18</v>
      </c>
      <c r="F100" s="16">
        <f t="shared" si="11"/>
        <v>14821232979039.285</v>
      </c>
      <c r="G100" s="16">
        <f t="shared" si="11"/>
        <v>15296087405698.391</v>
      </c>
      <c r="H100" s="16">
        <f t="shared" si="11"/>
        <v>15419274251542.791</v>
      </c>
      <c r="I100" s="16">
        <f t="shared" si="11"/>
        <v>15542461097387.197</v>
      </c>
      <c r="J100" s="16">
        <f t="shared" si="11"/>
        <v>15665647943231.598</v>
      </c>
      <c r="K100" s="16">
        <f t="shared" si="11"/>
        <v>15788834789076.002</v>
      </c>
      <c r="L100" s="16">
        <f t="shared" si="11"/>
        <v>15912021634920.404</v>
      </c>
      <c r="M100" s="16">
        <f t="shared" si="11"/>
        <v>15977101478008.012</v>
      </c>
      <c r="N100" s="16">
        <f t="shared" si="11"/>
        <v>16042181321095.625</v>
      </c>
      <c r="O100" s="16">
        <f t="shared" si="11"/>
        <v>16107261164183.232</v>
      </c>
      <c r="P100" s="16">
        <f t="shared" si="11"/>
        <v>16172341007270.842</v>
      </c>
      <c r="Q100" s="16">
        <f t="shared" si="11"/>
        <v>16237420850358.451</v>
      </c>
      <c r="R100" s="16">
        <f t="shared" si="11"/>
        <v>16283906452563.885</v>
      </c>
      <c r="S100" s="16">
        <f t="shared" si="11"/>
        <v>16330392054769.32</v>
      </c>
      <c r="T100" s="16">
        <f t="shared" si="11"/>
        <v>16376877656974.754</v>
      </c>
      <c r="U100" s="16">
        <f t="shared" si="11"/>
        <v>16423363259180.189</v>
      </c>
      <c r="V100" s="16">
        <f t="shared" si="11"/>
        <v>16469848861385.619</v>
      </c>
      <c r="W100" s="16">
        <f t="shared" si="11"/>
        <v>16541126784767.301</v>
      </c>
      <c r="X100" s="16">
        <f t="shared" si="11"/>
        <v>16595500852801.527</v>
      </c>
      <c r="Y100" s="16">
        <f t="shared" si="11"/>
        <v>16649874920835.766</v>
      </c>
      <c r="Z100" s="16">
        <f t="shared" si="11"/>
        <v>16704248988870.004</v>
      </c>
      <c r="AA100" s="16">
        <f t="shared" si="11"/>
        <v>16758623056904.246</v>
      </c>
      <c r="AB100" s="16">
        <f t="shared" si="11"/>
        <v>16812997124938.469</v>
      </c>
      <c r="AC100" s="16">
        <f t="shared" si="11"/>
        <v>16867371192972.705</v>
      </c>
      <c r="AD100" s="16">
        <f t="shared" si="11"/>
        <v>16921745261006.947</v>
      </c>
      <c r="AE100" s="16">
        <f t="shared" si="11"/>
        <v>16976119329041.188</v>
      </c>
      <c r="AF100" s="16">
        <f t="shared" si="11"/>
        <v>17030493397075.424</v>
      </c>
    </row>
    <row r="101" spans="1:32">
      <c r="A101" t="s">
        <v>8</v>
      </c>
      <c r="B101" s="16">
        <f t="shared" si="12"/>
        <v>2169710664737.6533</v>
      </c>
      <c r="C101" s="16">
        <f t="shared" si="13"/>
        <v>2249443789844.3521</v>
      </c>
      <c r="D101" s="16">
        <f t="shared" si="11"/>
        <v>2329176914951.0503</v>
      </c>
      <c r="E101" s="16">
        <f t="shared" si="11"/>
        <v>2408910040057.7485</v>
      </c>
      <c r="F101" s="16">
        <f t="shared" si="11"/>
        <v>2488643165164.4473</v>
      </c>
      <c r="G101" s="16">
        <f t="shared" si="11"/>
        <v>2568376290271.145</v>
      </c>
      <c r="H101" s="16">
        <f t="shared" si="11"/>
        <v>2589060676137.1797</v>
      </c>
      <c r="I101" s="16">
        <f t="shared" si="11"/>
        <v>2609745062003.2139</v>
      </c>
      <c r="J101" s="16">
        <f t="shared" si="11"/>
        <v>2630429447869.248</v>
      </c>
      <c r="K101" s="16">
        <f t="shared" si="11"/>
        <v>2651113833735.2822</v>
      </c>
      <c r="L101" s="16">
        <f t="shared" si="11"/>
        <v>2671798219601.3164</v>
      </c>
      <c r="M101" s="16">
        <f t="shared" si="11"/>
        <v>2682725819681.4854</v>
      </c>
      <c r="N101" s="16">
        <f t="shared" si="11"/>
        <v>2693653419761.6548</v>
      </c>
      <c r="O101" s="16">
        <f t="shared" si="11"/>
        <v>2704581019841.8232</v>
      </c>
      <c r="P101" s="16">
        <f t="shared" si="11"/>
        <v>2715508619921.9927</v>
      </c>
      <c r="Q101" s="16">
        <f t="shared" si="11"/>
        <v>2726436220002.1621</v>
      </c>
      <c r="R101" s="16">
        <f t="shared" si="11"/>
        <v>2734241648630.8535</v>
      </c>
      <c r="S101" s="16">
        <f t="shared" si="11"/>
        <v>2742047077259.5454</v>
      </c>
      <c r="T101" s="16">
        <f t="shared" si="11"/>
        <v>2749852505888.2383</v>
      </c>
      <c r="U101" s="16">
        <f t="shared" si="11"/>
        <v>2757657934516.9297</v>
      </c>
      <c r="V101" s="16">
        <f t="shared" si="11"/>
        <v>2765463363145.6216</v>
      </c>
      <c r="W101" s="16">
        <f t="shared" si="11"/>
        <v>2777431687042.9517</v>
      </c>
      <c r="X101" s="16">
        <f t="shared" si="11"/>
        <v>2786561673257.1167</v>
      </c>
      <c r="Y101" s="16">
        <f t="shared" si="11"/>
        <v>2795691659471.2842</v>
      </c>
      <c r="Z101" s="16">
        <f t="shared" si="11"/>
        <v>2804821645685.4521</v>
      </c>
      <c r="AA101" s="16">
        <f t="shared" si="11"/>
        <v>2813951631899.6201</v>
      </c>
      <c r="AB101" s="16">
        <f t="shared" si="11"/>
        <v>2823081618113.7847</v>
      </c>
      <c r="AC101" s="16">
        <f t="shared" si="11"/>
        <v>2832211604327.9526</v>
      </c>
      <c r="AD101" s="16">
        <f t="shared" si="11"/>
        <v>2841341590542.1206</v>
      </c>
      <c r="AE101" s="16">
        <f t="shared" si="11"/>
        <v>2850471576756.2881</v>
      </c>
      <c r="AF101" s="16">
        <f t="shared" si="11"/>
        <v>2859601562970.4556</v>
      </c>
    </row>
    <row r="102" spans="1:32">
      <c r="A102" t="s">
        <v>9</v>
      </c>
      <c r="B102" s="16">
        <f t="shared" si="12"/>
        <v>12387005614817.014</v>
      </c>
      <c r="C102" s="16">
        <f t="shared" si="13"/>
        <v>12842206708877.639</v>
      </c>
      <c r="D102" s="16">
        <f t="shared" si="11"/>
        <v>13297407802938.262</v>
      </c>
      <c r="E102" s="16">
        <f t="shared" si="11"/>
        <v>13752608896998.883</v>
      </c>
      <c r="F102" s="16">
        <f t="shared" si="11"/>
        <v>14207809991059.506</v>
      </c>
      <c r="G102" s="16">
        <f t="shared" si="11"/>
        <v>14663011085120.127</v>
      </c>
      <c r="H102" s="16">
        <f t="shared" si="11"/>
        <v>14781099458849.254</v>
      </c>
      <c r="I102" s="16">
        <f t="shared" si="11"/>
        <v>14899187832578.379</v>
      </c>
      <c r="J102" s="16">
        <f t="shared" si="11"/>
        <v>15017276206307.502</v>
      </c>
      <c r="K102" s="16">
        <f t="shared" si="11"/>
        <v>15135364580036.625</v>
      </c>
      <c r="L102" s="16">
        <f t="shared" si="11"/>
        <v>15253452953765.75</v>
      </c>
      <c r="M102" s="16">
        <f t="shared" si="11"/>
        <v>15315839264415.1</v>
      </c>
      <c r="N102" s="16">
        <f t="shared" si="11"/>
        <v>15378225575064.449</v>
      </c>
      <c r="O102" s="16">
        <f t="shared" si="11"/>
        <v>15440611885713.799</v>
      </c>
      <c r="P102" s="16">
        <f t="shared" si="11"/>
        <v>15502998196363.146</v>
      </c>
      <c r="Q102" s="16">
        <f t="shared" si="11"/>
        <v>15565384507012.498</v>
      </c>
      <c r="R102" s="16">
        <f t="shared" si="11"/>
        <v>15609946157476.314</v>
      </c>
      <c r="S102" s="16">
        <f t="shared" si="11"/>
        <v>15654507807940.137</v>
      </c>
      <c r="T102" s="16">
        <f t="shared" si="11"/>
        <v>15699069458403.957</v>
      </c>
      <c r="U102" s="16">
        <f t="shared" si="11"/>
        <v>15743631108867.777</v>
      </c>
      <c r="V102" s="16">
        <f t="shared" si="11"/>
        <v>15788192759331.592</v>
      </c>
      <c r="W102" s="16">
        <f t="shared" si="11"/>
        <v>15856520623376.133</v>
      </c>
      <c r="X102" s="16">
        <f t="shared" si="11"/>
        <v>15908644250888.346</v>
      </c>
      <c r="Y102" s="16">
        <f t="shared" si="11"/>
        <v>15960767878400.576</v>
      </c>
      <c r="Z102" s="16">
        <f t="shared" si="11"/>
        <v>16012891505912.805</v>
      </c>
      <c r="AA102" s="16">
        <f t="shared" si="11"/>
        <v>16065015133425.035</v>
      </c>
      <c r="AB102" s="16">
        <f t="shared" si="11"/>
        <v>16117138760937.252</v>
      </c>
      <c r="AC102" s="16">
        <f t="shared" si="11"/>
        <v>16169262388449.479</v>
      </c>
      <c r="AD102" s="16">
        <f t="shared" si="11"/>
        <v>16221386015961.711</v>
      </c>
      <c r="AE102" s="16">
        <f t="shared" si="11"/>
        <v>16273509643473.938</v>
      </c>
      <c r="AF102" s="16">
        <f t="shared" si="11"/>
        <v>16325633270986.168</v>
      </c>
    </row>
    <row r="103" spans="1:32">
      <c r="A103" t="s">
        <v>648</v>
      </c>
      <c r="B103" s="16">
        <f t="shared" si="12"/>
        <v>0</v>
      </c>
      <c r="C103" s="16">
        <f t="shared" si="13"/>
        <v>0</v>
      </c>
      <c r="D103" s="16">
        <f t="shared" si="11"/>
        <v>0</v>
      </c>
      <c r="E103" s="16">
        <f t="shared" si="11"/>
        <v>0</v>
      </c>
      <c r="F103" s="16">
        <f t="shared" si="11"/>
        <v>0</v>
      </c>
      <c r="G103" s="16">
        <f t="shared" si="11"/>
        <v>0</v>
      </c>
      <c r="H103" s="16">
        <f t="shared" si="11"/>
        <v>0</v>
      </c>
      <c r="I103" s="16">
        <f t="shared" si="11"/>
        <v>0</v>
      </c>
      <c r="J103" s="16">
        <f t="shared" si="11"/>
        <v>0</v>
      </c>
      <c r="K103" s="16">
        <f t="shared" si="11"/>
        <v>0</v>
      </c>
      <c r="L103" s="16">
        <f t="shared" si="11"/>
        <v>0</v>
      </c>
      <c r="M103" s="16">
        <f t="shared" si="11"/>
        <v>0</v>
      </c>
      <c r="N103" s="16">
        <f t="shared" si="11"/>
        <v>0</v>
      </c>
      <c r="O103" s="16">
        <f t="shared" si="11"/>
        <v>0</v>
      </c>
      <c r="P103" s="16">
        <f t="shared" si="11"/>
        <v>0</v>
      </c>
      <c r="Q103" s="16">
        <f t="shared" si="11"/>
        <v>0</v>
      </c>
      <c r="R103" s="16">
        <f t="shared" si="11"/>
        <v>0</v>
      </c>
      <c r="S103" s="16">
        <f t="shared" si="11"/>
        <v>0</v>
      </c>
      <c r="T103" s="16">
        <f t="shared" si="11"/>
        <v>0</v>
      </c>
      <c r="U103" s="16">
        <f t="shared" si="11"/>
        <v>0</v>
      </c>
      <c r="V103" s="16">
        <f t="shared" si="11"/>
        <v>0</v>
      </c>
      <c r="W103" s="16">
        <f t="shared" si="11"/>
        <v>0</v>
      </c>
      <c r="X103" s="16">
        <f t="shared" si="11"/>
        <v>0</v>
      </c>
      <c r="Y103" s="16">
        <f t="shared" si="11"/>
        <v>0</v>
      </c>
      <c r="Z103" s="16">
        <f t="shared" si="11"/>
        <v>0</v>
      </c>
      <c r="AA103" s="16">
        <f t="shared" si="11"/>
        <v>0</v>
      </c>
      <c r="AB103" s="16">
        <f t="shared" si="11"/>
        <v>0</v>
      </c>
      <c r="AC103" s="16">
        <f t="shared" si="11"/>
        <v>0</v>
      </c>
      <c r="AD103" s="16">
        <f t="shared" si="11"/>
        <v>0</v>
      </c>
      <c r="AE103" s="16">
        <f t="shared" si="11"/>
        <v>0</v>
      </c>
      <c r="AF103" s="16">
        <f t="shared" si="11"/>
        <v>0</v>
      </c>
    </row>
    <row r="104" spans="1:32">
      <c r="A104" t="s">
        <v>124</v>
      </c>
      <c r="B104" s="16">
        <f t="shared" si="12"/>
        <v>44830492122333.766</v>
      </c>
      <c r="C104" s="16">
        <f t="shared" si="13"/>
        <v>40267430982196.836</v>
      </c>
      <c r="D104" s="16">
        <f t="shared" si="11"/>
        <v>38299566303775.5</v>
      </c>
      <c r="E104" s="16">
        <f t="shared" si="11"/>
        <v>35978951339614.922</v>
      </c>
      <c r="F104" s="16">
        <f t="shared" si="11"/>
        <v>35095256645295.844</v>
      </c>
      <c r="G104" s="16">
        <f t="shared" si="11"/>
        <v>34713412880474.41</v>
      </c>
      <c r="H104" s="16">
        <f t="shared" si="11"/>
        <v>34275012502656.617</v>
      </c>
      <c r="I104" s="16">
        <f t="shared" si="11"/>
        <v>33780644024271.176</v>
      </c>
      <c r="J104" s="16">
        <f t="shared" si="11"/>
        <v>33226558395157.234</v>
      </c>
      <c r="K104" s="16">
        <f t="shared" si="11"/>
        <v>32610849078982.379</v>
      </c>
      <c r="L104" s="16">
        <f t="shared" si="11"/>
        <v>31931050855485.477</v>
      </c>
      <c r="M104" s="16">
        <f t="shared" ref="D104:AF113" si="14">IFERROR($B104*M20/$B20,0)</f>
        <v>31700183416672.633</v>
      </c>
      <c r="N104" s="16">
        <f t="shared" si="14"/>
        <v>31468624892445.43</v>
      </c>
      <c r="O104" s="16">
        <f t="shared" si="14"/>
        <v>31236363466815.094</v>
      </c>
      <c r="P104" s="16">
        <f t="shared" si="14"/>
        <v>31003386979570.777</v>
      </c>
      <c r="Q104" s="16">
        <f t="shared" si="14"/>
        <v>30769682912017.965</v>
      </c>
      <c r="R104" s="16">
        <f t="shared" si="14"/>
        <v>30749065002593.438</v>
      </c>
      <c r="S104" s="16">
        <f t="shared" si="14"/>
        <v>30728447093168.922</v>
      </c>
      <c r="T104" s="16">
        <f t="shared" si="14"/>
        <v>30707829183744.406</v>
      </c>
      <c r="U104" s="16">
        <f t="shared" si="14"/>
        <v>30687211274319.902</v>
      </c>
      <c r="V104" s="16">
        <f t="shared" si="14"/>
        <v>30666593364895.387</v>
      </c>
      <c r="W104" s="16">
        <f t="shared" si="14"/>
        <v>30635620283645.301</v>
      </c>
      <c r="X104" s="16">
        <f t="shared" si="14"/>
        <v>30604647202395.219</v>
      </c>
      <c r="Y104" s="16">
        <f t="shared" si="14"/>
        <v>30573674121145.137</v>
      </c>
      <c r="Z104" s="16">
        <f t="shared" si="14"/>
        <v>30542701039895.055</v>
      </c>
      <c r="AA104" s="16">
        <f t="shared" si="14"/>
        <v>30511727958644.969</v>
      </c>
      <c r="AB104" s="16">
        <f t="shared" si="14"/>
        <v>30480754877394.887</v>
      </c>
      <c r="AC104" s="16">
        <f t="shared" si="14"/>
        <v>30449781796144.805</v>
      </c>
      <c r="AD104" s="16">
        <f t="shared" si="14"/>
        <v>30418808714894.711</v>
      </c>
      <c r="AE104" s="16">
        <f t="shared" si="14"/>
        <v>30387835633644.629</v>
      </c>
      <c r="AF104" s="16">
        <f t="shared" si="14"/>
        <v>30356862552394.531</v>
      </c>
    </row>
    <row r="105" spans="1:32">
      <c r="A105" t="s">
        <v>12</v>
      </c>
      <c r="B105" s="16">
        <f t="shared" si="12"/>
        <v>36370034696628.469</v>
      </c>
      <c r="C105" s="16">
        <f t="shared" si="13"/>
        <v>32668119233895.027</v>
      </c>
      <c r="D105" s="16">
        <f t="shared" si="14"/>
        <v>31071632038591.672</v>
      </c>
      <c r="E105" s="16">
        <f t="shared" si="14"/>
        <v>29188965960920.215</v>
      </c>
      <c r="F105" s="16">
        <f t="shared" si="14"/>
        <v>28472043054834.156</v>
      </c>
      <c r="G105" s="16">
        <f t="shared" si="14"/>
        <v>28162261245226.758</v>
      </c>
      <c r="H105" s="16">
        <f t="shared" si="14"/>
        <v>27806596245861.191</v>
      </c>
      <c r="I105" s="16">
        <f t="shared" si="14"/>
        <v>27405525504484.238</v>
      </c>
      <c r="J105" s="16">
        <f t="shared" si="14"/>
        <v>26956007495607.91</v>
      </c>
      <c r="K105" s="16">
        <f t="shared" si="14"/>
        <v>26456495486433.223</v>
      </c>
      <c r="L105" s="16">
        <f t="shared" si="14"/>
        <v>25904989495648.629</v>
      </c>
      <c r="M105" s="16">
        <f t="shared" si="14"/>
        <v>25717691601683.246</v>
      </c>
      <c r="N105" s="16">
        <f t="shared" si="14"/>
        <v>25529833044666.695</v>
      </c>
      <c r="O105" s="16">
        <f t="shared" si="14"/>
        <v>25341404238535.984</v>
      </c>
      <c r="P105" s="16">
        <f t="shared" si="14"/>
        <v>25152395317967.98</v>
      </c>
      <c r="Q105" s="16">
        <f t="shared" si="14"/>
        <v>24962796126809.328</v>
      </c>
      <c r="R105" s="16">
        <f t="shared" si="14"/>
        <v>24946069250845.184</v>
      </c>
      <c r="S105" s="16">
        <f t="shared" si="14"/>
        <v>24929342374881.039</v>
      </c>
      <c r="T105" s="16">
        <f t="shared" si="14"/>
        <v>24912615498916.906</v>
      </c>
      <c r="U105" s="16">
        <f t="shared" si="14"/>
        <v>24895888622952.77</v>
      </c>
      <c r="V105" s="16">
        <f t="shared" si="14"/>
        <v>24879161746988.633</v>
      </c>
      <c r="W105" s="16">
        <f t="shared" si="14"/>
        <v>24854033938071.145</v>
      </c>
      <c r="X105" s="16">
        <f t="shared" si="14"/>
        <v>24828906129153.656</v>
      </c>
      <c r="Y105" s="16">
        <f t="shared" si="14"/>
        <v>24803778320236.168</v>
      </c>
      <c r="Z105" s="16">
        <f t="shared" si="14"/>
        <v>24778650511318.676</v>
      </c>
      <c r="AA105" s="16">
        <f t="shared" si="14"/>
        <v>24753522702401.188</v>
      </c>
      <c r="AB105" s="16">
        <f t="shared" si="14"/>
        <v>24728394893483.699</v>
      </c>
      <c r="AC105" s="16">
        <f t="shared" si="14"/>
        <v>24703267084566.207</v>
      </c>
      <c r="AD105" s="16">
        <f t="shared" si="14"/>
        <v>24678139275648.715</v>
      </c>
      <c r="AE105" s="16">
        <f t="shared" si="14"/>
        <v>24653011466731.223</v>
      </c>
      <c r="AF105" s="16">
        <f t="shared" si="14"/>
        <v>24627883657813.723</v>
      </c>
    </row>
    <row r="106" spans="1:32">
      <c r="A106" t="s">
        <v>13</v>
      </c>
      <c r="B106" s="16">
        <f t="shared" si="12"/>
        <v>4166117582483.1904</v>
      </c>
      <c r="C106" s="16">
        <f t="shared" si="13"/>
        <v>4319215218869.4287</v>
      </c>
      <c r="D106" s="16">
        <f t="shared" si="14"/>
        <v>4472312855255.666</v>
      </c>
      <c r="E106" s="16">
        <f t="shared" si="14"/>
        <v>4625410491641.9033</v>
      </c>
      <c r="F106" s="16">
        <f t="shared" si="14"/>
        <v>4778508128028.1426</v>
      </c>
      <c r="G106" s="16">
        <f t="shared" si="14"/>
        <v>4931605764414.3799</v>
      </c>
      <c r="H106" s="16">
        <f t="shared" si="14"/>
        <v>4971322388865.6748</v>
      </c>
      <c r="I106" s="16">
        <f t="shared" si="14"/>
        <v>5011039013316.9678</v>
      </c>
      <c r="J106" s="16">
        <f t="shared" si="14"/>
        <v>5050755637768.2617</v>
      </c>
      <c r="K106" s="16">
        <f t="shared" si="14"/>
        <v>5090472262219.5547</v>
      </c>
      <c r="L106" s="16">
        <f t="shared" si="14"/>
        <v>5130188886670.8486</v>
      </c>
      <c r="M106" s="16">
        <f t="shared" si="14"/>
        <v>5151171254305.4941</v>
      </c>
      <c r="N106" s="16">
        <f t="shared" si="14"/>
        <v>5172153621940.1406</v>
      </c>
      <c r="O106" s="16">
        <f t="shared" si="14"/>
        <v>5193135989574.7852</v>
      </c>
      <c r="P106" s="16">
        <f t="shared" si="14"/>
        <v>5214118357209.4316</v>
      </c>
      <c r="Q106" s="16">
        <f t="shared" si="14"/>
        <v>5235100724844.0771</v>
      </c>
      <c r="R106" s="16">
        <f t="shared" si="14"/>
        <v>5250088130297.3945</v>
      </c>
      <c r="S106" s="16">
        <f t="shared" si="14"/>
        <v>5265075535750.7129</v>
      </c>
      <c r="T106" s="16">
        <f t="shared" si="14"/>
        <v>5280062941204.0313</v>
      </c>
      <c r="U106" s="16">
        <f t="shared" si="14"/>
        <v>5295050346657.3496</v>
      </c>
      <c r="V106" s="16">
        <f t="shared" si="14"/>
        <v>5310037752110.667</v>
      </c>
      <c r="W106" s="16">
        <f t="shared" si="14"/>
        <v>5333018440472.4258</v>
      </c>
      <c r="X106" s="16">
        <f t="shared" si="14"/>
        <v>5350549163214.7881</v>
      </c>
      <c r="Y106" s="16">
        <f t="shared" si="14"/>
        <v>5368079885957.1543</v>
      </c>
      <c r="Z106" s="16">
        <f t="shared" si="14"/>
        <v>5385610608699.5234</v>
      </c>
      <c r="AA106" s="16">
        <f t="shared" si="14"/>
        <v>5403141331441.8906</v>
      </c>
      <c r="AB106" s="16">
        <f t="shared" si="14"/>
        <v>5420672054184.2529</v>
      </c>
      <c r="AC106" s="16">
        <f t="shared" si="14"/>
        <v>5438202776926.6191</v>
      </c>
      <c r="AD106" s="16">
        <f t="shared" si="14"/>
        <v>5455733499668.9863</v>
      </c>
      <c r="AE106" s="16">
        <f t="shared" si="14"/>
        <v>5473264222411.3545</v>
      </c>
      <c r="AF106" s="16">
        <f t="shared" si="14"/>
        <v>5490794945153.7217</v>
      </c>
    </row>
    <row r="107" spans="1:32">
      <c r="A107" t="s">
        <v>14</v>
      </c>
      <c r="B107" s="16">
        <f t="shared" si="12"/>
        <v>10499352587842.764</v>
      </c>
      <c r="C107" s="16">
        <f t="shared" si="13"/>
        <v>10885185688555.77</v>
      </c>
      <c r="D107" s="16">
        <f t="shared" si="14"/>
        <v>11271018789268.775</v>
      </c>
      <c r="E107" s="16">
        <f t="shared" si="14"/>
        <v>11656851889981.779</v>
      </c>
      <c r="F107" s="16">
        <f t="shared" si="14"/>
        <v>12042684990694.787</v>
      </c>
      <c r="G107" s="16">
        <f t="shared" si="14"/>
        <v>12428518091407.793</v>
      </c>
      <c r="H107" s="16">
        <f t="shared" si="14"/>
        <v>12528611004163.395</v>
      </c>
      <c r="I107" s="16">
        <f t="shared" si="14"/>
        <v>12628703916918.994</v>
      </c>
      <c r="J107" s="16">
        <f t="shared" si="14"/>
        <v>12728796829674.598</v>
      </c>
      <c r="K107" s="16">
        <f t="shared" si="14"/>
        <v>12828889742430.197</v>
      </c>
      <c r="L107" s="16">
        <f t="shared" si="14"/>
        <v>12928982655185.801</v>
      </c>
      <c r="M107" s="16">
        <f t="shared" si="14"/>
        <v>12981861929849.137</v>
      </c>
      <c r="N107" s="16">
        <f t="shared" si="14"/>
        <v>13034741204512.473</v>
      </c>
      <c r="O107" s="16">
        <f t="shared" si="14"/>
        <v>13087620479175.811</v>
      </c>
      <c r="P107" s="16">
        <f t="shared" si="14"/>
        <v>13140499753839.146</v>
      </c>
      <c r="Q107" s="16">
        <f t="shared" si="14"/>
        <v>13193379028502.484</v>
      </c>
      <c r="R107" s="16">
        <f t="shared" si="14"/>
        <v>13231149938976.295</v>
      </c>
      <c r="S107" s="16">
        <f t="shared" si="14"/>
        <v>13268920849450.105</v>
      </c>
      <c r="T107" s="16">
        <f t="shared" si="14"/>
        <v>13306691759923.918</v>
      </c>
      <c r="U107" s="16">
        <f t="shared" si="14"/>
        <v>13344462670397.73</v>
      </c>
      <c r="V107" s="16">
        <f t="shared" si="14"/>
        <v>13382233580871.539</v>
      </c>
      <c r="W107" s="16">
        <f t="shared" si="14"/>
        <v>13440148976931.395</v>
      </c>
      <c r="X107" s="16">
        <f t="shared" si="14"/>
        <v>13484329496455.297</v>
      </c>
      <c r="Y107" s="16">
        <f t="shared" si="14"/>
        <v>13528510015979.215</v>
      </c>
      <c r="Z107" s="16">
        <f t="shared" si="14"/>
        <v>13572690535503.131</v>
      </c>
      <c r="AA107" s="16">
        <f t="shared" si="14"/>
        <v>13616871055027.045</v>
      </c>
      <c r="AB107" s="16">
        <f t="shared" si="14"/>
        <v>13661051574550.949</v>
      </c>
      <c r="AC107" s="16">
        <f t="shared" si="14"/>
        <v>13705232094074.865</v>
      </c>
      <c r="AD107" s="16">
        <f t="shared" si="14"/>
        <v>13749412613598.781</v>
      </c>
      <c r="AE107" s="16">
        <f t="shared" si="14"/>
        <v>13793593133122.697</v>
      </c>
      <c r="AF107" s="16">
        <f t="shared" si="14"/>
        <v>13837773652646.613</v>
      </c>
    </row>
    <row r="108" spans="1:32">
      <c r="A108" t="s">
        <v>15</v>
      </c>
      <c r="B108" s="16">
        <f t="shared" si="12"/>
        <v>35488290935051.68</v>
      </c>
      <c r="C108" s="16">
        <f t="shared" si="13"/>
        <v>37440253380603.922</v>
      </c>
      <c r="D108" s="16">
        <f t="shared" si="14"/>
        <v>34529477862126.105</v>
      </c>
      <c r="E108" s="16">
        <f t="shared" si="14"/>
        <v>33450926953527.336</v>
      </c>
      <c r="F108" s="16">
        <f t="shared" si="14"/>
        <v>34358797606142.914</v>
      </c>
      <c r="G108" s="16">
        <f t="shared" si="14"/>
        <v>34358797606142.914</v>
      </c>
      <c r="H108" s="16">
        <f t="shared" si="14"/>
        <v>34358797606142.914</v>
      </c>
      <c r="I108" s="16">
        <f t="shared" si="14"/>
        <v>32342334548014.289</v>
      </c>
      <c r="J108" s="16">
        <f t="shared" si="14"/>
        <v>34312793011559.5</v>
      </c>
      <c r="K108" s="16">
        <f t="shared" si="14"/>
        <v>34643352572878.422</v>
      </c>
      <c r="L108" s="16">
        <f t="shared" si="14"/>
        <v>38157585165168.344</v>
      </c>
      <c r="M108" s="16">
        <f t="shared" si="14"/>
        <v>39957136821657.766</v>
      </c>
      <c r="N108" s="16">
        <f t="shared" si="14"/>
        <v>41711657921789.234</v>
      </c>
      <c r="O108" s="16">
        <f t="shared" si="14"/>
        <v>45530749295252.992</v>
      </c>
      <c r="P108" s="16">
        <f t="shared" si="14"/>
        <v>43663653871059.82</v>
      </c>
      <c r="Q108" s="16">
        <f t="shared" si="14"/>
        <v>59553131917495.445</v>
      </c>
      <c r="R108" s="16">
        <f t="shared" si="14"/>
        <v>59553131917495.445</v>
      </c>
      <c r="S108" s="16">
        <f t="shared" si="14"/>
        <v>59553131917495.445</v>
      </c>
      <c r="T108" s="16">
        <f t="shared" si="14"/>
        <v>59499901966825.07</v>
      </c>
      <c r="U108" s="16">
        <f t="shared" si="14"/>
        <v>56164960269687.352</v>
      </c>
      <c r="V108" s="16">
        <f t="shared" si="14"/>
        <v>62530112558793.617</v>
      </c>
      <c r="W108" s="16">
        <f t="shared" si="14"/>
        <v>66010855747863.453</v>
      </c>
      <c r="X108" s="16">
        <f t="shared" si="14"/>
        <v>63409983740399.82</v>
      </c>
      <c r="Y108" s="16">
        <f t="shared" si="14"/>
        <v>63788452965742.031</v>
      </c>
      <c r="Z108" s="16">
        <f t="shared" si="14"/>
        <v>63788452965742.031</v>
      </c>
      <c r="AA108" s="16">
        <f t="shared" si="14"/>
        <v>66334513881384.563</v>
      </c>
      <c r="AB108" s="16">
        <f t="shared" si="14"/>
        <v>66334513881384.563</v>
      </c>
      <c r="AC108" s="16">
        <f t="shared" si="14"/>
        <v>70153605254848.32</v>
      </c>
      <c r="AD108" s="16">
        <f t="shared" si="14"/>
        <v>70153605254848.32</v>
      </c>
      <c r="AE108" s="16">
        <f t="shared" si="14"/>
        <v>70153605254848.32</v>
      </c>
      <c r="AF108" s="16">
        <f t="shared" si="14"/>
        <v>70153605254848.32</v>
      </c>
    </row>
    <row r="109" spans="1:32">
      <c r="A109" t="s">
        <v>16</v>
      </c>
      <c r="B109" s="16">
        <f t="shared" si="12"/>
        <v>5359812476611.335</v>
      </c>
      <c r="C109" s="16">
        <f t="shared" si="13"/>
        <v>5531269972875.4111</v>
      </c>
      <c r="D109" s="16">
        <f t="shared" si="14"/>
        <v>6217099957931.7109</v>
      </c>
      <c r="E109" s="16">
        <f t="shared" si="14"/>
        <v>5874184965403.5605</v>
      </c>
      <c r="F109" s="16">
        <f t="shared" si="14"/>
        <v>6045642461667.6367</v>
      </c>
      <c r="G109" s="16">
        <f t="shared" si="14"/>
        <v>6217099957931.7109</v>
      </c>
      <c r="H109" s="16">
        <f t="shared" si="14"/>
        <v>6264386457179.5928</v>
      </c>
      <c r="I109" s="16">
        <f t="shared" si="14"/>
        <v>6311672956427.4736</v>
      </c>
      <c r="J109" s="16">
        <f t="shared" si="14"/>
        <v>6358959455675.3564</v>
      </c>
      <c r="K109" s="16">
        <f t="shared" si="14"/>
        <v>6406245954923.2383</v>
      </c>
      <c r="L109" s="16">
        <f t="shared" si="14"/>
        <v>6453532454171.1191</v>
      </c>
      <c r="M109" s="16">
        <f t="shared" si="14"/>
        <v>6492221408101.2041</v>
      </c>
      <c r="N109" s="16">
        <f t="shared" si="14"/>
        <v>6530910362031.2881</v>
      </c>
      <c r="O109" s="16">
        <f t="shared" si="14"/>
        <v>6569599315961.374</v>
      </c>
      <c r="P109" s="16">
        <f t="shared" si="14"/>
        <v>6608288269891.459</v>
      </c>
      <c r="Q109" s="16">
        <f t="shared" si="14"/>
        <v>6646977223821.5439</v>
      </c>
      <c r="R109" s="16">
        <f t="shared" si="14"/>
        <v>6688890257245.8018</v>
      </c>
      <c r="S109" s="16">
        <f t="shared" si="14"/>
        <v>6730803290670.0615</v>
      </c>
      <c r="T109" s="16">
        <f t="shared" si="14"/>
        <v>6772716324094.3193</v>
      </c>
      <c r="U109" s="16">
        <f t="shared" si="14"/>
        <v>6814629357518.5791</v>
      </c>
      <c r="V109" s="16">
        <f t="shared" si="14"/>
        <v>6856542390942.8369</v>
      </c>
      <c r="W109" s="16">
        <f t="shared" si="14"/>
        <v>6894156651708.1973</v>
      </c>
      <c r="X109" s="16">
        <f t="shared" si="14"/>
        <v>6934701893831.8945</v>
      </c>
      <c r="Y109" s="16">
        <f t="shared" si="14"/>
        <v>6975247135955.5918</v>
      </c>
      <c r="Z109" s="16">
        <f t="shared" si="14"/>
        <v>7015792378079.29</v>
      </c>
      <c r="AA109" s="16">
        <f t="shared" si="14"/>
        <v>7056337620202.9854</v>
      </c>
      <c r="AB109" s="16">
        <f t="shared" si="14"/>
        <v>7096882862326.6992</v>
      </c>
      <c r="AC109" s="16">
        <f t="shared" si="14"/>
        <v>7137428104450.3965</v>
      </c>
      <c r="AD109" s="16">
        <f t="shared" si="14"/>
        <v>7177973346574.0928</v>
      </c>
      <c r="AE109" s="16">
        <f t="shared" si="14"/>
        <v>7218518588697.79</v>
      </c>
      <c r="AF109" s="16">
        <f t="shared" si="14"/>
        <v>7259063830821.4873</v>
      </c>
    </row>
    <row r="110" spans="1:32">
      <c r="A110" t="s">
        <v>17</v>
      </c>
      <c r="B110" s="16">
        <f t="shared" si="12"/>
        <v>10479671963139.066</v>
      </c>
      <c r="C110" s="16">
        <f t="shared" si="13"/>
        <v>10814910989561.998</v>
      </c>
      <c r="D110" s="16">
        <f t="shared" si="14"/>
        <v>12155867095253.709</v>
      </c>
      <c r="E110" s="16">
        <f t="shared" si="14"/>
        <v>11485389042407.854</v>
      </c>
      <c r="F110" s="16">
        <f t="shared" si="14"/>
        <v>11820628068830.781</v>
      </c>
      <c r="G110" s="16">
        <f t="shared" si="14"/>
        <v>12155867095253.709</v>
      </c>
      <c r="H110" s="16">
        <f t="shared" si="14"/>
        <v>12248323128476.035</v>
      </c>
      <c r="I110" s="16">
        <f t="shared" si="14"/>
        <v>12340779161698.365</v>
      </c>
      <c r="J110" s="16">
        <f t="shared" si="14"/>
        <v>12433235194920.689</v>
      </c>
      <c r="K110" s="16">
        <f t="shared" si="14"/>
        <v>12525691228143.018</v>
      </c>
      <c r="L110" s="16">
        <f t="shared" si="14"/>
        <v>12618147261365.346</v>
      </c>
      <c r="M110" s="16">
        <f t="shared" si="14"/>
        <v>12693793106729.066</v>
      </c>
      <c r="N110" s="16">
        <f t="shared" si="14"/>
        <v>12769438952092.789</v>
      </c>
      <c r="O110" s="16">
        <f t="shared" si="14"/>
        <v>12845084797456.514</v>
      </c>
      <c r="P110" s="16">
        <f t="shared" si="14"/>
        <v>12920730642820.234</v>
      </c>
      <c r="Q110" s="16">
        <f t="shared" si="14"/>
        <v>12996376488183.959</v>
      </c>
      <c r="R110" s="16">
        <f t="shared" si="14"/>
        <v>13078326153994.654</v>
      </c>
      <c r="S110" s="16">
        <f t="shared" si="14"/>
        <v>13160275819805.354</v>
      </c>
      <c r="T110" s="16">
        <f t="shared" si="14"/>
        <v>13242225485616.055</v>
      </c>
      <c r="U110" s="16">
        <f t="shared" si="14"/>
        <v>13324175151426.752</v>
      </c>
      <c r="V110" s="16">
        <f t="shared" si="14"/>
        <v>13406124817237.453</v>
      </c>
      <c r="W110" s="16">
        <f t="shared" si="14"/>
        <v>13479669389118.85</v>
      </c>
      <c r="X110" s="16">
        <f t="shared" si="14"/>
        <v>13558944706861.129</v>
      </c>
      <c r="Y110" s="16">
        <f t="shared" si="14"/>
        <v>13638220024603.408</v>
      </c>
      <c r="Z110" s="16">
        <f t="shared" si="14"/>
        <v>13717495342345.686</v>
      </c>
      <c r="AA110" s="16">
        <f t="shared" si="14"/>
        <v>13796770660087.965</v>
      </c>
      <c r="AB110" s="16">
        <f t="shared" si="14"/>
        <v>13876045977830.275</v>
      </c>
      <c r="AC110" s="16">
        <f t="shared" si="14"/>
        <v>13955321295572.555</v>
      </c>
      <c r="AD110" s="16">
        <f t="shared" si="14"/>
        <v>14034596613314.836</v>
      </c>
      <c r="AE110" s="16">
        <f t="shared" si="14"/>
        <v>14113871931057.111</v>
      </c>
      <c r="AF110" s="16">
        <f t="shared" si="14"/>
        <v>14193147248799.393</v>
      </c>
    </row>
    <row r="111" spans="1:32">
      <c r="A111" t="s">
        <v>18</v>
      </c>
      <c r="B111" s="16">
        <f t="shared" si="12"/>
        <v>77138260275493.063</v>
      </c>
      <c r="C111" s="16">
        <f t="shared" si="13"/>
        <v>80646417693075.594</v>
      </c>
      <c r="D111" s="16">
        <f t="shared" si="14"/>
        <v>94679047363405.75</v>
      </c>
      <c r="E111" s="16">
        <f t="shared" si="14"/>
        <v>87662732528240.672</v>
      </c>
      <c r="F111" s="16">
        <f t="shared" si="14"/>
        <v>91170889945823.219</v>
      </c>
      <c r="G111" s="16">
        <f t="shared" si="14"/>
        <v>94679047363405.75</v>
      </c>
      <c r="H111" s="16">
        <f t="shared" si="14"/>
        <v>96396960663476.406</v>
      </c>
      <c r="I111" s="16">
        <f t="shared" si="14"/>
        <v>98114873963547.516</v>
      </c>
      <c r="J111" s="16">
        <f t="shared" si="14"/>
        <v>99832787263618.609</v>
      </c>
      <c r="K111" s="16">
        <f t="shared" si="14"/>
        <v>101550700563689.72</v>
      </c>
      <c r="L111" s="16">
        <f t="shared" si="14"/>
        <v>103268613863761.25</v>
      </c>
      <c r="M111" s="16">
        <f t="shared" si="14"/>
        <v>104702851224025.75</v>
      </c>
      <c r="N111" s="16">
        <f t="shared" si="14"/>
        <v>106137088584290.23</v>
      </c>
      <c r="O111" s="16">
        <f t="shared" si="14"/>
        <v>107571325944554.73</v>
      </c>
      <c r="P111" s="16">
        <f t="shared" si="14"/>
        <v>109005563304819.2</v>
      </c>
      <c r="Q111" s="16">
        <f t="shared" si="14"/>
        <v>110439800665083.7</v>
      </c>
      <c r="R111" s="16">
        <f t="shared" si="14"/>
        <v>111916325121965.31</v>
      </c>
      <c r="S111" s="16">
        <f t="shared" si="14"/>
        <v>113392849578846.92</v>
      </c>
      <c r="T111" s="16">
        <f t="shared" si="14"/>
        <v>114869374035728.56</v>
      </c>
      <c r="U111" s="16">
        <f t="shared" si="14"/>
        <v>116345898492610.19</v>
      </c>
      <c r="V111" s="16">
        <f t="shared" si="14"/>
        <v>117822422949491.8</v>
      </c>
      <c r="W111" s="16">
        <f t="shared" si="14"/>
        <v>119242564610883.94</v>
      </c>
      <c r="X111" s="16">
        <f t="shared" si="14"/>
        <v>120701149087382.47</v>
      </c>
      <c r="Y111" s="16">
        <f t="shared" si="14"/>
        <v>122159733563881.47</v>
      </c>
      <c r="Z111" s="16">
        <f t="shared" si="14"/>
        <v>123618318040380.03</v>
      </c>
      <c r="AA111" s="16">
        <f t="shared" si="14"/>
        <v>125076902516878.58</v>
      </c>
      <c r="AB111" s="16">
        <f t="shared" si="14"/>
        <v>126535486993377.16</v>
      </c>
      <c r="AC111" s="16">
        <f t="shared" si="14"/>
        <v>127994071469875.69</v>
      </c>
      <c r="AD111" s="16">
        <f t="shared" si="14"/>
        <v>129452655946374.25</v>
      </c>
      <c r="AE111" s="16">
        <f t="shared" si="14"/>
        <v>130911240422872.83</v>
      </c>
      <c r="AF111" s="16">
        <f t="shared" si="14"/>
        <v>132369824899371.36</v>
      </c>
    </row>
    <row r="112" spans="1:32">
      <c r="A112" t="s">
        <v>19</v>
      </c>
      <c r="B112" s="16">
        <f t="shared" si="12"/>
        <v>13432850588727.055</v>
      </c>
      <c r="C112" s="16">
        <f t="shared" si="13"/>
        <v>14043760846021.154</v>
      </c>
      <c r="D112" s="16">
        <f t="shared" si="14"/>
        <v>16487401875197.557</v>
      </c>
      <c r="E112" s="16">
        <f t="shared" si="14"/>
        <v>15265581360609.357</v>
      </c>
      <c r="F112" s="16">
        <f t="shared" si="14"/>
        <v>15876491617903.457</v>
      </c>
      <c r="G112" s="16">
        <f t="shared" si="14"/>
        <v>16487401875197.557</v>
      </c>
      <c r="H112" s="16">
        <f t="shared" si="14"/>
        <v>16786559162409.121</v>
      </c>
      <c r="I112" s="16">
        <f t="shared" si="14"/>
        <v>17085716449620.764</v>
      </c>
      <c r="J112" s="16">
        <f t="shared" si="14"/>
        <v>17384873736832.408</v>
      </c>
      <c r="K112" s="16">
        <f t="shared" si="14"/>
        <v>17684031024044.051</v>
      </c>
      <c r="L112" s="16">
        <f t="shared" si="14"/>
        <v>17983188311255.77</v>
      </c>
      <c r="M112" s="16">
        <f t="shared" si="14"/>
        <v>18232946292579.133</v>
      </c>
      <c r="N112" s="16">
        <f t="shared" si="14"/>
        <v>18482704273902.492</v>
      </c>
      <c r="O112" s="16">
        <f t="shared" si="14"/>
        <v>18732462255225.855</v>
      </c>
      <c r="P112" s="16">
        <f t="shared" si="14"/>
        <v>18982220236549.215</v>
      </c>
      <c r="Q112" s="16">
        <f t="shared" si="14"/>
        <v>19231978217872.578</v>
      </c>
      <c r="R112" s="16">
        <f t="shared" si="14"/>
        <v>19489100070881.145</v>
      </c>
      <c r="S112" s="16">
        <f t="shared" si="14"/>
        <v>19746221923889.719</v>
      </c>
      <c r="T112" s="16">
        <f t="shared" si="14"/>
        <v>20003343776898.289</v>
      </c>
      <c r="U112" s="16">
        <f t="shared" si="14"/>
        <v>20260465629906.859</v>
      </c>
      <c r="V112" s="16">
        <f t="shared" si="14"/>
        <v>20517587482915.43</v>
      </c>
      <c r="W112" s="16">
        <f t="shared" si="14"/>
        <v>20764890840343.723</v>
      </c>
      <c r="X112" s="16">
        <f t="shared" si="14"/>
        <v>21018888626576.742</v>
      </c>
      <c r="Y112" s="16">
        <f t="shared" si="14"/>
        <v>21272886412809.84</v>
      </c>
      <c r="Z112" s="16">
        <f t="shared" si="14"/>
        <v>21526884199042.863</v>
      </c>
      <c r="AA112" s="16">
        <f t="shared" si="14"/>
        <v>21780881985275.883</v>
      </c>
      <c r="AB112" s="16">
        <f t="shared" si="14"/>
        <v>22034879771508.902</v>
      </c>
      <c r="AC112" s="16">
        <f t="shared" si="14"/>
        <v>22288877557741.922</v>
      </c>
      <c r="AD112" s="16">
        <f t="shared" si="14"/>
        <v>22542875343974.941</v>
      </c>
      <c r="AE112" s="16">
        <f t="shared" si="14"/>
        <v>22796873130207.961</v>
      </c>
      <c r="AF112" s="16">
        <f t="shared" si="14"/>
        <v>23050870916440.98</v>
      </c>
    </row>
    <row r="113" spans="1:32">
      <c r="A113" t="s">
        <v>20</v>
      </c>
      <c r="B113" s="16">
        <f t="shared" si="12"/>
        <v>20970350415231.02</v>
      </c>
      <c r="C113" s="16">
        <f t="shared" si="13"/>
        <v>21924057305894.066</v>
      </c>
      <c r="D113" s="16">
        <f t="shared" si="14"/>
        <v>25738884868546.281</v>
      </c>
      <c r="E113" s="16">
        <f t="shared" si="14"/>
        <v>23831471087220.176</v>
      </c>
      <c r="F113" s="16">
        <f t="shared" si="14"/>
        <v>24785177977883.227</v>
      </c>
      <c r="G113" s="16">
        <f t="shared" ref="D113:AF119" si="15">IFERROR($B113*G29/$B29,0)</f>
        <v>25738884868546.281</v>
      </c>
      <c r="H113" s="16">
        <f t="shared" si="15"/>
        <v>26205906600133.254</v>
      </c>
      <c r="I113" s="16">
        <f t="shared" si="15"/>
        <v>26672928331720.355</v>
      </c>
      <c r="J113" s="16">
        <f t="shared" si="15"/>
        <v>27139950063307.449</v>
      </c>
      <c r="K113" s="16">
        <f t="shared" si="15"/>
        <v>27606971794894.547</v>
      </c>
      <c r="L113" s="16">
        <f t="shared" si="15"/>
        <v>28073993526481.762</v>
      </c>
      <c r="M113" s="16">
        <f t="shared" si="15"/>
        <v>28463896797776.02</v>
      </c>
      <c r="N113" s="16">
        <f t="shared" si="15"/>
        <v>28853800069070.27</v>
      </c>
      <c r="O113" s="16">
        <f t="shared" si="15"/>
        <v>29243703340364.523</v>
      </c>
      <c r="P113" s="16">
        <f t="shared" si="15"/>
        <v>29633606611658.77</v>
      </c>
      <c r="Q113" s="16">
        <f t="shared" si="15"/>
        <v>30023509882953.023</v>
      </c>
      <c r="R113" s="16">
        <f t="shared" si="15"/>
        <v>30424909073794.035</v>
      </c>
      <c r="S113" s="16">
        <f t="shared" si="15"/>
        <v>30826308264635.051</v>
      </c>
      <c r="T113" s="16">
        <f t="shared" si="15"/>
        <v>31227707455476.063</v>
      </c>
      <c r="U113" s="16">
        <f t="shared" si="15"/>
        <v>31629106646317.07</v>
      </c>
      <c r="V113" s="16">
        <f t="shared" si="15"/>
        <v>32030505837158.09</v>
      </c>
      <c r="W113" s="16">
        <f t="shared" si="15"/>
        <v>32416577135270.082</v>
      </c>
      <c r="X113" s="16">
        <f t="shared" si="15"/>
        <v>32813099269333.676</v>
      </c>
      <c r="Y113" s="16">
        <f t="shared" si="15"/>
        <v>33209621403397.383</v>
      </c>
      <c r="Z113" s="16">
        <f t="shared" si="15"/>
        <v>33606143537460.973</v>
      </c>
      <c r="AA113" s="16">
        <f t="shared" si="15"/>
        <v>34002665671524.559</v>
      </c>
      <c r="AB113" s="16">
        <f t="shared" si="15"/>
        <v>34399187805588.148</v>
      </c>
      <c r="AC113" s="16">
        <f t="shared" si="15"/>
        <v>34795709939651.734</v>
      </c>
      <c r="AD113" s="16">
        <f t="shared" si="15"/>
        <v>35192232073715.32</v>
      </c>
      <c r="AE113" s="16">
        <f t="shared" si="15"/>
        <v>35588754207778.914</v>
      </c>
      <c r="AF113" s="16">
        <f t="shared" si="15"/>
        <v>35985276341842.5</v>
      </c>
    </row>
    <row r="114" spans="1:32">
      <c r="A114" t="s">
        <v>21</v>
      </c>
      <c r="B114" s="16">
        <f t="shared" si="12"/>
        <v>21894727166165.695</v>
      </c>
      <c r="C114" s="16">
        <f t="shared" si="13"/>
        <v>22890473625051.449</v>
      </c>
      <c r="D114" s="16">
        <f t="shared" si="15"/>
        <v>26873459460594.477</v>
      </c>
      <c r="E114" s="16">
        <f t="shared" si="15"/>
        <v>24881966542822.965</v>
      </c>
      <c r="F114" s="16">
        <f t="shared" si="15"/>
        <v>25877713001708.723</v>
      </c>
      <c r="G114" s="16">
        <f t="shared" si="15"/>
        <v>26873459460594.477</v>
      </c>
      <c r="H114" s="16">
        <f t="shared" si="15"/>
        <v>27361067592614.066</v>
      </c>
      <c r="I114" s="16">
        <f t="shared" si="15"/>
        <v>27848675724633.793</v>
      </c>
      <c r="J114" s="16">
        <f t="shared" si="15"/>
        <v>28336283856653.512</v>
      </c>
      <c r="K114" s="16">
        <f t="shared" si="15"/>
        <v>28823891988673.23</v>
      </c>
      <c r="L114" s="16">
        <f t="shared" si="15"/>
        <v>29311500120693.074</v>
      </c>
      <c r="M114" s="16">
        <f t="shared" si="15"/>
        <v>29718590397066.457</v>
      </c>
      <c r="N114" s="16">
        <f t="shared" si="15"/>
        <v>30125680673439.848</v>
      </c>
      <c r="O114" s="16">
        <f t="shared" si="15"/>
        <v>30532770949813.23</v>
      </c>
      <c r="P114" s="16">
        <f t="shared" si="15"/>
        <v>30939861226186.617</v>
      </c>
      <c r="Q114" s="16">
        <f t="shared" si="15"/>
        <v>31346951502560</v>
      </c>
      <c r="R114" s="16">
        <f t="shared" si="15"/>
        <v>31766044440644.648</v>
      </c>
      <c r="S114" s="16">
        <f t="shared" si="15"/>
        <v>32185137378729.285</v>
      </c>
      <c r="T114" s="16">
        <f t="shared" si="15"/>
        <v>32604230316813.93</v>
      </c>
      <c r="U114" s="16">
        <f t="shared" si="15"/>
        <v>33023323254898.57</v>
      </c>
      <c r="V114" s="16">
        <f t="shared" si="15"/>
        <v>33442416192983.207</v>
      </c>
      <c r="W114" s="16">
        <f t="shared" si="15"/>
        <v>33845505582119.512</v>
      </c>
      <c r="X114" s="16">
        <f t="shared" si="15"/>
        <v>34259506481902.395</v>
      </c>
      <c r="Y114" s="16">
        <f t="shared" si="15"/>
        <v>34673507381685.406</v>
      </c>
      <c r="Z114" s="16">
        <f t="shared" si="15"/>
        <v>35087508281468.297</v>
      </c>
      <c r="AA114" s="16">
        <f t="shared" si="15"/>
        <v>35501509181251.172</v>
      </c>
      <c r="AB114" s="16">
        <f t="shared" si="15"/>
        <v>35915510081034.063</v>
      </c>
      <c r="AC114" s="16">
        <f t="shared" si="15"/>
        <v>36329510980816.945</v>
      </c>
      <c r="AD114" s="16">
        <f t="shared" si="15"/>
        <v>36743511880599.836</v>
      </c>
      <c r="AE114" s="16">
        <f t="shared" si="15"/>
        <v>37157512780382.711</v>
      </c>
      <c r="AF114" s="16">
        <f t="shared" si="15"/>
        <v>37571513680165.602</v>
      </c>
    </row>
    <row r="115" spans="1:32">
      <c r="A115" t="s">
        <v>22</v>
      </c>
      <c r="B115" s="16">
        <f t="shared" si="12"/>
        <v>5606816978694.3467</v>
      </c>
      <c r="C115" s="16">
        <f t="shared" si="13"/>
        <v>5861808425255.1826</v>
      </c>
      <c r="D115" s="16">
        <f t="shared" si="15"/>
        <v>6881774211498.5283</v>
      </c>
      <c r="E115" s="16">
        <f t="shared" si="15"/>
        <v>6371791318376.8555</v>
      </c>
      <c r="F115" s="16">
        <f t="shared" si="15"/>
        <v>6626782764937.6924</v>
      </c>
      <c r="G115" s="16">
        <f t="shared" si="15"/>
        <v>6881774211498.5283</v>
      </c>
      <c r="H115" s="16">
        <f t="shared" si="15"/>
        <v>7006641241482.8838</v>
      </c>
      <c r="I115" s="16">
        <f t="shared" si="15"/>
        <v>7131508271467.2705</v>
      </c>
      <c r="J115" s="16">
        <f t="shared" si="15"/>
        <v>7256375301451.6582</v>
      </c>
      <c r="K115" s="16">
        <f t="shared" si="15"/>
        <v>7381242331436.0469</v>
      </c>
      <c r="L115" s="16">
        <f t="shared" si="15"/>
        <v>7506109361420.4668</v>
      </c>
      <c r="M115" s="16">
        <f t="shared" si="15"/>
        <v>7610357322863.8418</v>
      </c>
      <c r="N115" s="16">
        <f t="shared" si="15"/>
        <v>7714605284307.2178</v>
      </c>
      <c r="O115" s="16">
        <f t="shared" si="15"/>
        <v>7818853245750.5938</v>
      </c>
      <c r="P115" s="16">
        <f t="shared" si="15"/>
        <v>7923101207193.9707</v>
      </c>
      <c r="Q115" s="16">
        <f t="shared" si="15"/>
        <v>8027349168637.3457</v>
      </c>
      <c r="R115" s="16">
        <f t="shared" si="15"/>
        <v>8134670780049.5674</v>
      </c>
      <c r="S115" s="16">
        <f t="shared" si="15"/>
        <v>8241992391461.79</v>
      </c>
      <c r="T115" s="16">
        <f t="shared" si="15"/>
        <v>8349314002874.0137</v>
      </c>
      <c r="U115" s="16">
        <f t="shared" si="15"/>
        <v>8456635614286.2344</v>
      </c>
      <c r="V115" s="16">
        <f t="shared" si="15"/>
        <v>8563957225698.458</v>
      </c>
      <c r="W115" s="16">
        <f t="shared" si="15"/>
        <v>8667180637152.2178</v>
      </c>
      <c r="X115" s="16">
        <f t="shared" si="15"/>
        <v>8773198275850.3799</v>
      </c>
      <c r="Y115" s="16">
        <f t="shared" si="15"/>
        <v>8879215914548.5762</v>
      </c>
      <c r="Z115" s="16">
        <f t="shared" si="15"/>
        <v>8985233553246.7402</v>
      </c>
      <c r="AA115" s="16">
        <f t="shared" si="15"/>
        <v>9091251191944.9043</v>
      </c>
      <c r="AB115" s="16">
        <f t="shared" si="15"/>
        <v>9197268830643.0684</v>
      </c>
      <c r="AC115" s="16">
        <f t="shared" si="15"/>
        <v>9303286469341.2285</v>
      </c>
      <c r="AD115" s="16">
        <f t="shared" si="15"/>
        <v>9409304108039.3926</v>
      </c>
      <c r="AE115" s="16">
        <f t="shared" si="15"/>
        <v>9515321746737.5566</v>
      </c>
      <c r="AF115" s="16">
        <f t="shared" si="15"/>
        <v>9621339385435.7188</v>
      </c>
    </row>
    <row r="116" spans="1:32">
      <c r="A116" t="s">
        <v>23</v>
      </c>
      <c r="B116" s="16">
        <f t="shared" si="12"/>
        <v>5465562995795.4902</v>
      </c>
      <c r="C116" s="16">
        <f t="shared" si="13"/>
        <v>5666413010133.6914</v>
      </c>
      <c r="D116" s="16">
        <f t="shared" si="15"/>
        <v>5867263024471.8906</v>
      </c>
      <c r="E116" s="16">
        <f t="shared" si="15"/>
        <v>6068113038810.0898</v>
      </c>
      <c r="F116" s="16">
        <f t="shared" si="15"/>
        <v>6268963053148.29</v>
      </c>
      <c r="G116" s="16">
        <f t="shared" si="15"/>
        <v>6469813067486.4902</v>
      </c>
      <c r="H116" s="16">
        <f t="shared" si="15"/>
        <v>6521917624936.2393</v>
      </c>
      <c r="I116" s="16">
        <f t="shared" si="15"/>
        <v>6574022182385.9854</v>
      </c>
      <c r="J116" s="16">
        <f t="shared" si="15"/>
        <v>6626126739835.7324</v>
      </c>
      <c r="K116" s="16">
        <f t="shared" si="15"/>
        <v>6678231297285.4785</v>
      </c>
      <c r="L116" s="16">
        <f t="shared" si="15"/>
        <v>6730335854735.2256</v>
      </c>
      <c r="M116" s="16">
        <f t="shared" si="15"/>
        <v>6757862790746.4131</v>
      </c>
      <c r="N116" s="16">
        <f t="shared" si="15"/>
        <v>6785389726757.6006</v>
      </c>
      <c r="O116" s="16">
        <f t="shared" si="15"/>
        <v>6812916662768.7871</v>
      </c>
      <c r="P116" s="16">
        <f t="shared" si="15"/>
        <v>6840443598779.9746</v>
      </c>
      <c r="Q116" s="16">
        <f t="shared" si="15"/>
        <v>6867970534791.1611</v>
      </c>
      <c r="R116" s="16">
        <f t="shared" si="15"/>
        <v>6887632631942.0088</v>
      </c>
      <c r="S116" s="16">
        <f t="shared" si="15"/>
        <v>6907294729092.8564</v>
      </c>
      <c r="T116" s="16">
        <f t="shared" si="15"/>
        <v>6926956826243.7041</v>
      </c>
      <c r="U116" s="16">
        <f t="shared" si="15"/>
        <v>6946618923394.5518</v>
      </c>
      <c r="V116" s="16">
        <f t="shared" si="15"/>
        <v>6966281020545.3984</v>
      </c>
      <c r="W116" s="16">
        <f t="shared" si="15"/>
        <v>6996429569510.0381</v>
      </c>
      <c r="X116" s="16">
        <f t="shared" si="15"/>
        <v>7019428264965.2666</v>
      </c>
      <c r="Y116" s="16">
        <f t="shared" si="15"/>
        <v>7042426960420.502</v>
      </c>
      <c r="Z116" s="16">
        <f t="shared" si="15"/>
        <v>7065425655875.7393</v>
      </c>
      <c r="AA116" s="16">
        <f t="shared" si="15"/>
        <v>7088424351330.9727</v>
      </c>
      <c r="AB116" s="16">
        <f t="shared" si="15"/>
        <v>7111423046786.2031</v>
      </c>
      <c r="AC116" s="16">
        <f t="shared" si="15"/>
        <v>7134421742241.4385</v>
      </c>
      <c r="AD116" s="16">
        <f t="shared" si="15"/>
        <v>7157420437696.6729</v>
      </c>
      <c r="AE116" s="16">
        <f t="shared" si="15"/>
        <v>7180419133151.9092</v>
      </c>
      <c r="AF116" s="16">
        <f t="shared" si="15"/>
        <v>7203417828607.1445</v>
      </c>
    </row>
    <row r="117" spans="1:32">
      <c r="A117" t="s">
        <v>24</v>
      </c>
      <c r="B117" s="16">
        <f t="shared" si="12"/>
        <v>0</v>
      </c>
      <c r="C117" s="16">
        <f t="shared" si="13"/>
        <v>0</v>
      </c>
      <c r="D117" s="16">
        <f t="shared" si="15"/>
        <v>0</v>
      </c>
      <c r="E117" s="16">
        <f t="shared" si="15"/>
        <v>0</v>
      </c>
      <c r="F117" s="16">
        <f t="shared" si="15"/>
        <v>0</v>
      </c>
      <c r="G117" s="16">
        <f t="shared" si="15"/>
        <v>0</v>
      </c>
      <c r="H117" s="16">
        <f t="shared" si="15"/>
        <v>0</v>
      </c>
      <c r="I117" s="16">
        <f t="shared" si="15"/>
        <v>0</v>
      </c>
      <c r="J117" s="16">
        <f t="shared" si="15"/>
        <v>0</v>
      </c>
      <c r="K117" s="16">
        <f t="shared" si="15"/>
        <v>0</v>
      </c>
      <c r="L117" s="16">
        <f t="shared" si="15"/>
        <v>0</v>
      </c>
      <c r="M117" s="16">
        <f t="shared" si="15"/>
        <v>0</v>
      </c>
      <c r="N117" s="16">
        <f t="shared" si="15"/>
        <v>0</v>
      </c>
      <c r="O117" s="16">
        <f t="shared" si="15"/>
        <v>0</v>
      </c>
      <c r="P117" s="16">
        <f t="shared" si="15"/>
        <v>0</v>
      </c>
      <c r="Q117" s="16">
        <f t="shared" si="15"/>
        <v>0</v>
      </c>
      <c r="R117" s="16">
        <f t="shared" si="15"/>
        <v>0</v>
      </c>
      <c r="S117" s="16">
        <f t="shared" si="15"/>
        <v>0</v>
      </c>
      <c r="T117" s="16">
        <f t="shared" si="15"/>
        <v>0</v>
      </c>
      <c r="U117" s="16">
        <f t="shared" si="15"/>
        <v>0</v>
      </c>
      <c r="V117" s="16">
        <f t="shared" si="15"/>
        <v>0</v>
      </c>
      <c r="W117" s="16">
        <f t="shared" si="15"/>
        <v>0</v>
      </c>
      <c r="X117" s="16">
        <f t="shared" si="15"/>
        <v>0</v>
      </c>
      <c r="Y117" s="16">
        <f t="shared" si="15"/>
        <v>0</v>
      </c>
      <c r="Z117" s="16">
        <f t="shared" si="15"/>
        <v>0</v>
      </c>
      <c r="AA117" s="16">
        <f t="shared" si="15"/>
        <v>0</v>
      </c>
      <c r="AB117" s="16">
        <f t="shared" si="15"/>
        <v>0</v>
      </c>
      <c r="AC117" s="16">
        <f t="shared" si="15"/>
        <v>0</v>
      </c>
      <c r="AD117" s="16">
        <f t="shared" si="15"/>
        <v>0</v>
      </c>
      <c r="AE117" s="16">
        <f t="shared" si="15"/>
        <v>0</v>
      </c>
      <c r="AF117" s="16">
        <f t="shared" si="15"/>
        <v>0</v>
      </c>
    </row>
    <row r="118" spans="1:32">
      <c r="A118" t="s">
        <v>25</v>
      </c>
      <c r="B118" s="16">
        <f t="shared" si="12"/>
        <v>1623343618032.2144</v>
      </c>
      <c r="C118" s="16">
        <f t="shared" si="13"/>
        <v>1624966961650.2463</v>
      </c>
      <c r="D118" s="16">
        <f t="shared" si="15"/>
        <v>1626591928611.8965</v>
      </c>
      <c r="E118" s="16">
        <f t="shared" si="15"/>
        <v>1628218520540.5081</v>
      </c>
      <c r="F118" s="16">
        <f t="shared" si="15"/>
        <v>1629846739061.0483</v>
      </c>
      <c r="G118" s="16">
        <f t="shared" si="15"/>
        <v>1631476585800.1094</v>
      </c>
      <c r="H118" s="16">
        <f t="shared" si="15"/>
        <v>1633108062385.9094</v>
      </c>
      <c r="I118" s="16">
        <f t="shared" si="15"/>
        <v>1634741170448.2949</v>
      </c>
      <c r="J118" s="16">
        <f t="shared" si="15"/>
        <v>1636375911618.7432</v>
      </c>
      <c r="K118" s="16">
        <f t="shared" si="15"/>
        <v>1638012287530.3618</v>
      </c>
      <c r="L118" s="16">
        <f t="shared" si="15"/>
        <v>1639650299817.8921</v>
      </c>
      <c r="M118" s="16">
        <f t="shared" si="15"/>
        <v>1641289950117.7097</v>
      </c>
      <c r="N118" s="16">
        <f t="shared" si="15"/>
        <v>1642931240067.8271</v>
      </c>
      <c r="O118" s="16">
        <f t="shared" si="15"/>
        <v>1644574171307.895</v>
      </c>
      <c r="P118" s="16">
        <f t="shared" si="15"/>
        <v>1646218745479.2026</v>
      </c>
      <c r="Q118" s="16">
        <f t="shared" si="15"/>
        <v>1647864964224.6816</v>
      </c>
      <c r="R118" s="16">
        <f t="shared" si="15"/>
        <v>1649512829188.906</v>
      </c>
      <c r="S118" s="16">
        <f t="shared" si="15"/>
        <v>1651162342018.0947</v>
      </c>
      <c r="T118" s="16">
        <f t="shared" si="15"/>
        <v>1652813504360.1125</v>
      </c>
      <c r="U118" s="16">
        <f t="shared" si="15"/>
        <v>1654466317864.4724</v>
      </c>
      <c r="V118" s="16">
        <f t="shared" si="15"/>
        <v>1656120784182.3369</v>
      </c>
      <c r="W118" s="16">
        <f t="shared" si="15"/>
        <v>1647840180261.425</v>
      </c>
      <c r="X118" s="16">
        <f t="shared" si="15"/>
        <v>1639600979360.1177</v>
      </c>
      <c r="Y118" s="16">
        <f t="shared" si="15"/>
        <v>1631402974463.3171</v>
      </c>
      <c r="Z118" s="16">
        <f t="shared" si="15"/>
        <v>1623245959591.0005</v>
      </c>
      <c r="AA118" s="16">
        <f t="shared" si="15"/>
        <v>1615129729793.0457</v>
      </c>
      <c r="AB118" s="16">
        <f t="shared" si="15"/>
        <v>1607054081144.0806</v>
      </c>
      <c r="AC118" s="16">
        <f t="shared" si="15"/>
        <v>1599018810738.3601</v>
      </c>
      <c r="AD118" s="16">
        <f t="shared" si="15"/>
        <v>1591023716684.6682</v>
      </c>
      <c r="AE118" s="16">
        <f t="shared" si="15"/>
        <v>1583068598101.2449</v>
      </c>
      <c r="AF118" s="16">
        <f t="shared" si="15"/>
        <v>1575153255110.7385</v>
      </c>
    </row>
    <row r="119" spans="1:32">
      <c r="A119" t="s">
        <v>26</v>
      </c>
      <c r="B119" s="16">
        <f t="shared" si="12"/>
        <v>12159723510.070177</v>
      </c>
      <c r="C119" s="16">
        <f t="shared" si="13"/>
        <v>12606572378.745724</v>
      </c>
      <c r="D119" s="16">
        <f t="shared" si="15"/>
        <v>13053421247.421268</v>
      </c>
      <c r="E119" s="16">
        <f t="shared" si="15"/>
        <v>13500270116.096815</v>
      </c>
      <c r="F119" s="16">
        <f t="shared" si="15"/>
        <v>13947118984.772362</v>
      </c>
      <c r="G119" s="16">
        <f t="shared" si="15"/>
        <v>14393967853.447908</v>
      </c>
      <c r="H119" s="16">
        <f t="shared" si="15"/>
        <v>14509889490.924393</v>
      </c>
      <c r="I119" s="16">
        <f t="shared" si="15"/>
        <v>14625811128.400875</v>
      </c>
      <c r="J119" s="16">
        <f t="shared" si="15"/>
        <v>14741732765.877361</v>
      </c>
      <c r="K119" s="16">
        <f t="shared" si="15"/>
        <v>14857654403.353844</v>
      </c>
      <c r="L119" s="16">
        <f t="shared" si="15"/>
        <v>14973576040.830328</v>
      </c>
      <c r="M119" s="16">
        <f t="shared" si="15"/>
        <v>15034817660.629225</v>
      </c>
      <c r="N119" s="16">
        <f t="shared" si="15"/>
        <v>15096059280.428122</v>
      </c>
      <c r="O119" s="16">
        <f t="shared" si="15"/>
        <v>15157300900.22702</v>
      </c>
      <c r="P119" s="16">
        <f t="shared" si="15"/>
        <v>15218542520.025915</v>
      </c>
      <c r="Q119" s="16">
        <f t="shared" si="15"/>
        <v>15279784139.824814</v>
      </c>
      <c r="R119" s="16">
        <f t="shared" si="15"/>
        <v>15323528153.966885</v>
      </c>
      <c r="S119" s="16">
        <f t="shared" si="15"/>
        <v>15367272168.10895</v>
      </c>
      <c r="T119" s="16">
        <f t="shared" si="15"/>
        <v>15411016182.25102</v>
      </c>
      <c r="U119" s="16">
        <f t="shared" si="15"/>
        <v>15454760196.393089</v>
      </c>
      <c r="V119" s="16">
        <f t="shared" si="15"/>
        <v>15498504210.535156</v>
      </c>
      <c r="W119" s="16">
        <f t="shared" si="15"/>
        <v>15565578365.553009</v>
      </c>
      <c r="X119" s="16">
        <f t="shared" si="15"/>
        <v>15616745606.337355</v>
      </c>
      <c r="Y119" s="16">
        <f t="shared" si="15"/>
        <v>15667912847.121721</v>
      </c>
      <c r="Z119" s="16">
        <f t="shared" si="15"/>
        <v>15719080087.906082</v>
      </c>
      <c r="AA119" s="16">
        <f t="shared" si="15"/>
        <v>15770247328.690449</v>
      </c>
      <c r="AB119" s="16">
        <f t="shared" si="15"/>
        <v>15821414569.474794</v>
      </c>
      <c r="AC119" s="16">
        <f t="shared" si="15"/>
        <v>15872581810.259157</v>
      </c>
      <c r="AD119" s="16">
        <f t="shared" si="15"/>
        <v>15923749051.043522</v>
      </c>
      <c r="AE119" s="16">
        <f t="shared" si="15"/>
        <v>15974916291.827883</v>
      </c>
      <c r="AF119" s="16">
        <f t="shared" si="15"/>
        <v>16026083532.612246</v>
      </c>
    </row>
    <row r="121" spans="1:32">
      <c r="A121" s="1" t="s">
        <v>807</v>
      </c>
    </row>
    <row r="122" spans="1:32">
      <c r="B122">
        <v>2020</v>
      </c>
      <c r="C122">
        <v>2021</v>
      </c>
      <c r="D122">
        <v>2022</v>
      </c>
      <c r="E122">
        <v>2023</v>
      </c>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2">
      <c r="A123" t="s">
        <v>2</v>
      </c>
      <c r="B123" s="16">
        <f>E$5*$B11/SUM($B$11:$B$35)</f>
        <v>1181287978619.6465</v>
      </c>
      <c r="C123" s="16">
        <f>IFERROR($B123*C11/$B11,0)</f>
        <v>1224698274617.6653</v>
      </c>
      <c r="D123" s="16">
        <f t="shared" ref="D123:AF132" si="16">IFERROR($B123*D11/$B11,0)</f>
        <v>1268108570615.6836</v>
      </c>
      <c r="E123" s="16">
        <f t="shared" si="16"/>
        <v>1311518866613.7021</v>
      </c>
      <c r="F123" s="16">
        <f t="shared" si="16"/>
        <v>1354929162611.7209</v>
      </c>
      <c r="G123" s="16">
        <f t="shared" si="16"/>
        <v>1398339458609.7393</v>
      </c>
      <c r="H123" s="16">
        <f t="shared" si="16"/>
        <v>1409600967697.4641</v>
      </c>
      <c r="I123" s="16">
        <f t="shared" si="16"/>
        <v>1420862476785.1887</v>
      </c>
      <c r="J123" s="16">
        <f t="shared" si="16"/>
        <v>1432123985872.9133</v>
      </c>
      <c r="K123" s="16">
        <f t="shared" si="16"/>
        <v>1443385494960.6384</v>
      </c>
      <c r="L123" s="16">
        <f t="shared" si="16"/>
        <v>1454647004048.363</v>
      </c>
      <c r="M123" s="16">
        <f t="shared" si="16"/>
        <v>1460596480547.5383</v>
      </c>
      <c r="N123" s="16">
        <f t="shared" si="16"/>
        <v>1466545957046.7134</v>
      </c>
      <c r="O123" s="16">
        <f t="shared" si="16"/>
        <v>1472495433545.8889</v>
      </c>
      <c r="P123" s="16">
        <f t="shared" si="16"/>
        <v>1478444910045.0642</v>
      </c>
      <c r="Q123" s="16">
        <f t="shared" si="16"/>
        <v>1484394386544.2397</v>
      </c>
      <c r="R123" s="16">
        <f t="shared" si="16"/>
        <v>1488644012615.0791</v>
      </c>
      <c r="S123" s="16">
        <f t="shared" si="16"/>
        <v>1492893638685.9187</v>
      </c>
      <c r="T123" s="16">
        <f t="shared" si="16"/>
        <v>1497143264756.7581</v>
      </c>
      <c r="U123" s="16">
        <f t="shared" si="16"/>
        <v>1501392890827.5977</v>
      </c>
      <c r="V123" s="16">
        <f t="shared" si="16"/>
        <v>1505642516898.4368</v>
      </c>
      <c r="W123" s="16">
        <f t="shared" si="16"/>
        <v>1512158610207.0583</v>
      </c>
      <c r="X123" s="16">
        <f t="shared" si="16"/>
        <v>1517129384944.4639</v>
      </c>
      <c r="Y123" s="16">
        <f t="shared" si="16"/>
        <v>1522100159681.8701</v>
      </c>
      <c r="Z123" s="16">
        <f t="shared" si="16"/>
        <v>1527070934419.2764</v>
      </c>
      <c r="AA123" s="16">
        <f t="shared" si="16"/>
        <v>1532041709156.6831</v>
      </c>
      <c r="AB123" s="16">
        <f t="shared" si="16"/>
        <v>1537012483894.0881</v>
      </c>
      <c r="AC123" s="16">
        <f t="shared" si="16"/>
        <v>1541983258631.4949</v>
      </c>
      <c r="AD123" s="16">
        <f t="shared" si="16"/>
        <v>1546954033368.9011</v>
      </c>
      <c r="AE123" s="16">
        <f t="shared" si="16"/>
        <v>1551924808106.3079</v>
      </c>
      <c r="AF123" s="16">
        <f t="shared" si="16"/>
        <v>1556895582843.7144</v>
      </c>
    </row>
    <row r="124" spans="1:32">
      <c r="A124" t="s">
        <v>3</v>
      </c>
      <c r="B124" s="16">
        <f t="shared" ref="B124:B147" si="17">E$5*$B12/SUM($B$11:$B$35)</f>
        <v>0</v>
      </c>
      <c r="C124" s="16">
        <f t="shared" ref="C124:R147" si="18">IFERROR($B124*C12/$B12,0)</f>
        <v>0</v>
      </c>
      <c r="D124" s="16">
        <f t="shared" si="18"/>
        <v>0</v>
      </c>
      <c r="E124" s="16">
        <f t="shared" si="18"/>
        <v>0</v>
      </c>
      <c r="F124" s="16">
        <f t="shared" si="18"/>
        <v>0</v>
      </c>
      <c r="G124" s="16">
        <f t="shared" si="18"/>
        <v>0</v>
      </c>
      <c r="H124" s="16">
        <f t="shared" si="18"/>
        <v>0</v>
      </c>
      <c r="I124" s="16">
        <f t="shared" si="18"/>
        <v>0</v>
      </c>
      <c r="J124" s="16">
        <f t="shared" si="18"/>
        <v>0</v>
      </c>
      <c r="K124" s="16">
        <f t="shared" si="18"/>
        <v>0</v>
      </c>
      <c r="L124" s="16">
        <f t="shared" si="18"/>
        <v>0</v>
      </c>
      <c r="M124" s="16">
        <f t="shared" si="18"/>
        <v>0</v>
      </c>
      <c r="N124" s="16">
        <f t="shared" si="18"/>
        <v>0</v>
      </c>
      <c r="O124" s="16">
        <f t="shared" si="18"/>
        <v>0</v>
      </c>
      <c r="P124" s="16">
        <f t="shared" si="18"/>
        <v>0</v>
      </c>
      <c r="Q124" s="16">
        <f t="shared" si="18"/>
        <v>0</v>
      </c>
      <c r="R124" s="16">
        <f t="shared" si="18"/>
        <v>0</v>
      </c>
      <c r="S124" s="16">
        <f t="shared" si="16"/>
        <v>0</v>
      </c>
      <c r="T124" s="16">
        <f t="shared" si="16"/>
        <v>0</v>
      </c>
      <c r="U124" s="16">
        <f t="shared" si="16"/>
        <v>0</v>
      </c>
      <c r="V124" s="16">
        <f t="shared" si="16"/>
        <v>0</v>
      </c>
      <c r="W124" s="16">
        <f t="shared" si="16"/>
        <v>0</v>
      </c>
      <c r="X124" s="16">
        <f t="shared" si="16"/>
        <v>0</v>
      </c>
      <c r="Y124" s="16">
        <f t="shared" si="16"/>
        <v>0</v>
      </c>
      <c r="Z124" s="16">
        <f t="shared" si="16"/>
        <v>0</v>
      </c>
      <c r="AA124" s="16">
        <f t="shared" si="16"/>
        <v>0</v>
      </c>
      <c r="AB124" s="16">
        <f t="shared" si="16"/>
        <v>0</v>
      </c>
      <c r="AC124" s="16">
        <f t="shared" si="16"/>
        <v>0</v>
      </c>
      <c r="AD124" s="16">
        <f t="shared" si="16"/>
        <v>0</v>
      </c>
      <c r="AE124" s="16">
        <f t="shared" si="16"/>
        <v>0</v>
      </c>
      <c r="AF124" s="16">
        <f t="shared" si="16"/>
        <v>0</v>
      </c>
    </row>
    <row r="125" spans="1:32">
      <c r="A125" t="s">
        <v>4</v>
      </c>
      <c r="B125" s="16">
        <f t="shared" si="17"/>
        <v>0</v>
      </c>
      <c r="C125" s="16">
        <f t="shared" si="18"/>
        <v>0</v>
      </c>
      <c r="D125" s="16">
        <f t="shared" si="16"/>
        <v>0</v>
      </c>
      <c r="E125" s="16">
        <f t="shared" si="16"/>
        <v>0</v>
      </c>
      <c r="F125" s="16">
        <f t="shared" si="16"/>
        <v>0</v>
      </c>
      <c r="G125" s="16">
        <f t="shared" si="16"/>
        <v>0</v>
      </c>
      <c r="H125" s="16">
        <f t="shared" si="16"/>
        <v>0</v>
      </c>
      <c r="I125" s="16">
        <f t="shared" si="16"/>
        <v>0</v>
      </c>
      <c r="J125" s="16">
        <f t="shared" si="16"/>
        <v>0</v>
      </c>
      <c r="K125" s="16">
        <f t="shared" si="16"/>
        <v>0</v>
      </c>
      <c r="L125" s="16">
        <f t="shared" si="16"/>
        <v>0</v>
      </c>
      <c r="M125" s="16">
        <f t="shared" si="16"/>
        <v>0</v>
      </c>
      <c r="N125" s="16">
        <f t="shared" si="16"/>
        <v>0</v>
      </c>
      <c r="O125" s="16">
        <f t="shared" si="16"/>
        <v>0</v>
      </c>
      <c r="P125" s="16">
        <f t="shared" si="16"/>
        <v>0</v>
      </c>
      <c r="Q125" s="16">
        <f t="shared" si="16"/>
        <v>0</v>
      </c>
      <c r="R125" s="16">
        <f t="shared" si="16"/>
        <v>0</v>
      </c>
      <c r="S125" s="16">
        <f t="shared" si="16"/>
        <v>0</v>
      </c>
      <c r="T125" s="16">
        <f t="shared" si="16"/>
        <v>0</v>
      </c>
      <c r="U125" s="16">
        <f t="shared" si="16"/>
        <v>0</v>
      </c>
      <c r="V125" s="16">
        <f t="shared" si="16"/>
        <v>0</v>
      </c>
      <c r="W125" s="16">
        <f t="shared" si="16"/>
        <v>0</v>
      </c>
      <c r="X125" s="16">
        <f t="shared" si="16"/>
        <v>0</v>
      </c>
      <c r="Y125" s="16">
        <f t="shared" si="16"/>
        <v>0</v>
      </c>
      <c r="Z125" s="16">
        <f t="shared" si="16"/>
        <v>0</v>
      </c>
      <c r="AA125" s="16">
        <f t="shared" si="16"/>
        <v>0</v>
      </c>
      <c r="AB125" s="16">
        <f t="shared" si="16"/>
        <v>0</v>
      </c>
      <c r="AC125" s="16">
        <f t="shared" si="16"/>
        <v>0</v>
      </c>
      <c r="AD125" s="16">
        <f t="shared" si="16"/>
        <v>0</v>
      </c>
      <c r="AE125" s="16">
        <f t="shared" si="16"/>
        <v>0</v>
      </c>
      <c r="AF125" s="16">
        <f t="shared" si="16"/>
        <v>0</v>
      </c>
    </row>
    <row r="126" spans="1:32">
      <c r="A126" t="s">
        <v>5</v>
      </c>
      <c r="B126" s="16">
        <f t="shared" si="17"/>
        <v>101885027481.97545</v>
      </c>
      <c r="C126" s="16">
        <f t="shared" si="18"/>
        <v>105629126533.86539</v>
      </c>
      <c r="D126" s="16">
        <f t="shared" si="16"/>
        <v>109373225585.75534</v>
      </c>
      <c r="E126" s="16">
        <f t="shared" si="16"/>
        <v>113117324637.64528</v>
      </c>
      <c r="F126" s="16">
        <f t="shared" si="16"/>
        <v>116861423689.53525</v>
      </c>
      <c r="G126" s="16">
        <f t="shared" si="16"/>
        <v>120605522741.42517</v>
      </c>
      <c r="H126" s="16">
        <f t="shared" si="16"/>
        <v>121576817788.57541</v>
      </c>
      <c r="I126" s="16">
        <f t="shared" si="16"/>
        <v>122548112835.72562</v>
      </c>
      <c r="J126" s="16">
        <f t="shared" si="16"/>
        <v>123519407882.87582</v>
      </c>
      <c r="K126" s="16">
        <f t="shared" si="16"/>
        <v>124490702930.02603</v>
      </c>
      <c r="L126" s="16">
        <f t="shared" si="16"/>
        <v>125461997977.17624</v>
      </c>
      <c r="M126" s="16">
        <f t="shared" si="16"/>
        <v>125975134983.21788</v>
      </c>
      <c r="N126" s="16">
        <f t="shared" si="16"/>
        <v>126488271989.25949</v>
      </c>
      <c r="O126" s="16">
        <f t="shared" si="16"/>
        <v>127001408995.30113</v>
      </c>
      <c r="P126" s="16">
        <f t="shared" si="16"/>
        <v>127514546001.34273</v>
      </c>
      <c r="Q126" s="16">
        <f t="shared" si="16"/>
        <v>128027683007.38435</v>
      </c>
      <c r="R126" s="16">
        <f t="shared" si="16"/>
        <v>128394209440.27124</v>
      </c>
      <c r="S126" s="16">
        <f t="shared" si="16"/>
        <v>128760735873.1581</v>
      </c>
      <c r="T126" s="16">
        <f t="shared" si="16"/>
        <v>129127262306.04497</v>
      </c>
      <c r="U126" s="16">
        <f t="shared" si="16"/>
        <v>129493788738.93184</v>
      </c>
      <c r="V126" s="16">
        <f t="shared" si="16"/>
        <v>129860315171.81866</v>
      </c>
      <c r="W126" s="16">
        <f t="shared" si="16"/>
        <v>130422322368.91199</v>
      </c>
      <c r="X126" s="16">
        <f t="shared" si="16"/>
        <v>130851047226.77353</v>
      </c>
      <c r="Y126" s="16">
        <f t="shared" si="16"/>
        <v>131279772084.63516</v>
      </c>
      <c r="Z126" s="16">
        <f t="shared" si="16"/>
        <v>131708496942.49678</v>
      </c>
      <c r="AA126" s="16">
        <f t="shared" si="16"/>
        <v>132137221800.35843</v>
      </c>
      <c r="AB126" s="16">
        <f t="shared" si="16"/>
        <v>132565946658.21994</v>
      </c>
      <c r="AC126" s="16">
        <f t="shared" si="16"/>
        <v>132994671516.08159</v>
      </c>
      <c r="AD126" s="16">
        <f t="shared" si="16"/>
        <v>133423396373.94322</v>
      </c>
      <c r="AE126" s="16">
        <f t="shared" si="16"/>
        <v>133852121231.80487</v>
      </c>
      <c r="AF126" s="16">
        <f t="shared" si="16"/>
        <v>134280846089.6665</v>
      </c>
    </row>
    <row r="127" spans="1:32">
      <c r="A127" t="s">
        <v>6</v>
      </c>
      <c r="B127" s="16">
        <f t="shared" si="17"/>
        <v>935872827463.52808</v>
      </c>
      <c r="C127" s="16">
        <f t="shared" si="18"/>
        <v>970264539892.67432</v>
      </c>
      <c r="D127" s="16">
        <f t="shared" si="16"/>
        <v>1004656252321.8204</v>
      </c>
      <c r="E127" s="16">
        <f t="shared" si="16"/>
        <v>1039047964750.9668</v>
      </c>
      <c r="F127" s="16">
        <f t="shared" si="16"/>
        <v>1073439677180.1129</v>
      </c>
      <c r="G127" s="16">
        <f t="shared" si="16"/>
        <v>1107831389609.2593</v>
      </c>
      <c r="H127" s="16">
        <f t="shared" si="16"/>
        <v>1116753295649.2671</v>
      </c>
      <c r="I127" s="16">
        <f t="shared" si="16"/>
        <v>1125675201689.2749</v>
      </c>
      <c r="J127" s="16">
        <f t="shared" si="16"/>
        <v>1134597107729.2825</v>
      </c>
      <c r="K127" s="16">
        <f t="shared" si="16"/>
        <v>1143519013769.29</v>
      </c>
      <c r="L127" s="16">
        <f t="shared" si="16"/>
        <v>1152440919809.2979</v>
      </c>
      <c r="M127" s="16">
        <f t="shared" si="16"/>
        <v>1157154379604.0188</v>
      </c>
      <c r="N127" s="16">
        <f t="shared" si="16"/>
        <v>1161867839398.74</v>
      </c>
      <c r="O127" s="16">
        <f t="shared" si="16"/>
        <v>1166581299193.4612</v>
      </c>
      <c r="P127" s="16">
        <f t="shared" si="16"/>
        <v>1171294758988.1821</v>
      </c>
      <c r="Q127" s="16">
        <f t="shared" si="16"/>
        <v>1176008218782.9033</v>
      </c>
      <c r="R127" s="16">
        <f t="shared" si="16"/>
        <v>1179374975779.1323</v>
      </c>
      <c r="S127" s="16">
        <f t="shared" si="16"/>
        <v>1182741732775.3618</v>
      </c>
      <c r="T127" s="16">
        <f t="shared" si="16"/>
        <v>1186108489771.5911</v>
      </c>
      <c r="U127" s="16">
        <f t="shared" si="16"/>
        <v>1189475246767.8203</v>
      </c>
      <c r="V127" s="16">
        <f t="shared" si="16"/>
        <v>1192842003764.0496</v>
      </c>
      <c r="W127" s="16">
        <f t="shared" si="16"/>
        <v>1198004364491.6023</v>
      </c>
      <c r="X127" s="16">
        <f t="shared" si="16"/>
        <v>1201942449947.7969</v>
      </c>
      <c r="Y127" s="16">
        <f t="shared" si="16"/>
        <v>1205880535403.9927</v>
      </c>
      <c r="Z127" s="16">
        <f t="shared" si="16"/>
        <v>1209818620860.1885</v>
      </c>
      <c r="AA127" s="16">
        <f t="shared" si="16"/>
        <v>1213756706316.3838</v>
      </c>
      <c r="AB127" s="16">
        <f t="shared" si="16"/>
        <v>1217694791772.5786</v>
      </c>
      <c r="AC127" s="16">
        <f t="shared" si="16"/>
        <v>1221632877228.7747</v>
      </c>
      <c r="AD127" s="16">
        <f t="shared" si="16"/>
        <v>1225570962684.9702</v>
      </c>
      <c r="AE127" s="16">
        <f t="shared" si="16"/>
        <v>1229509048141.166</v>
      </c>
      <c r="AF127" s="16">
        <f t="shared" si="16"/>
        <v>1233447133597.3616</v>
      </c>
    </row>
    <row r="128" spans="1:32">
      <c r="A128" t="s">
        <v>7</v>
      </c>
      <c r="B128" s="16">
        <f t="shared" si="17"/>
        <v>705180505701.71692</v>
      </c>
      <c r="C128" s="16">
        <f t="shared" si="18"/>
        <v>731094673151.65137</v>
      </c>
      <c r="D128" s="16">
        <f t="shared" si="16"/>
        <v>757008840601.58569</v>
      </c>
      <c r="E128" s="16">
        <f t="shared" si="16"/>
        <v>782923008051.52002</v>
      </c>
      <c r="F128" s="16">
        <f t="shared" si="16"/>
        <v>808837175501.45435</v>
      </c>
      <c r="G128" s="16">
        <f t="shared" si="16"/>
        <v>834751342951.38867</v>
      </c>
      <c r="H128" s="16">
        <f t="shared" si="16"/>
        <v>841474002300.48816</v>
      </c>
      <c r="I128" s="16">
        <f t="shared" si="16"/>
        <v>848196661649.58765</v>
      </c>
      <c r="J128" s="16">
        <f t="shared" si="16"/>
        <v>854919320998.68701</v>
      </c>
      <c r="K128" s="16">
        <f t="shared" si="16"/>
        <v>861641980347.7865</v>
      </c>
      <c r="L128" s="16">
        <f t="shared" si="16"/>
        <v>868364639696.88611</v>
      </c>
      <c r="M128" s="16">
        <f t="shared" si="16"/>
        <v>871916233315.2782</v>
      </c>
      <c r="N128" s="16">
        <f t="shared" si="16"/>
        <v>875467826933.67041</v>
      </c>
      <c r="O128" s="16">
        <f t="shared" si="16"/>
        <v>879019420552.0625</v>
      </c>
      <c r="P128" s="16">
        <f t="shared" si="16"/>
        <v>882571014170.45471</v>
      </c>
      <c r="Q128" s="16">
        <f t="shared" si="16"/>
        <v>886122607788.84692</v>
      </c>
      <c r="R128" s="16">
        <f t="shared" si="16"/>
        <v>888659460373.41284</v>
      </c>
      <c r="S128" s="16">
        <f t="shared" si="16"/>
        <v>891196312957.97876</v>
      </c>
      <c r="T128" s="16">
        <f t="shared" si="16"/>
        <v>893733165542.54431</v>
      </c>
      <c r="U128" s="16">
        <f t="shared" si="16"/>
        <v>896270018127.11011</v>
      </c>
      <c r="V128" s="16">
        <f t="shared" si="16"/>
        <v>898806870711.6759</v>
      </c>
      <c r="W128" s="16">
        <f t="shared" si="16"/>
        <v>902696711341.34424</v>
      </c>
      <c r="X128" s="16">
        <f t="shared" si="16"/>
        <v>905664060122.07825</v>
      </c>
      <c r="Y128" s="16">
        <f t="shared" si="16"/>
        <v>908631408902.81299</v>
      </c>
      <c r="Z128" s="16">
        <f t="shared" si="16"/>
        <v>911598757683.54773</v>
      </c>
      <c r="AA128" s="16">
        <f t="shared" si="16"/>
        <v>914566106464.28247</v>
      </c>
      <c r="AB128" s="16">
        <f t="shared" si="16"/>
        <v>917533455245.01648</v>
      </c>
      <c r="AC128" s="16">
        <f t="shared" si="16"/>
        <v>920500804025.7511</v>
      </c>
      <c r="AD128" s="16">
        <f t="shared" si="16"/>
        <v>923468152806.48596</v>
      </c>
      <c r="AE128" s="16">
        <f t="shared" si="16"/>
        <v>926435501587.2207</v>
      </c>
      <c r="AF128" s="16">
        <f t="shared" si="16"/>
        <v>929402850367.95544</v>
      </c>
    </row>
    <row r="129" spans="1:32">
      <c r="A129" t="s">
        <v>8</v>
      </c>
      <c r="B129" s="16">
        <f t="shared" si="17"/>
        <v>118407331441.56688</v>
      </c>
      <c r="C129" s="16">
        <f t="shared" si="18"/>
        <v>122758596670.06792</v>
      </c>
      <c r="D129" s="16">
        <f t="shared" si="16"/>
        <v>127109861898.56891</v>
      </c>
      <c r="E129" s="16">
        <f t="shared" si="16"/>
        <v>131461127127.06992</v>
      </c>
      <c r="F129" s="16">
        <f t="shared" si="16"/>
        <v>135812392355.57091</v>
      </c>
      <c r="G129" s="16">
        <f t="shared" si="16"/>
        <v>140163657584.0719</v>
      </c>
      <c r="H129" s="16">
        <f t="shared" si="16"/>
        <v>141292463822.02298</v>
      </c>
      <c r="I129" s="16">
        <f t="shared" si="16"/>
        <v>142421270059.974</v>
      </c>
      <c r="J129" s="16">
        <f t="shared" si="16"/>
        <v>143550076297.92508</v>
      </c>
      <c r="K129" s="16">
        <f t="shared" si="16"/>
        <v>144678882535.87613</v>
      </c>
      <c r="L129" s="16">
        <f t="shared" si="16"/>
        <v>145807688773.82715</v>
      </c>
      <c r="M129" s="16">
        <f t="shared" si="16"/>
        <v>146404039239.15976</v>
      </c>
      <c r="N129" s="16">
        <f t="shared" si="16"/>
        <v>147000389704.4924</v>
      </c>
      <c r="O129" s="16">
        <f t="shared" si="16"/>
        <v>147596740169.82501</v>
      </c>
      <c r="P129" s="16">
        <f t="shared" si="16"/>
        <v>148193090635.15762</v>
      </c>
      <c r="Q129" s="16">
        <f t="shared" si="16"/>
        <v>148789441100.4903</v>
      </c>
      <c r="R129" s="16">
        <f t="shared" si="16"/>
        <v>149215405718.58499</v>
      </c>
      <c r="S129" s="16">
        <f t="shared" si="16"/>
        <v>149641370336.67972</v>
      </c>
      <c r="T129" s="16">
        <f t="shared" si="16"/>
        <v>150067334954.77448</v>
      </c>
      <c r="U129" s="16">
        <f t="shared" si="16"/>
        <v>150493299572.8692</v>
      </c>
      <c r="V129" s="16">
        <f t="shared" si="16"/>
        <v>150919264190.96393</v>
      </c>
      <c r="W129" s="16">
        <f t="shared" si="16"/>
        <v>151572409938.70932</v>
      </c>
      <c r="X129" s="16">
        <f t="shared" si="16"/>
        <v>152070659461.69272</v>
      </c>
      <c r="Y129" s="16">
        <f t="shared" si="16"/>
        <v>152568908984.6763</v>
      </c>
      <c r="Z129" s="16">
        <f t="shared" si="16"/>
        <v>153067158507.65985</v>
      </c>
      <c r="AA129" s="16">
        <f t="shared" si="16"/>
        <v>153565408030.64343</v>
      </c>
      <c r="AB129" s="16">
        <f t="shared" si="16"/>
        <v>154063657553.62683</v>
      </c>
      <c r="AC129" s="16">
        <f t="shared" si="16"/>
        <v>154561907076.61041</v>
      </c>
      <c r="AD129" s="16">
        <f t="shared" si="16"/>
        <v>155060156599.59399</v>
      </c>
      <c r="AE129" s="16">
        <f t="shared" si="16"/>
        <v>155558406122.57755</v>
      </c>
      <c r="AF129" s="16">
        <f t="shared" si="16"/>
        <v>156056655645.56113</v>
      </c>
    </row>
    <row r="130" spans="1:32">
      <c r="A130" t="s">
        <v>9</v>
      </c>
      <c r="B130" s="16">
        <f t="shared" si="17"/>
        <v>675994409411.05066</v>
      </c>
      <c r="C130" s="16">
        <f t="shared" si="18"/>
        <v>700836038155.82959</v>
      </c>
      <c r="D130" s="16">
        <f t="shared" si="16"/>
        <v>725677666900.6084</v>
      </c>
      <c r="E130" s="16">
        <f t="shared" si="16"/>
        <v>750519295645.38708</v>
      </c>
      <c r="F130" s="16">
        <f t="shared" si="16"/>
        <v>775360924390.16602</v>
      </c>
      <c r="G130" s="16">
        <f t="shared" si="16"/>
        <v>800202553134.9447</v>
      </c>
      <c r="H130" s="16">
        <f t="shared" si="16"/>
        <v>806646974243.61414</v>
      </c>
      <c r="I130" s="16">
        <f t="shared" si="16"/>
        <v>813091395352.2832</v>
      </c>
      <c r="J130" s="16">
        <f t="shared" si="16"/>
        <v>819535816460.95251</v>
      </c>
      <c r="K130" s="16">
        <f t="shared" si="16"/>
        <v>825980237569.62158</v>
      </c>
      <c r="L130" s="16">
        <f t="shared" si="16"/>
        <v>832424658678.29089</v>
      </c>
      <c r="M130" s="16">
        <f t="shared" si="16"/>
        <v>835829258509.28589</v>
      </c>
      <c r="N130" s="16">
        <f t="shared" si="16"/>
        <v>839233858340.28113</v>
      </c>
      <c r="O130" s="16">
        <f t="shared" si="16"/>
        <v>842638458171.27612</v>
      </c>
      <c r="P130" s="16">
        <f t="shared" si="16"/>
        <v>846043058002.27112</v>
      </c>
      <c r="Q130" s="16">
        <f t="shared" si="16"/>
        <v>849447657833.26624</v>
      </c>
      <c r="R130" s="16">
        <f t="shared" si="16"/>
        <v>851879514855.4054</v>
      </c>
      <c r="S130" s="16">
        <f t="shared" si="16"/>
        <v>854311371877.5448</v>
      </c>
      <c r="T130" s="16">
        <f t="shared" si="16"/>
        <v>856743228899.6842</v>
      </c>
      <c r="U130" s="16">
        <f t="shared" si="16"/>
        <v>859175085921.82336</v>
      </c>
      <c r="V130" s="16">
        <f t="shared" si="16"/>
        <v>861606942943.96252</v>
      </c>
      <c r="W130" s="16">
        <f t="shared" si="16"/>
        <v>865335790377.91016</v>
      </c>
      <c r="X130" s="16">
        <f t="shared" si="16"/>
        <v>868180326167.44226</v>
      </c>
      <c r="Y130" s="16">
        <f t="shared" si="16"/>
        <v>871024861956.97522</v>
      </c>
      <c r="Z130" s="16">
        <f t="shared" si="16"/>
        <v>873869397746.50793</v>
      </c>
      <c r="AA130" s="16">
        <f t="shared" si="16"/>
        <v>876713933536.04089</v>
      </c>
      <c r="AB130" s="16">
        <f t="shared" si="16"/>
        <v>879558469325.57288</v>
      </c>
      <c r="AC130" s="16">
        <f t="shared" si="16"/>
        <v>882403005115.10571</v>
      </c>
      <c r="AD130" s="16">
        <f t="shared" si="16"/>
        <v>885247540904.63855</v>
      </c>
      <c r="AE130" s="16">
        <f t="shared" si="16"/>
        <v>888092076694.17139</v>
      </c>
      <c r="AF130" s="16">
        <f t="shared" si="16"/>
        <v>890936612483.70422</v>
      </c>
    </row>
    <row r="131" spans="1:32">
      <c r="A131" t="s">
        <v>648</v>
      </c>
      <c r="B131" s="16">
        <f t="shared" si="17"/>
        <v>0</v>
      </c>
      <c r="C131" s="16">
        <f t="shared" si="18"/>
        <v>0</v>
      </c>
      <c r="D131" s="16">
        <f t="shared" si="16"/>
        <v>0</v>
      </c>
      <c r="E131" s="16">
        <f t="shared" si="16"/>
        <v>0</v>
      </c>
      <c r="F131" s="16">
        <f t="shared" si="16"/>
        <v>0</v>
      </c>
      <c r="G131" s="16">
        <f t="shared" si="16"/>
        <v>0</v>
      </c>
      <c r="H131" s="16">
        <f t="shared" si="16"/>
        <v>0</v>
      </c>
      <c r="I131" s="16">
        <f t="shared" si="16"/>
        <v>0</v>
      </c>
      <c r="J131" s="16">
        <f t="shared" si="16"/>
        <v>0</v>
      </c>
      <c r="K131" s="16">
        <f t="shared" si="16"/>
        <v>0</v>
      </c>
      <c r="L131" s="16">
        <f t="shared" si="16"/>
        <v>0</v>
      </c>
      <c r="M131" s="16">
        <f t="shared" si="16"/>
        <v>0</v>
      </c>
      <c r="N131" s="16">
        <f t="shared" si="16"/>
        <v>0</v>
      </c>
      <c r="O131" s="16">
        <f t="shared" si="16"/>
        <v>0</v>
      </c>
      <c r="P131" s="16">
        <f t="shared" si="16"/>
        <v>0</v>
      </c>
      <c r="Q131" s="16">
        <f t="shared" si="16"/>
        <v>0</v>
      </c>
      <c r="R131" s="16">
        <f t="shared" si="16"/>
        <v>0</v>
      </c>
      <c r="S131" s="16">
        <f t="shared" si="16"/>
        <v>0</v>
      </c>
      <c r="T131" s="16">
        <f t="shared" si="16"/>
        <v>0</v>
      </c>
      <c r="U131" s="16">
        <f t="shared" si="16"/>
        <v>0</v>
      </c>
      <c r="V131" s="16">
        <f t="shared" si="16"/>
        <v>0</v>
      </c>
      <c r="W131" s="16">
        <f t="shared" si="16"/>
        <v>0</v>
      </c>
      <c r="X131" s="16">
        <f t="shared" si="16"/>
        <v>0</v>
      </c>
      <c r="Y131" s="16">
        <f t="shared" si="16"/>
        <v>0</v>
      </c>
      <c r="Z131" s="16">
        <f t="shared" si="16"/>
        <v>0</v>
      </c>
      <c r="AA131" s="16">
        <f t="shared" si="16"/>
        <v>0</v>
      </c>
      <c r="AB131" s="16">
        <f t="shared" si="16"/>
        <v>0</v>
      </c>
      <c r="AC131" s="16">
        <f t="shared" si="16"/>
        <v>0</v>
      </c>
      <c r="AD131" s="16">
        <f t="shared" si="16"/>
        <v>0</v>
      </c>
      <c r="AE131" s="16">
        <f t="shared" si="16"/>
        <v>0</v>
      </c>
      <c r="AF131" s="16">
        <f t="shared" si="16"/>
        <v>0</v>
      </c>
    </row>
    <row r="132" spans="1:32">
      <c r="A132" t="s">
        <v>124</v>
      </c>
      <c r="B132" s="16">
        <f t="shared" si="17"/>
        <v>2446528482201.8267</v>
      </c>
      <c r="C132" s="16">
        <f t="shared" si="18"/>
        <v>2197509153685.2034</v>
      </c>
      <c r="D132" s="16">
        <f t="shared" si="16"/>
        <v>2090117136400.6489</v>
      </c>
      <c r="E132" s="16">
        <f t="shared" si="16"/>
        <v>1963474524703.4595</v>
      </c>
      <c r="F132" s="16">
        <f t="shared" si="16"/>
        <v>1915248771719.9182</v>
      </c>
      <c r="G132" s="16">
        <f t="shared" si="16"/>
        <v>1894410462744.0186</v>
      </c>
      <c r="H132" s="16">
        <f t="shared" si="16"/>
        <v>1870485697251.5396</v>
      </c>
      <c r="I132" s="16">
        <f t="shared" si="16"/>
        <v>1843506592052.9548</v>
      </c>
      <c r="J132" s="16">
        <f t="shared" si="16"/>
        <v>1813268550732.6221</v>
      </c>
      <c r="K132" s="16">
        <f t="shared" si="16"/>
        <v>1779667528136.9243</v>
      </c>
      <c r="L132" s="16">
        <f t="shared" si="16"/>
        <v>1742568990128.531</v>
      </c>
      <c r="M132" s="16">
        <f t="shared" ref="D132:AF141" si="19">IFERROR($B132*M20/$B20,0)</f>
        <v>1729969892105.5313</v>
      </c>
      <c r="N132" s="16">
        <f t="shared" si="19"/>
        <v>1717333079570.1575</v>
      </c>
      <c r="O132" s="16">
        <f t="shared" si="19"/>
        <v>1704657907690.0271</v>
      </c>
      <c r="P132" s="16">
        <f t="shared" si="19"/>
        <v>1691943712847.571</v>
      </c>
      <c r="Q132" s="16">
        <f t="shared" si="19"/>
        <v>1679189811861.7388</v>
      </c>
      <c r="R132" s="16">
        <f t="shared" si="19"/>
        <v>1678064633433.7859</v>
      </c>
      <c r="S132" s="16">
        <f t="shared" si="19"/>
        <v>1676939455005.8333</v>
      </c>
      <c r="T132" s="16">
        <f t="shared" si="19"/>
        <v>1675814276577.8813</v>
      </c>
      <c r="U132" s="16">
        <f t="shared" si="19"/>
        <v>1674689098149.9294</v>
      </c>
      <c r="V132" s="16">
        <f t="shared" si="19"/>
        <v>1673563919721.9773</v>
      </c>
      <c r="W132" s="16">
        <f t="shared" si="19"/>
        <v>1671873629879.6731</v>
      </c>
      <c r="X132" s="16">
        <f t="shared" si="19"/>
        <v>1670183340037.3689</v>
      </c>
      <c r="Y132" s="16">
        <f t="shared" si="19"/>
        <v>1668493050195.0645</v>
      </c>
      <c r="Z132" s="16">
        <f t="shared" si="19"/>
        <v>1666802760352.7603</v>
      </c>
      <c r="AA132" s="16">
        <f t="shared" si="19"/>
        <v>1665112470510.4561</v>
      </c>
      <c r="AB132" s="16">
        <f t="shared" si="19"/>
        <v>1663422180668.1519</v>
      </c>
      <c r="AC132" s="16">
        <f t="shared" si="19"/>
        <v>1661731890825.8477</v>
      </c>
      <c r="AD132" s="16">
        <f t="shared" si="19"/>
        <v>1660041600983.543</v>
      </c>
      <c r="AE132" s="16">
        <f t="shared" si="19"/>
        <v>1658351311141.2388</v>
      </c>
      <c r="AF132" s="16">
        <f t="shared" si="19"/>
        <v>1656661021298.9338</v>
      </c>
    </row>
    <row r="133" spans="1:32">
      <c r="A133" t="s">
        <v>12</v>
      </c>
      <c r="B133" s="16">
        <f t="shared" si="17"/>
        <v>1984817064714.7942</v>
      </c>
      <c r="C133" s="16">
        <f t="shared" si="18"/>
        <v>1782792924681.5698</v>
      </c>
      <c r="D133" s="16">
        <f t="shared" si="19"/>
        <v>1695668041373.9797</v>
      </c>
      <c r="E133" s="16">
        <f t="shared" si="19"/>
        <v>1592925555993.0576</v>
      </c>
      <c r="F133" s="16">
        <f t="shared" si="19"/>
        <v>1553801017620.9116</v>
      </c>
      <c r="G133" s="16">
        <f t="shared" si="19"/>
        <v>1536895336139.5574</v>
      </c>
      <c r="H133" s="16">
        <f t="shared" si="19"/>
        <v>1517485677447.9753</v>
      </c>
      <c r="I133" s="16">
        <f t="shared" si="19"/>
        <v>1495598097238.5295</v>
      </c>
      <c r="J133" s="16">
        <f t="shared" si="19"/>
        <v>1471066610745.4175</v>
      </c>
      <c r="K133" s="16">
        <f t="shared" si="19"/>
        <v>1443806808325.3831</v>
      </c>
      <c r="L133" s="16">
        <f t="shared" si="19"/>
        <v>1413709545264.3948</v>
      </c>
      <c r="M133" s="16">
        <f t="shared" si="19"/>
        <v>1403488162215.7253</v>
      </c>
      <c r="N133" s="16">
        <f t="shared" si="19"/>
        <v>1393236182176.957</v>
      </c>
      <c r="O133" s="16">
        <f t="shared" si="19"/>
        <v>1382953082009.1492</v>
      </c>
      <c r="P133" s="16">
        <f t="shared" si="19"/>
        <v>1372638323333.3357</v>
      </c>
      <c r="Q133" s="16">
        <f t="shared" si="19"/>
        <v>1362291351899.1096</v>
      </c>
      <c r="R133" s="16">
        <f t="shared" si="19"/>
        <v>1361378518322.5149</v>
      </c>
      <c r="S133" s="16">
        <f t="shared" si="19"/>
        <v>1360465684745.9199</v>
      </c>
      <c r="T133" s="16">
        <f t="shared" si="19"/>
        <v>1359552851169.3259</v>
      </c>
      <c r="U133" s="16">
        <f t="shared" si="19"/>
        <v>1358640017592.7314</v>
      </c>
      <c r="V133" s="16">
        <f t="shared" si="19"/>
        <v>1357727184016.137</v>
      </c>
      <c r="W133" s="16">
        <f t="shared" si="19"/>
        <v>1356355887443.166</v>
      </c>
      <c r="X133" s="16">
        <f t="shared" si="19"/>
        <v>1354984590870.1951</v>
      </c>
      <c r="Y133" s="16">
        <f t="shared" si="19"/>
        <v>1353613294297.2239</v>
      </c>
      <c r="Z133" s="16">
        <f t="shared" si="19"/>
        <v>1352241997724.2527</v>
      </c>
      <c r="AA133" s="16">
        <f t="shared" si="19"/>
        <v>1350870701151.2815</v>
      </c>
      <c r="AB133" s="16">
        <f t="shared" si="19"/>
        <v>1349499404578.3105</v>
      </c>
      <c r="AC133" s="16">
        <f t="shared" si="19"/>
        <v>1348128108005.3394</v>
      </c>
      <c r="AD133" s="16">
        <f t="shared" si="19"/>
        <v>1346756811432.3684</v>
      </c>
      <c r="AE133" s="16">
        <f t="shared" si="19"/>
        <v>1345385514859.3972</v>
      </c>
      <c r="AF133" s="16">
        <f t="shared" si="19"/>
        <v>1344014218286.4253</v>
      </c>
    </row>
    <row r="134" spans="1:32">
      <c r="A134" t="s">
        <v>13</v>
      </c>
      <c r="B134" s="16">
        <f t="shared" si="17"/>
        <v>227356980555.41101</v>
      </c>
      <c r="C134" s="16">
        <f t="shared" si="18"/>
        <v>235711957497.32397</v>
      </c>
      <c r="D134" s="16">
        <f t="shared" si="19"/>
        <v>244066934439.23694</v>
      </c>
      <c r="E134" s="16">
        <f t="shared" si="19"/>
        <v>252421911381.1499</v>
      </c>
      <c r="F134" s="16">
        <f t="shared" si="19"/>
        <v>260776888323.0629</v>
      </c>
      <c r="G134" s="16">
        <f t="shared" si="19"/>
        <v>269131865264.97592</v>
      </c>
      <c r="H134" s="16">
        <f t="shared" si="19"/>
        <v>271299315327.1312</v>
      </c>
      <c r="I134" s="16">
        <f t="shared" si="19"/>
        <v>273466765389.28644</v>
      </c>
      <c r="J134" s="16">
        <f t="shared" si="19"/>
        <v>275634215451.44171</v>
      </c>
      <c r="K134" s="16">
        <f t="shared" si="19"/>
        <v>277801665513.59698</v>
      </c>
      <c r="L134" s="16">
        <f t="shared" si="19"/>
        <v>279969115575.7522</v>
      </c>
      <c r="M134" s="16">
        <f t="shared" si="19"/>
        <v>281114183533.11731</v>
      </c>
      <c r="N134" s="16">
        <f t="shared" si="19"/>
        <v>282259251490.4823</v>
      </c>
      <c r="O134" s="16">
        <f t="shared" si="19"/>
        <v>283404319447.84735</v>
      </c>
      <c r="P134" s="16">
        <f t="shared" si="19"/>
        <v>284549387405.2124</v>
      </c>
      <c r="Q134" s="16">
        <f t="shared" si="19"/>
        <v>285694455362.57745</v>
      </c>
      <c r="R134" s="16">
        <f t="shared" si="19"/>
        <v>286512361046.40961</v>
      </c>
      <c r="S134" s="16">
        <f t="shared" si="19"/>
        <v>287330266730.24176</v>
      </c>
      <c r="T134" s="16">
        <f t="shared" si="19"/>
        <v>288148172414.07391</v>
      </c>
      <c r="U134" s="16">
        <f t="shared" si="19"/>
        <v>288966078097.90613</v>
      </c>
      <c r="V134" s="16">
        <f t="shared" si="19"/>
        <v>289783983781.73822</v>
      </c>
      <c r="W134" s="16">
        <f t="shared" si="19"/>
        <v>291038105830.28113</v>
      </c>
      <c r="X134" s="16">
        <f t="shared" si="19"/>
        <v>291994807630.15729</v>
      </c>
      <c r="Y134" s="16">
        <f t="shared" si="19"/>
        <v>292951509430.03375</v>
      </c>
      <c r="Z134" s="16">
        <f t="shared" si="19"/>
        <v>293908211229.91028</v>
      </c>
      <c r="AA134" s="16">
        <f t="shared" si="19"/>
        <v>294864913029.78674</v>
      </c>
      <c r="AB134" s="16">
        <f t="shared" si="19"/>
        <v>295821614829.66296</v>
      </c>
      <c r="AC134" s="16">
        <f t="shared" si="19"/>
        <v>296778316629.53943</v>
      </c>
      <c r="AD134" s="16">
        <f t="shared" si="19"/>
        <v>297735018429.41583</v>
      </c>
      <c r="AE134" s="16">
        <f t="shared" si="19"/>
        <v>298691720229.29236</v>
      </c>
      <c r="AF134" s="16">
        <f t="shared" si="19"/>
        <v>299648422029.16888</v>
      </c>
    </row>
    <row r="135" spans="1:32">
      <c r="A135" t="s">
        <v>14</v>
      </c>
      <c r="B135" s="16">
        <f t="shared" si="17"/>
        <v>572979771909.30676</v>
      </c>
      <c r="C135" s="16">
        <f t="shared" si="18"/>
        <v>594035790382.06311</v>
      </c>
      <c r="D135" s="16">
        <f t="shared" si="19"/>
        <v>615091808854.81934</v>
      </c>
      <c r="E135" s="16">
        <f t="shared" si="19"/>
        <v>636147827327.57556</v>
      </c>
      <c r="F135" s="16">
        <f t="shared" si="19"/>
        <v>657203845800.33179</v>
      </c>
      <c r="G135" s="16">
        <f t="shared" si="19"/>
        <v>678259864273.08813</v>
      </c>
      <c r="H135" s="16">
        <f t="shared" si="19"/>
        <v>683722221484.22229</v>
      </c>
      <c r="I135" s="16">
        <f t="shared" si="19"/>
        <v>689184578695.35645</v>
      </c>
      <c r="J135" s="16">
        <f t="shared" si="19"/>
        <v>694646935906.49048</v>
      </c>
      <c r="K135" s="16">
        <f t="shared" si="19"/>
        <v>700109293117.62463</v>
      </c>
      <c r="L135" s="16">
        <f t="shared" si="19"/>
        <v>705571650328.75879</v>
      </c>
      <c r="M135" s="16">
        <f t="shared" si="19"/>
        <v>708457423949.73523</v>
      </c>
      <c r="N135" s="16">
        <f t="shared" si="19"/>
        <v>711343197570.71179</v>
      </c>
      <c r="O135" s="16">
        <f t="shared" si="19"/>
        <v>714228971191.68835</v>
      </c>
      <c r="P135" s="16">
        <f t="shared" si="19"/>
        <v>717114744812.66479</v>
      </c>
      <c r="Q135" s="16">
        <f t="shared" si="19"/>
        <v>720000518433.64148</v>
      </c>
      <c r="R135" s="16">
        <f t="shared" si="19"/>
        <v>722061785305.76733</v>
      </c>
      <c r="S135" s="16">
        <f t="shared" si="19"/>
        <v>724123052177.89355</v>
      </c>
      <c r="T135" s="16">
        <f t="shared" si="19"/>
        <v>726184319050.01953</v>
      </c>
      <c r="U135" s="16">
        <f t="shared" si="19"/>
        <v>728245585922.14563</v>
      </c>
      <c r="V135" s="16">
        <f t="shared" si="19"/>
        <v>730306852794.27161</v>
      </c>
      <c r="W135" s="16">
        <f t="shared" si="19"/>
        <v>733467461998.19885</v>
      </c>
      <c r="X135" s="16">
        <f t="shared" si="19"/>
        <v>735878519612.26099</v>
      </c>
      <c r="Y135" s="16">
        <f t="shared" si="19"/>
        <v>738289577226.32385</v>
      </c>
      <c r="Z135" s="16">
        <f t="shared" si="19"/>
        <v>740700634840.3866</v>
      </c>
      <c r="AA135" s="16">
        <f t="shared" si="19"/>
        <v>743111692454.44922</v>
      </c>
      <c r="AB135" s="16">
        <f t="shared" si="19"/>
        <v>745522750068.51135</v>
      </c>
      <c r="AC135" s="16">
        <f t="shared" si="19"/>
        <v>747933807682.57422</v>
      </c>
      <c r="AD135" s="16">
        <f t="shared" si="19"/>
        <v>750344865296.63696</v>
      </c>
      <c r="AE135" s="16">
        <f t="shared" si="19"/>
        <v>752755922910.69971</v>
      </c>
      <c r="AF135" s="16">
        <f t="shared" si="19"/>
        <v>755166980524.76257</v>
      </c>
    </row>
    <row r="136" spans="1:32">
      <c r="A136" t="s">
        <v>15</v>
      </c>
      <c r="B136" s="16">
        <f t="shared" si="17"/>
        <v>1936697779724.24</v>
      </c>
      <c r="C136" s="16">
        <f t="shared" si="18"/>
        <v>2043221966570.1125</v>
      </c>
      <c r="D136" s="16">
        <f t="shared" si="19"/>
        <v>1884372601458.9927</v>
      </c>
      <c r="E136" s="16">
        <f t="shared" si="19"/>
        <v>1825512986217.8525</v>
      </c>
      <c r="F136" s="16">
        <f t="shared" si="19"/>
        <v>1875058090557.0627</v>
      </c>
      <c r="G136" s="16">
        <f t="shared" si="19"/>
        <v>1875058090557.0627</v>
      </c>
      <c r="H136" s="16">
        <f t="shared" si="19"/>
        <v>1875058090557.0627</v>
      </c>
      <c r="I136" s="16">
        <f t="shared" si="19"/>
        <v>1765013920362.4246</v>
      </c>
      <c r="J136" s="16">
        <f t="shared" si="19"/>
        <v>1872547487937.4583</v>
      </c>
      <c r="K136" s="16">
        <f t="shared" si="19"/>
        <v>1890587070898.6279</v>
      </c>
      <c r="L136" s="16">
        <f t="shared" si="19"/>
        <v>2082368818613.0598</v>
      </c>
      <c r="M136" s="16">
        <f t="shared" si="19"/>
        <v>2180575511744.6199</v>
      </c>
      <c r="N136" s="16">
        <f t="shared" si="19"/>
        <v>2276324758315.0649</v>
      </c>
      <c r="O136" s="16">
        <f t="shared" si="19"/>
        <v>2484743523735.1211</v>
      </c>
      <c r="P136" s="16">
        <f t="shared" si="19"/>
        <v>2382850773554.9009</v>
      </c>
      <c r="Q136" s="16">
        <f t="shared" si="19"/>
        <v>3249985144996.6772</v>
      </c>
      <c r="R136" s="16">
        <f t="shared" si="19"/>
        <v>3249985144996.6772</v>
      </c>
      <c r="S136" s="16">
        <f t="shared" si="19"/>
        <v>3249985144996.6772</v>
      </c>
      <c r="T136" s="16">
        <f t="shared" si="19"/>
        <v>3247080233980.6235</v>
      </c>
      <c r="U136" s="16">
        <f t="shared" si="19"/>
        <v>3065082904433.9058</v>
      </c>
      <c r="V136" s="16">
        <f t="shared" si="19"/>
        <v>3412447513467.333</v>
      </c>
      <c r="W136" s="16">
        <f t="shared" si="19"/>
        <v>3602401648435.3721</v>
      </c>
      <c r="X136" s="16">
        <f t="shared" si="19"/>
        <v>3460464606400.2876</v>
      </c>
      <c r="Y136" s="16">
        <f t="shared" si="19"/>
        <v>3481118757082.1465</v>
      </c>
      <c r="Z136" s="16">
        <f t="shared" si="19"/>
        <v>3481118757082.1465</v>
      </c>
      <c r="AA136" s="16">
        <f t="shared" si="19"/>
        <v>3620064600695.519</v>
      </c>
      <c r="AB136" s="16">
        <f t="shared" si="19"/>
        <v>3620064600695.519</v>
      </c>
      <c r="AC136" s="16">
        <f t="shared" si="19"/>
        <v>3828483366115.5762</v>
      </c>
      <c r="AD136" s="16">
        <f t="shared" si="19"/>
        <v>3828483366115.5762</v>
      </c>
      <c r="AE136" s="16">
        <f t="shared" si="19"/>
        <v>3828483366115.5762</v>
      </c>
      <c r="AF136" s="16">
        <f t="shared" si="19"/>
        <v>3828483366115.5762</v>
      </c>
    </row>
    <row r="137" spans="1:32">
      <c r="A137" t="s">
        <v>16</v>
      </c>
      <c r="B137" s="16">
        <f t="shared" si="17"/>
        <v>292500333199.72656</v>
      </c>
      <c r="C137" s="16">
        <f t="shared" si="18"/>
        <v>301857260332.09906</v>
      </c>
      <c r="D137" s="16">
        <f t="shared" si="19"/>
        <v>339284968861.58868</v>
      </c>
      <c r="E137" s="16">
        <f t="shared" si="19"/>
        <v>320571114596.84387</v>
      </c>
      <c r="F137" s="16">
        <f t="shared" si="19"/>
        <v>329928041729.21631</v>
      </c>
      <c r="G137" s="16">
        <f t="shared" si="19"/>
        <v>339284968861.58868</v>
      </c>
      <c r="H137" s="16">
        <f t="shared" si="19"/>
        <v>341865528693.89807</v>
      </c>
      <c r="I137" s="16">
        <f t="shared" si="19"/>
        <v>344446088526.20752</v>
      </c>
      <c r="J137" s="16">
        <f t="shared" si="19"/>
        <v>347026648358.51691</v>
      </c>
      <c r="K137" s="16">
        <f t="shared" si="19"/>
        <v>349607208190.82635</v>
      </c>
      <c r="L137" s="16">
        <f t="shared" si="19"/>
        <v>352187768023.13574</v>
      </c>
      <c r="M137" s="16">
        <f t="shared" si="19"/>
        <v>354299135158.66156</v>
      </c>
      <c r="N137" s="16">
        <f t="shared" si="19"/>
        <v>356410502294.18744</v>
      </c>
      <c r="O137" s="16">
        <f t="shared" si="19"/>
        <v>358521869429.71338</v>
      </c>
      <c r="P137" s="16">
        <f t="shared" si="19"/>
        <v>360633236565.23926</v>
      </c>
      <c r="Q137" s="16">
        <f t="shared" si="19"/>
        <v>362744603700.76514</v>
      </c>
      <c r="R137" s="16">
        <f t="shared" si="19"/>
        <v>365031918097.58478</v>
      </c>
      <c r="S137" s="16">
        <f t="shared" si="19"/>
        <v>367319232494.40448</v>
      </c>
      <c r="T137" s="16">
        <f t="shared" si="19"/>
        <v>369606546891.22424</v>
      </c>
      <c r="U137" s="16">
        <f t="shared" si="19"/>
        <v>371893861288.04388</v>
      </c>
      <c r="V137" s="16">
        <f t="shared" si="19"/>
        <v>374181175684.86359</v>
      </c>
      <c r="W137" s="16">
        <f t="shared" si="19"/>
        <v>376233893733.2915</v>
      </c>
      <c r="X137" s="16">
        <f t="shared" si="19"/>
        <v>378446563837.44098</v>
      </c>
      <c r="Y137" s="16">
        <f t="shared" si="19"/>
        <v>380659233941.59033</v>
      </c>
      <c r="Z137" s="16">
        <f t="shared" si="19"/>
        <v>382871904045.73987</v>
      </c>
      <c r="AA137" s="16">
        <f t="shared" si="19"/>
        <v>385084574149.88922</v>
      </c>
      <c r="AB137" s="16">
        <f t="shared" si="19"/>
        <v>387297244254.03955</v>
      </c>
      <c r="AC137" s="16">
        <f t="shared" si="19"/>
        <v>389509914358.18896</v>
      </c>
      <c r="AD137" s="16">
        <f t="shared" si="19"/>
        <v>391722584462.33838</v>
      </c>
      <c r="AE137" s="16">
        <f t="shared" si="19"/>
        <v>393935254566.48779</v>
      </c>
      <c r="AF137" s="16">
        <f t="shared" si="19"/>
        <v>396147924670.63721</v>
      </c>
    </row>
    <row r="138" spans="1:32">
      <c r="A138" t="s">
        <v>17</v>
      </c>
      <c r="B138" s="16">
        <f t="shared" si="17"/>
        <v>571905743795.72449</v>
      </c>
      <c r="C138" s="16">
        <f t="shared" si="18"/>
        <v>590200698583.44397</v>
      </c>
      <c r="D138" s="16">
        <f t="shared" si="19"/>
        <v>663380517734.32129</v>
      </c>
      <c r="E138" s="16">
        <f t="shared" si="19"/>
        <v>626790608158.88269</v>
      </c>
      <c r="F138" s="16">
        <f t="shared" si="19"/>
        <v>645085562946.60205</v>
      </c>
      <c r="G138" s="16">
        <f t="shared" si="19"/>
        <v>663380517734.32129</v>
      </c>
      <c r="H138" s="16">
        <f t="shared" si="19"/>
        <v>668426108534.7207</v>
      </c>
      <c r="I138" s="16">
        <f t="shared" si="19"/>
        <v>673471699335.12</v>
      </c>
      <c r="J138" s="16">
        <f t="shared" si="19"/>
        <v>678517290135.51929</v>
      </c>
      <c r="K138" s="16">
        <f t="shared" si="19"/>
        <v>683562880935.9187</v>
      </c>
      <c r="L138" s="16">
        <f t="shared" si="19"/>
        <v>688608471736.31799</v>
      </c>
      <c r="M138" s="16">
        <f t="shared" si="19"/>
        <v>692736682391.19019</v>
      </c>
      <c r="N138" s="16">
        <f t="shared" si="19"/>
        <v>696864893046.06226</v>
      </c>
      <c r="O138" s="16">
        <f t="shared" si="19"/>
        <v>700993103700.93457</v>
      </c>
      <c r="P138" s="16">
        <f t="shared" si="19"/>
        <v>705121314355.80676</v>
      </c>
      <c r="Q138" s="16">
        <f t="shared" si="19"/>
        <v>709249525010.67896</v>
      </c>
      <c r="R138" s="16">
        <f t="shared" si="19"/>
        <v>713721753220.12378</v>
      </c>
      <c r="S138" s="16">
        <f t="shared" si="19"/>
        <v>718193981429.5686</v>
      </c>
      <c r="T138" s="16">
        <f t="shared" si="19"/>
        <v>722666209639.01343</v>
      </c>
      <c r="U138" s="16">
        <f t="shared" si="19"/>
        <v>727138437848.45825</v>
      </c>
      <c r="V138" s="16">
        <f t="shared" si="19"/>
        <v>731610666057.9032</v>
      </c>
      <c r="W138" s="16">
        <f t="shared" si="19"/>
        <v>735624204194.58447</v>
      </c>
      <c r="X138" s="16">
        <f t="shared" si="19"/>
        <v>739950485562.69519</v>
      </c>
      <c r="Y138" s="16">
        <f t="shared" si="19"/>
        <v>744276766930.80579</v>
      </c>
      <c r="Z138" s="16">
        <f t="shared" si="19"/>
        <v>748603048298.9165</v>
      </c>
      <c r="AA138" s="16">
        <f t="shared" si="19"/>
        <v>752929329667.0271</v>
      </c>
      <c r="AB138" s="16">
        <f t="shared" si="19"/>
        <v>757255611035.13965</v>
      </c>
      <c r="AC138" s="16">
        <f t="shared" si="19"/>
        <v>761581892403.25037</v>
      </c>
      <c r="AD138" s="16">
        <f t="shared" si="19"/>
        <v>765908173771.36096</v>
      </c>
      <c r="AE138" s="16">
        <f t="shared" si="19"/>
        <v>770234455139.47156</v>
      </c>
      <c r="AF138" s="16">
        <f t="shared" si="19"/>
        <v>774560736507.58228</v>
      </c>
    </row>
    <row r="139" spans="1:32">
      <c r="A139" t="s">
        <v>18</v>
      </c>
      <c r="B139" s="16">
        <f t="shared" si="17"/>
        <v>4209656015296.6514</v>
      </c>
      <c r="C139" s="16">
        <f t="shared" si="18"/>
        <v>4401106223310.0371</v>
      </c>
      <c r="D139" s="16">
        <f t="shared" si="19"/>
        <v>5166907055363.583</v>
      </c>
      <c r="E139" s="16">
        <f t="shared" si="19"/>
        <v>4784006639336.8115</v>
      </c>
      <c r="F139" s="16">
        <f t="shared" si="19"/>
        <v>4975456847350.1973</v>
      </c>
      <c r="G139" s="16">
        <f t="shared" si="19"/>
        <v>5166907055363.583</v>
      </c>
      <c r="H139" s="16">
        <f t="shared" si="19"/>
        <v>5260658509331.7275</v>
      </c>
      <c r="I139" s="16">
        <f t="shared" si="19"/>
        <v>5354409963299.8955</v>
      </c>
      <c r="J139" s="16">
        <f t="shared" si="19"/>
        <v>5448161417268.0625</v>
      </c>
      <c r="K139" s="16">
        <f t="shared" si="19"/>
        <v>5541912871236.2305</v>
      </c>
      <c r="L139" s="16">
        <f t="shared" si="19"/>
        <v>5635664325204.4229</v>
      </c>
      <c r="M139" s="16">
        <f t="shared" si="19"/>
        <v>5713934769850.668</v>
      </c>
      <c r="N139" s="16">
        <f t="shared" si="19"/>
        <v>5792205214496.9121</v>
      </c>
      <c r="O139" s="16">
        <f t="shared" si="19"/>
        <v>5870475659143.1563</v>
      </c>
      <c r="P139" s="16">
        <f t="shared" si="19"/>
        <v>5948746103789.4014</v>
      </c>
      <c r="Q139" s="16">
        <f t="shared" si="19"/>
        <v>6027016548435.6455</v>
      </c>
      <c r="R139" s="16">
        <f t="shared" si="19"/>
        <v>6107594721179.5684</v>
      </c>
      <c r="S139" s="16">
        <f t="shared" si="19"/>
        <v>6188172893923.4902</v>
      </c>
      <c r="T139" s="16">
        <f t="shared" si="19"/>
        <v>6268751066667.4141</v>
      </c>
      <c r="U139" s="16">
        <f t="shared" si="19"/>
        <v>6349329239411.3369</v>
      </c>
      <c r="V139" s="16">
        <f t="shared" si="19"/>
        <v>6429907412155.2588</v>
      </c>
      <c r="W139" s="16">
        <f t="shared" si="19"/>
        <v>6507408614102.2783</v>
      </c>
      <c r="X139" s="16">
        <f t="shared" si="19"/>
        <v>6587007750683.5469</v>
      </c>
      <c r="Y139" s="16">
        <f t="shared" si="19"/>
        <v>6666606887264.8418</v>
      </c>
      <c r="Z139" s="16">
        <f t="shared" si="19"/>
        <v>6746206023846.1094</v>
      </c>
      <c r="AA139" s="16">
        <f t="shared" si="19"/>
        <v>6825805160427.3789</v>
      </c>
      <c r="AB139" s="16">
        <f t="shared" si="19"/>
        <v>6905404297008.6475</v>
      </c>
      <c r="AC139" s="16">
        <f t="shared" si="19"/>
        <v>6985003433589.917</v>
      </c>
      <c r="AD139" s="16">
        <f t="shared" si="19"/>
        <v>7064602570171.1865</v>
      </c>
      <c r="AE139" s="16">
        <f t="shared" si="19"/>
        <v>7144201706752.4561</v>
      </c>
      <c r="AF139" s="16">
        <f t="shared" si="19"/>
        <v>7223800843333.7236</v>
      </c>
    </row>
    <row r="140" spans="1:32">
      <c r="A140" t="s">
        <v>19</v>
      </c>
      <c r="B140" s="16">
        <f t="shared" si="17"/>
        <v>733069168029.72412</v>
      </c>
      <c r="C140" s="16">
        <f t="shared" si="18"/>
        <v>766408292223.60449</v>
      </c>
      <c r="D140" s="16">
        <f t="shared" si="19"/>
        <v>899764788999.12622</v>
      </c>
      <c r="E140" s="16">
        <f t="shared" si="19"/>
        <v>833086540611.36536</v>
      </c>
      <c r="F140" s="16">
        <f t="shared" si="19"/>
        <v>866425664805.24585</v>
      </c>
      <c r="G140" s="16">
        <f t="shared" si="19"/>
        <v>899764788999.12622</v>
      </c>
      <c r="H140" s="16">
        <f t="shared" si="19"/>
        <v>916090659833.29236</v>
      </c>
      <c r="I140" s="16">
        <f t="shared" si="19"/>
        <v>932416530667.46277</v>
      </c>
      <c r="J140" s="16">
        <f t="shared" si="19"/>
        <v>948742401501.63318</v>
      </c>
      <c r="K140" s="16">
        <f t="shared" si="19"/>
        <v>965068272335.80359</v>
      </c>
      <c r="L140" s="16">
        <f t="shared" si="19"/>
        <v>981394143169.97827</v>
      </c>
      <c r="M140" s="16">
        <f t="shared" si="19"/>
        <v>995024152256.14734</v>
      </c>
      <c r="N140" s="16">
        <f t="shared" si="19"/>
        <v>1008654161342.3162</v>
      </c>
      <c r="O140" s="16">
        <f t="shared" si="19"/>
        <v>1022284170428.4852</v>
      </c>
      <c r="P140" s="16">
        <f t="shared" si="19"/>
        <v>1035914179514.6542</v>
      </c>
      <c r="Q140" s="16">
        <f t="shared" si="19"/>
        <v>1049544188600.8231</v>
      </c>
      <c r="R140" s="16">
        <f t="shared" si="19"/>
        <v>1063576065276.7561</v>
      </c>
      <c r="S140" s="16">
        <f t="shared" si="19"/>
        <v>1077607941952.6895</v>
      </c>
      <c r="T140" s="16">
        <f t="shared" si="19"/>
        <v>1091639818628.6226</v>
      </c>
      <c r="U140" s="16">
        <f t="shared" si="19"/>
        <v>1105671695304.5557</v>
      </c>
      <c r="V140" s="16">
        <f t="shared" si="19"/>
        <v>1119703571980.489</v>
      </c>
      <c r="W140" s="16">
        <f t="shared" si="19"/>
        <v>1133199625203.4031</v>
      </c>
      <c r="X140" s="16">
        <f t="shared" si="19"/>
        <v>1147061012598.8298</v>
      </c>
      <c r="Y140" s="16">
        <f t="shared" si="19"/>
        <v>1160922399994.2605</v>
      </c>
      <c r="Z140" s="16">
        <f t="shared" si="19"/>
        <v>1174783787389.6877</v>
      </c>
      <c r="AA140" s="16">
        <f t="shared" si="19"/>
        <v>1188645174785.1143</v>
      </c>
      <c r="AB140" s="16">
        <f t="shared" si="19"/>
        <v>1202506562180.541</v>
      </c>
      <c r="AC140" s="16">
        <f t="shared" si="19"/>
        <v>1216367949575.9678</v>
      </c>
      <c r="AD140" s="16">
        <f t="shared" si="19"/>
        <v>1230229336971.3945</v>
      </c>
      <c r="AE140" s="16">
        <f t="shared" si="19"/>
        <v>1244090724366.821</v>
      </c>
      <c r="AF140" s="16">
        <f t="shared" si="19"/>
        <v>1257952111762.248</v>
      </c>
    </row>
    <row r="141" spans="1:32">
      <c r="A141" t="s">
        <v>20</v>
      </c>
      <c r="B141" s="16">
        <f t="shared" si="17"/>
        <v>1144412143248.7368</v>
      </c>
      <c r="C141" s="16">
        <f t="shared" si="18"/>
        <v>1196458662508.7139</v>
      </c>
      <c r="D141" s="16">
        <f t="shared" si="19"/>
        <v>1404644739548.6228</v>
      </c>
      <c r="E141" s="16">
        <f t="shared" si="19"/>
        <v>1300551701028.6685</v>
      </c>
      <c r="F141" s="16">
        <f t="shared" si="19"/>
        <v>1352598220288.6455</v>
      </c>
      <c r="G141" s="16">
        <f t="shared" ref="D141:AF147" si="20">IFERROR($B141*G29/$B29,0)</f>
        <v>1404644739548.6228</v>
      </c>
      <c r="H141" s="16">
        <f t="shared" si="20"/>
        <v>1430131454372.4722</v>
      </c>
      <c r="I141" s="16">
        <f t="shared" si="20"/>
        <v>1455618169196.3286</v>
      </c>
      <c r="J141" s="16">
        <f t="shared" si="20"/>
        <v>1481104884020.1843</v>
      </c>
      <c r="K141" s="16">
        <f t="shared" si="20"/>
        <v>1506591598844.0405</v>
      </c>
      <c r="L141" s="16">
        <f t="shared" si="20"/>
        <v>1532078313667.9031</v>
      </c>
      <c r="M141" s="16">
        <f t="shared" si="20"/>
        <v>1553356453018.2817</v>
      </c>
      <c r="N141" s="16">
        <f t="shared" si="20"/>
        <v>1574634592368.6599</v>
      </c>
      <c r="O141" s="16">
        <f t="shared" si="20"/>
        <v>1595912731719.0386</v>
      </c>
      <c r="P141" s="16">
        <f t="shared" si="20"/>
        <v>1617190871069.4165</v>
      </c>
      <c r="Q141" s="16">
        <f t="shared" si="20"/>
        <v>1638469010419.7949</v>
      </c>
      <c r="R141" s="16">
        <f t="shared" si="20"/>
        <v>1660374515058.145</v>
      </c>
      <c r="S141" s="16">
        <f t="shared" si="20"/>
        <v>1682280019696.4954</v>
      </c>
      <c r="T141" s="16">
        <f t="shared" si="20"/>
        <v>1704185524334.8455</v>
      </c>
      <c r="U141" s="16">
        <f t="shared" si="20"/>
        <v>1726091028973.1956</v>
      </c>
      <c r="V141" s="16">
        <f t="shared" si="20"/>
        <v>1747996533611.5457</v>
      </c>
      <c r="W141" s="16">
        <f t="shared" si="20"/>
        <v>1769065551199.2666</v>
      </c>
      <c r="X141" s="16">
        <f t="shared" si="20"/>
        <v>1790704900866.9619</v>
      </c>
      <c r="Y141" s="16">
        <f t="shared" si="20"/>
        <v>1812344250534.6628</v>
      </c>
      <c r="Z141" s="16">
        <f t="shared" si="20"/>
        <v>1833983600202.3579</v>
      </c>
      <c r="AA141" s="16">
        <f t="shared" si="20"/>
        <v>1855622949870.0527</v>
      </c>
      <c r="AB141" s="16">
        <f t="shared" si="20"/>
        <v>1877262299537.7476</v>
      </c>
      <c r="AC141" s="16">
        <f t="shared" si="20"/>
        <v>1898901649205.4424</v>
      </c>
      <c r="AD141" s="16">
        <f t="shared" si="20"/>
        <v>1920540998873.1372</v>
      </c>
      <c r="AE141" s="16">
        <f t="shared" si="20"/>
        <v>1942180348540.832</v>
      </c>
      <c r="AF141" s="16">
        <f t="shared" si="20"/>
        <v>1963819698208.5269</v>
      </c>
    </row>
    <row r="142" spans="1:32">
      <c r="A142" t="s">
        <v>21</v>
      </c>
      <c r="B142" s="16">
        <f t="shared" si="17"/>
        <v>1194858032695.4917</v>
      </c>
      <c r="C142" s="16">
        <f t="shared" si="18"/>
        <v>1249198771719.0095</v>
      </c>
      <c r="D142" s="16">
        <f t="shared" si="20"/>
        <v>1466561727813.0811</v>
      </c>
      <c r="E142" s="16">
        <f t="shared" si="20"/>
        <v>1357880249766.0454</v>
      </c>
      <c r="F142" s="16">
        <f t="shared" si="20"/>
        <v>1412220988789.5632</v>
      </c>
      <c r="G142" s="16">
        <f t="shared" si="20"/>
        <v>1466561727813.0811</v>
      </c>
      <c r="H142" s="16">
        <f t="shared" si="20"/>
        <v>1493171901528.8599</v>
      </c>
      <c r="I142" s="16">
        <f t="shared" si="20"/>
        <v>1519782075244.646</v>
      </c>
      <c r="J142" s="16">
        <f t="shared" si="20"/>
        <v>1546392248960.4321</v>
      </c>
      <c r="K142" s="16">
        <f t="shared" si="20"/>
        <v>1573002422676.2178</v>
      </c>
      <c r="L142" s="16">
        <f t="shared" si="20"/>
        <v>1599612596392.0105</v>
      </c>
      <c r="M142" s="16">
        <f t="shared" si="20"/>
        <v>1621828679883.959</v>
      </c>
      <c r="N142" s="16">
        <f t="shared" si="20"/>
        <v>1644044763375.9072</v>
      </c>
      <c r="O142" s="16">
        <f t="shared" si="20"/>
        <v>1666260846867.8557</v>
      </c>
      <c r="P142" s="16">
        <f t="shared" si="20"/>
        <v>1688476930359.804</v>
      </c>
      <c r="Q142" s="16">
        <f t="shared" si="20"/>
        <v>1710693013851.7524</v>
      </c>
      <c r="R142" s="16">
        <f t="shared" si="20"/>
        <v>1733564117004.3975</v>
      </c>
      <c r="S142" s="16">
        <f t="shared" si="20"/>
        <v>1756435220157.042</v>
      </c>
      <c r="T142" s="16">
        <f t="shared" si="20"/>
        <v>1779306323309.6865</v>
      </c>
      <c r="U142" s="16">
        <f t="shared" si="20"/>
        <v>1802177426462.3315</v>
      </c>
      <c r="V142" s="16">
        <f t="shared" si="20"/>
        <v>1825048529614.9761</v>
      </c>
      <c r="W142" s="16">
        <f t="shared" si="20"/>
        <v>1847046273220.0254</v>
      </c>
      <c r="X142" s="16">
        <f t="shared" si="20"/>
        <v>1869639489243.8896</v>
      </c>
      <c r="Y142" s="16">
        <f t="shared" si="20"/>
        <v>1892232705267.76</v>
      </c>
      <c r="Z142" s="16">
        <f t="shared" si="20"/>
        <v>1914825921291.6243</v>
      </c>
      <c r="AA142" s="16">
        <f t="shared" si="20"/>
        <v>1937419137315.488</v>
      </c>
      <c r="AB142" s="16">
        <f t="shared" si="20"/>
        <v>1960012353339.3516</v>
      </c>
      <c r="AC142" s="16">
        <f t="shared" si="20"/>
        <v>1982605569363.2156</v>
      </c>
      <c r="AD142" s="16">
        <f t="shared" si="20"/>
        <v>2005198785387.0793</v>
      </c>
      <c r="AE142" s="16">
        <f t="shared" si="20"/>
        <v>2027792001410.9429</v>
      </c>
      <c r="AF142" s="16">
        <f t="shared" si="20"/>
        <v>2050385217434.8069</v>
      </c>
    </row>
    <row r="143" spans="1:32">
      <c r="A143" t="s">
        <v>22</v>
      </c>
      <c r="B143" s="16">
        <f t="shared" si="17"/>
        <v>305980077029.64355</v>
      </c>
      <c r="C143" s="16">
        <f t="shared" si="18"/>
        <v>319895691317.94049</v>
      </c>
      <c r="D143" s="16">
        <f t="shared" si="20"/>
        <v>375558148471.12823</v>
      </c>
      <c r="E143" s="16">
        <f t="shared" si="20"/>
        <v>347726919894.53442</v>
      </c>
      <c r="F143" s="16">
        <f t="shared" si="20"/>
        <v>361642534182.8313</v>
      </c>
      <c r="G143" s="16">
        <f t="shared" si="20"/>
        <v>375558148471.12823</v>
      </c>
      <c r="H143" s="16">
        <f t="shared" si="20"/>
        <v>382372500285.76038</v>
      </c>
      <c r="I143" s="16">
        <f t="shared" si="20"/>
        <v>389186852100.39423</v>
      </c>
      <c r="J143" s="16">
        <f t="shared" si="20"/>
        <v>396001203915.02802</v>
      </c>
      <c r="K143" s="16">
        <f t="shared" si="20"/>
        <v>402815555729.66193</v>
      </c>
      <c r="L143" s="16">
        <f t="shared" si="20"/>
        <v>409629907544.29761</v>
      </c>
      <c r="M143" s="16">
        <f t="shared" si="20"/>
        <v>415319017674.6687</v>
      </c>
      <c r="N143" s="16">
        <f t="shared" si="20"/>
        <v>421008127805.03998</v>
      </c>
      <c r="O143" s="16">
        <f t="shared" si="20"/>
        <v>426697237935.41125</v>
      </c>
      <c r="P143" s="16">
        <f t="shared" si="20"/>
        <v>432386348065.78247</v>
      </c>
      <c r="Q143" s="16">
        <f t="shared" si="20"/>
        <v>438075458196.15369</v>
      </c>
      <c r="R143" s="16">
        <f t="shared" si="20"/>
        <v>443932306217.34668</v>
      </c>
      <c r="S143" s="16">
        <f t="shared" si="20"/>
        <v>449789154238.53967</v>
      </c>
      <c r="T143" s="16">
        <f t="shared" si="20"/>
        <v>455646002259.73273</v>
      </c>
      <c r="U143" s="16">
        <f t="shared" si="20"/>
        <v>461502850280.92572</v>
      </c>
      <c r="V143" s="16">
        <f t="shared" si="20"/>
        <v>467359698302.11871</v>
      </c>
      <c r="W143" s="16">
        <f t="shared" si="20"/>
        <v>472992895802.216</v>
      </c>
      <c r="X143" s="16">
        <f t="shared" si="20"/>
        <v>478778582293.96924</v>
      </c>
      <c r="Y143" s="16">
        <f t="shared" si="20"/>
        <v>484564268785.7243</v>
      </c>
      <c r="Z143" s="16">
        <f t="shared" si="20"/>
        <v>490349955277.47766</v>
      </c>
      <c r="AA143" s="16">
        <f t="shared" si="20"/>
        <v>496135641769.23096</v>
      </c>
      <c r="AB143" s="16">
        <f t="shared" si="20"/>
        <v>501921328260.98425</v>
      </c>
      <c r="AC143" s="16">
        <f t="shared" si="20"/>
        <v>507707014752.73755</v>
      </c>
      <c r="AD143" s="16">
        <f t="shared" si="20"/>
        <v>513492701244.49084</v>
      </c>
      <c r="AE143" s="16">
        <f t="shared" si="20"/>
        <v>519278387736.2442</v>
      </c>
      <c r="AF143" s="16">
        <f t="shared" si="20"/>
        <v>525064074227.99744</v>
      </c>
    </row>
    <row r="144" spans="1:32">
      <c r="A144" t="s">
        <v>23</v>
      </c>
      <c r="B144" s="16">
        <f t="shared" si="17"/>
        <v>298271442213.78033</v>
      </c>
      <c r="C144" s="16">
        <f t="shared" si="18"/>
        <v>309232403324.53857</v>
      </c>
      <c r="D144" s="16">
        <f t="shared" si="20"/>
        <v>320193364435.29669</v>
      </c>
      <c r="E144" s="16">
        <f t="shared" si="20"/>
        <v>331154325546.05493</v>
      </c>
      <c r="F144" s="16">
        <f t="shared" si="20"/>
        <v>342115286656.81311</v>
      </c>
      <c r="G144" s="16">
        <f t="shared" si="20"/>
        <v>353076247767.57129</v>
      </c>
      <c r="H144" s="16">
        <f t="shared" si="20"/>
        <v>355919742849.12146</v>
      </c>
      <c r="I144" s="16">
        <f t="shared" si="20"/>
        <v>358763237930.67157</v>
      </c>
      <c r="J144" s="16">
        <f t="shared" si="20"/>
        <v>361606733012.22174</v>
      </c>
      <c r="K144" s="16">
        <f t="shared" si="20"/>
        <v>364450228093.77179</v>
      </c>
      <c r="L144" s="16">
        <f t="shared" si="20"/>
        <v>367293723175.3219</v>
      </c>
      <c r="M144" s="16">
        <f t="shared" si="20"/>
        <v>368795946991.98987</v>
      </c>
      <c r="N144" s="16">
        <f t="shared" si="20"/>
        <v>370298170808.65784</v>
      </c>
      <c r="O144" s="16">
        <f t="shared" si="20"/>
        <v>371800394625.32581</v>
      </c>
      <c r="P144" s="16">
        <f t="shared" si="20"/>
        <v>373302618441.99377</v>
      </c>
      <c r="Q144" s="16">
        <f t="shared" si="20"/>
        <v>374804842258.66187</v>
      </c>
      <c r="R144" s="16">
        <f t="shared" si="20"/>
        <v>375877859270.5675</v>
      </c>
      <c r="S144" s="16">
        <f t="shared" si="20"/>
        <v>376950876282.47321</v>
      </c>
      <c r="T144" s="16">
        <f t="shared" si="20"/>
        <v>378023893294.37891</v>
      </c>
      <c r="U144" s="16">
        <f t="shared" si="20"/>
        <v>379096910306.28461</v>
      </c>
      <c r="V144" s="16">
        <f t="shared" si="20"/>
        <v>380169927318.19025</v>
      </c>
      <c r="W144" s="16">
        <f t="shared" si="20"/>
        <v>381815220069.77924</v>
      </c>
      <c r="X144" s="16">
        <f t="shared" si="20"/>
        <v>383070324817.03839</v>
      </c>
      <c r="Y144" s="16">
        <f t="shared" si="20"/>
        <v>384325429564.29785</v>
      </c>
      <c r="Z144" s="16">
        <f t="shared" si="20"/>
        <v>385580534311.55737</v>
      </c>
      <c r="AA144" s="16">
        <f t="shared" si="20"/>
        <v>386835639058.81683</v>
      </c>
      <c r="AB144" s="16">
        <f t="shared" si="20"/>
        <v>388090743806.07599</v>
      </c>
      <c r="AC144" s="16">
        <f t="shared" si="20"/>
        <v>389345848553.33545</v>
      </c>
      <c r="AD144" s="16">
        <f t="shared" si="20"/>
        <v>390600953300.59485</v>
      </c>
      <c r="AE144" s="16">
        <f t="shared" si="20"/>
        <v>391856058047.85437</v>
      </c>
      <c r="AF144" s="16">
        <f t="shared" si="20"/>
        <v>393111162795.11383</v>
      </c>
    </row>
    <row r="145" spans="1:32">
      <c r="A145" t="s">
        <v>24</v>
      </c>
      <c r="B145" s="16">
        <f t="shared" si="17"/>
        <v>0</v>
      </c>
      <c r="C145" s="16">
        <f t="shared" si="18"/>
        <v>0</v>
      </c>
      <c r="D145" s="16">
        <f t="shared" si="20"/>
        <v>0</v>
      </c>
      <c r="E145" s="16">
        <f t="shared" si="20"/>
        <v>0</v>
      </c>
      <c r="F145" s="16">
        <f t="shared" si="20"/>
        <v>0</v>
      </c>
      <c r="G145" s="16">
        <f t="shared" si="20"/>
        <v>0</v>
      </c>
      <c r="H145" s="16">
        <f t="shared" si="20"/>
        <v>0</v>
      </c>
      <c r="I145" s="16">
        <f t="shared" si="20"/>
        <v>0</v>
      </c>
      <c r="J145" s="16">
        <f t="shared" si="20"/>
        <v>0</v>
      </c>
      <c r="K145" s="16">
        <f t="shared" si="20"/>
        <v>0</v>
      </c>
      <c r="L145" s="16">
        <f t="shared" si="20"/>
        <v>0</v>
      </c>
      <c r="M145" s="16">
        <f t="shared" si="20"/>
        <v>0</v>
      </c>
      <c r="N145" s="16">
        <f t="shared" si="20"/>
        <v>0</v>
      </c>
      <c r="O145" s="16">
        <f t="shared" si="20"/>
        <v>0</v>
      </c>
      <c r="P145" s="16">
        <f t="shared" si="20"/>
        <v>0</v>
      </c>
      <c r="Q145" s="16">
        <f t="shared" si="20"/>
        <v>0</v>
      </c>
      <c r="R145" s="16">
        <f t="shared" si="20"/>
        <v>0</v>
      </c>
      <c r="S145" s="16">
        <f t="shared" si="20"/>
        <v>0</v>
      </c>
      <c r="T145" s="16">
        <f t="shared" si="20"/>
        <v>0</v>
      </c>
      <c r="U145" s="16">
        <f t="shared" si="20"/>
        <v>0</v>
      </c>
      <c r="V145" s="16">
        <f t="shared" si="20"/>
        <v>0</v>
      </c>
      <c r="W145" s="16">
        <f t="shared" si="20"/>
        <v>0</v>
      </c>
      <c r="X145" s="16">
        <f t="shared" si="20"/>
        <v>0</v>
      </c>
      <c r="Y145" s="16">
        <f t="shared" si="20"/>
        <v>0</v>
      </c>
      <c r="Z145" s="16">
        <f t="shared" si="20"/>
        <v>0</v>
      </c>
      <c r="AA145" s="16">
        <f t="shared" si="20"/>
        <v>0</v>
      </c>
      <c r="AB145" s="16">
        <f t="shared" si="20"/>
        <v>0</v>
      </c>
      <c r="AC145" s="16">
        <f t="shared" si="20"/>
        <v>0</v>
      </c>
      <c r="AD145" s="16">
        <f t="shared" si="20"/>
        <v>0</v>
      </c>
      <c r="AE145" s="16">
        <f t="shared" si="20"/>
        <v>0</v>
      </c>
      <c r="AF145" s="16">
        <f t="shared" si="20"/>
        <v>0</v>
      </c>
    </row>
    <row r="146" spans="1:32">
      <c r="A146" t="s">
        <v>25</v>
      </c>
      <c r="B146" s="16">
        <f t="shared" si="17"/>
        <v>88590515292.108856</v>
      </c>
      <c r="C146" s="16">
        <f t="shared" si="18"/>
        <v>88679105807.400955</v>
      </c>
      <c r="D146" s="16">
        <f t="shared" si="20"/>
        <v>88767784913.208344</v>
      </c>
      <c r="E146" s="16">
        <f t="shared" si="20"/>
        <v>88856552698.121552</v>
      </c>
      <c r="F146" s="16">
        <f t="shared" si="20"/>
        <v>88945409250.819656</v>
      </c>
      <c r="G146" s="16">
        <f t="shared" si="20"/>
        <v>89034354660.070465</v>
      </c>
      <c r="H146" s="16">
        <f t="shared" si="20"/>
        <v>89123389014.73053</v>
      </c>
      <c r="I146" s="16">
        <f t="shared" si="20"/>
        <v>89212512403.745255</v>
      </c>
      <c r="J146" s="16">
        <f t="shared" si="20"/>
        <v>89301724916.148987</v>
      </c>
      <c r="K146" s="16">
        <f t="shared" si="20"/>
        <v>89391026641.06514</v>
      </c>
      <c r="L146" s="16">
        <f t="shared" si="20"/>
        <v>89480417667.706192</v>
      </c>
      <c r="M146" s="16">
        <f t="shared" si="20"/>
        <v>89569898085.373886</v>
      </c>
      <c r="N146" s="16">
        <f t="shared" si="20"/>
        <v>89659467983.459244</v>
      </c>
      <c r="O146" s="16">
        <f t="shared" si="20"/>
        <v>89749127451.442688</v>
      </c>
      <c r="P146" s="16">
        <f t="shared" si="20"/>
        <v>89838876578.894135</v>
      </c>
      <c r="Q146" s="16">
        <f t="shared" si="20"/>
        <v>89928715455.473007</v>
      </c>
      <c r="R146" s="16">
        <f t="shared" si="20"/>
        <v>90018644170.928467</v>
      </c>
      <c r="S146" s="16">
        <f t="shared" si="20"/>
        <v>90108662815.09938</v>
      </c>
      <c r="T146" s="16">
        <f t="shared" si="20"/>
        <v>90198771477.914474</v>
      </c>
      <c r="U146" s="16">
        <f t="shared" si="20"/>
        <v>90288970249.39238</v>
      </c>
      <c r="V146" s="16">
        <f t="shared" si="20"/>
        <v>90379259219.641754</v>
      </c>
      <c r="W146" s="16">
        <f t="shared" si="20"/>
        <v>89927362923.543549</v>
      </c>
      <c r="X146" s="16">
        <f t="shared" si="20"/>
        <v>89477726108.925827</v>
      </c>
      <c r="Y146" s="16">
        <f t="shared" si="20"/>
        <v>89030337478.381195</v>
      </c>
      <c r="Z146" s="16">
        <f t="shared" si="20"/>
        <v>88585185790.989288</v>
      </c>
      <c r="AA146" s="16">
        <f t="shared" si="20"/>
        <v>88142259862.034332</v>
      </c>
      <c r="AB146" s="16">
        <f t="shared" si="20"/>
        <v>87701548562.724182</v>
      </c>
      <c r="AC146" s="16">
        <f t="shared" si="20"/>
        <v>87263040819.910553</v>
      </c>
      <c r="AD146" s="16">
        <f t="shared" si="20"/>
        <v>86826725615.810989</v>
      </c>
      <c r="AE146" s="16">
        <f t="shared" si="20"/>
        <v>86392591987.731934</v>
      </c>
      <c r="AF146" s="16">
        <f t="shared" si="20"/>
        <v>85960629027.793274</v>
      </c>
    </row>
    <row r="147" spans="1:32">
      <c r="A147" t="s">
        <v>26</v>
      </c>
      <c r="B147" s="16">
        <f t="shared" si="17"/>
        <v>663590973.34703076</v>
      </c>
      <c r="C147" s="16">
        <f t="shared" si="18"/>
        <v>687976797.20707631</v>
      </c>
      <c r="D147" s="16">
        <f t="shared" si="20"/>
        <v>712362621.06712162</v>
      </c>
      <c r="E147" s="16">
        <f t="shared" si="20"/>
        <v>736748444.92716718</v>
      </c>
      <c r="F147" s="16">
        <f t="shared" si="20"/>
        <v>761134268.78721273</v>
      </c>
      <c r="G147" s="16">
        <f t="shared" si="20"/>
        <v>785520092.64725816</v>
      </c>
      <c r="H147" s="16">
        <f t="shared" si="20"/>
        <v>791846268.74668145</v>
      </c>
      <c r="I147" s="16">
        <f t="shared" si="20"/>
        <v>798172444.84610474</v>
      </c>
      <c r="J147" s="16">
        <f t="shared" si="20"/>
        <v>804498620.94552815</v>
      </c>
      <c r="K147" s="16">
        <f t="shared" si="20"/>
        <v>810824797.04495144</v>
      </c>
      <c r="L147" s="16">
        <f t="shared" si="20"/>
        <v>817150973.14437461</v>
      </c>
      <c r="M147" s="16">
        <f t="shared" si="20"/>
        <v>820493103.91388142</v>
      </c>
      <c r="N147" s="16">
        <f t="shared" si="20"/>
        <v>823835234.68338799</v>
      </c>
      <c r="O147" s="16">
        <f t="shared" si="20"/>
        <v>827177365.45289457</v>
      </c>
      <c r="P147" s="16">
        <f t="shared" si="20"/>
        <v>830519496.22240126</v>
      </c>
      <c r="Q147" s="16">
        <f t="shared" si="20"/>
        <v>833861626.99190784</v>
      </c>
      <c r="R147" s="16">
        <f t="shared" si="20"/>
        <v>836248863.25584137</v>
      </c>
      <c r="S147" s="16">
        <f t="shared" si="20"/>
        <v>838636099.51977444</v>
      </c>
      <c r="T147" s="16">
        <f t="shared" si="20"/>
        <v>841023335.78370774</v>
      </c>
      <c r="U147" s="16">
        <f t="shared" si="20"/>
        <v>843410572.04764128</v>
      </c>
      <c r="V147" s="16">
        <f t="shared" si="20"/>
        <v>845797808.31157422</v>
      </c>
      <c r="W147" s="16">
        <f t="shared" si="20"/>
        <v>849458237.24960613</v>
      </c>
      <c r="X147" s="16">
        <f t="shared" si="20"/>
        <v>852250580.27347887</v>
      </c>
      <c r="Y147" s="16">
        <f t="shared" si="20"/>
        <v>855042923.29735279</v>
      </c>
      <c r="Z147" s="16">
        <f t="shared" si="20"/>
        <v>857835266.32122636</v>
      </c>
      <c r="AA147" s="16">
        <f t="shared" si="20"/>
        <v>860627609.34510016</v>
      </c>
      <c r="AB147" s="16">
        <f t="shared" si="20"/>
        <v>863419952.3689729</v>
      </c>
      <c r="AC147" s="16">
        <f t="shared" si="20"/>
        <v>866212295.3928467</v>
      </c>
      <c r="AD147" s="16">
        <f t="shared" si="20"/>
        <v>869004638.41672027</v>
      </c>
      <c r="AE147" s="16">
        <f t="shared" si="20"/>
        <v>871796981.44059396</v>
      </c>
      <c r="AF147" s="16">
        <f t="shared" si="20"/>
        <v>874589324.46446764</v>
      </c>
    </row>
  </sheetData>
  <phoneticPr fontId="37"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82142-F809-4A35-B785-0602BB68179B}">
  <dimension ref="A1:AI79"/>
  <sheetViews>
    <sheetView zoomScale="85" zoomScaleNormal="85" workbookViewId="0">
      <pane xSplit="1" ySplit="1" topLeftCell="B2" activePane="bottomRight" state="frozen"/>
      <selection pane="topRight" activeCell="B1" sqref="B1"/>
      <selection pane="bottomLeft" activeCell="A2" sqref="A2"/>
      <selection pane="bottomRight" activeCell="B21" sqref="B21"/>
    </sheetView>
  </sheetViews>
  <sheetFormatPr defaultColWidth="9.125" defaultRowHeight="16.5"/>
  <cols>
    <col min="1" max="1" width="47.125" customWidth="1"/>
    <col min="2" max="33" width="11" customWidth="1"/>
    <col min="34" max="35" width="9.5" bestFit="1" customWidth="1"/>
  </cols>
  <sheetData>
    <row r="1" spans="1:35">
      <c r="A1" s="24" t="s">
        <v>27</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c r="A2" t="s">
        <v>2</v>
      </c>
      <c r="B2" s="16">
        <f>'KEEI BAU - Industry'!R52*'Others Split'!$F$6+CHP!B39</f>
        <v>14702644366057.188</v>
      </c>
      <c r="C2" s="16">
        <f>'KEEI BAU - Industry'!S52*'Others Split'!$F$6</f>
        <v>1850522437451.0378</v>
      </c>
      <c r="D2" s="16">
        <f>'KEEI BAU - Industry'!T52*'Others Split'!$F$6</f>
        <v>2013114386583.7058</v>
      </c>
      <c r="E2" s="16">
        <f>'KEEI BAU - Industry'!U52*'Others Split'!$F$6</f>
        <v>2175706335716.3735</v>
      </c>
      <c r="F2" s="16">
        <f>'KEEI BAU - Industry'!V52*'Others Split'!$F$6</f>
        <v>2338298284849.0415</v>
      </c>
      <c r="G2" s="16">
        <f>'KEEI BAU - Industry'!W52*'Others Split'!$F$6</f>
        <v>2500890233981.7095</v>
      </c>
      <c r="H2" s="16">
        <f>'KEEI BAU - Industry'!X52*'Others Split'!$F$6</f>
        <v>2559488125698.041</v>
      </c>
      <c r="I2" s="16">
        <f>'KEEI BAU - Industry'!Y52*'Others Split'!$F$6</f>
        <v>2618086017414.374</v>
      </c>
      <c r="J2" s="16">
        <f>'KEEI BAU - Industry'!Z52*'Others Split'!$F$6</f>
        <v>2676683909130.7075</v>
      </c>
      <c r="K2" s="16">
        <f>'KEEI BAU - Industry'!AA52*'Others Split'!$F$6</f>
        <v>2735281800847.0405</v>
      </c>
      <c r="L2" s="16">
        <f>'KEEI BAU - Industry'!AB52*'Others Split'!$F$6</f>
        <v>2793879692563.374</v>
      </c>
      <c r="M2" s="16">
        <f>'KEEI BAU - Industry'!AC52*'Others Split'!$F$6</f>
        <v>2834639565492.3906</v>
      </c>
      <c r="N2" s="16">
        <f>'KEEI BAU - Industry'!AD52*'Others Split'!$F$6</f>
        <v>2875399438421.4077</v>
      </c>
      <c r="O2" s="16">
        <f>'KEEI BAU - Industry'!AE52*'Others Split'!$F$6</f>
        <v>2916159311350.4248</v>
      </c>
      <c r="P2" s="16">
        <f>'KEEI BAU - Industry'!AF52*'Others Split'!$F$6</f>
        <v>2956919184279.4424</v>
      </c>
      <c r="Q2" s="16">
        <f>'KEEI BAU - Industry'!AG52*'Others Split'!$F$6</f>
        <v>2997679057208.46</v>
      </c>
      <c r="R2" s="16">
        <f>'KEEI BAU - Industry'!AH52*'Others Split'!$F$6</f>
        <v>3023990134919.7505</v>
      </c>
      <c r="S2" s="16">
        <f>'KEEI BAU - Industry'!AI52*'Others Split'!$F$6</f>
        <v>3050301212631.0415</v>
      </c>
      <c r="T2" s="16">
        <f>'KEEI BAU - Industry'!AJ52*'Others Split'!$F$6</f>
        <v>3076612290342.3325</v>
      </c>
      <c r="U2" s="16">
        <f>'KEEI BAU - Industry'!AK52*'Others Split'!$F$6</f>
        <v>3102923368053.624</v>
      </c>
      <c r="V2" s="16">
        <f>'KEEI BAU - Industry'!AL52*'Others Split'!$F$6</f>
        <v>3129234445764.9146</v>
      </c>
      <c r="W2" s="16">
        <f>'KEEI BAU - Industry'!AM52*'Others Split'!$F$6</f>
        <v>3174810583766.5073</v>
      </c>
      <c r="X2" s="16">
        <f>'KEEI BAU - Industry'!AN52*'Others Split'!$F$6</f>
        <v>3207251453388.3462</v>
      </c>
      <c r="Y2" s="16">
        <f>'KEEI BAU - Industry'!AO52*'Others Split'!$F$6</f>
        <v>3239692323010.1958</v>
      </c>
      <c r="Z2" s="16">
        <f>'KEEI BAU - Industry'!AP52*'Others Split'!$F$6</f>
        <v>3272133192632.0342</v>
      </c>
      <c r="AA2" s="16">
        <f>'KEEI BAU - Industry'!AQ52*'Others Split'!$F$6</f>
        <v>3304574062253.8726</v>
      </c>
      <c r="AB2" s="16">
        <f>'KEEI BAU - Industry'!AR52*'Others Split'!$F$6</f>
        <v>3337014931875.7114</v>
      </c>
      <c r="AC2" s="16">
        <f>'KEEI BAU - Industry'!AS52*'Others Split'!$F$6</f>
        <v>3369455801497.561</v>
      </c>
      <c r="AD2" s="16">
        <f>'KEEI BAU - Industry'!AT52*'Others Split'!$F$6</f>
        <v>3401896671119.3994</v>
      </c>
      <c r="AE2" s="16">
        <f>'KEEI BAU - Industry'!AU52*'Others Split'!$F$6</f>
        <v>3434337540741.2378</v>
      </c>
      <c r="AF2" s="16">
        <f>'KEEI BAU - Industry'!AV52*'Others Split'!$F$6</f>
        <v>3466778410363.0879</v>
      </c>
    </row>
    <row r="3" spans="1:35">
      <c r="A3" t="s">
        <v>3</v>
      </c>
      <c r="B3" s="16">
        <f>+CHP!B39</f>
        <v>13014713877738.818</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c r="AC3" s="16">
        <v>0</v>
      </c>
      <c r="AD3" s="16">
        <v>0</v>
      </c>
      <c r="AE3" s="16">
        <v>0</v>
      </c>
      <c r="AF3" s="16">
        <v>0</v>
      </c>
    </row>
    <row r="4" spans="1:35">
      <c r="A4" t="s">
        <v>4</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c r="AC4" s="16">
        <v>0</v>
      </c>
      <c r="AD4" s="16">
        <v>0</v>
      </c>
      <c r="AE4" s="16">
        <v>0</v>
      </c>
      <c r="AF4" s="16">
        <v>0</v>
      </c>
    </row>
    <row r="5" spans="1:35">
      <c r="A5" t="s">
        <v>5</v>
      </c>
      <c r="B5" s="16">
        <f>'KEEI BAU - Industry'!R$52*'Others Split'!$F$7</f>
        <v>0</v>
      </c>
      <c r="C5" s="16">
        <f>'KEEI BAU - Industry'!S$52*'Others Split'!$F$7</f>
        <v>0</v>
      </c>
      <c r="D5" s="16">
        <f>'KEEI BAU - Industry'!T$52*'Others Split'!$F$7</f>
        <v>0</v>
      </c>
      <c r="E5" s="16">
        <f>'KEEI BAU - Industry'!U$52*'Others Split'!$F$7</f>
        <v>0</v>
      </c>
      <c r="F5" s="16">
        <f>'KEEI BAU - Industry'!V$52*'Others Split'!$F$7</f>
        <v>0</v>
      </c>
      <c r="G5" s="16">
        <f>'KEEI BAU - Industry'!W$52*'Others Split'!$F$7</f>
        <v>0</v>
      </c>
      <c r="H5" s="16">
        <f>'KEEI BAU - Industry'!X$52*'Others Split'!$F$7</f>
        <v>0</v>
      </c>
      <c r="I5" s="16">
        <f>'KEEI BAU - Industry'!Y$52*'Others Split'!$F$7</f>
        <v>0</v>
      </c>
      <c r="J5" s="16">
        <f>'KEEI BAU - Industry'!Z$52*'Others Split'!$F$7</f>
        <v>0</v>
      </c>
      <c r="K5" s="16">
        <f>'KEEI BAU - Industry'!AA$52*'Others Split'!$F$7</f>
        <v>0</v>
      </c>
      <c r="L5" s="16">
        <f>'KEEI BAU - Industry'!AB$52*'Others Split'!$F$7</f>
        <v>0</v>
      </c>
      <c r="M5" s="16">
        <f>'KEEI BAU - Industry'!AC$52*'Others Split'!$F$7</f>
        <v>0</v>
      </c>
      <c r="N5" s="16">
        <f>'KEEI BAU - Industry'!AD$52*'Others Split'!$F$7</f>
        <v>0</v>
      </c>
      <c r="O5" s="16">
        <f>'KEEI BAU - Industry'!AE$52*'Others Split'!$F$7</f>
        <v>0</v>
      </c>
      <c r="P5" s="16">
        <f>'KEEI BAU - Industry'!AF$52*'Others Split'!$F$7</f>
        <v>0</v>
      </c>
      <c r="Q5" s="16">
        <f>'KEEI BAU - Industry'!AG$52*'Others Split'!$F$7</f>
        <v>0</v>
      </c>
      <c r="R5" s="16">
        <f>'KEEI BAU - Industry'!AH$52*'Others Split'!$F$7</f>
        <v>0</v>
      </c>
      <c r="S5" s="16">
        <f>'KEEI BAU - Industry'!AI$52*'Others Split'!$F$7</f>
        <v>0</v>
      </c>
      <c r="T5" s="16">
        <f>'KEEI BAU - Industry'!AJ$52*'Others Split'!$F$7</f>
        <v>0</v>
      </c>
      <c r="U5" s="16">
        <f>'KEEI BAU - Industry'!AK$52*'Others Split'!$F$7</f>
        <v>0</v>
      </c>
      <c r="V5" s="16">
        <f>'KEEI BAU - Industry'!AL$52*'Others Split'!$F$7</f>
        <v>0</v>
      </c>
      <c r="W5" s="16">
        <f>'KEEI BAU - Industry'!AM$52*'Others Split'!$F$7</f>
        <v>0</v>
      </c>
      <c r="X5" s="16">
        <f>'KEEI BAU - Industry'!AN$52*'Others Split'!$F$7</f>
        <v>0</v>
      </c>
      <c r="Y5" s="16">
        <f>'KEEI BAU - Industry'!AO$52*'Others Split'!$F$7</f>
        <v>0</v>
      </c>
      <c r="Z5" s="16">
        <f>'KEEI BAU - Industry'!AP$52*'Others Split'!$F$7</f>
        <v>0</v>
      </c>
      <c r="AA5" s="16">
        <f>'KEEI BAU - Industry'!AQ$52*'Others Split'!$F$7</f>
        <v>0</v>
      </c>
      <c r="AB5" s="16">
        <f>'KEEI BAU - Industry'!AR$52*'Others Split'!$F$7</f>
        <v>0</v>
      </c>
      <c r="AC5" s="16">
        <f>'KEEI BAU - Industry'!AS$52*'Others Split'!$F$7</f>
        <v>0</v>
      </c>
      <c r="AD5" s="16">
        <f>'KEEI BAU - Industry'!AT$52*'Others Split'!$F$7</f>
        <v>0</v>
      </c>
      <c r="AE5" s="16">
        <f>'KEEI BAU - Industry'!AU$52*'Others Split'!$F$7</f>
        <v>0</v>
      </c>
      <c r="AF5" s="16">
        <f>'KEEI BAU - Industry'!AV$52*'Others Split'!$F$7</f>
        <v>0</v>
      </c>
    </row>
    <row r="6" spans="1:35">
      <c r="A6" t="s">
        <v>6</v>
      </c>
      <c r="B6" s="16">
        <f>'KEEI BAU - Industry'!R$52*'Others Split'!$F$8</f>
        <v>0</v>
      </c>
      <c r="C6" s="16">
        <f>'KEEI BAU - Industry'!S$52*'Others Split'!$F$8</f>
        <v>0</v>
      </c>
      <c r="D6" s="16">
        <f>'KEEI BAU - Industry'!T$52*'Others Split'!$F$8</f>
        <v>0</v>
      </c>
      <c r="E6" s="16">
        <f>'KEEI BAU - Industry'!U$52*'Others Split'!$F$8</f>
        <v>0</v>
      </c>
      <c r="F6" s="16">
        <f>'KEEI BAU - Industry'!V$52*'Others Split'!$F$8</f>
        <v>0</v>
      </c>
      <c r="G6" s="16">
        <f>'KEEI BAU - Industry'!W$52*'Others Split'!$F$8</f>
        <v>0</v>
      </c>
      <c r="H6" s="16">
        <f>'KEEI BAU - Industry'!X$52*'Others Split'!$F$8</f>
        <v>0</v>
      </c>
      <c r="I6" s="16">
        <f>'KEEI BAU - Industry'!Y$52*'Others Split'!$F$8</f>
        <v>0</v>
      </c>
      <c r="J6" s="16">
        <f>'KEEI BAU - Industry'!Z$52*'Others Split'!$F$8</f>
        <v>0</v>
      </c>
      <c r="K6" s="16">
        <f>'KEEI BAU - Industry'!AA$52*'Others Split'!$F$8</f>
        <v>0</v>
      </c>
      <c r="L6" s="16">
        <f>'KEEI BAU - Industry'!AB$52*'Others Split'!$F$8</f>
        <v>0</v>
      </c>
      <c r="M6" s="16">
        <f>'KEEI BAU - Industry'!AC$52*'Others Split'!$F$8</f>
        <v>0</v>
      </c>
      <c r="N6" s="16">
        <f>'KEEI BAU - Industry'!AD$52*'Others Split'!$F$8</f>
        <v>0</v>
      </c>
      <c r="O6" s="16">
        <f>'KEEI BAU - Industry'!AE$52*'Others Split'!$F$8</f>
        <v>0</v>
      </c>
      <c r="P6" s="16">
        <f>'KEEI BAU - Industry'!AF$52*'Others Split'!$F$8</f>
        <v>0</v>
      </c>
      <c r="Q6" s="16">
        <f>'KEEI BAU - Industry'!AG$52*'Others Split'!$F$8</f>
        <v>0</v>
      </c>
      <c r="R6" s="16">
        <f>'KEEI BAU - Industry'!AH$52*'Others Split'!$F$8</f>
        <v>0</v>
      </c>
      <c r="S6" s="16">
        <f>'KEEI BAU - Industry'!AI$52*'Others Split'!$F$8</f>
        <v>0</v>
      </c>
      <c r="T6" s="16">
        <f>'KEEI BAU - Industry'!AJ$52*'Others Split'!$F$8</f>
        <v>0</v>
      </c>
      <c r="U6" s="16">
        <f>'KEEI BAU - Industry'!AK$52*'Others Split'!$F$8</f>
        <v>0</v>
      </c>
      <c r="V6" s="16">
        <f>'KEEI BAU - Industry'!AL$52*'Others Split'!$F$8</f>
        <v>0</v>
      </c>
      <c r="W6" s="16">
        <f>'KEEI BAU - Industry'!AM$52*'Others Split'!$F$8</f>
        <v>0</v>
      </c>
      <c r="X6" s="16">
        <f>'KEEI BAU - Industry'!AN$52*'Others Split'!$F$8</f>
        <v>0</v>
      </c>
      <c r="Y6" s="16">
        <f>'KEEI BAU - Industry'!AO$52*'Others Split'!$F$8</f>
        <v>0</v>
      </c>
      <c r="Z6" s="16">
        <f>'KEEI BAU - Industry'!AP$52*'Others Split'!$F$8</f>
        <v>0</v>
      </c>
      <c r="AA6" s="16">
        <f>'KEEI BAU - Industry'!AQ$52*'Others Split'!$F$8</f>
        <v>0</v>
      </c>
      <c r="AB6" s="16">
        <f>'KEEI BAU - Industry'!AR$52*'Others Split'!$F$8</f>
        <v>0</v>
      </c>
      <c r="AC6" s="16">
        <f>'KEEI BAU - Industry'!AS$52*'Others Split'!$F$8</f>
        <v>0</v>
      </c>
      <c r="AD6" s="16">
        <f>'KEEI BAU - Industry'!AT$52*'Others Split'!$F$8</f>
        <v>0</v>
      </c>
      <c r="AE6" s="16">
        <f>'KEEI BAU - Industry'!AU$52*'Others Split'!$F$8</f>
        <v>0</v>
      </c>
      <c r="AF6" s="16">
        <f>'KEEI BAU - Industry'!AV$52*'Others Split'!$F$8</f>
        <v>0</v>
      </c>
    </row>
    <row r="7" spans="1:35">
      <c r="A7" t="s">
        <v>7</v>
      </c>
      <c r="B7" s="16">
        <f>'KEEI BAU - Industry'!R$52*'Others Split'!$F$9</f>
        <v>14218277189562.152</v>
      </c>
      <c r="C7" s="16">
        <f>'KEEI BAU - Industry'!S$52*'Others Split'!$F$9</f>
        <v>15587869964595.568</v>
      </c>
      <c r="D7" s="16">
        <f>'KEEI BAU - Industry'!T$52*'Others Split'!$F$9</f>
        <v>16957462739628.982</v>
      </c>
      <c r="E7" s="16">
        <f>'KEEI BAU - Industry'!U$52*'Others Split'!$F$9</f>
        <v>18327055514662.395</v>
      </c>
      <c r="F7" s="16">
        <f>'KEEI BAU - Industry'!V$52*'Others Split'!$F$9</f>
        <v>19696648289695.809</v>
      </c>
      <c r="G7" s="16">
        <f>'KEEI BAU - Industry'!W$52*'Others Split'!$F$9</f>
        <v>21066241064729.227</v>
      </c>
      <c r="H7" s="16">
        <f>'KEEI BAU - Industry'!X$52*'Others Split'!$F$9</f>
        <v>21559840222344.297</v>
      </c>
      <c r="I7" s="16">
        <f>'KEEI BAU - Industry'!Y$52*'Others Split'!$F$9</f>
        <v>22053439379959.387</v>
      </c>
      <c r="J7" s="16">
        <f>'KEEI BAU - Industry'!Z$52*'Others Split'!$F$9</f>
        <v>22547038537574.477</v>
      </c>
      <c r="K7" s="16">
        <f>'KEEI BAU - Industry'!AA$52*'Others Split'!$F$9</f>
        <v>23040637695189.566</v>
      </c>
      <c r="L7" s="16">
        <f>'KEEI BAU - Industry'!AB$52*'Others Split'!$F$9</f>
        <v>23534236852804.656</v>
      </c>
      <c r="M7" s="16">
        <f>'KEEI BAU - Industry'!AC$52*'Others Split'!$F$9</f>
        <v>23877577514950.918</v>
      </c>
      <c r="N7" s="16">
        <f>'KEEI BAU - Industry'!AD$52*'Others Split'!$F$9</f>
        <v>24220918177097.184</v>
      </c>
      <c r="O7" s="16">
        <f>'KEEI BAU - Industry'!AE$52*'Others Split'!$F$9</f>
        <v>24564258839243.445</v>
      </c>
      <c r="P7" s="16">
        <f>'KEEI BAU - Industry'!AF$52*'Others Split'!$F$9</f>
        <v>24907599501389.711</v>
      </c>
      <c r="Q7" s="16">
        <f>'KEEI BAU - Industry'!AG$52*'Others Split'!$F$9</f>
        <v>25250940163535.98</v>
      </c>
      <c r="R7" s="16">
        <f>'KEEI BAU - Industry'!AH$52*'Others Split'!$F$9</f>
        <v>25472571444352.492</v>
      </c>
      <c r="S7" s="16">
        <f>'KEEI BAU - Industry'!AI$52*'Others Split'!$F$9</f>
        <v>25694202725169.008</v>
      </c>
      <c r="T7" s="16">
        <f>'KEEI BAU - Industry'!AJ$52*'Others Split'!$F$9</f>
        <v>25915834005985.523</v>
      </c>
      <c r="U7" s="16">
        <f>'KEEI BAU - Industry'!AK$52*'Others Split'!$F$9</f>
        <v>26137465286802.039</v>
      </c>
      <c r="V7" s="16">
        <f>'KEEI BAU - Industry'!AL$52*'Others Split'!$F$9</f>
        <v>26359096567618.555</v>
      </c>
      <c r="W7" s="16">
        <f>'KEEI BAU - Industry'!AM$52*'Others Split'!$F$9</f>
        <v>26743007023541.402</v>
      </c>
      <c r="X7" s="16">
        <f>'KEEI BAU - Industry'!AN$52*'Others Split'!$F$9</f>
        <v>27016272587346.273</v>
      </c>
      <c r="Y7" s="16">
        <f>'KEEI BAU - Industry'!AO$52*'Others Split'!$F$9</f>
        <v>27289538151151.234</v>
      </c>
      <c r="Z7" s="16">
        <f>'KEEI BAU - Industry'!AP$52*'Others Split'!$F$9</f>
        <v>27562803714956.102</v>
      </c>
      <c r="AA7" s="16">
        <f>'KEEI BAU - Industry'!AQ$52*'Others Split'!$F$9</f>
        <v>27836069278760.973</v>
      </c>
      <c r="AB7" s="16">
        <f>'KEEI BAU - Industry'!AR$52*'Others Split'!$F$9</f>
        <v>28109334842565.84</v>
      </c>
      <c r="AC7" s="16">
        <f>'KEEI BAU - Industry'!AS$52*'Others Split'!$F$9</f>
        <v>28382600406370.805</v>
      </c>
      <c r="AD7" s="16">
        <f>'KEEI BAU - Industry'!AT$52*'Others Split'!$F$9</f>
        <v>28655865970175.672</v>
      </c>
      <c r="AE7" s="16">
        <f>'KEEI BAU - Industry'!AU$52*'Others Split'!$F$9</f>
        <v>28929131533980.539</v>
      </c>
      <c r="AF7" s="16">
        <f>'KEEI BAU - Industry'!AV$52*'Others Split'!$F$9</f>
        <v>29202397097785.504</v>
      </c>
    </row>
    <row r="8" spans="1:35">
      <c r="A8" t="s">
        <v>8</v>
      </c>
      <c r="B8" s="16">
        <f>'KEEI BAU - Industry'!R$52*'Others Split'!$F$10</f>
        <v>0</v>
      </c>
      <c r="C8" s="16">
        <f>'KEEI BAU - Industry'!S$52*'Others Split'!$F$10</f>
        <v>0</v>
      </c>
      <c r="D8" s="16">
        <f>'KEEI BAU - Industry'!T$52*'Others Split'!$F$10</f>
        <v>0</v>
      </c>
      <c r="E8" s="16">
        <f>'KEEI BAU - Industry'!U$52*'Others Split'!$F$10</f>
        <v>0</v>
      </c>
      <c r="F8" s="16">
        <f>'KEEI BAU - Industry'!V$52*'Others Split'!$F$10</f>
        <v>0</v>
      </c>
      <c r="G8" s="16">
        <f>'KEEI BAU - Industry'!W$52*'Others Split'!$F$10</f>
        <v>0</v>
      </c>
      <c r="H8" s="16">
        <f>'KEEI BAU - Industry'!X$52*'Others Split'!$F$10</f>
        <v>0</v>
      </c>
      <c r="I8" s="16">
        <f>'KEEI BAU - Industry'!Y$52*'Others Split'!$F$10</f>
        <v>0</v>
      </c>
      <c r="J8" s="16">
        <f>'KEEI BAU - Industry'!Z$52*'Others Split'!$F$10</f>
        <v>0</v>
      </c>
      <c r="K8" s="16">
        <f>'KEEI BAU - Industry'!AA$52*'Others Split'!$F$10</f>
        <v>0</v>
      </c>
      <c r="L8" s="16">
        <f>'KEEI BAU - Industry'!AB$52*'Others Split'!$F$10</f>
        <v>0</v>
      </c>
      <c r="M8" s="16">
        <f>'KEEI BAU - Industry'!AC$52*'Others Split'!$F$10</f>
        <v>0</v>
      </c>
      <c r="N8" s="16">
        <f>'KEEI BAU - Industry'!AD$52*'Others Split'!$F$10</f>
        <v>0</v>
      </c>
      <c r="O8" s="16">
        <f>'KEEI BAU - Industry'!AE$52*'Others Split'!$F$10</f>
        <v>0</v>
      </c>
      <c r="P8" s="16">
        <f>'KEEI BAU - Industry'!AF$52*'Others Split'!$F$10</f>
        <v>0</v>
      </c>
      <c r="Q8" s="16">
        <f>'KEEI BAU - Industry'!AG$52*'Others Split'!$F$10</f>
        <v>0</v>
      </c>
      <c r="R8" s="16">
        <f>'KEEI BAU - Industry'!AH$52*'Others Split'!$F$10</f>
        <v>0</v>
      </c>
      <c r="S8" s="16">
        <f>'KEEI BAU - Industry'!AI$52*'Others Split'!$F$10</f>
        <v>0</v>
      </c>
      <c r="T8" s="16">
        <f>'KEEI BAU - Industry'!AJ$52*'Others Split'!$F$10</f>
        <v>0</v>
      </c>
      <c r="U8" s="16">
        <f>'KEEI BAU - Industry'!AK$52*'Others Split'!$F$10</f>
        <v>0</v>
      </c>
      <c r="V8" s="16">
        <f>'KEEI BAU - Industry'!AL$52*'Others Split'!$F$10</f>
        <v>0</v>
      </c>
      <c r="W8" s="16">
        <f>'KEEI BAU - Industry'!AM$52*'Others Split'!$F$10</f>
        <v>0</v>
      </c>
      <c r="X8" s="16">
        <f>'KEEI BAU - Industry'!AN$52*'Others Split'!$F$10</f>
        <v>0</v>
      </c>
      <c r="Y8" s="16">
        <f>'KEEI BAU - Industry'!AO$52*'Others Split'!$F$10</f>
        <v>0</v>
      </c>
      <c r="Z8" s="16">
        <f>'KEEI BAU - Industry'!AP$52*'Others Split'!$F$10</f>
        <v>0</v>
      </c>
      <c r="AA8" s="16">
        <f>'KEEI BAU - Industry'!AQ$52*'Others Split'!$F$10</f>
        <v>0</v>
      </c>
      <c r="AB8" s="16">
        <f>'KEEI BAU - Industry'!AR$52*'Others Split'!$F$10</f>
        <v>0</v>
      </c>
      <c r="AC8" s="16">
        <f>'KEEI BAU - Industry'!AS$52*'Others Split'!$F$10</f>
        <v>0</v>
      </c>
      <c r="AD8" s="16">
        <f>'KEEI BAU - Industry'!AT$52*'Others Split'!$F$10</f>
        <v>0</v>
      </c>
      <c r="AE8" s="16">
        <f>'KEEI BAU - Industry'!AU$52*'Others Split'!$F$10</f>
        <v>0</v>
      </c>
      <c r="AF8" s="16">
        <f>'KEEI BAU - Industry'!AV$52*'Others Split'!$F$10</f>
        <v>0</v>
      </c>
    </row>
    <row r="9" spans="1:35">
      <c r="A9" t="s">
        <v>9</v>
      </c>
      <c r="B9" s="16">
        <f>'KEEI BAU - Industry'!R$52*'Others Split'!$F$11</f>
        <v>0</v>
      </c>
      <c r="C9" s="16">
        <f>'KEEI BAU - Industry'!S$52*'Others Split'!$F$11</f>
        <v>0</v>
      </c>
      <c r="D9" s="16">
        <f>'KEEI BAU - Industry'!T$52*'Others Split'!$F$11</f>
        <v>0</v>
      </c>
      <c r="E9" s="16">
        <f>'KEEI BAU - Industry'!U$52*'Others Split'!$F$11</f>
        <v>0</v>
      </c>
      <c r="F9" s="16">
        <f>'KEEI BAU - Industry'!V$52*'Others Split'!$F$11</f>
        <v>0</v>
      </c>
      <c r="G9" s="16">
        <f>'KEEI BAU - Industry'!W$52*'Others Split'!$F$11</f>
        <v>0</v>
      </c>
      <c r="H9" s="16">
        <f>'KEEI BAU - Industry'!X$52*'Others Split'!$F$11</f>
        <v>0</v>
      </c>
      <c r="I9" s="16">
        <f>'KEEI BAU - Industry'!Y$52*'Others Split'!$F$11</f>
        <v>0</v>
      </c>
      <c r="J9" s="16">
        <f>'KEEI BAU - Industry'!Z$52*'Others Split'!$F$11</f>
        <v>0</v>
      </c>
      <c r="K9" s="16">
        <f>'KEEI BAU - Industry'!AA$52*'Others Split'!$F$11</f>
        <v>0</v>
      </c>
      <c r="L9" s="16">
        <f>'KEEI BAU - Industry'!AB$52*'Others Split'!$F$11</f>
        <v>0</v>
      </c>
      <c r="M9" s="16">
        <f>'KEEI BAU - Industry'!AC$52*'Others Split'!$F$11</f>
        <v>0</v>
      </c>
      <c r="N9" s="16">
        <f>'KEEI BAU - Industry'!AD$52*'Others Split'!$F$11</f>
        <v>0</v>
      </c>
      <c r="O9" s="16">
        <f>'KEEI BAU - Industry'!AE$52*'Others Split'!$F$11</f>
        <v>0</v>
      </c>
      <c r="P9" s="16">
        <f>'KEEI BAU - Industry'!AF$52*'Others Split'!$F$11</f>
        <v>0</v>
      </c>
      <c r="Q9" s="16">
        <f>'KEEI BAU - Industry'!AG$52*'Others Split'!$F$11</f>
        <v>0</v>
      </c>
      <c r="R9" s="16">
        <f>'KEEI BAU - Industry'!AH$52*'Others Split'!$F$11</f>
        <v>0</v>
      </c>
      <c r="S9" s="16">
        <f>'KEEI BAU - Industry'!AI$52*'Others Split'!$F$11</f>
        <v>0</v>
      </c>
      <c r="T9" s="16">
        <f>'KEEI BAU - Industry'!AJ$52*'Others Split'!$F$11</f>
        <v>0</v>
      </c>
      <c r="U9" s="16">
        <f>'KEEI BAU - Industry'!AK$52*'Others Split'!$F$11</f>
        <v>0</v>
      </c>
      <c r="V9" s="16">
        <f>'KEEI BAU - Industry'!AL$52*'Others Split'!$F$11</f>
        <v>0</v>
      </c>
      <c r="W9" s="16">
        <f>'KEEI BAU - Industry'!AM$52*'Others Split'!$F$11</f>
        <v>0</v>
      </c>
      <c r="X9" s="16">
        <f>'KEEI BAU - Industry'!AN$52*'Others Split'!$F$11</f>
        <v>0</v>
      </c>
      <c r="Y9" s="16">
        <f>'KEEI BAU - Industry'!AO$52*'Others Split'!$F$11</f>
        <v>0</v>
      </c>
      <c r="Z9" s="16">
        <f>'KEEI BAU - Industry'!AP$52*'Others Split'!$F$11</f>
        <v>0</v>
      </c>
      <c r="AA9" s="16">
        <f>'KEEI BAU - Industry'!AQ$52*'Others Split'!$F$11</f>
        <v>0</v>
      </c>
      <c r="AB9" s="16">
        <f>'KEEI BAU - Industry'!AR$52*'Others Split'!$F$11</f>
        <v>0</v>
      </c>
      <c r="AC9" s="16">
        <f>'KEEI BAU - Industry'!AS$52*'Others Split'!$F$11</f>
        <v>0</v>
      </c>
      <c r="AD9" s="16">
        <f>'KEEI BAU - Industry'!AT$52*'Others Split'!$F$11</f>
        <v>0</v>
      </c>
      <c r="AE9" s="16">
        <f>'KEEI BAU - Industry'!AU$52*'Others Split'!$F$11</f>
        <v>0</v>
      </c>
      <c r="AF9" s="16">
        <f>'KEEI BAU - Industry'!AV$52*'Others Split'!$F$11</f>
        <v>0</v>
      </c>
    </row>
    <row r="10" spans="1:35">
      <c r="A10" t="s">
        <v>10</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c r="AC10" s="16">
        <v>0</v>
      </c>
      <c r="AD10" s="16">
        <v>0</v>
      </c>
      <c r="AE10" s="16">
        <v>0</v>
      </c>
      <c r="AF10" s="16">
        <v>0</v>
      </c>
    </row>
    <row r="11" spans="1:35">
      <c r="A11" t="s">
        <v>11</v>
      </c>
      <c r="B11" s="16">
        <f>'KEEI BAU - Industry'!R$10*'Petrochemicals Split'!$F$6</f>
        <v>3583647084919.7451</v>
      </c>
      <c r="C11" s="16">
        <f>'KEEI BAU - Industry'!S$10*'Petrochemicals Split'!$F$6</f>
        <v>4034683822567.8291</v>
      </c>
      <c r="D11" s="16">
        <f>'KEEI BAU - Industry'!T$10*'Petrochemicals Split'!$F$6</f>
        <v>3837509292448.4482</v>
      </c>
      <c r="E11" s="16">
        <f>'KEEI BAU - Industry'!U$10*'Petrochemicals Split'!$F$6</f>
        <v>3604990171513.043</v>
      </c>
      <c r="F11" s="16">
        <f>'KEEI BAU - Industry'!V$10*'Petrochemicals Split'!$F$6</f>
        <v>3516446437773.6211</v>
      </c>
      <c r="G11" s="16">
        <f>'KEEI BAU - Industry'!W$10*'Petrochemicals Split'!$F$6</f>
        <v>3478186761824.7231</v>
      </c>
      <c r="H11" s="16">
        <f>'KEEI BAU - Industry'!X$10*'Petrochemicals Split'!$F$6</f>
        <v>3434260271630.4248</v>
      </c>
      <c r="I11" s="16">
        <f>'KEEI BAU - Industry'!Y$10*'Petrochemicals Split'!$F$6</f>
        <v>3384725934488.0562</v>
      </c>
      <c r="J11" s="16">
        <f>'KEEI BAU - Industry'!Z$10*'Petrochemicals Split'!$F$6</f>
        <v>3329208106070.0537</v>
      </c>
      <c r="K11" s="16">
        <f>'KEEI BAU - Industry'!AA$10*'Petrochemicals Split'!$F$6</f>
        <v>2940764181097.3472</v>
      </c>
      <c r="L11" s="16">
        <f>'KEEI BAU - Industry'!AB$10*'Petrochemicals Split'!$F$6</f>
        <v>2559521502748.5088</v>
      </c>
      <c r="M11" s="16">
        <f>'KEEI BAU - Industry'!AC$10*'Petrochemicals Split'!$F$6</f>
        <v>2541015686056.1509</v>
      </c>
      <c r="N11" s="16">
        <f>'KEEI BAU - Industry'!AD$10*'Petrochemicals Split'!$F$6</f>
        <v>2522454473505.1895</v>
      </c>
      <c r="O11" s="16">
        <f>'KEEI BAU - Industry'!AE$10*'Petrochemicals Split'!$F$6</f>
        <v>2503836917952.4331</v>
      </c>
      <c r="P11" s="16">
        <f>'KEEI BAU - Industry'!AF$10*'Petrochemicals Split'!$F$6</f>
        <v>2485162044662.6245</v>
      </c>
      <c r="Q11" s="16">
        <f>'KEEI BAU - Industry'!AG$10*'Petrochemicals Split'!$F$6</f>
        <v>2158125243894.5977</v>
      </c>
      <c r="R11" s="16">
        <f>'KEEI BAU - Industry'!AH$10*'Petrochemicals Split'!$F$6</f>
        <v>2095225008567.9595</v>
      </c>
      <c r="S11" s="16">
        <f>'KEEI BAU - Industry'!AI$10*'Petrochemicals Split'!$F$6</f>
        <v>2032324773241.3362</v>
      </c>
      <c r="T11" s="16">
        <f>'KEEI BAU - Industry'!AJ$10*'Petrochemicals Split'!$F$6</f>
        <v>1969424537914.6963</v>
      </c>
      <c r="U11" s="16">
        <f>'KEEI BAU - Industry'!AK$10*'Petrochemicals Split'!$F$6</f>
        <v>1906524302588.0571</v>
      </c>
      <c r="V11" s="16">
        <f>'KEEI BAU - Industry'!AL$10*'Petrochemicals Split'!$F$6</f>
        <v>1843624067261.4031</v>
      </c>
      <c r="W11" s="16">
        <f>'KEEI BAU - Industry'!AM$10*'Petrochemicals Split'!$F$6</f>
        <v>1811345291470.4119</v>
      </c>
      <c r="X11" s="16">
        <f>'KEEI BAU - Industry'!AN$10*'Petrochemicals Split'!$F$6</f>
        <v>1779066515679.4229</v>
      </c>
      <c r="Y11" s="16">
        <f>'KEEI BAU - Industry'!AO$10*'Petrochemicals Split'!$F$6</f>
        <v>1746787739888.4333</v>
      </c>
      <c r="Z11" s="16">
        <f>'KEEI BAU - Industry'!AP$10*'Petrochemicals Split'!$F$6</f>
        <v>1714508964097.4441</v>
      </c>
      <c r="AA11" s="16">
        <f>'KEEI BAU - Industry'!AQ$10*'Petrochemicals Split'!$F$6</f>
        <v>1682230188306.4546</v>
      </c>
      <c r="AB11" s="16">
        <f>'KEEI BAU - Industry'!AR$10*'Petrochemicals Split'!$F$6</f>
        <v>1649951412515.4653</v>
      </c>
      <c r="AC11" s="16">
        <f>'KEEI BAU - Industry'!AS$10*'Petrochemicals Split'!$F$6</f>
        <v>1617672636724.4758</v>
      </c>
      <c r="AD11" s="16">
        <f>'KEEI BAU - Industry'!AT$10*'Petrochemicals Split'!$F$6</f>
        <v>1585393860933.4866</v>
      </c>
      <c r="AE11" s="16">
        <f>'KEEI BAU - Industry'!AU$10*'Petrochemicals Split'!$F$6</f>
        <v>1553115085142.4971</v>
      </c>
      <c r="AF11" s="16">
        <f>'KEEI BAU - Industry'!AV$10*'Petrochemicals Split'!$F$6</f>
        <v>1520836309351.5046</v>
      </c>
    </row>
    <row r="12" spans="1:35">
      <c r="A12" t="s">
        <v>12</v>
      </c>
      <c r="B12" s="16">
        <f>'KEEI BAU - Industry'!R$10*'Petrochemicals Split'!$F$7</f>
        <v>4480100192567.3447</v>
      </c>
      <c r="C12" s="16">
        <f>'KEEI BAU - Industry'!S$10*'Petrochemicals Split'!$F$7</f>
        <v>5043964247065.1611</v>
      </c>
      <c r="D12" s="16">
        <f>'KEEI BAU - Industry'!T$10*'Petrochemicals Split'!$F$7</f>
        <v>4797466299743.7109</v>
      </c>
      <c r="E12" s="16">
        <f>'KEEI BAU - Industry'!U$10*'Petrochemicals Split'!$F$7</f>
        <v>4506782274840.1738</v>
      </c>
      <c r="F12" s="16">
        <f>'KEEI BAU - Industry'!V$10*'Petrochemicals Split'!$F$7</f>
        <v>4396089232479.5313</v>
      </c>
      <c r="G12" s="16">
        <f>'KEEI BAU - Industry'!W$10*'Petrochemicals Split'!$F$7</f>
        <v>4348258858136.1655</v>
      </c>
      <c r="H12" s="16">
        <f>'KEEI BAU - Industry'!X$10*'Petrochemicals Split'!$F$7</f>
        <v>4293344109971.8135</v>
      </c>
      <c r="I12" s="16">
        <f>'KEEI BAU - Industry'!Y$10*'Petrochemicals Split'!$F$7</f>
        <v>4231418706015.5835</v>
      </c>
      <c r="J12" s="16">
        <f>'KEEI BAU - Industry'!Z$10*'Petrochemicals Split'!$F$7</f>
        <v>4162013034114.165</v>
      </c>
      <c r="K12" s="16">
        <f>'KEEI BAU - Industry'!AA$10*'Petrochemicals Split'!$F$7</f>
        <v>3676399450568.2261</v>
      </c>
      <c r="L12" s="16">
        <f>'KEEI BAU - Industry'!AB$10*'Petrochemicals Split'!$F$7</f>
        <v>3199788513103.7256</v>
      </c>
      <c r="M12" s="16">
        <f>'KEEI BAU - Industry'!AC$10*'Petrochemicals Split'!$F$7</f>
        <v>3176653446797.6909</v>
      </c>
      <c r="N12" s="16">
        <f>'KEEI BAU - Industry'!AD$10*'Petrochemicals Split'!$F$7</f>
        <v>3153449127300.4463</v>
      </c>
      <c r="O12" s="16">
        <f>'KEEI BAU - Industry'!AE$10*'Petrochemicals Split'!$F$7</f>
        <v>3130174370539.9312</v>
      </c>
      <c r="P12" s="16">
        <f>'KEEI BAU - Industry'!AF$10*'Petrochemicals Split'!$F$7</f>
        <v>3106827957949.8315</v>
      </c>
      <c r="Q12" s="16">
        <f>'KEEI BAU - Industry'!AG$10*'Petrochemicals Split'!$F$7</f>
        <v>2697982555660.377</v>
      </c>
      <c r="R12" s="16">
        <f>'KEEI BAU - Industry'!AH$10*'Petrochemicals Split'!$F$7</f>
        <v>2619347759955.9575</v>
      </c>
      <c r="S12" s="16">
        <f>'KEEI BAU - Industry'!AI$10*'Petrochemicals Split'!$F$7</f>
        <v>2540712964251.5566</v>
      </c>
      <c r="T12" s="16">
        <f>'KEEI BAU - Industry'!AJ$10*'Petrochemicals Split'!$F$7</f>
        <v>2462078168547.1348</v>
      </c>
      <c r="U12" s="16">
        <f>'KEEI BAU - Industry'!AK$10*'Petrochemicals Split'!$F$7</f>
        <v>2383443372842.7139</v>
      </c>
      <c r="V12" s="16">
        <f>'KEEI BAU - Industry'!AL$10*'Petrochemicals Split'!$F$7</f>
        <v>2304808577138.2744</v>
      </c>
      <c r="W12" s="16">
        <f>'KEEI BAU - Industry'!AM$10*'Petrochemicals Split'!$F$7</f>
        <v>2264455231451.5308</v>
      </c>
      <c r="X12" s="16">
        <f>'KEEI BAU - Industry'!AN$10*'Petrochemicals Split'!$F$7</f>
        <v>2224101885764.7896</v>
      </c>
      <c r="Y12" s="16">
        <f>'KEEI BAU - Industry'!AO$10*'Petrochemicals Split'!$F$7</f>
        <v>2183748540078.0481</v>
      </c>
      <c r="Z12" s="16">
        <f>'KEEI BAU - Industry'!AP$10*'Petrochemicals Split'!$F$7</f>
        <v>2143395194391.3069</v>
      </c>
      <c r="AA12" s="16">
        <f>'KEEI BAU - Industry'!AQ$10*'Petrochemicals Split'!$F$7</f>
        <v>2103041848704.5654</v>
      </c>
      <c r="AB12" s="16">
        <f>'KEEI BAU - Industry'!AR$10*'Petrochemicals Split'!$F$7</f>
        <v>2062688503017.8242</v>
      </c>
      <c r="AC12" s="16">
        <f>'KEEI BAU - Industry'!AS$10*'Petrochemicals Split'!$F$7</f>
        <v>2022335157331.0828</v>
      </c>
      <c r="AD12" s="16">
        <f>'KEEI BAU - Industry'!AT$10*'Petrochemicals Split'!$F$7</f>
        <v>1981981811644.3411</v>
      </c>
      <c r="AE12" s="16">
        <f>'KEEI BAU - Industry'!AU$10*'Petrochemicals Split'!$F$7</f>
        <v>1941628465957.5996</v>
      </c>
      <c r="AF12" s="16">
        <f>'KEEI BAU - Industry'!AV$10*'Petrochemicals Split'!$F$7</f>
        <v>1901275120270.8547</v>
      </c>
    </row>
    <row r="13" spans="1:35">
      <c r="A13" t="s">
        <v>13</v>
      </c>
      <c r="B13" s="16">
        <f>'KEEI BAU - Industry'!R$52*'Others Split'!$F$12</f>
        <v>0</v>
      </c>
      <c r="C13" s="16">
        <f>'KEEI BAU - Industry'!S$52*'Others Split'!$F$12</f>
        <v>0</v>
      </c>
      <c r="D13" s="16">
        <f>'KEEI BAU - Industry'!T$52*'Others Split'!$F$12</f>
        <v>0</v>
      </c>
      <c r="E13" s="16">
        <f>'KEEI BAU - Industry'!U$52*'Others Split'!$F$12</f>
        <v>0</v>
      </c>
      <c r="F13" s="16">
        <f>'KEEI BAU - Industry'!V$52*'Others Split'!$F$12</f>
        <v>0</v>
      </c>
      <c r="G13" s="16">
        <f>'KEEI BAU - Industry'!W$52*'Others Split'!$F$12</f>
        <v>0</v>
      </c>
      <c r="H13" s="16">
        <f>'KEEI BAU - Industry'!X$52*'Others Split'!$F$12</f>
        <v>0</v>
      </c>
      <c r="I13" s="16">
        <f>'KEEI BAU - Industry'!Y$52*'Others Split'!$F$12</f>
        <v>0</v>
      </c>
      <c r="J13" s="16">
        <f>'KEEI BAU - Industry'!Z$52*'Others Split'!$F$12</f>
        <v>0</v>
      </c>
      <c r="K13" s="16">
        <f>'KEEI BAU - Industry'!AA$52*'Others Split'!$F$12</f>
        <v>0</v>
      </c>
      <c r="L13" s="16">
        <f>'KEEI BAU - Industry'!AB$52*'Others Split'!$F$12</f>
        <v>0</v>
      </c>
      <c r="M13" s="16">
        <f>'KEEI BAU - Industry'!AC$52*'Others Split'!$F$12</f>
        <v>0</v>
      </c>
      <c r="N13" s="16">
        <f>'KEEI BAU - Industry'!AD$52*'Others Split'!$F$12</f>
        <v>0</v>
      </c>
      <c r="O13" s="16">
        <f>'KEEI BAU - Industry'!AE$52*'Others Split'!$F$12</f>
        <v>0</v>
      </c>
      <c r="P13" s="16">
        <f>'KEEI BAU - Industry'!AF$52*'Others Split'!$F$12</f>
        <v>0</v>
      </c>
      <c r="Q13" s="16">
        <f>'KEEI BAU - Industry'!AG$52*'Others Split'!$F$12</f>
        <v>0</v>
      </c>
      <c r="R13" s="16">
        <f>'KEEI BAU - Industry'!AH$52*'Others Split'!$F$12</f>
        <v>0</v>
      </c>
      <c r="S13" s="16">
        <f>'KEEI BAU - Industry'!AI$52*'Others Split'!$F$12</f>
        <v>0</v>
      </c>
      <c r="T13" s="16">
        <f>'KEEI BAU - Industry'!AJ$52*'Others Split'!$F$12</f>
        <v>0</v>
      </c>
      <c r="U13" s="16">
        <f>'KEEI BAU - Industry'!AK$52*'Others Split'!$F$12</f>
        <v>0</v>
      </c>
      <c r="V13" s="16">
        <f>'KEEI BAU - Industry'!AL$52*'Others Split'!$F$12</f>
        <v>0</v>
      </c>
      <c r="W13" s="16">
        <f>'KEEI BAU - Industry'!AM$52*'Others Split'!$F$12</f>
        <v>0</v>
      </c>
      <c r="X13" s="16">
        <f>'KEEI BAU - Industry'!AN$52*'Others Split'!$F$12</f>
        <v>0</v>
      </c>
      <c r="Y13" s="16">
        <f>'KEEI BAU - Industry'!AO$52*'Others Split'!$F$12</f>
        <v>0</v>
      </c>
      <c r="Z13" s="16">
        <f>'KEEI BAU - Industry'!AP$52*'Others Split'!$F$12</f>
        <v>0</v>
      </c>
      <c r="AA13" s="16">
        <f>'KEEI BAU - Industry'!AQ$52*'Others Split'!$F$12</f>
        <v>0</v>
      </c>
      <c r="AB13" s="16">
        <f>'KEEI BAU - Industry'!AR$52*'Others Split'!$F$12</f>
        <v>0</v>
      </c>
      <c r="AC13" s="16">
        <f>'KEEI BAU - Industry'!AS$52*'Others Split'!$F$12</f>
        <v>0</v>
      </c>
      <c r="AD13" s="16">
        <f>'KEEI BAU - Industry'!AT$52*'Others Split'!$F$12</f>
        <v>0</v>
      </c>
      <c r="AE13" s="16">
        <f>'KEEI BAU - Industry'!AU$52*'Others Split'!$F$12</f>
        <v>0</v>
      </c>
      <c r="AF13" s="16">
        <f>'KEEI BAU - Industry'!AV$52*'Others Split'!$F$12</f>
        <v>0</v>
      </c>
    </row>
    <row r="14" spans="1:35">
      <c r="A14" t="s">
        <v>14</v>
      </c>
      <c r="B14" s="16">
        <f>'KEEI BAU - Industry'!R$52*'Others Split'!$F$13</f>
        <v>72052399916674.188</v>
      </c>
      <c r="C14" s="16">
        <f>'KEEI BAU - Industry'!S$52*'Others Split'!$F$13</f>
        <v>78992934626613.547</v>
      </c>
      <c r="D14" s="16">
        <f>'KEEI BAU - Industry'!T$52*'Others Split'!$F$13</f>
        <v>85933469336552.906</v>
      </c>
      <c r="E14" s="16">
        <f>'KEEI BAU - Industry'!U$52*'Others Split'!$F$13</f>
        <v>92874004046492.266</v>
      </c>
      <c r="F14" s="16">
        <f>'KEEI BAU - Industry'!V$52*'Others Split'!$F$13</f>
        <v>99814538756431.609</v>
      </c>
      <c r="G14" s="16">
        <f>'KEEI BAU - Industry'!W$52*'Others Split'!$F$13</f>
        <v>106755073466370.98</v>
      </c>
      <c r="H14" s="16">
        <f>'KEEI BAU - Industry'!X$52*'Others Split'!$F$13</f>
        <v>109256431642811.91</v>
      </c>
      <c r="I14" s="16">
        <f>'KEEI BAU - Industry'!Y$52*'Others Split'!$F$13</f>
        <v>111757789819252.91</v>
      </c>
      <c r="J14" s="16">
        <f>'KEEI BAU - Industry'!Z$52*'Others Split'!$F$13</f>
        <v>114259147995693.91</v>
      </c>
      <c r="K14" s="16">
        <f>'KEEI BAU - Industry'!AA$52*'Others Split'!$F$13</f>
        <v>116760506172134.91</v>
      </c>
      <c r="L14" s="16">
        <f>'KEEI BAU - Industry'!AB$52*'Others Split'!$F$13</f>
        <v>119261864348575.92</v>
      </c>
      <c r="M14" s="16">
        <f>'KEEI BAU - Industry'!AC$52*'Others Split'!$F$13</f>
        <v>121001774069479.31</v>
      </c>
      <c r="N14" s="16">
        <f>'KEEI BAU - Industry'!AD$52*'Others Split'!$F$13</f>
        <v>122741683790382.72</v>
      </c>
      <c r="O14" s="16">
        <f>'KEEI BAU - Industry'!AE$52*'Others Split'!$F$13</f>
        <v>124481593511286.13</v>
      </c>
      <c r="P14" s="16">
        <f>'KEEI BAU - Industry'!AF$52*'Others Split'!$F$13</f>
        <v>126221503232189.53</v>
      </c>
      <c r="Q14" s="16">
        <f>'KEEI BAU - Industry'!AG$52*'Others Split'!$F$13</f>
        <v>127961412953092.97</v>
      </c>
      <c r="R14" s="16">
        <f>'KEEI BAU - Industry'!AH$52*'Others Split'!$F$13</f>
        <v>129084549425010.89</v>
      </c>
      <c r="S14" s="16">
        <f>'KEEI BAU - Industry'!AI$52*'Others Split'!$F$13</f>
        <v>130207685896928.84</v>
      </c>
      <c r="T14" s="16">
        <f>'KEEI BAU - Industry'!AJ$52*'Others Split'!$F$13</f>
        <v>131330822368846.8</v>
      </c>
      <c r="U14" s="16">
        <f>'KEEI BAU - Industry'!AK$52*'Others Split'!$F$13</f>
        <v>132453958840764.75</v>
      </c>
      <c r="V14" s="16">
        <f>'KEEI BAU - Industry'!AL$52*'Others Split'!$F$13</f>
        <v>133577095312682.69</v>
      </c>
      <c r="W14" s="16">
        <f>'KEEI BAU - Industry'!AM$52*'Others Split'!$F$13</f>
        <v>135522596116581.27</v>
      </c>
      <c r="X14" s="16">
        <f>'KEEI BAU - Industry'!AN$52*'Others Split'!$F$13</f>
        <v>136907393966856.55</v>
      </c>
      <c r="Y14" s="16">
        <f>'KEEI BAU - Industry'!AO$52*'Others Split'!$F$13</f>
        <v>138292191817132.33</v>
      </c>
      <c r="Z14" s="16">
        <f>'KEEI BAU - Industry'!AP$52*'Others Split'!$F$13</f>
        <v>139676989667407.61</v>
      </c>
      <c r="AA14" s="16">
        <f>'KEEI BAU - Industry'!AQ$52*'Others Split'!$F$13</f>
        <v>141061787517682.91</v>
      </c>
      <c r="AB14" s="16">
        <f>'KEEI BAU - Industry'!AR$52*'Others Split'!$F$13</f>
        <v>142446585367958.19</v>
      </c>
      <c r="AC14" s="16">
        <f>'KEEI BAU - Industry'!AS$52*'Others Split'!$F$13</f>
        <v>143831383218233.94</v>
      </c>
      <c r="AD14" s="16">
        <f>'KEEI BAU - Industry'!AT$52*'Others Split'!$F$13</f>
        <v>145216181068509.25</v>
      </c>
      <c r="AE14" s="16">
        <f>'KEEI BAU - Industry'!AU$52*'Others Split'!$F$13</f>
        <v>146600978918784.53</v>
      </c>
      <c r="AF14" s="16">
        <f>'KEEI BAU - Industry'!AV$52*'Others Split'!$F$13</f>
        <v>147985776769060.28</v>
      </c>
    </row>
    <row r="15" spans="1:35">
      <c r="A15" t="s">
        <v>15</v>
      </c>
      <c r="B15" s="16">
        <f>'KEEI BAU - Industry'!R24</f>
        <v>739444659395065</v>
      </c>
      <c r="C15" s="16">
        <f>'KEEI BAU - Industry'!S24</f>
        <v>767964757409266.63</v>
      </c>
      <c r="D15" s="16">
        <f>'KEEI BAU - Industry'!T24</f>
        <v>708180212565935.63</v>
      </c>
      <c r="E15" s="16">
        <f>'KEEI BAU - Industry'!U24</f>
        <v>712267136713175.75</v>
      </c>
      <c r="F15" s="16">
        <f>'KEEI BAU - Industry'!V24</f>
        <v>711999176967034.5</v>
      </c>
      <c r="G15" s="16">
        <f>'KEEI BAU - Industry'!W24</f>
        <v>711999176967034.5</v>
      </c>
      <c r="H15" s="16">
        <f>'KEEI BAU - Industry'!X24</f>
        <v>711999176967034.5</v>
      </c>
      <c r="I15" s="16">
        <f>'KEEI BAU - Industry'!Y24</f>
        <v>636140247796474.25</v>
      </c>
      <c r="J15" s="16">
        <f>'KEEI BAU - Industry'!Z24</f>
        <v>581799480450025.25</v>
      </c>
      <c r="K15" s="16">
        <f>'KEEI BAU - Industry'!AA24</f>
        <v>567682231050223.25</v>
      </c>
      <c r="L15" s="16">
        <f>'KEEI BAU - Industry'!AB24</f>
        <v>581788132169703.75</v>
      </c>
      <c r="M15" s="16">
        <f>'KEEI BAU - Industry'!AC24</f>
        <v>510337009209316.69</v>
      </c>
      <c r="N15" s="16">
        <f>'KEEI BAU - Industry'!AD24</f>
        <v>510428629804384.13</v>
      </c>
      <c r="O15" s="16">
        <f>'KEEI BAU - Industry'!AE24</f>
        <v>511390646052591.44</v>
      </c>
      <c r="P15" s="16">
        <f>'KEEI BAU - Industry'!AF24</f>
        <v>441150896820591.19</v>
      </c>
      <c r="Q15" s="16">
        <f>'KEEI BAU - Industry'!AG24</f>
        <v>442112913068798.44</v>
      </c>
      <c r="R15" s="16">
        <f>'KEEI BAU - Industry'!AH24</f>
        <v>442112913068798.44</v>
      </c>
      <c r="S15" s="16">
        <f>'KEEI BAU - Industry'!AI24</f>
        <v>442112913068798.44</v>
      </c>
      <c r="T15" s="16">
        <f>'KEEI BAU - Industry'!AJ24</f>
        <v>394165408211963.81</v>
      </c>
      <c r="U15" s="16">
        <f>'KEEI BAU - Industry'!AK24</f>
        <v>217705754485352.06</v>
      </c>
      <c r="V15" s="16">
        <f>'KEEI BAU - Industry'!AL24</f>
        <v>219309114899030.91</v>
      </c>
      <c r="W15" s="16">
        <f>'KEEI BAU - Industry'!AM24</f>
        <v>146779013209525.13</v>
      </c>
      <c r="X15" s="16">
        <f>'KEEI BAU - Industry'!AN24</f>
        <v>84837103139240.922</v>
      </c>
      <c r="Y15" s="16">
        <f>'KEEI BAU - Industry'!AO24</f>
        <v>15330318667779.457</v>
      </c>
      <c r="Z15" s="16">
        <f>'KEEI BAU - Industry'!AP24</f>
        <v>15330318667779.457</v>
      </c>
      <c r="AA15" s="16">
        <f>'KEEI BAU - Industry'!AQ24</f>
        <v>15971662833251.01</v>
      </c>
      <c r="AB15" s="16">
        <f>'KEEI BAU - Industry'!AR24</f>
        <v>15971662833251.01</v>
      </c>
      <c r="AC15" s="16">
        <f>'KEEI BAU - Industry'!AS24</f>
        <v>16933679081458.322</v>
      </c>
      <c r="AD15" s="16">
        <f>'KEEI BAU - Industry'!AT24</f>
        <v>16933679081458.322</v>
      </c>
      <c r="AE15" s="16">
        <f>'KEEI BAU - Industry'!AU24</f>
        <v>16933679081458.322</v>
      </c>
      <c r="AF15" s="16">
        <f>'KEEI BAU - Industry'!AV24</f>
        <v>16933679081458.322</v>
      </c>
    </row>
    <row r="16" spans="1:35">
      <c r="A16" t="s">
        <v>16</v>
      </c>
      <c r="B16" s="16">
        <f>'KEEI BAU - Industry'!R$17*'Non-ferrous Metals Split'!$F$6</f>
        <v>79676747810506.031</v>
      </c>
      <c r="C16" s="16">
        <f>'KEEI BAU - Industry'!S$17*'Non-ferrous Metals Split'!$F$6</f>
        <v>80395000153035.156</v>
      </c>
      <c r="D16" s="16">
        <f>'KEEI BAU - Industry'!T$17*'Non-ferrous Metals Split'!$F$6</f>
        <v>83268009523151.672</v>
      </c>
      <c r="E16" s="16">
        <f>'KEEI BAU - Industry'!U$17*'Non-ferrous Metals Split'!$F$6</f>
        <v>81831504838093.406</v>
      </c>
      <c r="F16" s="16">
        <f>'KEEI BAU - Industry'!V$17*'Non-ferrous Metals Split'!$F$6</f>
        <v>82549757180622.547</v>
      </c>
      <c r="G16" s="16">
        <f>'KEEI BAU - Industry'!W$17*'Non-ferrous Metals Split'!$F$6</f>
        <v>83268009523151.672</v>
      </c>
      <c r="H16" s="16">
        <f>'KEEI BAU - Industry'!X$17*'Non-ferrous Metals Split'!$F$6</f>
        <v>82629262315164.469</v>
      </c>
      <c r="I16" s="16">
        <f>'KEEI BAU - Industry'!Y$17*'Non-ferrous Metals Split'!$F$6</f>
        <v>81990515107177.25</v>
      </c>
      <c r="J16" s="16">
        <f>'KEEI BAU - Industry'!Z$17*'Non-ferrous Metals Split'!$F$6</f>
        <v>81351767899190.047</v>
      </c>
      <c r="K16" s="16">
        <f>'KEEI BAU - Industry'!AA$17*'Non-ferrous Metals Split'!$F$6</f>
        <v>80713020691202.844</v>
      </c>
      <c r="L16" s="16">
        <f>'KEEI BAU - Industry'!AB$17*'Non-ferrous Metals Split'!$F$6</f>
        <v>80074273483215.625</v>
      </c>
      <c r="M16" s="16">
        <f>'KEEI BAU - Industry'!AC$17*'Non-ferrous Metals Split'!$F$6</f>
        <v>79397047527759.313</v>
      </c>
      <c r="N16" s="16">
        <f>'KEEI BAU - Industry'!AD$17*'Non-ferrous Metals Split'!$F$6</f>
        <v>78719821572303</v>
      </c>
      <c r="O16" s="16">
        <f>'KEEI BAU - Industry'!AE$17*'Non-ferrous Metals Split'!$F$6</f>
        <v>78042595616846.688</v>
      </c>
      <c r="P16" s="16">
        <f>'KEEI BAU - Industry'!AF$17*'Non-ferrous Metals Split'!$F$6</f>
        <v>77365369661390.359</v>
      </c>
      <c r="Q16" s="16">
        <f>'KEEI BAU - Industry'!AG$17*'Non-ferrous Metals Split'!$F$6</f>
        <v>76688143705934.047</v>
      </c>
      <c r="R16" s="16">
        <f>'KEEI BAU - Industry'!AH$17*'Non-ferrous Metals Split'!$F$6</f>
        <v>76126353992885.063</v>
      </c>
      <c r="S16" s="16">
        <f>'KEEI BAU - Industry'!AI$17*'Non-ferrous Metals Split'!$F$6</f>
        <v>75564564279836.063</v>
      </c>
      <c r="T16" s="16">
        <f>'KEEI BAU - Industry'!AJ$17*'Non-ferrous Metals Split'!$F$6</f>
        <v>75002774566787.078</v>
      </c>
      <c r="U16" s="16">
        <f>'KEEI BAU - Industry'!AK$17*'Non-ferrous Metals Split'!$F$6</f>
        <v>74440984853738.094</v>
      </c>
      <c r="V16" s="16">
        <f>'KEEI BAU - Industry'!AL$17*'Non-ferrous Metals Split'!$F$6</f>
        <v>73879195140689.094</v>
      </c>
      <c r="W16" s="16">
        <f>'KEEI BAU - Industry'!AM$17*'Non-ferrous Metals Split'!$F$6</f>
        <v>73163490437763.672</v>
      </c>
      <c r="X16" s="16">
        <f>'KEEI BAU - Industry'!AN$17*'Non-ferrous Metals Split'!$F$6</f>
        <v>72552727773390.25</v>
      </c>
      <c r="Y16" s="16">
        <f>'KEEI BAU - Industry'!AO$17*'Non-ferrous Metals Split'!$F$6</f>
        <v>71941965109017.078</v>
      </c>
      <c r="Z16" s="16">
        <f>'KEEI BAU - Industry'!AP$17*'Non-ferrous Metals Split'!$F$6</f>
        <v>71331202444643.656</v>
      </c>
      <c r="AA16" s="16">
        <f>'KEEI BAU - Industry'!AQ$17*'Non-ferrous Metals Split'!$F$6</f>
        <v>70720439780270.469</v>
      </c>
      <c r="AB16" s="16">
        <f>'KEEI BAU - Industry'!AR$17*'Non-ferrous Metals Split'!$F$6</f>
        <v>70109677115897.055</v>
      </c>
      <c r="AC16" s="16">
        <f>'KEEI BAU - Industry'!AS$17*'Non-ferrous Metals Split'!$F$6</f>
        <v>69498914451523.875</v>
      </c>
      <c r="AD16" s="16">
        <f>'KEEI BAU - Industry'!AT$17*'Non-ferrous Metals Split'!$F$6</f>
        <v>68888151787150.453</v>
      </c>
      <c r="AE16" s="16">
        <f>'KEEI BAU - Industry'!AU$17*'Non-ferrous Metals Split'!$F$6</f>
        <v>68277389122777.031</v>
      </c>
      <c r="AF16" s="16">
        <f>'KEEI BAU - Industry'!AV$17*'Non-ferrous Metals Split'!$F$6</f>
        <v>67666626458403.859</v>
      </c>
    </row>
    <row r="17" spans="1:32">
      <c r="A17" t="s">
        <v>17</v>
      </c>
      <c r="B17" s="16">
        <f>'KEEI BAU - Industry'!R$17*'Non-ferrous Metals Split'!$F$7</f>
        <v>2439084116648.1553</v>
      </c>
      <c r="C17" s="16">
        <f>'KEEI BAU - Industry'!S$17*'Non-ferrous Metals Split'!$F$7</f>
        <v>2461071433256.1899</v>
      </c>
      <c r="D17" s="16">
        <f>'KEEI BAU - Industry'!T$17*'Non-ferrous Metals Split'!$F$7</f>
        <v>2549020699688.3286</v>
      </c>
      <c r="E17" s="16">
        <f>'KEEI BAU - Industry'!U$17*'Non-ferrous Metals Split'!$F$7</f>
        <v>2505046066472.2593</v>
      </c>
      <c r="F17" s="16">
        <f>'KEEI BAU - Industry'!V$17*'Non-ferrous Metals Split'!$F$7</f>
        <v>2527033383080.2939</v>
      </c>
      <c r="G17" s="16">
        <f>'KEEI BAU - Industry'!W$17*'Non-ferrous Metals Split'!$F$7</f>
        <v>2549020699688.3286</v>
      </c>
      <c r="H17" s="16">
        <f>'KEEI BAU - Industry'!X$17*'Non-ferrous Metals Split'!$F$7</f>
        <v>2529467213729.5366</v>
      </c>
      <c r="I17" s="16">
        <f>'KEEI BAU - Industry'!Y$17*'Non-ferrous Metals Split'!$F$7</f>
        <v>2509913727770.7441</v>
      </c>
      <c r="J17" s="16">
        <f>'KEEI BAU - Industry'!Z$17*'Non-ferrous Metals Split'!$F$7</f>
        <v>2490360241811.9521</v>
      </c>
      <c r="K17" s="16">
        <f>'KEEI BAU - Industry'!AA$17*'Non-ferrous Metals Split'!$F$7</f>
        <v>2470806755853.1602</v>
      </c>
      <c r="L17" s="16">
        <f>'KEEI BAU - Industry'!AB$17*'Non-ferrous Metals Split'!$F$7</f>
        <v>2451253269894.3677</v>
      </c>
      <c r="M17" s="16">
        <f>'KEEI BAU - Industry'!AC$17*'Non-ferrous Metals Split'!$F$7</f>
        <v>2430521863094.6846</v>
      </c>
      <c r="N17" s="16">
        <f>'KEEI BAU - Industry'!AD$17*'Non-ferrous Metals Split'!$F$7</f>
        <v>2409790456295.0015</v>
      </c>
      <c r="O17" s="16">
        <f>'KEEI BAU - Industry'!AE$17*'Non-ferrous Metals Split'!$F$7</f>
        <v>2389059049495.3179</v>
      </c>
      <c r="P17" s="16">
        <f>'KEEI BAU - Industry'!AF$17*'Non-ferrous Metals Split'!$F$7</f>
        <v>2368327642695.6348</v>
      </c>
      <c r="Q17" s="16">
        <f>'KEEI BAU - Industry'!AG$17*'Non-ferrous Metals Split'!$F$7</f>
        <v>2347596235895.9517</v>
      </c>
      <c r="R17" s="16">
        <f>'KEEI BAU - Industry'!AH$17*'Non-ferrous Metals Split'!$F$7</f>
        <v>2330398591618.9414</v>
      </c>
      <c r="S17" s="16">
        <f>'KEEI BAU - Industry'!AI$17*'Non-ferrous Metals Split'!$F$7</f>
        <v>2313200947341.9316</v>
      </c>
      <c r="T17" s="16">
        <f>'KEEI BAU - Industry'!AJ$17*'Non-ferrous Metals Split'!$F$7</f>
        <v>2296003303064.9214</v>
      </c>
      <c r="U17" s="16">
        <f>'KEEI BAU - Industry'!AK$17*'Non-ferrous Metals Split'!$F$7</f>
        <v>2278805658787.9116</v>
      </c>
      <c r="V17" s="16">
        <f>'KEEI BAU - Industry'!AL$17*'Non-ferrous Metals Split'!$F$7</f>
        <v>2261608014510.9014</v>
      </c>
      <c r="W17" s="16">
        <f>'KEEI BAU - Industry'!AM$17*'Non-ferrous Metals Split'!$F$7</f>
        <v>2239698686870.3271</v>
      </c>
      <c r="X17" s="16">
        <f>'KEEI BAU - Industry'!AN$17*'Non-ferrous Metals Split'!$F$7</f>
        <v>2221001870613.998</v>
      </c>
      <c r="Y17" s="16">
        <f>'KEEI BAU - Industry'!AO$17*'Non-ferrous Metals Split'!$F$7</f>
        <v>2202305054357.6763</v>
      </c>
      <c r="Z17" s="16">
        <f>'KEEI BAU - Industry'!AP$17*'Non-ferrous Metals Split'!$F$7</f>
        <v>2183608238101.3467</v>
      </c>
      <c r="AA17" s="16">
        <f>'KEEI BAU - Industry'!AQ$17*'Non-ferrous Metals Split'!$F$7</f>
        <v>2164911421845.0249</v>
      </c>
      <c r="AB17" s="16">
        <f>'KEEI BAU - Industry'!AR$17*'Non-ferrous Metals Split'!$F$7</f>
        <v>2146214605588.6956</v>
      </c>
      <c r="AC17" s="16">
        <f>'KEEI BAU - Industry'!AS$17*'Non-ferrous Metals Split'!$F$7</f>
        <v>2127517789332.3738</v>
      </c>
      <c r="AD17" s="16">
        <f>'KEEI BAU - Industry'!AT$17*'Non-ferrous Metals Split'!$F$7</f>
        <v>2108820973076.0444</v>
      </c>
      <c r="AE17" s="16">
        <f>'KEEI BAU - Industry'!AU$17*'Non-ferrous Metals Split'!$F$7</f>
        <v>2090124156819.7151</v>
      </c>
      <c r="AF17" s="16">
        <f>'KEEI BAU - Industry'!AV$17*'Non-ferrous Metals Split'!$F$7</f>
        <v>2071427340563.3933</v>
      </c>
    </row>
    <row r="18" spans="1:32">
      <c r="A18" t="s">
        <v>18</v>
      </c>
      <c r="B18" s="16">
        <f>'KEEI BAU - Industry'!R$31*'Machinery Split'!$E6</f>
        <v>0</v>
      </c>
      <c r="C18" s="16">
        <f>'KEEI BAU - Industry'!S$31*'Machinery Split'!$E6</f>
        <v>0</v>
      </c>
      <c r="D18" s="16">
        <f>'KEEI BAU - Industry'!T$31*'Machinery Split'!$E6</f>
        <v>0</v>
      </c>
      <c r="E18" s="16">
        <f>'KEEI BAU - Industry'!U$31*'Machinery Split'!$E6</f>
        <v>0</v>
      </c>
      <c r="F18" s="16">
        <f>'KEEI BAU - Industry'!V$31*'Machinery Split'!$E6</f>
        <v>0</v>
      </c>
      <c r="G18" s="16">
        <f>'KEEI BAU - Industry'!W$31*'Machinery Split'!$E6</f>
        <v>0</v>
      </c>
      <c r="H18" s="16">
        <f>'KEEI BAU - Industry'!X$31*'Machinery Split'!$E6</f>
        <v>0</v>
      </c>
      <c r="I18" s="16">
        <f>'KEEI BAU - Industry'!Y$31*'Machinery Split'!$E6</f>
        <v>0</v>
      </c>
      <c r="J18" s="16">
        <f>'KEEI BAU - Industry'!Z$31*'Machinery Split'!$E6</f>
        <v>0</v>
      </c>
      <c r="K18" s="16">
        <f>'KEEI BAU - Industry'!AA$31*'Machinery Split'!$E6</f>
        <v>0</v>
      </c>
      <c r="L18" s="16">
        <f>'KEEI BAU - Industry'!AB$31*'Machinery Split'!$E6</f>
        <v>0</v>
      </c>
      <c r="M18" s="16">
        <f>'KEEI BAU - Industry'!AC$31*'Machinery Split'!$E6</f>
        <v>0</v>
      </c>
      <c r="N18" s="16">
        <f>'KEEI BAU - Industry'!AD$31*'Machinery Split'!$E6</f>
        <v>0</v>
      </c>
      <c r="O18" s="16">
        <f>'KEEI BAU - Industry'!AE$31*'Machinery Split'!$E6</f>
        <v>0</v>
      </c>
      <c r="P18" s="16">
        <f>'KEEI BAU - Industry'!AF$31*'Machinery Split'!$E6</f>
        <v>0</v>
      </c>
      <c r="Q18" s="16">
        <f>'KEEI BAU - Industry'!AG$31*'Machinery Split'!$E6</f>
        <v>0</v>
      </c>
      <c r="R18" s="16">
        <f>'KEEI BAU - Industry'!AH$31*'Machinery Split'!$E6</f>
        <v>0</v>
      </c>
      <c r="S18" s="16">
        <f>'KEEI BAU - Industry'!AI$31*'Machinery Split'!$E6</f>
        <v>0</v>
      </c>
      <c r="T18" s="16">
        <f>'KEEI BAU - Industry'!AJ$31*'Machinery Split'!$E6</f>
        <v>0</v>
      </c>
      <c r="U18" s="16">
        <f>'KEEI BAU - Industry'!AK$31*'Machinery Split'!$E6</f>
        <v>0</v>
      </c>
      <c r="V18" s="16">
        <f>'KEEI BAU - Industry'!AL$31*'Machinery Split'!$E6</f>
        <v>0</v>
      </c>
      <c r="W18" s="16">
        <f>'KEEI BAU - Industry'!AM$31*'Machinery Split'!$E6</f>
        <v>0</v>
      </c>
      <c r="X18" s="16">
        <f>'KEEI BAU - Industry'!AN$31*'Machinery Split'!$E6</f>
        <v>0</v>
      </c>
      <c r="Y18" s="16">
        <f>'KEEI BAU - Industry'!AO$31*'Machinery Split'!$E6</f>
        <v>0</v>
      </c>
      <c r="Z18" s="16">
        <f>'KEEI BAU - Industry'!AP$31*'Machinery Split'!$E6</f>
        <v>0</v>
      </c>
      <c r="AA18" s="16">
        <f>'KEEI BAU - Industry'!AQ$31*'Machinery Split'!$E6</f>
        <v>0</v>
      </c>
      <c r="AB18" s="16">
        <f>'KEEI BAU - Industry'!AR$31*'Machinery Split'!$E6</f>
        <v>0</v>
      </c>
      <c r="AC18" s="16">
        <f>'KEEI BAU - Industry'!AS$31*'Machinery Split'!$E6</f>
        <v>0</v>
      </c>
      <c r="AD18" s="16">
        <f>'KEEI BAU - Industry'!AT$31*'Machinery Split'!$E6</f>
        <v>0</v>
      </c>
      <c r="AE18" s="16">
        <f>'KEEI BAU - Industry'!AU$31*'Machinery Split'!$E6</f>
        <v>0</v>
      </c>
      <c r="AF18" s="16">
        <f>'KEEI BAU - Industry'!AV$31*'Machinery Split'!$E6</f>
        <v>0</v>
      </c>
    </row>
    <row r="19" spans="1:32">
      <c r="A19" t="s">
        <v>19</v>
      </c>
      <c r="B19" s="16">
        <f>'KEEI BAU - Industry'!R$31*'Machinery Split'!$E7</f>
        <v>0</v>
      </c>
      <c r="C19" s="16">
        <f>'KEEI BAU - Industry'!S$31*'Machinery Split'!$E7</f>
        <v>0</v>
      </c>
      <c r="D19" s="16">
        <f>'KEEI BAU - Industry'!T$31*'Machinery Split'!$E7</f>
        <v>0</v>
      </c>
      <c r="E19" s="16">
        <f>'KEEI BAU - Industry'!U$31*'Machinery Split'!$E7</f>
        <v>0</v>
      </c>
      <c r="F19" s="16">
        <f>'KEEI BAU - Industry'!V$31*'Machinery Split'!$E7</f>
        <v>0</v>
      </c>
      <c r="G19" s="16">
        <f>'KEEI BAU - Industry'!W$31*'Machinery Split'!$E7</f>
        <v>0</v>
      </c>
      <c r="H19" s="16">
        <f>'KEEI BAU - Industry'!X$31*'Machinery Split'!$E7</f>
        <v>0</v>
      </c>
      <c r="I19" s="16">
        <f>'KEEI BAU - Industry'!Y$31*'Machinery Split'!$E7</f>
        <v>0</v>
      </c>
      <c r="J19" s="16">
        <f>'KEEI BAU - Industry'!Z$31*'Machinery Split'!$E7</f>
        <v>0</v>
      </c>
      <c r="K19" s="16">
        <f>'KEEI BAU - Industry'!AA$31*'Machinery Split'!$E7</f>
        <v>0</v>
      </c>
      <c r="L19" s="16">
        <f>'KEEI BAU - Industry'!AB$31*'Machinery Split'!$E7</f>
        <v>0</v>
      </c>
      <c r="M19" s="16">
        <f>'KEEI BAU - Industry'!AC$31*'Machinery Split'!$E7</f>
        <v>0</v>
      </c>
      <c r="N19" s="16">
        <f>'KEEI BAU - Industry'!AD$31*'Machinery Split'!$E7</f>
        <v>0</v>
      </c>
      <c r="O19" s="16">
        <f>'KEEI BAU - Industry'!AE$31*'Machinery Split'!$E7</f>
        <v>0</v>
      </c>
      <c r="P19" s="16">
        <f>'KEEI BAU - Industry'!AF$31*'Machinery Split'!$E7</f>
        <v>0</v>
      </c>
      <c r="Q19" s="16">
        <f>'KEEI BAU - Industry'!AG$31*'Machinery Split'!$E7</f>
        <v>0</v>
      </c>
      <c r="R19" s="16">
        <f>'KEEI BAU - Industry'!AH$31*'Machinery Split'!$E7</f>
        <v>0</v>
      </c>
      <c r="S19" s="16">
        <f>'KEEI BAU - Industry'!AI$31*'Machinery Split'!$E7</f>
        <v>0</v>
      </c>
      <c r="T19" s="16">
        <f>'KEEI BAU - Industry'!AJ$31*'Machinery Split'!$E7</f>
        <v>0</v>
      </c>
      <c r="U19" s="16">
        <f>'KEEI BAU - Industry'!AK$31*'Machinery Split'!$E7</f>
        <v>0</v>
      </c>
      <c r="V19" s="16">
        <f>'KEEI BAU - Industry'!AL$31*'Machinery Split'!$E7</f>
        <v>0</v>
      </c>
      <c r="W19" s="16">
        <f>'KEEI BAU - Industry'!AM$31*'Machinery Split'!$E7</f>
        <v>0</v>
      </c>
      <c r="X19" s="16">
        <f>'KEEI BAU - Industry'!AN$31*'Machinery Split'!$E7</f>
        <v>0</v>
      </c>
      <c r="Y19" s="16">
        <f>'KEEI BAU - Industry'!AO$31*'Machinery Split'!$E7</f>
        <v>0</v>
      </c>
      <c r="Z19" s="16">
        <f>'KEEI BAU - Industry'!AP$31*'Machinery Split'!$E7</f>
        <v>0</v>
      </c>
      <c r="AA19" s="16">
        <f>'KEEI BAU - Industry'!AQ$31*'Machinery Split'!$E7</f>
        <v>0</v>
      </c>
      <c r="AB19" s="16">
        <f>'KEEI BAU - Industry'!AR$31*'Machinery Split'!$E7</f>
        <v>0</v>
      </c>
      <c r="AC19" s="16">
        <f>'KEEI BAU - Industry'!AS$31*'Machinery Split'!$E7</f>
        <v>0</v>
      </c>
      <c r="AD19" s="16">
        <f>'KEEI BAU - Industry'!AT$31*'Machinery Split'!$E7</f>
        <v>0</v>
      </c>
      <c r="AE19" s="16">
        <f>'KEEI BAU - Industry'!AU$31*'Machinery Split'!$E7</f>
        <v>0</v>
      </c>
      <c r="AF19" s="16">
        <f>'KEEI BAU - Industry'!AV$31*'Machinery Split'!$E7</f>
        <v>0</v>
      </c>
    </row>
    <row r="20" spans="1:32">
      <c r="A20" t="s">
        <v>20</v>
      </c>
      <c r="B20" s="16">
        <f>'KEEI BAU - Industry'!R$31*'Machinery Split'!$E8</f>
        <v>0</v>
      </c>
      <c r="C20" s="16">
        <f>'KEEI BAU - Industry'!S$31*'Machinery Split'!$E8</f>
        <v>0</v>
      </c>
      <c r="D20" s="16">
        <f>'KEEI BAU - Industry'!T$31*'Machinery Split'!$E8</f>
        <v>0</v>
      </c>
      <c r="E20" s="16">
        <f>'KEEI BAU - Industry'!U$31*'Machinery Split'!$E8</f>
        <v>0</v>
      </c>
      <c r="F20" s="16">
        <f>'KEEI BAU - Industry'!V$31*'Machinery Split'!$E8</f>
        <v>0</v>
      </c>
      <c r="G20" s="16">
        <f>'KEEI BAU - Industry'!W$31*'Machinery Split'!$E8</f>
        <v>0</v>
      </c>
      <c r="H20" s="16">
        <f>'KEEI BAU - Industry'!X$31*'Machinery Split'!$E8</f>
        <v>0</v>
      </c>
      <c r="I20" s="16">
        <f>'KEEI BAU - Industry'!Y$31*'Machinery Split'!$E8</f>
        <v>0</v>
      </c>
      <c r="J20" s="16">
        <f>'KEEI BAU - Industry'!Z$31*'Machinery Split'!$E8</f>
        <v>0</v>
      </c>
      <c r="K20" s="16">
        <f>'KEEI BAU - Industry'!AA$31*'Machinery Split'!$E8</f>
        <v>0</v>
      </c>
      <c r="L20" s="16">
        <f>'KEEI BAU - Industry'!AB$31*'Machinery Split'!$E8</f>
        <v>0</v>
      </c>
      <c r="M20" s="16">
        <f>'KEEI BAU - Industry'!AC$31*'Machinery Split'!$E8</f>
        <v>0</v>
      </c>
      <c r="N20" s="16">
        <f>'KEEI BAU - Industry'!AD$31*'Machinery Split'!$E8</f>
        <v>0</v>
      </c>
      <c r="O20" s="16">
        <f>'KEEI BAU - Industry'!AE$31*'Machinery Split'!$E8</f>
        <v>0</v>
      </c>
      <c r="P20" s="16">
        <f>'KEEI BAU - Industry'!AF$31*'Machinery Split'!$E8</f>
        <v>0</v>
      </c>
      <c r="Q20" s="16">
        <f>'KEEI BAU - Industry'!AG$31*'Machinery Split'!$E8</f>
        <v>0</v>
      </c>
      <c r="R20" s="16">
        <f>'KEEI BAU - Industry'!AH$31*'Machinery Split'!$E8</f>
        <v>0</v>
      </c>
      <c r="S20" s="16">
        <f>'KEEI BAU - Industry'!AI$31*'Machinery Split'!$E8</f>
        <v>0</v>
      </c>
      <c r="T20" s="16">
        <f>'KEEI BAU - Industry'!AJ$31*'Machinery Split'!$E8</f>
        <v>0</v>
      </c>
      <c r="U20" s="16">
        <f>'KEEI BAU - Industry'!AK$31*'Machinery Split'!$E8</f>
        <v>0</v>
      </c>
      <c r="V20" s="16">
        <f>'KEEI BAU - Industry'!AL$31*'Machinery Split'!$E8</f>
        <v>0</v>
      </c>
      <c r="W20" s="16">
        <f>'KEEI BAU - Industry'!AM$31*'Machinery Split'!$E8</f>
        <v>0</v>
      </c>
      <c r="X20" s="16">
        <f>'KEEI BAU - Industry'!AN$31*'Machinery Split'!$E8</f>
        <v>0</v>
      </c>
      <c r="Y20" s="16">
        <f>'KEEI BAU - Industry'!AO$31*'Machinery Split'!$E8</f>
        <v>0</v>
      </c>
      <c r="Z20" s="16">
        <f>'KEEI BAU - Industry'!AP$31*'Machinery Split'!$E8</f>
        <v>0</v>
      </c>
      <c r="AA20" s="16">
        <f>'KEEI BAU - Industry'!AQ$31*'Machinery Split'!$E8</f>
        <v>0</v>
      </c>
      <c r="AB20" s="16">
        <f>'KEEI BAU - Industry'!AR$31*'Machinery Split'!$E8</f>
        <v>0</v>
      </c>
      <c r="AC20" s="16">
        <f>'KEEI BAU - Industry'!AS$31*'Machinery Split'!$E8</f>
        <v>0</v>
      </c>
      <c r="AD20" s="16">
        <f>'KEEI BAU - Industry'!AT$31*'Machinery Split'!$E8</f>
        <v>0</v>
      </c>
      <c r="AE20" s="16">
        <f>'KEEI BAU - Industry'!AU$31*'Machinery Split'!$E8</f>
        <v>0</v>
      </c>
      <c r="AF20" s="16">
        <f>'KEEI BAU - Industry'!AV$31*'Machinery Split'!$E8</f>
        <v>0</v>
      </c>
    </row>
    <row r="21" spans="1:32">
      <c r="A21" t="s">
        <v>21</v>
      </c>
      <c r="B21" s="16">
        <f>'KEEI BAU - Industry'!R$31*'Machinery Split'!$E9</f>
        <v>0</v>
      </c>
      <c r="C21" s="16">
        <f>'KEEI BAU - Industry'!S$31*'Machinery Split'!$E9</f>
        <v>0</v>
      </c>
      <c r="D21" s="16">
        <f>'KEEI BAU - Industry'!T$31*'Machinery Split'!$E9</f>
        <v>0</v>
      </c>
      <c r="E21" s="16">
        <f>'KEEI BAU - Industry'!U$31*'Machinery Split'!$E9</f>
        <v>0</v>
      </c>
      <c r="F21" s="16">
        <f>'KEEI BAU - Industry'!V$31*'Machinery Split'!$E9</f>
        <v>0</v>
      </c>
      <c r="G21" s="16">
        <f>'KEEI BAU - Industry'!W$31*'Machinery Split'!$E9</f>
        <v>0</v>
      </c>
      <c r="H21" s="16">
        <f>'KEEI BAU - Industry'!X$31*'Machinery Split'!$E9</f>
        <v>0</v>
      </c>
      <c r="I21" s="16">
        <f>'KEEI BAU - Industry'!Y$31*'Machinery Split'!$E9</f>
        <v>0</v>
      </c>
      <c r="J21" s="16">
        <f>'KEEI BAU - Industry'!Z$31*'Machinery Split'!$E9</f>
        <v>0</v>
      </c>
      <c r="K21" s="16">
        <f>'KEEI BAU - Industry'!AA$31*'Machinery Split'!$E9</f>
        <v>0</v>
      </c>
      <c r="L21" s="16">
        <f>'KEEI BAU - Industry'!AB$31*'Machinery Split'!$E9</f>
        <v>0</v>
      </c>
      <c r="M21" s="16">
        <f>'KEEI BAU - Industry'!AC$31*'Machinery Split'!$E9</f>
        <v>0</v>
      </c>
      <c r="N21" s="16">
        <f>'KEEI BAU - Industry'!AD$31*'Machinery Split'!$E9</f>
        <v>0</v>
      </c>
      <c r="O21" s="16">
        <f>'KEEI BAU - Industry'!AE$31*'Machinery Split'!$E9</f>
        <v>0</v>
      </c>
      <c r="P21" s="16">
        <f>'KEEI BAU - Industry'!AF$31*'Machinery Split'!$E9</f>
        <v>0</v>
      </c>
      <c r="Q21" s="16">
        <f>'KEEI BAU - Industry'!AG$31*'Machinery Split'!$E9</f>
        <v>0</v>
      </c>
      <c r="R21" s="16">
        <f>'KEEI BAU - Industry'!AH$31*'Machinery Split'!$E9</f>
        <v>0</v>
      </c>
      <c r="S21" s="16">
        <f>'KEEI BAU - Industry'!AI$31*'Machinery Split'!$E9</f>
        <v>0</v>
      </c>
      <c r="T21" s="16">
        <f>'KEEI BAU - Industry'!AJ$31*'Machinery Split'!$E9</f>
        <v>0</v>
      </c>
      <c r="U21" s="16">
        <f>'KEEI BAU - Industry'!AK$31*'Machinery Split'!$E9</f>
        <v>0</v>
      </c>
      <c r="V21" s="16">
        <f>'KEEI BAU - Industry'!AL$31*'Machinery Split'!$E9</f>
        <v>0</v>
      </c>
      <c r="W21" s="16">
        <f>'KEEI BAU - Industry'!AM$31*'Machinery Split'!$E9</f>
        <v>0</v>
      </c>
      <c r="X21" s="16">
        <f>'KEEI BAU - Industry'!AN$31*'Machinery Split'!$E9</f>
        <v>0</v>
      </c>
      <c r="Y21" s="16">
        <f>'KEEI BAU - Industry'!AO$31*'Machinery Split'!$E9</f>
        <v>0</v>
      </c>
      <c r="Z21" s="16">
        <f>'KEEI BAU - Industry'!AP$31*'Machinery Split'!$E9</f>
        <v>0</v>
      </c>
      <c r="AA21" s="16">
        <f>'KEEI BAU - Industry'!AQ$31*'Machinery Split'!$E9</f>
        <v>0</v>
      </c>
      <c r="AB21" s="16">
        <f>'KEEI BAU - Industry'!AR$31*'Machinery Split'!$E9</f>
        <v>0</v>
      </c>
      <c r="AC21" s="16">
        <f>'KEEI BAU - Industry'!AS$31*'Machinery Split'!$E9</f>
        <v>0</v>
      </c>
      <c r="AD21" s="16">
        <f>'KEEI BAU - Industry'!AT$31*'Machinery Split'!$E9</f>
        <v>0</v>
      </c>
      <c r="AE21" s="16">
        <f>'KEEI BAU - Industry'!AU$31*'Machinery Split'!$E9</f>
        <v>0</v>
      </c>
      <c r="AF21" s="16">
        <f>'KEEI BAU - Industry'!AV$31*'Machinery Split'!$E9</f>
        <v>0</v>
      </c>
    </row>
    <row r="22" spans="1:32">
      <c r="A22" t="s">
        <v>22</v>
      </c>
      <c r="B22" s="16">
        <f>'KEEI BAU - Industry'!R$31*'Machinery Split'!$E10</f>
        <v>0</v>
      </c>
      <c r="C22" s="16">
        <f>'KEEI BAU - Industry'!S$31*'Machinery Split'!$E10</f>
        <v>0</v>
      </c>
      <c r="D22" s="16">
        <f>'KEEI BAU - Industry'!T$31*'Machinery Split'!$E10</f>
        <v>0</v>
      </c>
      <c r="E22" s="16">
        <f>'KEEI BAU - Industry'!U$31*'Machinery Split'!$E10</f>
        <v>0</v>
      </c>
      <c r="F22" s="16">
        <f>'KEEI BAU - Industry'!V$31*'Machinery Split'!$E10</f>
        <v>0</v>
      </c>
      <c r="G22" s="16">
        <f>'KEEI BAU - Industry'!W$31*'Machinery Split'!$E10</f>
        <v>0</v>
      </c>
      <c r="H22" s="16">
        <f>'KEEI BAU - Industry'!X$31*'Machinery Split'!$E10</f>
        <v>0</v>
      </c>
      <c r="I22" s="16">
        <f>'KEEI BAU - Industry'!Y$31*'Machinery Split'!$E10</f>
        <v>0</v>
      </c>
      <c r="J22" s="16">
        <f>'KEEI BAU - Industry'!Z$31*'Machinery Split'!$E10</f>
        <v>0</v>
      </c>
      <c r="K22" s="16">
        <f>'KEEI BAU - Industry'!AA$31*'Machinery Split'!$E10</f>
        <v>0</v>
      </c>
      <c r="L22" s="16">
        <f>'KEEI BAU - Industry'!AB$31*'Machinery Split'!$E10</f>
        <v>0</v>
      </c>
      <c r="M22" s="16">
        <f>'KEEI BAU - Industry'!AC$31*'Machinery Split'!$E10</f>
        <v>0</v>
      </c>
      <c r="N22" s="16">
        <f>'KEEI BAU - Industry'!AD$31*'Machinery Split'!$E10</f>
        <v>0</v>
      </c>
      <c r="O22" s="16">
        <f>'KEEI BAU - Industry'!AE$31*'Machinery Split'!$E10</f>
        <v>0</v>
      </c>
      <c r="P22" s="16">
        <f>'KEEI BAU - Industry'!AF$31*'Machinery Split'!$E10</f>
        <v>0</v>
      </c>
      <c r="Q22" s="16">
        <f>'KEEI BAU - Industry'!AG$31*'Machinery Split'!$E10</f>
        <v>0</v>
      </c>
      <c r="R22" s="16">
        <f>'KEEI BAU - Industry'!AH$31*'Machinery Split'!$E10</f>
        <v>0</v>
      </c>
      <c r="S22" s="16">
        <f>'KEEI BAU - Industry'!AI$31*'Machinery Split'!$E10</f>
        <v>0</v>
      </c>
      <c r="T22" s="16">
        <f>'KEEI BAU - Industry'!AJ$31*'Machinery Split'!$E10</f>
        <v>0</v>
      </c>
      <c r="U22" s="16">
        <f>'KEEI BAU - Industry'!AK$31*'Machinery Split'!$E10</f>
        <v>0</v>
      </c>
      <c r="V22" s="16">
        <f>'KEEI BAU - Industry'!AL$31*'Machinery Split'!$E10</f>
        <v>0</v>
      </c>
      <c r="W22" s="16">
        <f>'KEEI BAU - Industry'!AM$31*'Machinery Split'!$E10</f>
        <v>0</v>
      </c>
      <c r="X22" s="16">
        <f>'KEEI BAU - Industry'!AN$31*'Machinery Split'!$E10</f>
        <v>0</v>
      </c>
      <c r="Y22" s="16">
        <f>'KEEI BAU - Industry'!AO$31*'Machinery Split'!$E10</f>
        <v>0</v>
      </c>
      <c r="Z22" s="16">
        <f>'KEEI BAU - Industry'!AP$31*'Machinery Split'!$E10</f>
        <v>0</v>
      </c>
      <c r="AA22" s="16">
        <f>'KEEI BAU - Industry'!AQ$31*'Machinery Split'!$E10</f>
        <v>0</v>
      </c>
      <c r="AB22" s="16">
        <f>'KEEI BAU - Industry'!AR$31*'Machinery Split'!$E10</f>
        <v>0</v>
      </c>
      <c r="AC22" s="16">
        <f>'KEEI BAU - Industry'!AS$31*'Machinery Split'!$E10</f>
        <v>0</v>
      </c>
      <c r="AD22" s="16">
        <f>'KEEI BAU - Industry'!AT$31*'Machinery Split'!$E10</f>
        <v>0</v>
      </c>
      <c r="AE22" s="16">
        <f>'KEEI BAU - Industry'!AU$31*'Machinery Split'!$E10</f>
        <v>0</v>
      </c>
      <c r="AF22" s="16">
        <f>'KEEI BAU - Industry'!AV$31*'Machinery Split'!$E10</f>
        <v>0</v>
      </c>
    </row>
    <row r="23" spans="1:32">
      <c r="A23" t="s">
        <v>23</v>
      </c>
      <c r="B23" s="16">
        <f>'KEEI BAU - Industry'!R$52*'Others Split'!$F$14</f>
        <v>62124983731826.484</v>
      </c>
      <c r="C23" s="16">
        <f>'KEEI BAU - Industry'!S$52*'Others Split'!$F$14</f>
        <v>68109248051180.227</v>
      </c>
      <c r="D23" s="16">
        <f>'KEEI BAU - Industry'!T$52*'Others Split'!$F$14</f>
        <v>74093512370533.969</v>
      </c>
      <c r="E23" s="16">
        <f>'KEEI BAU - Industry'!U$52*'Others Split'!$F$14</f>
        <v>80077776689887.703</v>
      </c>
      <c r="F23" s="16">
        <f>'KEEI BAU - Industry'!V$52*'Others Split'!$F$14</f>
        <v>86062041009241.438</v>
      </c>
      <c r="G23" s="16">
        <f>'KEEI BAU - Industry'!W$52*'Others Split'!$F$14</f>
        <v>92046305328595.188</v>
      </c>
      <c r="H23" s="16">
        <f>'KEEI BAU - Industry'!X$52*'Others Split'!$F$14</f>
        <v>94203025107514.063</v>
      </c>
      <c r="I23" s="16">
        <f>'KEEI BAU - Industry'!Y$52*'Others Split'!$F$14</f>
        <v>96359744886433</v>
      </c>
      <c r="J23" s="16">
        <f>'KEEI BAU - Industry'!Z$52*'Others Split'!$F$14</f>
        <v>98516464665351.938</v>
      </c>
      <c r="K23" s="16">
        <f>'KEEI BAU - Industry'!AA$52*'Others Split'!$F$14</f>
        <v>100673184444270.88</v>
      </c>
      <c r="L23" s="16">
        <f>'KEEI BAU - Industry'!AB$52*'Others Split'!$F$14</f>
        <v>102829904223189.81</v>
      </c>
      <c r="M23" s="16">
        <f>'KEEI BAU - Industry'!AC$52*'Others Split'!$F$14</f>
        <v>104330088300763.56</v>
      </c>
      <c r="N23" s="16">
        <f>'KEEI BAU - Industry'!AD$52*'Others Split'!$F$14</f>
        <v>105830272378337.31</v>
      </c>
      <c r="O23" s="16">
        <f>'KEEI BAU - Industry'!AE$52*'Others Split'!$F$14</f>
        <v>107330456455911.06</v>
      </c>
      <c r="P23" s="16">
        <f>'KEEI BAU - Industry'!AF$52*'Others Split'!$F$14</f>
        <v>108830640533484.81</v>
      </c>
      <c r="Q23" s="16">
        <f>'KEEI BAU - Industry'!AG$52*'Others Split'!$F$14</f>
        <v>110330824611058.58</v>
      </c>
      <c r="R23" s="16">
        <f>'KEEI BAU - Industry'!AH$52*'Others Split'!$F$14</f>
        <v>111299214770542.7</v>
      </c>
      <c r="S23" s="16">
        <f>'KEEI BAU - Industry'!AI$52*'Others Split'!$F$14</f>
        <v>112267604930026.86</v>
      </c>
      <c r="T23" s="16">
        <f>'KEEI BAU - Industry'!AJ$52*'Others Split'!$F$14</f>
        <v>113235995089511</v>
      </c>
      <c r="U23" s="16">
        <f>'KEEI BAU - Industry'!AK$52*'Others Split'!$F$14</f>
        <v>114204385248995.16</v>
      </c>
      <c r="V23" s="16">
        <f>'KEEI BAU - Industry'!AL$52*'Others Split'!$F$14</f>
        <v>115172775408479.3</v>
      </c>
      <c r="W23" s="16">
        <f>'KEEI BAU - Industry'!AM$52*'Others Split'!$F$14</f>
        <v>116850224125416.27</v>
      </c>
      <c r="X23" s="16">
        <f>'KEEI BAU - Industry'!AN$52*'Others Split'!$F$14</f>
        <v>118044223825908</v>
      </c>
      <c r="Y23" s="16">
        <f>'KEEI BAU - Industry'!AO$52*'Others Split'!$F$14</f>
        <v>119238223526400.17</v>
      </c>
      <c r="Z23" s="16">
        <f>'KEEI BAU - Industry'!AP$52*'Others Split'!$F$14</f>
        <v>120432223226891.91</v>
      </c>
      <c r="AA23" s="16">
        <f>'KEEI BAU - Industry'!AQ$52*'Others Split'!$F$14</f>
        <v>121626222927383.66</v>
      </c>
      <c r="AB23" s="16">
        <f>'KEEI BAU - Industry'!AR$52*'Others Split'!$F$14</f>
        <v>122820222627875.41</v>
      </c>
      <c r="AC23" s="16">
        <f>'KEEI BAU - Industry'!AS$52*'Others Split'!$F$14</f>
        <v>124014222328367.56</v>
      </c>
      <c r="AD23" s="16">
        <f>'KEEI BAU - Industry'!AT$52*'Others Split'!$F$14</f>
        <v>125208222028859.31</v>
      </c>
      <c r="AE23" s="16">
        <f>'KEEI BAU - Industry'!AU$52*'Others Split'!$F$14</f>
        <v>126402221729351.06</v>
      </c>
      <c r="AF23" s="16">
        <f>'KEEI BAU - Industry'!AV$52*'Others Split'!$F$14</f>
        <v>127596221429843.22</v>
      </c>
    </row>
    <row r="24" spans="1:32">
      <c r="A24" t="s">
        <v>24</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row>
    <row r="25" spans="1:32">
      <c r="A25" t="s">
        <v>25</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row>
    <row r="26" spans="1:32">
      <c r="A26" t="s">
        <v>26</v>
      </c>
      <c r="B26" s="16">
        <f>'KEEI BAU - Industry'!R$52*'Others Split'!$F$15</f>
        <v>17606129862.968643</v>
      </c>
      <c r="C26" s="16">
        <f>'KEEI BAU - Industry'!S$52*'Others Split'!$F$15</f>
        <v>19302061650.986099</v>
      </c>
      <c r="D26" s="16">
        <f>'KEEI BAU - Industry'!T$52*'Others Split'!$F$15</f>
        <v>20997993439.003548</v>
      </c>
      <c r="E26" s="16">
        <f>'KEEI BAU - Industry'!U$52*'Others Split'!$F$15</f>
        <v>22693925227.021</v>
      </c>
      <c r="F26" s="16">
        <f>'KEEI BAU - Industry'!V$52*'Others Split'!$F$15</f>
        <v>24389857015.038452</v>
      </c>
      <c r="G26" s="16">
        <f>'KEEI BAU - Industry'!W$52*'Others Split'!$F$15</f>
        <v>26085788803.055904</v>
      </c>
      <c r="H26" s="16">
        <f>'KEEI BAU - Industry'!X$52*'Others Split'!$F$15</f>
        <v>26697000045.695248</v>
      </c>
      <c r="I26" s="16">
        <f>'KEEI BAU - Industry'!Y$52*'Others Split'!$F$15</f>
        <v>27308211288.33461</v>
      </c>
      <c r="J26" s="16">
        <f>'KEEI BAU - Industry'!Z$52*'Others Split'!$F$15</f>
        <v>27919422530.973972</v>
      </c>
      <c r="K26" s="16">
        <f>'KEEI BAU - Industry'!AA$52*'Others Split'!$F$15</f>
        <v>28530633773.613335</v>
      </c>
      <c r="L26" s="16">
        <f>'KEEI BAU - Industry'!AB$52*'Others Split'!$F$15</f>
        <v>29141845016.252701</v>
      </c>
      <c r="M26" s="16">
        <f>'KEEI BAU - Industry'!AC$52*'Others Split'!$F$15</f>
        <v>29566994997.814629</v>
      </c>
      <c r="N26" s="16">
        <f>'KEEI BAU - Industry'!AD$52*'Others Split'!$F$15</f>
        <v>29992144979.37656</v>
      </c>
      <c r="O26" s="16">
        <f>'KEEI BAU - Industry'!AE$52*'Others Split'!$F$15</f>
        <v>30417294960.938492</v>
      </c>
      <c r="P26" s="16">
        <f>'KEEI BAU - Industry'!AF$52*'Others Split'!$F$15</f>
        <v>30842444942.50042</v>
      </c>
      <c r="Q26" s="16">
        <f>'KEEI BAU - Industry'!AG$52*'Others Split'!$F$15</f>
        <v>31267594924.062359</v>
      </c>
      <c r="R26" s="16">
        <f>'KEEI BAU - Industry'!AH$52*'Others Split'!$F$15</f>
        <v>31542035284.151562</v>
      </c>
      <c r="S26" s="16">
        <f>'KEEI BAU - Industry'!AI$52*'Others Split'!$F$15</f>
        <v>31816475644.240776</v>
      </c>
      <c r="T26" s="16">
        <f>'KEEI BAU - Industry'!AJ$52*'Others Split'!$F$15</f>
        <v>32090916004.329987</v>
      </c>
      <c r="U26" s="16">
        <f>'KEEI BAU - Industry'!AK$52*'Others Split'!$F$15</f>
        <v>32365356364.419197</v>
      </c>
      <c r="V26" s="16">
        <f>'KEEI BAU - Industry'!AL$52*'Others Split'!$F$15</f>
        <v>32639796724.508404</v>
      </c>
      <c r="W26" s="16">
        <f>'KEEI BAU - Industry'!AM$52*'Others Split'!$F$15</f>
        <v>33115183246.561245</v>
      </c>
      <c r="X26" s="16">
        <f>'KEEI BAU - Industry'!AN$52*'Others Split'!$F$15</f>
        <v>33453561021.820671</v>
      </c>
      <c r="Y26" s="16">
        <f>'KEEI BAU - Industry'!AO$52*'Others Split'!$F$15</f>
        <v>33791938797.080212</v>
      </c>
      <c r="Z26" s="16">
        <f>'KEEI BAU - Industry'!AP$52*'Others Split'!$F$15</f>
        <v>34130316572.339634</v>
      </c>
      <c r="AA26" s="16">
        <f>'KEEI BAU - Industry'!AQ$52*'Others Split'!$F$15</f>
        <v>34468694347.59906</v>
      </c>
      <c r="AB26" s="16">
        <f>'KEEI BAU - Industry'!AR$52*'Others Split'!$F$15</f>
        <v>34807072122.858482</v>
      </c>
      <c r="AC26" s="16">
        <f>'KEEI BAU - Industry'!AS$52*'Others Split'!$F$15</f>
        <v>35145449898.118027</v>
      </c>
      <c r="AD26" s="16">
        <f>'KEEI BAU - Industry'!AT$52*'Others Split'!$F$15</f>
        <v>35483827673.377449</v>
      </c>
      <c r="AE26" s="16">
        <f>'KEEI BAU - Industry'!AU$52*'Others Split'!$F$15</f>
        <v>35822205448.636871</v>
      </c>
      <c r="AF26" s="16">
        <f>'KEEI BAU - Industry'!AV$52*'Others Split'!$F$15</f>
        <v>36160583223.896416</v>
      </c>
    </row>
    <row r="55" spans="2:2">
      <c r="B55" s="21"/>
    </row>
    <row r="56" spans="2:2">
      <c r="B56" s="21"/>
    </row>
    <row r="57" spans="2:2">
      <c r="B57" s="21"/>
    </row>
    <row r="58" spans="2:2">
      <c r="B58" s="21"/>
    </row>
    <row r="59" spans="2:2">
      <c r="B59" s="21"/>
    </row>
    <row r="60" spans="2:2">
      <c r="B60" s="21"/>
    </row>
    <row r="61" spans="2:2">
      <c r="B61" s="21"/>
    </row>
    <row r="62" spans="2:2">
      <c r="B62" s="21"/>
    </row>
    <row r="63" spans="2:2">
      <c r="B63" s="21"/>
    </row>
    <row r="64" spans="2:2">
      <c r="B64" s="21"/>
    </row>
    <row r="65" spans="2:2">
      <c r="B65" s="21"/>
    </row>
    <row r="66" spans="2:2">
      <c r="B66" s="21"/>
    </row>
    <row r="67" spans="2:2">
      <c r="B67" s="21"/>
    </row>
    <row r="68" spans="2:2">
      <c r="B68" s="21"/>
    </row>
    <row r="69" spans="2:2">
      <c r="B69" s="21"/>
    </row>
    <row r="70" spans="2:2">
      <c r="B70" s="21"/>
    </row>
    <row r="71" spans="2:2">
      <c r="B71" s="21"/>
    </row>
    <row r="72" spans="2:2">
      <c r="B72" s="21"/>
    </row>
    <row r="73" spans="2:2">
      <c r="B73" s="21"/>
    </row>
    <row r="74" spans="2:2">
      <c r="B74" s="21"/>
    </row>
    <row r="75" spans="2:2">
      <c r="B75" s="21"/>
    </row>
    <row r="76" spans="2:2">
      <c r="B76" s="21"/>
    </row>
    <row r="77" spans="2:2">
      <c r="B77" s="21"/>
    </row>
    <row r="78" spans="2:2">
      <c r="B78" s="21"/>
    </row>
    <row r="79" spans="2:2">
      <c r="B79" s="21"/>
    </row>
  </sheetData>
  <phoneticPr fontId="37"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B180A-9920-4E36-ABDA-9DDF04369952}">
  <dimension ref="A1:AI82"/>
  <sheetViews>
    <sheetView zoomScaleNormal="100" workbookViewId="0">
      <pane xSplit="1" ySplit="1" topLeftCell="B2" activePane="bottomRight" state="frozen"/>
      <selection pane="topRight" activeCell="B1" sqref="B1"/>
      <selection pane="bottomLeft" activeCell="A2" sqref="A2"/>
      <selection pane="bottomRight" activeCell="B2" sqref="B2"/>
    </sheetView>
  </sheetViews>
  <sheetFormatPr defaultColWidth="9.125" defaultRowHeight="16.5"/>
  <cols>
    <col min="1" max="1" width="39.875" customWidth="1"/>
    <col min="2" max="2" width="22" bestFit="1" customWidth="1"/>
    <col min="3" max="33" width="10.625" customWidth="1"/>
    <col min="34" max="35" width="9.5" bestFit="1" customWidth="1"/>
  </cols>
  <sheetData>
    <row r="1" spans="1:35">
      <c r="A1" s="24" t="s">
        <v>27</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c r="A2" t="s">
        <v>2</v>
      </c>
      <c r="B2" s="16" cm="1">
        <f t="array" ref="B2">TREND($G2:$L2,$G$1:$L$1,B$1)</f>
        <v>1454764593.0333252</v>
      </c>
      <c r="C2" s="16" cm="1">
        <f t="array" ref="C2">TREND($G2:$L2,$G$1:$L$1,C$1)</f>
        <v>1481750339.2506104</v>
      </c>
      <c r="D2" s="16" cm="1">
        <f t="array" ref="D2">TREND($G2:$L2,$G$1:$L$1,D$1)</f>
        <v>1508736085.4678955</v>
      </c>
      <c r="E2" s="16" cm="1">
        <f t="array" ref="E2">TREND($G2:$L2,$G$1:$L$1,E$1)</f>
        <v>1535721831.6851807</v>
      </c>
      <c r="F2" s="16" cm="1">
        <f t="array" ref="F2">TREND($G2:$L2,$G$1:$L$1,F$1)</f>
        <v>1562707577.9024658</v>
      </c>
      <c r="G2" s="16">
        <f>'KEEI BAU - Industry'!W54*'Others Split'!$G$6</f>
        <v>1589693324.1197531</v>
      </c>
      <c r="H2" s="16">
        <f>'KEEI BAU - Industry'!X54*'Others Split'!$G$6</f>
        <v>1616679070.3370383</v>
      </c>
      <c r="I2" s="16">
        <f>'KEEI BAU - Industry'!Y54*'Others Split'!$G$6</f>
        <v>1643664816.5543232</v>
      </c>
      <c r="J2" s="16">
        <f>'KEEI BAU - Industry'!Z54*'Others Split'!$G$6</f>
        <v>1670650562.7716081</v>
      </c>
      <c r="K2" s="16">
        <f>'KEEI BAU - Industry'!AA54*'Others Split'!$G$6</f>
        <v>1697636308.988893</v>
      </c>
      <c r="L2" s="16">
        <f>'KEEI BAU - Industry'!AB54*'Others Split'!$G$6</f>
        <v>1724622055.2061784</v>
      </c>
      <c r="M2" s="16">
        <f>'KEEI BAU - Industry'!AC54*'Others Split'!$G$6</f>
        <v>1752840652.7734909</v>
      </c>
      <c r="N2" s="16">
        <f>'KEEI BAU - Industry'!AD54*'Others Split'!$G$6</f>
        <v>1781059250.3408041</v>
      </c>
      <c r="O2" s="16">
        <f>'KEEI BAU - Industry'!AE54*'Others Split'!$G$6</f>
        <v>1809277847.9081173</v>
      </c>
      <c r="P2" s="16">
        <f>'KEEI BAU - Industry'!AF54*'Others Split'!$G$6</f>
        <v>1837496445.4754305</v>
      </c>
      <c r="Q2" s="16">
        <f>'KEEI BAU - Industry'!AG54*'Others Split'!$G$6</f>
        <v>1865715043.0427439</v>
      </c>
      <c r="R2" s="16">
        <f>'KEEI BAU - Industry'!AH54*'Others Split'!$G$6</f>
        <v>1897769178.1434779</v>
      </c>
      <c r="S2" s="16">
        <f>'KEEI BAU - Industry'!AI54*'Others Split'!$G$6</f>
        <v>1929823313.2442124</v>
      </c>
      <c r="T2" s="16">
        <f>'KEEI BAU - Industry'!AJ54*'Others Split'!$G$6</f>
        <v>1961877448.3449466</v>
      </c>
      <c r="U2" s="16">
        <f>'KEEI BAU - Industry'!AK54*'Others Split'!$G$6</f>
        <v>1993931583.4456811</v>
      </c>
      <c r="V2" s="16">
        <f>'KEEI BAU - Industry'!AL54*'Others Split'!$G$6</f>
        <v>2025985718.5464144</v>
      </c>
      <c r="W2" s="16">
        <f>'KEEI BAU - Industry'!AM54*'Others Split'!$G$6</f>
        <v>2052925803.6025853</v>
      </c>
      <c r="X2" s="16">
        <f>'KEEI BAU - Industry'!AN54*'Others Split'!$G$6</f>
        <v>2083352740.9618645</v>
      </c>
      <c r="Y2" s="16">
        <f>'KEEI BAU - Industry'!AO54*'Others Split'!$G$6</f>
        <v>2113779678.3211524</v>
      </c>
      <c r="Z2" s="16">
        <f>'KEEI BAU - Industry'!AP54*'Others Split'!$G$6</f>
        <v>2144206615.6804318</v>
      </c>
      <c r="AA2" s="16">
        <f>'KEEI BAU - Industry'!AQ54*'Others Split'!$G$6</f>
        <v>2174633553.0397196</v>
      </c>
      <c r="AB2" s="16">
        <f>'KEEI BAU - Industry'!AR54*'Others Split'!$G$6</f>
        <v>2205060490.3989987</v>
      </c>
      <c r="AC2" s="16">
        <f>'KEEI BAU - Industry'!AS54*'Others Split'!$G$6</f>
        <v>2235487427.758287</v>
      </c>
      <c r="AD2" s="16">
        <f>'KEEI BAU - Industry'!AT54*'Others Split'!$G$6</f>
        <v>2265914365.1175661</v>
      </c>
      <c r="AE2" s="16">
        <f>'KEEI BAU - Industry'!AU54*'Others Split'!$G$6</f>
        <v>2296341302.4768453</v>
      </c>
      <c r="AF2" s="16">
        <f>'KEEI BAU - Industry'!AV54*'Others Split'!$G$6</f>
        <v>2326768239.8361335</v>
      </c>
    </row>
    <row r="3" spans="1:35">
      <c r="A3" t="s">
        <v>3</v>
      </c>
      <c r="B3" s="16" cm="1">
        <f t="array" ref="B3">TREND($G3:$L3,$G$1:$L$1,B$1)</f>
        <v>0</v>
      </c>
      <c r="C3" s="16" cm="1">
        <f t="array" ref="C3">TREND($G3:$L3,$G$1:$L$1,C$1)</f>
        <v>0</v>
      </c>
      <c r="D3" s="16" cm="1">
        <f t="array" ref="D3">TREND($G3:$L3,$G$1:$L$1,D$1)</f>
        <v>0</v>
      </c>
      <c r="E3" s="16" cm="1">
        <f t="array" ref="E3">TREND($G3:$L3,$G$1:$L$1,E$1)</f>
        <v>0</v>
      </c>
      <c r="F3" s="16" cm="1">
        <f t="array" ref="F3">TREND($G3:$L3,$G$1:$L$1,F$1)</f>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c r="AC3" s="16">
        <v>0</v>
      </c>
      <c r="AD3" s="16">
        <v>0</v>
      </c>
      <c r="AE3" s="16">
        <v>0</v>
      </c>
      <c r="AF3" s="16">
        <v>0</v>
      </c>
    </row>
    <row r="4" spans="1:35">
      <c r="A4" t="s">
        <v>4</v>
      </c>
      <c r="B4" s="16" cm="1">
        <f t="array" ref="B4">TREND($G4:$L4,$G$1:$L$1,B$1)</f>
        <v>0</v>
      </c>
      <c r="C4" s="16" cm="1">
        <f t="array" ref="C4">TREND($G4:$L4,$G$1:$L$1,C$1)</f>
        <v>0</v>
      </c>
      <c r="D4" s="16" cm="1">
        <f t="array" ref="D4">TREND($G4:$L4,$G$1:$L$1,D$1)</f>
        <v>0</v>
      </c>
      <c r="E4" s="16" cm="1">
        <f t="array" ref="E4">TREND($G4:$L4,$G$1:$L$1,E$1)</f>
        <v>0</v>
      </c>
      <c r="F4" s="16" cm="1">
        <f t="array" ref="F4">TREND($G4:$L4,$G$1:$L$1,F$1)</f>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c r="AC4" s="16">
        <v>0</v>
      </c>
      <c r="AD4" s="16">
        <v>0</v>
      </c>
      <c r="AE4" s="16">
        <v>0</v>
      </c>
      <c r="AF4" s="16">
        <v>0</v>
      </c>
    </row>
    <row r="5" spans="1:35">
      <c r="A5" t="s">
        <v>5</v>
      </c>
      <c r="B5" s="16" cm="1">
        <f t="array" ref="B5">TREND($G5:$L5,$G$1:$L$1,B$1)</f>
        <v>0</v>
      </c>
      <c r="C5" s="16" cm="1">
        <f t="array" ref="C5">TREND($G5:$L5,$G$1:$L$1,C$1)</f>
        <v>0</v>
      </c>
      <c r="D5" s="16" cm="1">
        <f t="array" ref="D5">TREND($G5:$L5,$G$1:$L$1,D$1)</f>
        <v>0</v>
      </c>
      <c r="E5" s="16" cm="1">
        <f t="array" ref="E5">TREND($G5:$L5,$G$1:$L$1,E$1)</f>
        <v>0</v>
      </c>
      <c r="F5" s="16" cm="1">
        <f t="array" ref="F5">TREND($G5:$L5,$G$1:$L$1,F$1)</f>
        <v>0</v>
      </c>
      <c r="G5" s="16">
        <f>'KEEI BAU - Industry'!W$54*'Others Split'!$G$7</f>
        <v>0</v>
      </c>
      <c r="H5" s="16">
        <f>'KEEI BAU - Industry'!X$54*'Others Split'!$G$7</f>
        <v>0</v>
      </c>
      <c r="I5" s="16">
        <f>'KEEI BAU - Industry'!Y$54*'Others Split'!$G$7</f>
        <v>0</v>
      </c>
      <c r="J5" s="16">
        <f>'KEEI BAU - Industry'!Z$54*'Others Split'!$G$7</f>
        <v>0</v>
      </c>
      <c r="K5" s="16">
        <f>'KEEI BAU - Industry'!AA$54*'Others Split'!$G$7</f>
        <v>0</v>
      </c>
      <c r="L5" s="16">
        <f>'KEEI BAU - Industry'!AB$54*'Others Split'!$G$7</f>
        <v>0</v>
      </c>
      <c r="M5" s="16">
        <f>'KEEI BAU - Industry'!AC$54*'Others Split'!$G$7</f>
        <v>0</v>
      </c>
      <c r="N5" s="16">
        <f>'KEEI BAU - Industry'!AD$54*'Others Split'!$G$7</f>
        <v>0</v>
      </c>
      <c r="O5" s="16">
        <f>'KEEI BAU - Industry'!AE$54*'Others Split'!$G$7</f>
        <v>0</v>
      </c>
      <c r="P5" s="16">
        <f>'KEEI BAU - Industry'!AF$54*'Others Split'!$G$7</f>
        <v>0</v>
      </c>
      <c r="Q5" s="16">
        <f>'KEEI BAU - Industry'!AG$54*'Others Split'!$G$7</f>
        <v>0</v>
      </c>
      <c r="R5" s="16">
        <f>'KEEI BAU - Industry'!AH$54*'Others Split'!$G$7</f>
        <v>0</v>
      </c>
      <c r="S5" s="16">
        <f>'KEEI BAU - Industry'!AI$54*'Others Split'!$G$7</f>
        <v>0</v>
      </c>
      <c r="T5" s="16">
        <f>'KEEI BAU - Industry'!AJ$54*'Others Split'!$G$7</f>
        <v>0</v>
      </c>
      <c r="U5" s="16">
        <f>'KEEI BAU - Industry'!AK$54*'Others Split'!$G$7</f>
        <v>0</v>
      </c>
      <c r="V5" s="16">
        <f>'KEEI BAU - Industry'!AL$54*'Others Split'!$G$7</f>
        <v>0</v>
      </c>
      <c r="W5" s="16">
        <f>'KEEI BAU - Industry'!AM$54*'Others Split'!$G$7</f>
        <v>0</v>
      </c>
      <c r="X5" s="16">
        <f>'KEEI BAU - Industry'!AN$54*'Others Split'!$G$7</f>
        <v>0</v>
      </c>
      <c r="Y5" s="16">
        <f>'KEEI BAU - Industry'!AO$54*'Others Split'!$G$7</f>
        <v>0</v>
      </c>
      <c r="Z5" s="16">
        <f>'KEEI BAU - Industry'!AP$54*'Others Split'!$G$7</f>
        <v>0</v>
      </c>
      <c r="AA5" s="16">
        <f>'KEEI BAU - Industry'!AQ$54*'Others Split'!$G$7</f>
        <v>0</v>
      </c>
      <c r="AB5" s="16">
        <f>'KEEI BAU - Industry'!AR$54*'Others Split'!$G$7</f>
        <v>0</v>
      </c>
      <c r="AC5" s="16">
        <f>'KEEI BAU - Industry'!AS$54*'Others Split'!$G$7</f>
        <v>0</v>
      </c>
      <c r="AD5" s="16">
        <f>'KEEI BAU - Industry'!AT$54*'Others Split'!$G$7</f>
        <v>0</v>
      </c>
      <c r="AE5" s="16">
        <f>'KEEI BAU - Industry'!AU$54*'Others Split'!$G$7</f>
        <v>0</v>
      </c>
      <c r="AF5" s="16">
        <f>'KEEI BAU - Industry'!AV$54*'Others Split'!$G$7</f>
        <v>0</v>
      </c>
    </row>
    <row r="6" spans="1:35">
      <c r="A6" t="s">
        <v>6</v>
      </c>
      <c r="B6" s="16" cm="1">
        <f t="array" ref="B6">TREND($G6:$L6,$G$1:$L$1,B$1)</f>
        <v>28827082944599.75</v>
      </c>
      <c r="C6" s="16" cm="1">
        <f t="array" ref="C6">TREND($G6:$L6,$G$1:$L$1,C$1)</f>
        <v>29361822618807.5</v>
      </c>
      <c r="D6" s="16" cm="1">
        <f t="array" ref="D6">TREND($G6:$L6,$G$1:$L$1,D$1)</f>
        <v>29896562293015.125</v>
      </c>
      <c r="E6" s="16" cm="1">
        <f t="array" ref="E6">TREND($G6:$L6,$G$1:$L$1,E$1)</f>
        <v>30431301967222.875</v>
      </c>
      <c r="F6" s="16" cm="1">
        <f t="array" ref="F6">TREND($G6:$L6,$G$1:$L$1,F$1)</f>
        <v>30966041641430.625</v>
      </c>
      <c r="G6" s="16">
        <f>'KEEI BAU - Industry'!W$54*'Others Split'!$G$8</f>
        <v>31500781315638.449</v>
      </c>
      <c r="H6" s="16">
        <f>'KEEI BAU - Industry'!X$54*'Others Split'!$G$8</f>
        <v>32035520989846.191</v>
      </c>
      <c r="I6" s="16">
        <f>'KEEI BAU - Industry'!Y$54*'Others Split'!$G$8</f>
        <v>32570260664053.926</v>
      </c>
      <c r="J6" s="16">
        <f>'KEEI BAU - Industry'!Z$54*'Others Split'!$G$8</f>
        <v>33105000338261.66</v>
      </c>
      <c r="K6" s="16">
        <f>'KEEI BAU - Industry'!AA$54*'Others Split'!$G$8</f>
        <v>33639740012469.398</v>
      </c>
      <c r="L6" s="16">
        <f>'KEEI BAU - Industry'!AB$54*'Others Split'!$G$8</f>
        <v>34174479686677.145</v>
      </c>
      <c r="M6" s="16">
        <f>'KEEI BAU - Industry'!AC$54*'Others Split'!$G$8</f>
        <v>34733649092193.852</v>
      </c>
      <c r="N6" s="16">
        <f>'KEEI BAU - Industry'!AD$54*'Others Split'!$G$8</f>
        <v>35292818497710.57</v>
      </c>
      <c r="O6" s="16">
        <f>'KEEI BAU - Industry'!AE$54*'Others Split'!$G$8</f>
        <v>35851987903227.289</v>
      </c>
      <c r="P6" s="16">
        <f>'KEEI BAU - Industry'!AF$54*'Others Split'!$G$8</f>
        <v>36411157308744.008</v>
      </c>
      <c r="Q6" s="16">
        <f>'KEEI BAU - Industry'!AG$54*'Others Split'!$G$8</f>
        <v>36970326714260.734</v>
      </c>
      <c r="R6" s="16">
        <f>'KEEI BAU - Industry'!AH$54*'Others Split'!$G$8</f>
        <v>37605499728294.281</v>
      </c>
      <c r="S6" s="16">
        <f>'KEEI BAU - Industry'!AI$54*'Others Split'!$G$8</f>
        <v>38240672742327.836</v>
      </c>
      <c r="T6" s="16">
        <f>'KEEI BAU - Industry'!AJ$54*'Others Split'!$G$8</f>
        <v>38875845756361.391</v>
      </c>
      <c r="U6" s="16">
        <f>'KEEI BAU - Industry'!AK$54*'Others Split'!$G$8</f>
        <v>39511018770394.945</v>
      </c>
      <c r="V6" s="16">
        <f>'KEEI BAU - Industry'!AL$54*'Others Split'!$G$8</f>
        <v>40146191784428.477</v>
      </c>
      <c r="W6" s="16">
        <f>'KEEI BAU - Industry'!AM$54*'Others Split'!$G$8</f>
        <v>40680026653772.883</v>
      </c>
      <c r="X6" s="16">
        <f>'KEEI BAU - Industry'!AN$54*'Others Split'!$G$8</f>
        <v>41282955712678.008</v>
      </c>
      <c r="Y6" s="16">
        <f>'KEEI BAU - Industry'!AO$54*'Others Split'!$G$8</f>
        <v>41885884771583.305</v>
      </c>
      <c r="Z6" s="16">
        <f>'KEEI BAU - Industry'!AP$54*'Others Split'!$G$8</f>
        <v>42488813830488.438</v>
      </c>
      <c r="AA6" s="16">
        <f>'KEEI BAU - Industry'!AQ$54*'Others Split'!$G$8</f>
        <v>43091742889393.734</v>
      </c>
      <c r="AB6" s="16">
        <f>'KEEI BAU - Industry'!AR$54*'Others Split'!$G$8</f>
        <v>43694671948298.859</v>
      </c>
      <c r="AC6" s="16">
        <f>'KEEI BAU - Industry'!AS$54*'Others Split'!$G$8</f>
        <v>44297601007204.156</v>
      </c>
      <c r="AD6" s="16">
        <f>'KEEI BAU - Industry'!AT$54*'Others Split'!$G$8</f>
        <v>44900530066109.289</v>
      </c>
      <c r="AE6" s="16">
        <f>'KEEI BAU - Industry'!AU$54*'Others Split'!$G$8</f>
        <v>45503459125014.414</v>
      </c>
      <c r="AF6" s="16">
        <f>'KEEI BAU - Industry'!AV$54*'Others Split'!$G$8</f>
        <v>46106388183919.711</v>
      </c>
    </row>
    <row r="7" spans="1:35">
      <c r="A7" t="s">
        <v>7</v>
      </c>
      <c r="B7" s="16" cm="1">
        <f t="array" ref="B7">TREND($G7:$L7,$G$1:$L$1,B$1)</f>
        <v>9259683080846.9375</v>
      </c>
      <c r="C7" s="16" cm="1">
        <f t="array" ref="C7">TREND($G7:$L7,$G$1:$L$1,C$1)</f>
        <v>9431449330086.75</v>
      </c>
      <c r="D7" s="16" cm="1">
        <f t="array" ref="D7">TREND($G7:$L7,$G$1:$L$1,D$1)</f>
        <v>9603215579326.5625</v>
      </c>
      <c r="E7" s="16" cm="1">
        <f t="array" ref="E7">TREND($G7:$L7,$G$1:$L$1,E$1)</f>
        <v>9774981828566.375</v>
      </c>
      <c r="F7" s="16" cm="1">
        <f t="array" ref="F7">TREND($G7:$L7,$G$1:$L$1,F$1)</f>
        <v>9946748077806.1875</v>
      </c>
      <c r="G7" s="16">
        <f>'KEEI BAU - Industry'!W$54*'Others Split'!$G$9</f>
        <v>10118514327045.945</v>
      </c>
      <c r="H7" s="16">
        <f>'KEEI BAU - Industry'!X$54*'Others Split'!$G$9</f>
        <v>10290280576285.762</v>
      </c>
      <c r="I7" s="16">
        <f>'KEEI BAU - Industry'!Y$54*'Others Split'!$G$9</f>
        <v>10462046825525.576</v>
      </c>
      <c r="J7" s="16">
        <f>'KEEI BAU - Industry'!Z$54*'Others Split'!$G$9</f>
        <v>10633813074765.393</v>
      </c>
      <c r="K7" s="16">
        <f>'KEEI BAU - Industry'!AA$54*'Others Split'!$G$9</f>
        <v>10805579324005.207</v>
      </c>
      <c r="L7" s="16">
        <f>'KEEI BAU - Industry'!AB$54*'Others Split'!$G$9</f>
        <v>10977345573245.025</v>
      </c>
      <c r="M7" s="16">
        <f>'KEEI BAU - Industry'!AC$54*'Others Split'!$G$9</f>
        <v>11156959011536.402</v>
      </c>
      <c r="N7" s="16">
        <f>'KEEI BAU - Industry'!AD$54*'Others Split'!$G$9</f>
        <v>11336572449827.781</v>
      </c>
      <c r="O7" s="16">
        <f>'KEEI BAU - Industry'!AE$54*'Others Split'!$G$9</f>
        <v>11516185888119.162</v>
      </c>
      <c r="P7" s="16">
        <f>'KEEI BAU - Industry'!AF$54*'Others Split'!$G$9</f>
        <v>11695799326410.541</v>
      </c>
      <c r="Q7" s="16">
        <f>'KEEI BAU - Industry'!AG$54*'Others Split'!$G$9</f>
        <v>11875412764701.924</v>
      </c>
      <c r="R7" s="16">
        <f>'KEEI BAU - Industry'!AH$54*'Others Split'!$G$9</f>
        <v>12079439680042.615</v>
      </c>
      <c r="S7" s="16">
        <f>'KEEI BAU - Industry'!AI$54*'Others Split'!$G$9</f>
        <v>12283466595383.309</v>
      </c>
      <c r="T7" s="16">
        <f>'KEEI BAU - Industry'!AJ$54*'Others Split'!$G$9</f>
        <v>12487493510724.002</v>
      </c>
      <c r="U7" s="16">
        <f>'KEEI BAU - Industry'!AK$54*'Others Split'!$G$9</f>
        <v>12691520426064.697</v>
      </c>
      <c r="V7" s="16">
        <f>'KEEI BAU - Industry'!AL$54*'Others Split'!$G$9</f>
        <v>12895547341405.383</v>
      </c>
      <c r="W7" s="16">
        <f>'KEEI BAU - Industry'!AM$54*'Others Split'!$G$9</f>
        <v>13067022954013.648</v>
      </c>
      <c r="X7" s="16">
        <f>'KEEI BAU - Industry'!AN$54*'Others Split'!$G$9</f>
        <v>13260692636666.73</v>
      </c>
      <c r="Y7" s="16">
        <f>'KEEI BAU - Industry'!AO$54*'Others Split'!$G$9</f>
        <v>13454362319319.869</v>
      </c>
      <c r="Z7" s="16">
        <f>'KEEI BAU - Industry'!AP$54*'Others Split'!$G$9</f>
        <v>13648032001972.951</v>
      </c>
      <c r="AA7" s="16">
        <f>'KEEI BAU - Industry'!AQ$54*'Others Split'!$G$9</f>
        <v>13841701684626.088</v>
      </c>
      <c r="AB7" s="16">
        <f>'KEEI BAU - Industry'!AR$54*'Others Split'!$G$9</f>
        <v>14035371367279.172</v>
      </c>
      <c r="AC7" s="16">
        <f>'KEEI BAU - Industry'!AS$54*'Others Split'!$G$9</f>
        <v>14229041049932.309</v>
      </c>
      <c r="AD7" s="16">
        <f>'KEEI BAU - Industry'!AT$54*'Others Split'!$G$9</f>
        <v>14422710732585.393</v>
      </c>
      <c r="AE7" s="16">
        <f>'KEEI BAU - Industry'!AU$54*'Others Split'!$G$9</f>
        <v>14616380415238.475</v>
      </c>
      <c r="AF7" s="16">
        <f>'KEEI BAU - Industry'!AV$54*'Others Split'!$G$9</f>
        <v>14810050097891.613</v>
      </c>
    </row>
    <row r="8" spans="1:35">
      <c r="A8" t="s">
        <v>8</v>
      </c>
      <c r="B8" s="16" cm="1">
        <f t="array" ref="B8">TREND($G8:$L8,$G$1:$L$1,B$1)</f>
        <v>958015707607.31641</v>
      </c>
      <c r="C8" s="16" cm="1">
        <f t="array" ref="C8">TREND($G8:$L8,$G$1:$L$1,C$1)</f>
        <v>975786808774.80078</v>
      </c>
      <c r="D8" s="16" cm="1">
        <f t="array" ref="D8">TREND($G8:$L8,$G$1:$L$1,D$1)</f>
        <v>993557909942.27734</v>
      </c>
      <c r="E8" s="16" cm="1">
        <f t="array" ref="E8">TREND($G8:$L8,$G$1:$L$1,E$1)</f>
        <v>1011329011109.7617</v>
      </c>
      <c r="F8" s="16" cm="1">
        <f t="array" ref="F8">TREND($G8:$L8,$G$1:$L$1,F$1)</f>
        <v>1029100112277.2383</v>
      </c>
      <c r="G8" s="16">
        <f>'KEEI BAU - Industry'!W$54*'Others Split'!$G$10</f>
        <v>1046871213444.7155</v>
      </c>
      <c r="H8" s="16">
        <f>'KEEI BAU - Industry'!X$54*'Others Split'!$G$10</f>
        <v>1064642314612.1959</v>
      </c>
      <c r="I8" s="16">
        <f>'KEEI BAU - Industry'!Y$54*'Others Split'!$G$10</f>
        <v>1082413415779.6763</v>
      </c>
      <c r="J8" s="16">
        <f>'KEEI BAU - Industry'!Z$54*'Others Split'!$G$10</f>
        <v>1100184516947.1565</v>
      </c>
      <c r="K8" s="16">
        <f>'KEEI BAU - Industry'!AA$54*'Others Split'!$G$10</f>
        <v>1117955618114.637</v>
      </c>
      <c r="L8" s="16">
        <f>'KEEI BAU - Industry'!AB$54*'Others Split'!$G$10</f>
        <v>1135726719282.1174</v>
      </c>
      <c r="M8" s="16">
        <f>'KEEI BAU - Industry'!AC$54*'Others Split'!$G$10</f>
        <v>1154309698167.9087</v>
      </c>
      <c r="N8" s="16">
        <f>'KEEI BAU - Industry'!AD$54*'Others Split'!$G$10</f>
        <v>1172892677053.7004</v>
      </c>
      <c r="O8" s="16">
        <f>'KEEI BAU - Industry'!AE$54*'Others Split'!$G$10</f>
        <v>1191475655939.4919</v>
      </c>
      <c r="P8" s="16">
        <f>'KEEI BAU - Industry'!AF$54*'Others Split'!$G$10</f>
        <v>1210058634825.2834</v>
      </c>
      <c r="Q8" s="16">
        <f>'KEEI BAU - Industry'!AG$54*'Others Split'!$G$10</f>
        <v>1228641613711.0754</v>
      </c>
      <c r="R8" s="16">
        <f>'KEEI BAU - Industry'!AH$54*'Others Split'!$G$10</f>
        <v>1249750434387.1685</v>
      </c>
      <c r="S8" s="16">
        <f>'KEEI BAU - Industry'!AI$54*'Others Split'!$G$10</f>
        <v>1270859255063.262</v>
      </c>
      <c r="T8" s="16">
        <f>'KEEI BAU - Industry'!AJ$54*'Others Split'!$G$10</f>
        <v>1291968075739.3552</v>
      </c>
      <c r="U8" s="16">
        <f>'KEEI BAU - Industry'!AK$54*'Others Split'!$G$10</f>
        <v>1313076896415.4485</v>
      </c>
      <c r="V8" s="16">
        <f>'KEEI BAU - Industry'!AL$54*'Others Split'!$G$10</f>
        <v>1334185717091.5413</v>
      </c>
      <c r="W8" s="16">
        <f>'KEEI BAU - Industry'!AM$54*'Others Split'!$G$10</f>
        <v>1351926748713.8977</v>
      </c>
      <c r="X8" s="16">
        <f>'KEEI BAU - Industry'!AN$54*'Others Split'!$G$10</f>
        <v>1371964000145.6182</v>
      </c>
      <c r="Y8" s="16">
        <f>'KEEI BAU - Industry'!AO$54*'Others Split'!$G$10</f>
        <v>1392001251577.3445</v>
      </c>
      <c r="Z8" s="16">
        <f>'KEEI BAU - Industry'!AP$54*'Others Split'!$G$10</f>
        <v>1412038503009.0649</v>
      </c>
      <c r="AA8" s="16">
        <f>'KEEI BAU - Industry'!AQ$54*'Others Split'!$G$10</f>
        <v>1432075754440.791</v>
      </c>
      <c r="AB8" s="16">
        <f>'KEEI BAU - Industry'!AR$54*'Others Split'!$G$10</f>
        <v>1452113005872.5117</v>
      </c>
      <c r="AC8" s="16">
        <f>'KEEI BAU - Industry'!AS$54*'Others Split'!$G$10</f>
        <v>1472150257304.2378</v>
      </c>
      <c r="AD8" s="16">
        <f>'KEEI BAU - Industry'!AT$54*'Others Split'!$G$10</f>
        <v>1492187508735.9583</v>
      </c>
      <c r="AE8" s="16">
        <f>'KEEI BAU - Industry'!AU$54*'Others Split'!$G$10</f>
        <v>1512224760167.6787</v>
      </c>
      <c r="AF8" s="16">
        <f>'KEEI BAU - Industry'!AV$54*'Others Split'!$G$10</f>
        <v>1532262011599.405</v>
      </c>
    </row>
    <row r="9" spans="1:35">
      <c r="A9" t="s">
        <v>9</v>
      </c>
      <c r="B9" s="16" cm="1">
        <f t="array" ref="B9">TREND($G9:$L9,$G$1:$L$1,B$1)</f>
        <v>10383932254755.688</v>
      </c>
      <c r="C9" s="16" cm="1">
        <f t="array" ref="C9">TREND($G9:$L9,$G$1:$L$1,C$1)</f>
        <v>10576553220310</v>
      </c>
      <c r="D9" s="16" cm="1">
        <f t="array" ref="D9">TREND($G9:$L9,$G$1:$L$1,D$1)</f>
        <v>10769174185864.313</v>
      </c>
      <c r="E9" s="16" cm="1">
        <f t="array" ref="E9">TREND($G9:$L9,$G$1:$L$1,E$1)</f>
        <v>10961795151418.625</v>
      </c>
      <c r="F9" s="16" cm="1">
        <f t="array" ref="F9">TREND($G9:$L9,$G$1:$L$1,F$1)</f>
        <v>11154416116972.938</v>
      </c>
      <c r="G9" s="16">
        <f>'KEEI BAU - Industry'!W$54*'Others Split'!$G$11</f>
        <v>11347037082527.271</v>
      </c>
      <c r="H9" s="16">
        <f>'KEEI BAU - Industry'!X$54*'Others Split'!$G$11</f>
        <v>11539658048081.594</v>
      </c>
      <c r="I9" s="16">
        <f>'KEEI BAU - Industry'!Y$54*'Others Split'!$G$11</f>
        <v>11732279013635.912</v>
      </c>
      <c r="J9" s="16">
        <f>'KEEI BAU - Industry'!Z$54*'Others Split'!$G$11</f>
        <v>11924899979190.23</v>
      </c>
      <c r="K9" s="16">
        <f>'KEEI BAU - Industry'!AA$54*'Others Split'!$G$11</f>
        <v>12117520944744.551</v>
      </c>
      <c r="L9" s="16">
        <f>'KEEI BAU - Industry'!AB$54*'Others Split'!$G$11</f>
        <v>12310141910298.873</v>
      </c>
      <c r="M9" s="16">
        <f>'KEEI BAU - Industry'!AC$54*'Others Split'!$G$11</f>
        <v>12511562818441.965</v>
      </c>
      <c r="N9" s="16">
        <f>'KEEI BAU - Industry'!AD$54*'Others Split'!$G$11</f>
        <v>12712983726585.059</v>
      </c>
      <c r="O9" s="16">
        <f>'KEEI BAU - Industry'!AE$54*'Others Split'!$G$11</f>
        <v>12914404634728.154</v>
      </c>
      <c r="P9" s="16">
        <f>'KEEI BAU - Industry'!AF$54*'Others Split'!$G$11</f>
        <v>13115825542871.25</v>
      </c>
      <c r="Q9" s="16">
        <f>'KEEI BAU - Industry'!AG$54*'Others Split'!$G$11</f>
        <v>13317246451014.346</v>
      </c>
      <c r="R9" s="16">
        <f>'KEEI BAU - Industry'!AH$54*'Others Split'!$G$11</f>
        <v>13546044958322.521</v>
      </c>
      <c r="S9" s="16">
        <f>'KEEI BAU - Industry'!AI$54*'Others Split'!$G$11</f>
        <v>13774843465630.697</v>
      </c>
      <c r="T9" s="16">
        <f>'KEEI BAU - Industry'!AJ$54*'Others Split'!$G$11</f>
        <v>14003641972938.873</v>
      </c>
      <c r="U9" s="16">
        <f>'KEEI BAU - Industry'!AK$54*'Others Split'!$G$11</f>
        <v>14232440480247.049</v>
      </c>
      <c r="V9" s="16">
        <f>'KEEI BAU - Industry'!AL$54*'Others Split'!$G$11</f>
        <v>14461238987555.217</v>
      </c>
      <c r="W9" s="16">
        <f>'KEEI BAU - Industry'!AM$54*'Others Split'!$G$11</f>
        <v>14653534029309.939</v>
      </c>
      <c r="X9" s="16">
        <f>'KEEI BAU - Industry'!AN$54*'Others Split'!$G$11</f>
        <v>14870717797578.357</v>
      </c>
      <c r="Y9" s="16">
        <f>'KEEI BAU - Industry'!AO$54*'Others Split'!$G$11</f>
        <v>15087901565846.838</v>
      </c>
      <c r="Z9" s="16">
        <f>'KEEI BAU - Industry'!AP$54*'Others Split'!$G$11</f>
        <v>15305085334115.256</v>
      </c>
      <c r="AA9" s="16">
        <f>'KEEI BAU - Industry'!AQ$54*'Others Split'!$G$11</f>
        <v>15522269102383.736</v>
      </c>
      <c r="AB9" s="16">
        <f>'KEEI BAU - Industry'!AR$54*'Others Split'!$G$11</f>
        <v>15739452870652.154</v>
      </c>
      <c r="AC9" s="16">
        <f>'KEEI BAU - Industry'!AS$54*'Others Split'!$G$11</f>
        <v>15956636638920.635</v>
      </c>
      <c r="AD9" s="16">
        <f>'KEEI BAU - Industry'!AT$54*'Others Split'!$G$11</f>
        <v>16173820407189.053</v>
      </c>
      <c r="AE9" s="16">
        <f>'KEEI BAU - Industry'!AU$54*'Others Split'!$G$11</f>
        <v>16391004175457.473</v>
      </c>
      <c r="AF9" s="16">
        <f>'KEEI BAU - Industry'!AV$54*'Others Split'!$G$11</f>
        <v>16608187943725.951</v>
      </c>
    </row>
    <row r="10" spans="1:35">
      <c r="A10" t="s">
        <v>10</v>
      </c>
      <c r="B10" s="16" cm="1">
        <f t="array" ref="B10">TREND($G10:$L10,$G$1:$L$1,B$1)</f>
        <v>0</v>
      </c>
      <c r="C10" s="16" cm="1">
        <f t="array" ref="C10">TREND($G10:$L10,$G$1:$L$1,C$1)</f>
        <v>0</v>
      </c>
      <c r="D10" s="16" cm="1">
        <f t="array" ref="D10">TREND($G10:$L10,$G$1:$L$1,D$1)</f>
        <v>0</v>
      </c>
      <c r="E10" s="16" cm="1">
        <f t="array" ref="E10">TREND($G10:$L10,$G$1:$L$1,E$1)</f>
        <v>0</v>
      </c>
      <c r="F10" s="16" cm="1">
        <f t="array" ref="F10">TREND($G10:$L10,$G$1:$L$1,F$1)</f>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c r="AC10" s="16">
        <v>0</v>
      </c>
      <c r="AD10" s="16">
        <v>0</v>
      </c>
      <c r="AE10" s="16">
        <v>0</v>
      </c>
      <c r="AF10" s="16">
        <v>0</v>
      </c>
    </row>
    <row r="11" spans="1:35">
      <c r="A11" t="s">
        <v>11</v>
      </c>
      <c r="B11" s="16" cm="1">
        <f t="array" ref="B11">TREND($G11:$L11,$G$1:$L$1,B$1)</f>
        <v>122403587387114</v>
      </c>
      <c r="C11" s="16" cm="1">
        <f t="array" ref="C11">TREND($G11:$L11,$G$1:$L$1,C$1)</f>
        <v>125512268185069</v>
      </c>
      <c r="D11" s="16" cm="1">
        <f t="array" ref="D11">TREND($G11:$L11,$G$1:$L$1,D$1)</f>
        <v>128620948983024</v>
      </c>
      <c r="E11" s="16" cm="1">
        <f t="array" ref="E11">TREND($G11:$L11,$G$1:$L$1,E$1)</f>
        <v>131729629780979</v>
      </c>
      <c r="F11" s="16" cm="1">
        <f t="array" ref="F11">TREND($G11:$L11,$G$1:$L$1,F$1)</f>
        <v>134838310578934</v>
      </c>
      <c r="G11" s="16">
        <f>'KEEI BAU - Industry'!W$12*'Petrochemicals Split'!$G$6</f>
        <v>137315482661344.67</v>
      </c>
      <c r="H11" s="16">
        <f>'KEEI BAU - Industry'!X$12*'Petrochemicals Split'!$G$6</f>
        <v>141266889382544.09</v>
      </c>
      <c r="I11" s="16">
        <f>'KEEI BAU - Industry'!Y$12*'Petrochemicals Split'!$G$6</f>
        <v>144740839338935.13</v>
      </c>
      <c r="J11" s="16">
        <f>'KEEI BAU - Industry'!Z$12*'Petrochemicals Split'!$G$6</f>
        <v>147699527038538.5</v>
      </c>
      <c r="K11" s="16">
        <f>'KEEI BAU - Industry'!AA$12*'Petrochemicals Split'!$G$6</f>
        <v>150111943681640.38</v>
      </c>
      <c r="L11" s="16">
        <f>'KEEI BAU - Industry'!AB$12*'Petrochemicals Split'!$G$6</f>
        <v>153177478127650.66</v>
      </c>
      <c r="M11" s="16">
        <f>'KEEI BAU - Industry'!AC$12*'Petrochemicals Split'!$G$6</f>
        <v>152069976460411.69</v>
      </c>
      <c r="N11" s="16">
        <f>'KEEI BAU - Industry'!AD$12*'Petrochemicals Split'!$G$6</f>
        <v>150959159564951.16</v>
      </c>
      <c r="O11" s="16">
        <f>'KEEI BAU - Industry'!AE$12*'Petrochemicals Split'!$G$6</f>
        <v>149844970758406.53</v>
      </c>
      <c r="P11" s="16">
        <f>'KEEI BAU - Industry'!AF$12*'Petrochemicals Split'!$G$6</f>
        <v>148727351706636.69</v>
      </c>
      <c r="Q11" s="16">
        <f>'KEEI BAU - Industry'!AG$12*'Petrochemicals Split'!$G$6</f>
        <v>147606242355806.63</v>
      </c>
      <c r="R11" s="16">
        <f>'KEEI BAU - Industry'!AH$12*'Petrochemicals Split'!$G$6</f>
        <v>147507335514807.06</v>
      </c>
      <c r="S11" s="16">
        <f>'KEEI BAU - Industry'!AI$12*'Petrochemicals Split'!$G$6</f>
        <v>147408428673807.53</v>
      </c>
      <c r="T11" s="16">
        <f>'KEEI BAU - Industry'!AJ$12*'Petrochemicals Split'!$G$6</f>
        <v>147309521832807.97</v>
      </c>
      <c r="U11" s="16">
        <f>'KEEI BAU - Industry'!AK$12*'Petrochemicals Split'!$G$6</f>
        <v>147210614991808.44</v>
      </c>
      <c r="V11" s="16">
        <f>'KEEI BAU - Industry'!AL$12*'Petrochemicals Split'!$G$6</f>
        <v>147111708150808.94</v>
      </c>
      <c r="W11" s="16">
        <f>'KEEI BAU - Industry'!AM$12*'Petrochemicals Split'!$G$6</f>
        <v>146963126179698.63</v>
      </c>
      <c r="X11" s="16">
        <f>'KEEI BAU - Industry'!AN$12*'Petrochemicals Split'!$G$6</f>
        <v>146814544208588.34</v>
      </c>
      <c r="Y11" s="16">
        <f>'KEEI BAU - Industry'!AO$12*'Petrochemicals Split'!$G$6</f>
        <v>146665962237478.03</v>
      </c>
      <c r="Z11" s="16">
        <f>'KEEI BAU - Industry'!AP$12*'Petrochemicals Split'!$G$6</f>
        <v>146517380266367.78</v>
      </c>
      <c r="AA11" s="16">
        <f>'KEEI BAU - Industry'!AQ$12*'Petrochemicals Split'!$G$6</f>
        <v>146368798295257.47</v>
      </c>
      <c r="AB11" s="16">
        <f>'KEEI BAU - Industry'!AR$12*'Petrochemicals Split'!$G$6</f>
        <v>146220216324147.22</v>
      </c>
      <c r="AC11" s="16">
        <f>'KEEI BAU - Industry'!AS$12*'Petrochemicals Split'!$G$6</f>
        <v>146071634353036.91</v>
      </c>
      <c r="AD11" s="16">
        <f>'KEEI BAU - Industry'!AT$12*'Petrochemicals Split'!$G$6</f>
        <v>145923052381926.59</v>
      </c>
      <c r="AE11" s="16">
        <f>'KEEI BAU - Industry'!AU$12*'Petrochemicals Split'!$G$6</f>
        <v>145774470410816.34</v>
      </c>
      <c r="AF11" s="16">
        <f>'KEEI BAU - Industry'!AV$12*'Petrochemicals Split'!$G$6</f>
        <v>145625888439706.09</v>
      </c>
    </row>
    <row r="12" spans="1:35">
      <c r="A12" t="s">
        <v>12</v>
      </c>
      <c r="B12" s="16" cm="1">
        <f t="array" ref="B12">TREND($G12:$L12,$G$1:$L$1,B$1)</f>
        <v>128920053584936</v>
      </c>
      <c r="C12" s="16" cm="1">
        <f t="array" ref="C12">TREND($G12:$L12,$G$1:$L$1,C$1)</f>
        <v>132194232909300</v>
      </c>
      <c r="D12" s="16" cm="1">
        <f t="array" ref="D12">TREND($G12:$L12,$G$1:$L$1,D$1)</f>
        <v>135468412233663</v>
      </c>
      <c r="E12" s="16" cm="1">
        <f t="array" ref="E12">TREND($G12:$L12,$G$1:$L$1,E$1)</f>
        <v>138742591558027</v>
      </c>
      <c r="F12" s="16" cm="1">
        <f t="array" ref="F12">TREND($G12:$L12,$G$1:$L$1,F$1)</f>
        <v>142016770882390</v>
      </c>
      <c r="G12" s="16">
        <f>'KEEI BAU - Industry'!W$12*'Petrochemicals Split'!$G$7</f>
        <v>144625821519063.88</v>
      </c>
      <c r="H12" s="16">
        <f>'KEEI BAU - Industry'!X$12*'Petrochemicals Split'!$G$7</f>
        <v>148787591423910.09</v>
      </c>
      <c r="I12" s="16">
        <f>'KEEI BAU - Industry'!Y$12*'Petrochemicals Split'!$G$7</f>
        <v>152446485939092.13</v>
      </c>
      <c r="J12" s="16">
        <f>'KEEI BAU - Industry'!Z$12*'Petrochemicals Split'!$G$7</f>
        <v>155562686901141</v>
      </c>
      <c r="K12" s="16">
        <f>'KEEI BAU - Industry'!AA$12*'Petrochemicals Split'!$G$7</f>
        <v>158103534678047.13</v>
      </c>
      <c r="L12" s="16">
        <f>'KEEI BAU - Industry'!AB$12*'Petrochemicals Split'!$G$7</f>
        <v>161332270644716.34</v>
      </c>
      <c r="M12" s="16">
        <f>'KEEI BAU - Industry'!AC$12*'Petrochemicals Split'!$G$7</f>
        <v>160165808310289</v>
      </c>
      <c r="N12" s="16">
        <f>'KEEI BAU - Industry'!AD$12*'Petrochemicals Split'!$G$7</f>
        <v>158995854253036.47</v>
      </c>
      <c r="O12" s="16">
        <f>'KEEI BAU - Industry'!AE$12*'Petrochemicals Split'!$G$7</f>
        <v>157822348772439.78</v>
      </c>
      <c r="P12" s="16">
        <f>'KEEI BAU - Industry'!AF$12*'Petrochemicals Split'!$G$7</f>
        <v>156645230428791.63</v>
      </c>
      <c r="Q12" s="16">
        <f>'KEEI BAU - Industry'!AG$12*'Petrochemicals Split'!$G$7</f>
        <v>155464435971138.31</v>
      </c>
      <c r="R12" s="16">
        <f>'KEEI BAU - Industry'!AH$12*'Petrochemicals Split'!$G$7</f>
        <v>155360263572977.69</v>
      </c>
      <c r="S12" s="16">
        <f>'KEEI BAU - Industry'!AI$12*'Petrochemicals Split'!$G$7</f>
        <v>155256091174817.09</v>
      </c>
      <c r="T12" s="16">
        <f>'KEEI BAU - Industry'!AJ$12*'Petrochemicals Split'!$G$7</f>
        <v>155151918776656.47</v>
      </c>
      <c r="U12" s="16">
        <f>'KEEI BAU - Industry'!AK$12*'Petrochemicals Split'!$G$7</f>
        <v>155047746378495.88</v>
      </c>
      <c r="V12" s="16">
        <f>'KEEI BAU - Industry'!AL$12*'Petrochemicals Split'!$G$7</f>
        <v>154943573980335.31</v>
      </c>
      <c r="W12" s="16">
        <f>'KEEI BAU - Industry'!AM$12*'Petrochemicals Split'!$G$7</f>
        <v>154787081870208.5</v>
      </c>
      <c r="X12" s="16">
        <f>'KEEI BAU - Industry'!AN$12*'Petrochemicals Split'!$G$7</f>
        <v>154630589760081.78</v>
      </c>
      <c r="Y12" s="16">
        <f>'KEEI BAU - Industry'!AO$12*'Petrochemicals Split'!$G$7</f>
        <v>154474097649955.03</v>
      </c>
      <c r="Z12" s="16">
        <f>'KEEI BAU - Industry'!AP$12*'Petrochemicals Split'!$G$7</f>
        <v>154317605539828.28</v>
      </c>
      <c r="AA12" s="16">
        <f>'KEEI BAU - Industry'!AQ$12*'Petrochemicals Split'!$G$7</f>
        <v>154161113429701.53</v>
      </c>
      <c r="AB12" s="16">
        <f>'KEEI BAU - Industry'!AR$12*'Petrochemicals Split'!$G$7</f>
        <v>154004621319574.78</v>
      </c>
      <c r="AC12" s="16">
        <f>'KEEI BAU - Industry'!AS$12*'Petrochemicals Split'!$G$7</f>
        <v>153848129209448.03</v>
      </c>
      <c r="AD12" s="16">
        <f>'KEEI BAU - Industry'!AT$12*'Petrochemicals Split'!$G$7</f>
        <v>153691637099321.28</v>
      </c>
      <c r="AE12" s="16">
        <f>'KEEI BAU - Industry'!AU$12*'Petrochemicals Split'!$G$7</f>
        <v>153535144989194.53</v>
      </c>
      <c r="AF12" s="16">
        <f>'KEEI BAU - Industry'!AV$12*'Petrochemicals Split'!$G$7</f>
        <v>153378652879067.84</v>
      </c>
    </row>
    <row r="13" spans="1:35">
      <c r="A13" t="s">
        <v>13</v>
      </c>
      <c r="B13" s="16" cm="1">
        <f t="array" ref="B13">TREND($G13:$L13,$G$1:$L$1,B$1)</f>
        <v>8313530810887.125</v>
      </c>
      <c r="C13" s="16" cm="1">
        <f t="array" ref="C13">TREND($G13:$L13,$G$1:$L$1,C$1)</f>
        <v>8467746024610.6875</v>
      </c>
      <c r="D13" s="16" cm="1">
        <f t="array" ref="D13">TREND($G13:$L13,$G$1:$L$1,D$1)</f>
        <v>8621961238334.3125</v>
      </c>
      <c r="E13" s="16" cm="1">
        <f t="array" ref="E13">TREND($G13:$L13,$G$1:$L$1,E$1)</f>
        <v>8776176452057.9375</v>
      </c>
      <c r="F13" s="16" cm="1">
        <f t="array" ref="F13">TREND($G13:$L13,$G$1:$L$1,F$1)</f>
        <v>8930391665781.5625</v>
      </c>
      <c r="G13" s="16">
        <f>'KEEI BAU - Industry'!W$54*'Others Split'!$G$12</f>
        <v>9084606879505.1621</v>
      </c>
      <c r="H13" s="16">
        <f>'KEEI BAU - Industry'!X$54*'Others Split'!$G$12</f>
        <v>9238822093228.7754</v>
      </c>
      <c r="I13" s="16">
        <f>'KEEI BAU - Industry'!Y$54*'Others Split'!$G$12</f>
        <v>9393037306952.3867</v>
      </c>
      <c r="J13" s="16">
        <f>'KEEI BAU - Industry'!Z$54*'Others Split'!$G$12</f>
        <v>9547252520675.998</v>
      </c>
      <c r="K13" s="16">
        <f>'KEEI BAU - Industry'!AA$54*'Others Split'!$G$12</f>
        <v>9701467734399.6113</v>
      </c>
      <c r="L13" s="16">
        <f>'KEEI BAU - Industry'!AB$54*'Others Split'!$G$12</f>
        <v>9855682948123.2266</v>
      </c>
      <c r="M13" s="16">
        <f>'KEEI BAU - Industry'!AC$54*'Others Split'!$G$12</f>
        <v>10016943526940.807</v>
      </c>
      <c r="N13" s="16">
        <f>'KEEI BAU - Industry'!AD$54*'Others Split'!$G$12</f>
        <v>10178204105758.391</v>
      </c>
      <c r="O13" s="16">
        <f>'KEEI BAU - Industry'!AE$54*'Others Split'!$G$12</f>
        <v>10339464684575.975</v>
      </c>
      <c r="P13" s="16">
        <f>'KEEI BAU - Industry'!AF$54*'Others Split'!$G$12</f>
        <v>10500725263393.559</v>
      </c>
      <c r="Q13" s="16">
        <f>'KEEI BAU - Industry'!AG$54*'Others Split'!$G$12</f>
        <v>10661985842211.145</v>
      </c>
      <c r="R13" s="16">
        <f>'KEEI BAU - Industry'!AH$54*'Others Split'!$G$12</f>
        <v>10845165334654.418</v>
      </c>
      <c r="S13" s="16">
        <f>'KEEI BAU - Industry'!AI$54*'Others Split'!$G$12</f>
        <v>11028344827097.693</v>
      </c>
      <c r="T13" s="16">
        <f>'KEEI BAU - Industry'!AJ$54*'Others Split'!$G$12</f>
        <v>11211524319540.969</v>
      </c>
      <c r="U13" s="16">
        <f>'KEEI BAU - Industry'!AK$54*'Others Split'!$G$12</f>
        <v>11394703811984.244</v>
      </c>
      <c r="V13" s="16">
        <f>'KEEI BAU - Industry'!AL$54*'Others Split'!$G$12</f>
        <v>11577883304427.514</v>
      </c>
      <c r="W13" s="16">
        <f>'KEEI BAU - Industry'!AM$54*'Others Split'!$G$12</f>
        <v>11731837578703.189</v>
      </c>
      <c r="X13" s="16">
        <f>'KEEI BAU - Industry'!AN$54*'Others Split'!$G$12</f>
        <v>11905718138093.121</v>
      </c>
      <c r="Y13" s="16">
        <f>'KEEI BAU - Industry'!AO$54*'Others Split'!$G$12</f>
        <v>12079598697483.1</v>
      </c>
      <c r="Z13" s="16">
        <f>'KEEI BAU - Industry'!AP$54*'Others Split'!$G$12</f>
        <v>12253479256873.031</v>
      </c>
      <c r="AA13" s="16">
        <f>'KEEI BAU - Industry'!AQ$54*'Others Split'!$G$12</f>
        <v>12427359816263.012</v>
      </c>
      <c r="AB13" s="16">
        <f>'KEEI BAU - Industry'!AR$54*'Others Split'!$G$12</f>
        <v>12601240375652.941</v>
      </c>
      <c r="AC13" s="16">
        <f>'KEEI BAU - Industry'!AS$54*'Others Split'!$G$12</f>
        <v>12775120935042.922</v>
      </c>
      <c r="AD13" s="16">
        <f>'KEEI BAU - Industry'!AT$54*'Others Split'!$G$12</f>
        <v>12949001494432.854</v>
      </c>
      <c r="AE13" s="16">
        <f>'KEEI BAU - Industry'!AU$54*'Others Split'!$G$12</f>
        <v>13122882053822.783</v>
      </c>
      <c r="AF13" s="16">
        <f>'KEEI BAU - Industry'!AV$54*'Others Split'!$G$12</f>
        <v>13296762613212.764</v>
      </c>
    </row>
    <row r="14" spans="1:35">
      <c r="A14" t="s">
        <v>14</v>
      </c>
      <c r="B14" s="16" cm="1">
        <f t="array" ref="B14">TREND($G14:$L14,$G$1:$L$1,B$1)</f>
        <v>12914287684465.438</v>
      </c>
      <c r="C14" s="16" cm="1">
        <f t="array" ref="C14">TREND($G14:$L14,$G$1:$L$1,C$1)</f>
        <v>13153846504977.688</v>
      </c>
      <c r="D14" s="16" cm="1">
        <f t="array" ref="D14">TREND($G14:$L14,$G$1:$L$1,D$1)</f>
        <v>13393405325489.875</v>
      </c>
      <c r="E14" s="16" cm="1">
        <f t="array" ref="E14">TREND($G14:$L14,$G$1:$L$1,E$1)</f>
        <v>13632964146002.063</v>
      </c>
      <c r="F14" s="16" cm="1">
        <f t="array" ref="F14">TREND($G14:$L14,$G$1:$L$1,F$1)</f>
        <v>13872522966514.313</v>
      </c>
      <c r="G14" s="16">
        <f>'KEEI BAU - Industry'!W$54*'Others Split'!$G$13</f>
        <v>14112081787026.559</v>
      </c>
      <c r="H14" s="16">
        <f>'KEEI BAU - Industry'!X$54*'Others Split'!$G$13</f>
        <v>14351640607538.773</v>
      </c>
      <c r="I14" s="16">
        <f>'KEEI BAU - Industry'!Y$54*'Others Split'!$G$13</f>
        <v>14591199428050.986</v>
      </c>
      <c r="J14" s="16">
        <f>'KEEI BAU - Industry'!Z$54*'Others Split'!$G$13</f>
        <v>14830758248563.199</v>
      </c>
      <c r="K14" s="16">
        <f>'KEEI BAU - Industry'!AA$54*'Others Split'!$G$13</f>
        <v>15070317069075.412</v>
      </c>
      <c r="L14" s="16">
        <f>'KEEI BAU - Industry'!AB$54*'Others Split'!$G$13</f>
        <v>15309875889587.631</v>
      </c>
      <c r="M14" s="16">
        <f>'KEEI BAU - Industry'!AC$54*'Others Split'!$G$13</f>
        <v>15560379021696.844</v>
      </c>
      <c r="N14" s="16">
        <f>'KEEI BAU - Industry'!AD$54*'Others Split'!$G$13</f>
        <v>15810882153806.061</v>
      </c>
      <c r="O14" s="16">
        <f>'KEEI BAU - Industry'!AE$54*'Others Split'!$G$13</f>
        <v>16061385285915.279</v>
      </c>
      <c r="P14" s="16">
        <f>'KEEI BAU - Industry'!AF$54*'Others Split'!$G$13</f>
        <v>16311888418024.496</v>
      </c>
      <c r="Q14" s="16">
        <f>'KEEI BAU - Industry'!AG$54*'Others Split'!$G$13</f>
        <v>16562391550133.717</v>
      </c>
      <c r="R14" s="16">
        <f>'KEEI BAU - Industry'!AH$54*'Others Split'!$G$13</f>
        <v>16846943651655.836</v>
      </c>
      <c r="S14" s="16">
        <f>'KEEI BAU - Industry'!AI$54*'Others Split'!$G$13</f>
        <v>17131495753177.957</v>
      </c>
      <c r="T14" s="16">
        <f>'KEEI BAU - Industry'!AJ$54*'Others Split'!$G$13</f>
        <v>17416047854700.078</v>
      </c>
      <c r="U14" s="16">
        <f>'KEEI BAU - Industry'!AK$54*'Others Split'!$G$13</f>
        <v>17700599956222.199</v>
      </c>
      <c r="V14" s="16">
        <f>'KEEI BAU - Industry'!AL$54*'Others Split'!$G$13</f>
        <v>17985152057744.309</v>
      </c>
      <c r="W14" s="16">
        <f>'KEEI BAU - Industry'!AM$54*'Others Split'!$G$13</f>
        <v>18224305533382.543</v>
      </c>
      <c r="X14" s="16">
        <f>'KEEI BAU - Industry'!AN$54*'Others Split'!$G$13</f>
        <v>18494412617577.945</v>
      </c>
      <c r="Y14" s="16">
        <f>'KEEI BAU - Industry'!AO$54*'Others Split'!$G$13</f>
        <v>18764519701773.426</v>
      </c>
      <c r="Z14" s="16">
        <f>'KEEI BAU - Industry'!AP$54*'Others Split'!$G$13</f>
        <v>19034626785968.828</v>
      </c>
      <c r="AA14" s="16">
        <f>'KEEI BAU - Industry'!AQ$54*'Others Split'!$G$13</f>
        <v>19304733870164.305</v>
      </c>
      <c r="AB14" s="16">
        <f>'KEEI BAU - Industry'!AR$54*'Others Split'!$G$13</f>
        <v>19574840954359.707</v>
      </c>
      <c r="AC14" s="16">
        <f>'KEEI BAU - Industry'!AS$54*'Others Split'!$G$13</f>
        <v>19844948038555.188</v>
      </c>
      <c r="AD14" s="16">
        <f>'KEEI BAU - Industry'!AT$54*'Others Split'!$G$13</f>
        <v>20115055122750.59</v>
      </c>
      <c r="AE14" s="16">
        <f>'KEEI BAU - Industry'!AU$54*'Others Split'!$G$13</f>
        <v>20385162206945.992</v>
      </c>
      <c r="AF14" s="16">
        <f>'KEEI BAU - Industry'!AV$54*'Others Split'!$G$13</f>
        <v>20655269291141.473</v>
      </c>
    </row>
    <row r="15" spans="1:35">
      <c r="A15" t="s">
        <v>15</v>
      </c>
      <c r="B15" s="16" cm="1">
        <f t="array" ref="B15">TREND($G15:$L15,$G$1:$L$1,B$1)</f>
        <v>79448754140254.859</v>
      </c>
      <c r="C15" s="16" cm="1">
        <f t="array" ref="C15">TREND($G15:$L15,$G$1:$L$1,C$1)</f>
        <v>79455161940288.813</v>
      </c>
      <c r="D15" s="16" cm="1">
        <f t="array" ref="D15">TREND($G15:$L15,$G$1:$L$1,D$1)</f>
        <v>79461569740322.75</v>
      </c>
      <c r="E15" s="16" cm="1">
        <f t="array" ref="E15">TREND($G15:$L15,$G$1:$L$1,E$1)</f>
        <v>79467977540356.688</v>
      </c>
      <c r="F15" s="16" cm="1">
        <f t="array" ref="F15">TREND($G15:$L15,$G$1:$L$1,F$1)</f>
        <v>79474385340390.641</v>
      </c>
      <c r="G15" s="16">
        <f>'KEEI BAU - Industry'!W26</f>
        <v>81393605980440.109</v>
      </c>
      <c r="H15" s="16">
        <f>'KEEI BAU - Industry'!X26</f>
        <v>81393605980440.109</v>
      </c>
      <c r="I15" s="16">
        <f>'KEEI BAU - Industry'!Y26</f>
        <v>75863604450642.859</v>
      </c>
      <c r="J15" s="16">
        <f>'KEEI BAU - Industry'!Z26</f>
        <v>77339339138317.422</v>
      </c>
      <c r="K15" s="16">
        <f>'KEEI BAU - Industry'!AA26</f>
        <v>77528107654523.141</v>
      </c>
      <c r="L15" s="16">
        <f>'KEEI BAU - Industry'!AB26</f>
        <v>83462612638692.984</v>
      </c>
      <c r="M15" s="16">
        <f>'KEEI BAU - Industry'!AC26</f>
        <v>83860166801007.781</v>
      </c>
      <c r="N15" s="16">
        <f>'KEEI BAU - Industry'!AD26</f>
        <v>86522429983329.344</v>
      </c>
      <c r="O15" s="16">
        <f>'KEEI BAU - Industry'!AE26</f>
        <v>95098584309328.969</v>
      </c>
      <c r="P15" s="16">
        <f>'KEEI BAU - Industry'!AF26</f>
        <v>89978212522479.672</v>
      </c>
      <c r="Q15" s="16">
        <f>'KEEI BAU - Industry'!AG26</f>
        <v>98554366848479.328</v>
      </c>
      <c r="R15" s="16">
        <f>'KEEI BAU - Industry'!AH26</f>
        <v>98554366848479.328</v>
      </c>
      <c r="S15" s="16">
        <f>'KEEI BAU - Industry'!AI26</f>
        <v>98554366848479.328</v>
      </c>
      <c r="T15" s="16">
        <f>'KEEI BAU - Industry'!AJ26</f>
        <v>99042442325182.328</v>
      </c>
      <c r="U15" s="16">
        <f>'KEEI BAU - Industry'!AK26</f>
        <v>95698746214274.594</v>
      </c>
      <c r="V15" s="16">
        <f>'KEEI BAU - Industry'!AL26</f>
        <v>109992336757607.33</v>
      </c>
      <c r="W15" s="16">
        <f>'KEEI BAU - Industry'!AM26</f>
        <v>121717051315546.38</v>
      </c>
      <c r="X15" s="16">
        <f>'KEEI BAU - Industry'!AN26</f>
        <v>120227078102291.5</v>
      </c>
      <c r="Y15" s="16">
        <f>'KEEI BAU - Industry'!AO26</f>
        <v>123486405715096.86</v>
      </c>
      <c r="Z15" s="16">
        <f>'KEEI BAU - Industry'!AP26</f>
        <v>123486405715096.86</v>
      </c>
      <c r="AA15" s="16">
        <f>'KEEI BAU - Industry'!AQ26</f>
        <v>129203841932429.95</v>
      </c>
      <c r="AB15" s="16">
        <f>'KEEI BAU - Industry'!AR26</f>
        <v>129203841932429.95</v>
      </c>
      <c r="AC15" s="16">
        <f>'KEEI BAU - Industry'!AS26</f>
        <v>137779996258429.59</v>
      </c>
      <c r="AD15" s="16">
        <f>'KEEI BAU - Industry'!AT26</f>
        <v>137779996258429.59</v>
      </c>
      <c r="AE15" s="16">
        <f>'KEEI BAU - Industry'!AU26</f>
        <v>137779996258429.59</v>
      </c>
      <c r="AF15" s="16">
        <f>'KEEI BAU - Industry'!AV26</f>
        <v>137779996258429.59</v>
      </c>
    </row>
    <row r="16" spans="1:35">
      <c r="A16" t="s">
        <v>16</v>
      </c>
      <c r="B16" s="16" cm="1">
        <f t="array" ref="B16">TREND($G16:$L16,$G$1:$L$1,B$1)</f>
        <v>9754959816499.9063</v>
      </c>
      <c r="C16" s="16" cm="1">
        <f t="array" ref="C16">TREND($G16:$L16,$G$1:$L$1,C$1)</f>
        <v>9858839588256.3125</v>
      </c>
      <c r="D16" s="16" cm="1">
        <f t="array" ref="D16">TREND($G16:$L16,$G$1:$L$1,D$1)</f>
        <v>9962719360012.7188</v>
      </c>
      <c r="E16" s="16" cm="1">
        <f t="array" ref="E16">TREND($G16:$L16,$G$1:$L$1,E$1)</f>
        <v>10066599131769.125</v>
      </c>
      <c r="F16" s="16" cm="1">
        <f t="array" ref="F16">TREND($G16:$L16,$G$1:$L$1,F$1)</f>
        <v>10170478903525.531</v>
      </c>
      <c r="G16" s="16">
        <f>'KEEI BAU - Industry'!W$19*'Non-ferrous Metals Split'!$G$6</f>
        <v>10274358675281.916</v>
      </c>
      <c r="H16" s="16">
        <f>'KEEI BAU - Industry'!X$19*'Non-ferrous Metals Split'!$G$6</f>
        <v>10378238447038.32</v>
      </c>
      <c r="I16" s="16">
        <f>'KEEI BAU - Industry'!Y$19*'Non-ferrous Metals Split'!$G$6</f>
        <v>10482118218794.725</v>
      </c>
      <c r="J16" s="16">
        <f>'KEEI BAU - Industry'!Z$19*'Non-ferrous Metals Split'!$G$6</f>
        <v>10585997990551.131</v>
      </c>
      <c r="K16" s="16">
        <f>'KEEI BAU - Industry'!AA$19*'Non-ferrous Metals Split'!$G$6</f>
        <v>10689877762307.535</v>
      </c>
      <c r="L16" s="16">
        <f>'KEEI BAU - Industry'!AB$19*'Non-ferrous Metals Split'!$G$6</f>
        <v>10793757534063.939</v>
      </c>
      <c r="M16" s="16">
        <f>'KEEI BAU - Industry'!AC$19*'Non-ferrous Metals Split'!$G$6</f>
        <v>10852189905676.918</v>
      </c>
      <c r="N16" s="16">
        <f>'KEEI BAU - Industry'!AD$19*'Non-ferrous Metals Split'!$G$6</f>
        <v>10910622277289.895</v>
      </c>
      <c r="O16" s="16">
        <f>'KEEI BAU - Industry'!AE$19*'Non-ferrous Metals Split'!$G$6</f>
        <v>10969054648902.873</v>
      </c>
      <c r="P16" s="16">
        <f>'KEEI BAU - Industry'!AF$19*'Non-ferrous Metals Split'!$G$6</f>
        <v>11027487020515.852</v>
      </c>
      <c r="Q16" s="16">
        <f>'KEEI BAU - Industry'!AG$19*'Non-ferrous Metals Split'!$G$6</f>
        <v>11085919392128.83</v>
      </c>
      <c r="R16" s="16">
        <f>'KEEI BAU - Industry'!AH$19*'Non-ferrous Metals Split'!$G$6</f>
        <v>11111889335067.93</v>
      </c>
      <c r="S16" s="16">
        <f>'KEEI BAU - Industry'!AI$19*'Non-ferrous Metals Split'!$G$6</f>
        <v>11137859278007.031</v>
      </c>
      <c r="T16" s="16">
        <f>'KEEI BAU - Industry'!AJ$19*'Non-ferrous Metals Split'!$G$6</f>
        <v>11163829220946.133</v>
      </c>
      <c r="U16" s="16">
        <f>'KEEI BAU - Industry'!AK$19*'Non-ferrous Metals Split'!$G$6</f>
        <v>11189799163885.234</v>
      </c>
      <c r="V16" s="16">
        <f>'KEEI BAU - Industry'!AL$19*'Non-ferrous Metals Split'!$G$6</f>
        <v>11215769106824.334</v>
      </c>
      <c r="W16" s="16">
        <f>'KEEI BAU - Industry'!AM$19*'Non-ferrous Metals Split'!$G$6</f>
        <v>11285022287995.275</v>
      </c>
      <c r="X16" s="16">
        <f>'KEEI BAU - Industry'!AN$19*'Non-ferrous Metals Split'!$G$6</f>
        <v>11324764170371.785</v>
      </c>
      <c r="Y16" s="16">
        <f>'KEEI BAU - Industry'!AO$19*'Non-ferrous Metals Split'!$G$6</f>
        <v>11364506052748.279</v>
      </c>
      <c r="Z16" s="16">
        <f>'KEEI BAU - Industry'!AP$19*'Non-ferrous Metals Split'!$G$6</f>
        <v>11404247935124.789</v>
      </c>
      <c r="AA16" s="16">
        <f>'KEEI BAU - Industry'!AQ$19*'Non-ferrous Metals Split'!$G$6</f>
        <v>11443989817501.285</v>
      </c>
      <c r="AB16" s="16">
        <f>'KEEI BAU - Industry'!AR$19*'Non-ferrous Metals Split'!$G$6</f>
        <v>11483731699877.793</v>
      </c>
      <c r="AC16" s="16">
        <f>'KEEI BAU - Industry'!AS$19*'Non-ferrous Metals Split'!$G$6</f>
        <v>11523473582254.289</v>
      </c>
      <c r="AD16" s="16">
        <f>'KEEI BAU - Industry'!AT$19*'Non-ferrous Metals Split'!$G$6</f>
        <v>11563215464630.799</v>
      </c>
      <c r="AE16" s="16">
        <f>'KEEI BAU - Industry'!AU$19*'Non-ferrous Metals Split'!$G$6</f>
        <v>11602957347007.307</v>
      </c>
      <c r="AF16" s="16">
        <f>'KEEI BAU - Industry'!AV$19*'Non-ferrous Metals Split'!$G$6</f>
        <v>11642699229383.803</v>
      </c>
    </row>
    <row r="17" spans="1:33">
      <c r="A17" t="s">
        <v>17</v>
      </c>
      <c r="B17" s="16" cm="1">
        <f t="array" ref="B17">TREND($G17:$L17,$G$1:$L$1,B$1)</f>
        <v>14078697837810.063</v>
      </c>
      <c r="C17" s="16" cm="1">
        <f t="array" ref="C17">TREND($G17:$L17,$G$1:$L$1,C$1)</f>
        <v>14228620743237.688</v>
      </c>
      <c r="D17" s="16" cm="1">
        <f t="array" ref="D17">TREND($G17:$L17,$G$1:$L$1,D$1)</f>
        <v>14378543648665.25</v>
      </c>
      <c r="E17" s="16" cm="1">
        <f t="array" ref="E17">TREND($G17:$L17,$G$1:$L$1,E$1)</f>
        <v>14528466554092.875</v>
      </c>
      <c r="F17" s="16" cm="1">
        <f t="array" ref="F17">TREND($G17:$L17,$G$1:$L$1,F$1)</f>
        <v>14678389459520.438</v>
      </c>
      <c r="G17" s="16">
        <f>'KEEI BAU - Industry'!W$19*'Non-ferrous Metals Split'!$G$7</f>
        <v>14828312364948.084</v>
      </c>
      <c r="H17" s="16">
        <f>'KEEI BAU - Industry'!X$19*'Non-ferrous Metals Split'!$G$7</f>
        <v>14978235270375.68</v>
      </c>
      <c r="I17" s="16">
        <f>'KEEI BAU - Industry'!Y$19*'Non-ferrous Metals Split'!$G$7</f>
        <v>15128158175803.275</v>
      </c>
      <c r="J17" s="16">
        <f>'KEEI BAU - Industry'!Z$19*'Non-ferrous Metals Split'!$G$7</f>
        <v>15278081081230.869</v>
      </c>
      <c r="K17" s="16">
        <f>'KEEI BAU - Industry'!AA$19*'Non-ferrous Metals Split'!$G$7</f>
        <v>15428003986658.465</v>
      </c>
      <c r="L17" s="16">
        <f>'KEEI BAU - Industry'!AB$19*'Non-ferrous Metals Split'!$G$7</f>
        <v>15577926892086.061</v>
      </c>
      <c r="M17" s="16">
        <f>'KEEI BAU - Industry'!AC$19*'Non-ferrous Metals Split'!$G$7</f>
        <v>15662258526389.082</v>
      </c>
      <c r="N17" s="16">
        <f>'KEEI BAU - Industry'!AD$19*'Non-ferrous Metals Split'!$G$7</f>
        <v>15746590160692.105</v>
      </c>
      <c r="O17" s="16">
        <f>'KEEI BAU - Industry'!AE$19*'Non-ferrous Metals Split'!$G$7</f>
        <v>15830921794995.127</v>
      </c>
      <c r="P17" s="16">
        <f>'KEEI BAU - Industry'!AF$19*'Non-ferrous Metals Split'!$G$7</f>
        <v>15915253429298.148</v>
      </c>
      <c r="Q17" s="16">
        <f>'KEEI BAU - Industry'!AG$19*'Non-ferrous Metals Split'!$G$7</f>
        <v>15999585063601.174</v>
      </c>
      <c r="R17" s="16">
        <f>'KEEI BAU - Industry'!AH$19*'Non-ferrous Metals Split'!$G$7</f>
        <v>16037065789958.07</v>
      </c>
      <c r="S17" s="16">
        <f>'KEEI BAU - Industry'!AI$19*'Non-ferrous Metals Split'!$G$7</f>
        <v>16074546516314.969</v>
      </c>
      <c r="T17" s="16">
        <f>'KEEI BAU - Industry'!AJ$19*'Non-ferrous Metals Split'!$G$7</f>
        <v>16112027242671.867</v>
      </c>
      <c r="U17" s="16">
        <f>'KEEI BAU - Industry'!AK$19*'Non-ferrous Metals Split'!$G$7</f>
        <v>16149507969028.766</v>
      </c>
      <c r="V17" s="16">
        <f>'KEEI BAU - Industry'!AL$19*'Non-ferrous Metals Split'!$G$7</f>
        <v>16186988695385.662</v>
      </c>
      <c r="W17" s="16">
        <f>'KEEI BAU - Industry'!AM$19*'Non-ferrous Metals Split'!$G$7</f>
        <v>16286937299004.068</v>
      </c>
      <c r="X17" s="16">
        <f>'KEEI BAU - Industry'!AN$19*'Non-ferrous Metals Split'!$G$7</f>
        <v>16344294168125.996</v>
      </c>
      <c r="Y17" s="16">
        <f>'KEEI BAU - Industry'!AO$19*'Non-ferrous Metals Split'!$G$7</f>
        <v>16401651037247.908</v>
      </c>
      <c r="Z17" s="16">
        <f>'KEEI BAU - Industry'!AP$19*'Non-ferrous Metals Split'!$G$7</f>
        <v>16459007906369.836</v>
      </c>
      <c r="AA17" s="16">
        <f>'KEEI BAU - Industry'!AQ$19*'Non-ferrous Metals Split'!$G$7</f>
        <v>16516364775491.746</v>
      </c>
      <c r="AB17" s="16">
        <f>'KEEI BAU - Industry'!AR$19*'Non-ferrous Metals Split'!$G$7</f>
        <v>16573721644613.676</v>
      </c>
      <c r="AC17" s="16">
        <f>'KEEI BAU - Industry'!AS$19*'Non-ferrous Metals Split'!$G$7</f>
        <v>16631078513735.586</v>
      </c>
      <c r="AD17" s="16">
        <f>'KEEI BAU - Industry'!AT$19*'Non-ferrous Metals Split'!$G$7</f>
        <v>16688435382857.514</v>
      </c>
      <c r="AE17" s="16">
        <f>'KEEI BAU - Industry'!AU$19*'Non-ferrous Metals Split'!$G$7</f>
        <v>16745792251979.443</v>
      </c>
      <c r="AF17" s="16">
        <f>'KEEI BAU - Industry'!AV$19*'Non-ferrous Metals Split'!$G$7</f>
        <v>16803149121101.354</v>
      </c>
    </row>
    <row r="18" spans="1:33">
      <c r="A18" t="s">
        <v>18</v>
      </c>
      <c r="B18" s="16" cm="1">
        <f t="array" ref="B18">TREND($G18:$L18,$G$1:$L$1,B$1)</f>
        <v>38521183850486.5</v>
      </c>
      <c r="C18" s="16" cm="1">
        <f t="array" ref="C18">TREND($G18:$L18,$G$1:$L$1,C$1)</f>
        <v>39405276594596</v>
      </c>
      <c r="D18" s="16" cm="1">
        <f t="array" ref="D18">TREND($G18:$L18,$G$1:$L$1,D$1)</f>
        <v>40289369338705.5</v>
      </c>
      <c r="E18" s="16" cm="1">
        <f t="array" ref="E18">TREND($G18:$L18,$G$1:$L$1,E$1)</f>
        <v>41173462082815</v>
      </c>
      <c r="F18" s="16" cm="1">
        <f t="array" ref="F18">TREND($G18:$L18,$G$1:$L$1,F$1)</f>
        <v>42057554826924.5</v>
      </c>
      <c r="G18" s="16">
        <f>'KEEI BAU - Industry'!W$33*'Machinery Split'!$G6</f>
        <v>42941647571034.188</v>
      </c>
      <c r="H18" s="16">
        <f>'KEEI BAU - Industry'!X$33*'Machinery Split'!$G6</f>
        <v>43825740315143.719</v>
      </c>
      <c r="I18" s="16">
        <f>'KEEI BAU - Industry'!Y$33*'Machinery Split'!$G6</f>
        <v>44709833059253.25</v>
      </c>
      <c r="J18" s="16">
        <f>'KEEI BAU - Industry'!Z$33*'Machinery Split'!$G6</f>
        <v>45593925803362.773</v>
      </c>
      <c r="K18" s="16">
        <f>'KEEI BAU - Industry'!AA$33*'Machinery Split'!$G6</f>
        <v>46478018547472.305</v>
      </c>
      <c r="L18" s="16">
        <f>'KEEI BAU - Industry'!AB$33*'Machinery Split'!$G6</f>
        <v>47362111291581.828</v>
      </c>
      <c r="M18" s="16">
        <f>'KEEI BAU - Industry'!AC$33*'Machinery Split'!$G6</f>
        <v>48172869153691.484</v>
      </c>
      <c r="N18" s="16">
        <f>'KEEI BAU - Industry'!AD$33*'Machinery Split'!$G6</f>
        <v>48983627015801.148</v>
      </c>
      <c r="O18" s="16">
        <f>'KEEI BAU - Industry'!AE$33*'Machinery Split'!$G6</f>
        <v>49794384877910.805</v>
      </c>
      <c r="P18" s="16">
        <f>'KEEI BAU - Industry'!AF$33*'Machinery Split'!$G6</f>
        <v>50605142740020.461</v>
      </c>
      <c r="Q18" s="16">
        <f>'KEEI BAU - Industry'!AG$33*'Machinery Split'!$G6</f>
        <v>51415900602130.125</v>
      </c>
      <c r="R18" s="16">
        <f>'KEEI BAU - Industry'!AH$33*'Machinery Split'!$G6</f>
        <v>52267400065350.82</v>
      </c>
      <c r="S18" s="16">
        <f>'KEEI BAU - Industry'!AI$33*'Machinery Split'!$G6</f>
        <v>53118899528571.516</v>
      </c>
      <c r="T18" s="16">
        <f>'KEEI BAU - Industry'!AJ$33*'Machinery Split'!$G6</f>
        <v>53970398991792.211</v>
      </c>
      <c r="U18" s="16">
        <f>'KEEI BAU - Industry'!AK$33*'Machinery Split'!$G6</f>
        <v>54821898455012.914</v>
      </c>
      <c r="V18" s="16">
        <f>'KEEI BAU - Industry'!AL$33*'Machinery Split'!$G6</f>
        <v>55673397918233.609</v>
      </c>
      <c r="W18" s="16">
        <f>'KEEI BAU - Industry'!AM$33*'Machinery Split'!$G6</f>
        <v>56470575246639.5</v>
      </c>
      <c r="X18" s="16">
        <f>'KEEI BAU - Industry'!AN$33*'Machinery Split'!$G6</f>
        <v>57304790394237.297</v>
      </c>
      <c r="Y18" s="16">
        <f>'KEEI BAU - Industry'!AO$33*'Machinery Split'!$G6</f>
        <v>58139005541835.086</v>
      </c>
      <c r="Z18" s="16">
        <f>'KEEI BAU - Industry'!AP$33*'Machinery Split'!$G6</f>
        <v>58973220689432.883</v>
      </c>
      <c r="AA18" s="16">
        <f>'KEEI BAU - Industry'!AQ$33*'Machinery Split'!$G6</f>
        <v>59807435837030.93</v>
      </c>
      <c r="AB18" s="16">
        <f>'KEEI BAU - Industry'!AR$33*'Machinery Split'!$G6</f>
        <v>60641650984628.727</v>
      </c>
      <c r="AC18" s="16">
        <f>'KEEI BAU - Industry'!AS$33*'Machinery Split'!$G6</f>
        <v>61475866132226.516</v>
      </c>
      <c r="AD18" s="16">
        <f>'KEEI BAU - Industry'!AT$33*'Machinery Split'!$G6</f>
        <v>62310081279824.313</v>
      </c>
      <c r="AE18" s="16">
        <f>'KEEI BAU - Industry'!AU$33*'Machinery Split'!$G6</f>
        <v>63144296427422.102</v>
      </c>
      <c r="AF18" s="16">
        <f>'KEEI BAU - Industry'!AV$33*'Machinery Split'!$G6</f>
        <v>63978511575019.898</v>
      </c>
    </row>
    <row r="19" spans="1:33">
      <c r="A19" t="s">
        <v>19</v>
      </c>
      <c r="B19" s="16" cm="1">
        <f t="array" ref="B19">TREND($G19:$L19,$G$1:$L$1,B$1)</f>
        <v>5667825939088.0313</v>
      </c>
      <c r="C19" s="16" cm="1">
        <f t="array" ref="C19">TREND($G19:$L19,$G$1:$L$1,C$1)</f>
        <v>5797907190149.0625</v>
      </c>
      <c r="D19" s="16" cm="1">
        <f t="array" ref="D19">TREND($G19:$L19,$G$1:$L$1,D$1)</f>
        <v>5927988441210.0938</v>
      </c>
      <c r="E19" s="16" cm="1">
        <f t="array" ref="E19">TREND($G19:$L19,$G$1:$L$1,E$1)</f>
        <v>6058069692271.125</v>
      </c>
      <c r="F19" s="16" cm="1">
        <f t="array" ref="F19">TREND($G19:$L19,$G$1:$L$1,F$1)</f>
        <v>6188150943332.1563</v>
      </c>
      <c r="G19" s="16">
        <f>'KEEI BAU - Industry'!W$33*'Machinery Split'!$G7</f>
        <v>6318232194393.1777</v>
      </c>
      <c r="H19" s="16">
        <f>'KEEI BAU - Industry'!X$33*'Machinery Split'!$G7</f>
        <v>6448313445454.2139</v>
      </c>
      <c r="I19" s="16">
        <f>'KEEI BAU - Industry'!Y$33*'Machinery Split'!$G7</f>
        <v>6578394696515.249</v>
      </c>
      <c r="J19" s="16">
        <f>'KEEI BAU - Industry'!Z$33*'Machinery Split'!$G7</f>
        <v>6708475947576.2852</v>
      </c>
      <c r="K19" s="16">
        <f>'KEEI BAU - Industry'!AA$33*'Machinery Split'!$G7</f>
        <v>6838557198637.3213</v>
      </c>
      <c r="L19" s="16">
        <f>'KEEI BAU - Industry'!AB$33*'Machinery Split'!$G7</f>
        <v>6968638449698.3574</v>
      </c>
      <c r="M19" s="16">
        <f>'KEEI BAU - Industry'!AC$33*'Machinery Split'!$G7</f>
        <v>7087929550901.7959</v>
      </c>
      <c r="N19" s="16">
        <f>'KEEI BAU - Industry'!AD$33*'Machinery Split'!$G7</f>
        <v>7207220652105.2344</v>
      </c>
      <c r="O19" s="16">
        <f>'KEEI BAU - Industry'!AE$33*'Machinery Split'!$G7</f>
        <v>7326511753308.6729</v>
      </c>
      <c r="P19" s="16">
        <f>'KEEI BAU - Industry'!AF$33*'Machinery Split'!$G7</f>
        <v>7445802854512.1113</v>
      </c>
      <c r="Q19" s="16">
        <f>'KEEI BAU - Industry'!AG$33*'Machinery Split'!$G7</f>
        <v>7565093955715.5498</v>
      </c>
      <c r="R19" s="16">
        <f>'KEEI BAU - Industry'!AH$33*'Machinery Split'!$G7</f>
        <v>7690379584617.6543</v>
      </c>
      <c r="S19" s="16">
        <f>'KEEI BAU - Industry'!AI$33*'Machinery Split'!$G7</f>
        <v>7815665213519.7578</v>
      </c>
      <c r="T19" s="16">
        <f>'KEEI BAU - Industry'!AJ$33*'Machinery Split'!$G7</f>
        <v>7940950842421.8613</v>
      </c>
      <c r="U19" s="16">
        <f>'KEEI BAU - Industry'!AK$33*'Machinery Split'!$G7</f>
        <v>8066236471323.9658</v>
      </c>
      <c r="V19" s="16">
        <f>'KEEI BAU - Industry'!AL$33*'Machinery Split'!$G7</f>
        <v>8191522100226.0693</v>
      </c>
      <c r="W19" s="16">
        <f>'KEEI BAU - Industry'!AM$33*'Machinery Split'!$G7</f>
        <v>8308815025529.9404</v>
      </c>
      <c r="X19" s="16">
        <f>'KEEI BAU - Industry'!AN$33*'Machinery Split'!$G7</f>
        <v>8431557521468.9678</v>
      </c>
      <c r="Y19" s="16">
        <f>'KEEI BAU - Industry'!AO$33*'Machinery Split'!$G7</f>
        <v>8554300017407.9961</v>
      </c>
      <c r="Z19" s="16">
        <f>'KEEI BAU - Industry'!AP$33*'Machinery Split'!$G7</f>
        <v>8677042513347.0244</v>
      </c>
      <c r="AA19" s="16">
        <f>'KEEI BAU - Industry'!AQ$33*'Machinery Split'!$G7</f>
        <v>8799785009286.0898</v>
      </c>
      <c r="AB19" s="16">
        <f>'KEEI BAU - Industry'!AR$33*'Machinery Split'!$G7</f>
        <v>8922527505225.1172</v>
      </c>
      <c r="AC19" s="16">
        <f>'KEEI BAU - Industry'!AS$33*'Machinery Split'!$G7</f>
        <v>9045270001164.1465</v>
      </c>
      <c r="AD19" s="16">
        <f>'KEEI BAU - Industry'!AT$33*'Machinery Split'!$G7</f>
        <v>9168012497103.1738</v>
      </c>
      <c r="AE19" s="16">
        <f>'KEEI BAU - Industry'!AU$33*'Machinery Split'!$G7</f>
        <v>9290754993042.2012</v>
      </c>
      <c r="AF19" s="16">
        <f>'KEEI BAU - Industry'!AV$33*'Machinery Split'!$G7</f>
        <v>9413497488981.2305</v>
      </c>
    </row>
    <row r="20" spans="1:33">
      <c r="A20" t="s">
        <v>20</v>
      </c>
      <c r="B20" s="16" cm="1">
        <f t="array" ref="B20">TREND($G20:$L20,$G$1:$L$1,B$1)</f>
        <v>4503866559762.7813</v>
      </c>
      <c r="C20" s="16" cm="1">
        <f t="array" ref="C20">TREND($G20:$L20,$G$1:$L$1,C$1)</f>
        <v>4607233989003.25</v>
      </c>
      <c r="D20" s="16" cm="1">
        <f t="array" ref="D20">TREND($G20:$L20,$G$1:$L$1,D$1)</f>
        <v>4710601418243.6875</v>
      </c>
      <c r="E20" s="16" cm="1">
        <f t="array" ref="E20">TREND($G20:$L20,$G$1:$L$1,E$1)</f>
        <v>4813968847484.1563</v>
      </c>
      <c r="F20" s="16" cm="1">
        <f t="array" ref="F20">TREND($G20:$L20,$G$1:$L$1,F$1)</f>
        <v>4917336276724.625</v>
      </c>
      <c r="G20" s="16">
        <f>'KEEI BAU - Industry'!W$33*'Machinery Split'!$G8</f>
        <v>5020703705965.083</v>
      </c>
      <c r="H20" s="16">
        <f>'KEEI BAU - Industry'!X$33*'Machinery Split'!$G8</f>
        <v>5124071135205.541</v>
      </c>
      <c r="I20" s="16">
        <f>'KEEI BAU - Industry'!Y$33*'Machinery Split'!$G8</f>
        <v>5227438564445.998</v>
      </c>
      <c r="J20" s="16">
        <f>'KEEI BAU - Industry'!Z$33*'Machinery Split'!$G8</f>
        <v>5330805993686.4561</v>
      </c>
      <c r="K20" s="16">
        <f>'KEEI BAU - Industry'!AA$33*'Machinery Split'!$G8</f>
        <v>5434173422926.9131</v>
      </c>
      <c r="L20" s="16">
        <f>'KEEI BAU - Industry'!AB$33*'Machinery Split'!$G8</f>
        <v>5537540852167.3711</v>
      </c>
      <c r="M20" s="16">
        <f>'KEEI BAU - Industry'!AC$33*'Machinery Split'!$G8</f>
        <v>5632334024604.4727</v>
      </c>
      <c r="N20" s="16">
        <f>'KEEI BAU - Industry'!AD$33*'Machinery Split'!$G8</f>
        <v>5727127197041.5742</v>
      </c>
      <c r="O20" s="16">
        <f>'KEEI BAU - Industry'!AE$33*'Machinery Split'!$G8</f>
        <v>5821920369478.6758</v>
      </c>
      <c r="P20" s="16">
        <f>'KEEI BAU - Industry'!AF$33*'Machinery Split'!$G8</f>
        <v>5916713541915.7773</v>
      </c>
      <c r="Q20" s="16">
        <f>'KEEI BAU - Industry'!AG$33*'Machinery Split'!$G8</f>
        <v>6011506714352.8799</v>
      </c>
      <c r="R20" s="16">
        <f>'KEEI BAU - Industry'!AH$33*'Machinery Split'!$G8</f>
        <v>6111063362791.8457</v>
      </c>
      <c r="S20" s="16">
        <f>'KEEI BAU - Industry'!AI$33*'Machinery Split'!$G8</f>
        <v>6210620011230.8115</v>
      </c>
      <c r="T20" s="16">
        <f>'KEEI BAU - Industry'!AJ$33*'Machinery Split'!$G8</f>
        <v>6310176659669.7773</v>
      </c>
      <c r="U20" s="16">
        <f>'KEEI BAU - Industry'!AK$33*'Machinery Split'!$G8</f>
        <v>6409733308108.7441</v>
      </c>
      <c r="V20" s="16">
        <f>'KEEI BAU - Industry'!AL$33*'Machinery Split'!$G8</f>
        <v>6509289956547.71</v>
      </c>
      <c r="W20" s="16">
        <f>'KEEI BAU - Industry'!AM$33*'Machinery Split'!$G8</f>
        <v>6602495303650.8467</v>
      </c>
      <c r="X20" s="16">
        <f>'KEEI BAU - Industry'!AN$33*'Machinery Split'!$G8</f>
        <v>6700031083482.957</v>
      </c>
      <c r="Y20" s="16">
        <f>'KEEI BAU - Industry'!AO$33*'Machinery Split'!$G8</f>
        <v>6797566863315.0664</v>
      </c>
      <c r="Z20" s="16">
        <f>'KEEI BAU - Industry'!AP$33*'Machinery Split'!$G8</f>
        <v>6895102643147.1768</v>
      </c>
      <c r="AA20" s="16">
        <f>'KEEI BAU - Industry'!AQ$33*'Machinery Split'!$G8</f>
        <v>6992638422979.3164</v>
      </c>
      <c r="AB20" s="16">
        <f>'KEEI BAU - Industry'!AR$33*'Machinery Split'!$G8</f>
        <v>7090174202811.4268</v>
      </c>
      <c r="AC20" s="16">
        <f>'KEEI BAU - Industry'!AS$33*'Machinery Split'!$G8</f>
        <v>7187709982643.5361</v>
      </c>
      <c r="AD20" s="16">
        <f>'KEEI BAU - Industry'!AT$33*'Machinery Split'!$G8</f>
        <v>7285245762475.6465</v>
      </c>
      <c r="AE20" s="16">
        <f>'KEEI BAU - Industry'!AU$33*'Machinery Split'!$G8</f>
        <v>7382781542307.7559</v>
      </c>
      <c r="AF20" s="16">
        <f>'KEEI BAU - Industry'!AV$33*'Machinery Split'!$G8</f>
        <v>7480317322139.8662</v>
      </c>
    </row>
    <row r="21" spans="1:33">
      <c r="A21" t="s">
        <v>21</v>
      </c>
      <c r="B21" s="16" cm="1">
        <f t="array" ref="B21">TREND($G21:$L21,$G$1:$L$1,B$1)</f>
        <v>23662568865747.625</v>
      </c>
      <c r="C21" s="16" cm="1">
        <f t="array" ref="C21">TREND($G21:$L21,$G$1:$L$1,C$1)</f>
        <v>24205644216764.875</v>
      </c>
      <c r="D21" s="16" cm="1">
        <f t="array" ref="D21">TREND($G21:$L21,$G$1:$L$1,D$1)</f>
        <v>24748719567782</v>
      </c>
      <c r="E21" s="16" cm="1">
        <f t="array" ref="E21">TREND($G21:$L21,$G$1:$L$1,E$1)</f>
        <v>25291794918799.125</v>
      </c>
      <c r="F21" s="16" cm="1">
        <f t="array" ref="F21">TREND($G21:$L21,$G$1:$L$1,F$1)</f>
        <v>25834870269816.375</v>
      </c>
      <c r="G21" s="16">
        <f>'KEEI BAU - Industry'!W$33*'Machinery Split'!$G9</f>
        <v>26377945620833.43</v>
      </c>
      <c r="H21" s="16">
        <f>'KEEI BAU - Industry'!X$33*'Machinery Split'!$G9</f>
        <v>26921020971850.586</v>
      </c>
      <c r="I21" s="16">
        <f>'KEEI BAU - Industry'!Y$33*'Machinery Split'!$G9</f>
        <v>27464096322867.746</v>
      </c>
      <c r="J21" s="16">
        <f>'KEEI BAU - Industry'!Z$33*'Machinery Split'!$G9</f>
        <v>28007171673884.906</v>
      </c>
      <c r="K21" s="16">
        <f>'KEEI BAU - Industry'!AA$33*'Machinery Split'!$G9</f>
        <v>28550247024902.063</v>
      </c>
      <c r="L21" s="16">
        <f>'KEEI BAU - Industry'!AB$33*'Machinery Split'!$G9</f>
        <v>29093322375919.223</v>
      </c>
      <c r="M21" s="16">
        <f>'KEEI BAU - Industry'!AC$33*'Machinery Split'!$G9</f>
        <v>29591350001967.215</v>
      </c>
      <c r="N21" s="16">
        <f>'KEEI BAU - Industry'!AD$33*'Machinery Split'!$G9</f>
        <v>30089377628015.211</v>
      </c>
      <c r="O21" s="16">
        <f>'KEEI BAU - Industry'!AE$33*'Machinery Split'!$G9</f>
        <v>30587405254063.203</v>
      </c>
      <c r="P21" s="16">
        <f>'KEEI BAU - Industry'!AF$33*'Machinery Split'!$G9</f>
        <v>31085432880111.195</v>
      </c>
      <c r="Q21" s="16">
        <f>'KEEI BAU - Industry'!AG$33*'Machinery Split'!$G9</f>
        <v>31583460506159.191</v>
      </c>
      <c r="R21" s="16">
        <f>'KEEI BAU - Industry'!AH$33*'Machinery Split'!$G9</f>
        <v>32106514646078.941</v>
      </c>
      <c r="S21" s="16">
        <f>'KEEI BAU - Industry'!AI$33*'Machinery Split'!$G9</f>
        <v>32629568785998.695</v>
      </c>
      <c r="T21" s="16">
        <f>'KEEI BAU - Industry'!AJ$33*'Machinery Split'!$G9</f>
        <v>33152622925918.445</v>
      </c>
      <c r="U21" s="16">
        <f>'KEEI BAU - Industry'!AK$33*'Machinery Split'!$G9</f>
        <v>33675677065838.199</v>
      </c>
      <c r="V21" s="16">
        <f>'KEEI BAU - Industry'!AL$33*'Machinery Split'!$G9</f>
        <v>34198731205757.949</v>
      </c>
      <c r="W21" s="16">
        <f>'KEEI BAU - Industry'!AM$33*'Machinery Split'!$G9</f>
        <v>34688416660515.305</v>
      </c>
      <c r="X21" s="16">
        <f>'KEEI BAU - Industry'!AN$33*'Machinery Split'!$G9</f>
        <v>35200853491519.742</v>
      </c>
      <c r="Y21" s="16">
        <f>'KEEI BAU - Industry'!AO$33*'Machinery Split'!$G9</f>
        <v>35713290322524.18</v>
      </c>
      <c r="Z21" s="16">
        <f>'KEEI BAU - Industry'!AP$33*'Machinery Split'!$G9</f>
        <v>36225727153528.617</v>
      </c>
      <c r="AA21" s="16">
        <f>'KEEI BAU - Industry'!AQ$33*'Machinery Split'!$G9</f>
        <v>36738163984533.211</v>
      </c>
      <c r="AB21" s="16">
        <f>'KEEI BAU - Industry'!AR$33*'Machinery Split'!$G9</f>
        <v>37250600815537.648</v>
      </c>
      <c r="AC21" s="16">
        <f>'KEEI BAU - Industry'!AS$33*'Machinery Split'!$G9</f>
        <v>37763037646542.086</v>
      </c>
      <c r="AD21" s="16">
        <f>'KEEI BAU - Industry'!AT$33*'Machinery Split'!$G9</f>
        <v>38275474477546.523</v>
      </c>
      <c r="AE21" s="16">
        <f>'KEEI BAU - Industry'!AU$33*'Machinery Split'!$G9</f>
        <v>38787911308550.953</v>
      </c>
      <c r="AF21" s="16">
        <f>'KEEI BAU - Industry'!AV$33*'Machinery Split'!$G9</f>
        <v>39300348139555.391</v>
      </c>
    </row>
    <row r="22" spans="1:33">
      <c r="A22" t="s">
        <v>22</v>
      </c>
      <c r="B22" s="16" cm="1">
        <f t="array" ref="B22">TREND($G22:$L22,$G$1:$L$1,B$1)</f>
        <v>2635314559125.0156</v>
      </c>
      <c r="C22" s="16" cm="1">
        <f t="array" ref="C22">TREND($G22:$L22,$G$1:$L$1,C$1)</f>
        <v>2695797188350.8281</v>
      </c>
      <c r="D22" s="16" cm="1">
        <f t="array" ref="D22">TREND($G22:$L22,$G$1:$L$1,D$1)</f>
        <v>2756279817576.6563</v>
      </c>
      <c r="E22" s="16" cm="1">
        <f t="array" ref="E22">TREND($G22:$L22,$G$1:$L$1,E$1)</f>
        <v>2816762446802.4688</v>
      </c>
      <c r="F22" s="16" cm="1">
        <f t="array" ref="F22">TREND($G22:$L22,$G$1:$L$1,F$1)</f>
        <v>2877245076028.2969</v>
      </c>
      <c r="G22" s="16">
        <f>'KEEI BAU - Industry'!W$33*'Machinery Split'!$G10</f>
        <v>2937727705254.1104</v>
      </c>
      <c r="H22" s="16">
        <f>'KEEI BAU - Industry'!X$33*'Machinery Split'!$G10</f>
        <v>2998210334479.9307</v>
      </c>
      <c r="I22" s="16">
        <f>'KEEI BAU - Industry'!Y$33*'Machinery Split'!$G10</f>
        <v>3058692963705.7505</v>
      </c>
      <c r="J22" s="16">
        <f>'KEEI BAU - Industry'!Z$33*'Machinery Split'!$G10</f>
        <v>3119175592931.5703</v>
      </c>
      <c r="K22" s="16">
        <f>'KEEI BAU - Industry'!AA$33*'Machinery Split'!$G10</f>
        <v>3179658222157.3901</v>
      </c>
      <c r="L22" s="16">
        <f>'KEEI BAU - Industry'!AB$33*'Machinery Split'!$G10</f>
        <v>3240140851383.21</v>
      </c>
      <c r="M22" s="16">
        <f>'KEEI BAU - Industry'!AC$33*'Machinery Split'!$G10</f>
        <v>3295606488323.0176</v>
      </c>
      <c r="N22" s="16">
        <f>'KEEI BAU - Industry'!AD$33*'Machinery Split'!$G10</f>
        <v>3351072125262.8247</v>
      </c>
      <c r="O22" s="16">
        <f>'KEEI BAU - Industry'!AE$33*'Machinery Split'!$G10</f>
        <v>3406537762202.6318</v>
      </c>
      <c r="P22" s="16">
        <f>'KEEI BAU - Industry'!AF$33*'Machinery Split'!$G10</f>
        <v>3462003399142.439</v>
      </c>
      <c r="Q22" s="16">
        <f>'KEEI BAU - Industry'!AG$33*'Machinery Split'!$G10</f>
        <v>3517469036082.2461</v>
      </c>
      <c r="R22" s="16">
        <f>'KEEI BAU - Industry'!AH$33*'Machinery Split'!$G10</f>
        <v>3575721890958.7271</v>
      </c>
      <c r="S22" s="16">
        <f>'KEEI BAU - Industry'!AI$33*'Machinery Split'!$G10</f>
        <v>3633974745835.208</v>
      </c>
      <c r="T22" s="16">
        <f>'KEEI BAU - Industry'!AJ$33*'Machinery Split'!$G10</f>
        <v>3692227600711.689</v>
      </c>
      <c r="U22" s="16">
        <f>'KEEI BAU - Industry'!AK$33*'Machinery Split'!$G10</f>
        <v>3750480455588.1699</v>
      </c>
      <c r="V22" s="16">
        <f>'KEEI BAU - Industry'!AL$33*'Machinery Split'!$G10</f>
        <v>3808733310464.6509</v>
      </c>
      <c r="W22" s="16">
        <f>'KEEI BAU - Industry'!AM$33*'Machinery Split'!$G10</f>
        <v>3863269874758.8945</v>
      </c>
      <c r="X22" s="16">
        <f>'KEEI BAU - Industry'!AN$33*'Machinery Split'!$G10</f>
        <v>3920340273541.0264</v>
      </c>
      <c r="Y22" s="16">
        <f>'KEEI BAU - Industry'!AO$33*'Machinery Split'!$G10</f>
        <v>3977410672323.1582</v>
      </c>
      <c r="Z22" s="16">
        <f>'KEEI BAU - Industry'!AP$33*'Machinery Split'!$G10</f>
        <v>4034481071105.29</v>
      </c>
      <c r="AA22" s="16">
        <f>'KEEI BAU - Industry'!AQ$33*'Machinery Split'!$G10</f>
        <v>4091551469887.4395</v>
      </c>
      <c r="AB22" s="16">
        <f>'KEEI BAU - Industry'!AR$33*'Machinery Split'!$G10</f>
        <v>4148621868669.5713</v>
      </c>
      <c r="AC22" s="16">
        <f>'KEEI BAU - Industry'!AS$33*'Machinery Split'!$G10</f>
        <v>4205692267451.7031</v>
      </c>
      <c r="AD22" s="16">
        <f>'KEEI BAU - Industry'!AT$33*'Machinery Split'!$G10</f>
        <v>4262762666233.835</v>
      </c>
      <c r="AE22" s="16">
        <f>'KEEI BAU - Industry'!AU$33*'Machinery Split'!$G10</f>
        <v>4319833065015.9668</v>
      </c>
      <c r="AF22" s="16">
        <f>'KEEI BAU - Industry'!AV$33*'Machinery Split'!$G10</f>
        <v>4376903463798.0986</v>
      </c>
    </row>
    <row r="23" spans="1:33">
      <c r="A23" t="s">
        <v>23</v>
      </c>
      <c r="B23" s="16" cm="1">
        <f t="array" ref="B23">TREND($G23:$L23,$G$1:$L$1,B$1)</f>
        <v>13568163574462.875</v>
      </c>
      <c r="C23" s="16" cm="1">
        <f t="array" ref="C23">TREND($G23:$L23,$G$1:$L$1,C$1)</f>
        <v>13819851731164.313</v>
      </c>
      <c r="D23" s="16" cm="1">
        <f t="array" ref="D23">TREND($G23:$L23,$G$1:$L$1,D$1)</f>
        <v>14071539887865.75</v>
      </c>
      <c r="E23" s="16" cm="1">
        <f t="array" ref="E23">TREND($G23:$L23,$G$1:$L$1,E$1)</f>
        <v>14323228044567.188</v>
      </c>
      <c r="F23" s="16" cm="1">
        <f t="array" ref="F23">TREND($G23:$L23,$G$1:$L$1,F$1)</f>
        <v>14574916201268.625</v>
      </c>
      <c r="G23" s="16">
        <f>'KEEI BAU - Industry'!W$54*'Others Split'!$G$14</f>
        <v>14826604357970.072</v>
      </c>
      <c r="H23" s="16">
        <f>'KEEI BAU - Industry'!X$54*'Others Split'!$G$14</f>
        <v>15078292514671.506</v>
      </c>
      <c r="I23" s="16">
        <f>'KEEI BAU - Industry'!Y$54*'Others Split'!$G$14</f>
        <v>15329980671372.936</v>
      </c>
      <c r="J23" s="16">
        <f>'KEEI BAU - Industry'!Z$54*'Others Split'!$G$14</f>
        <v>15581668828074.367</v>
      </c>
      <c r="K23" s="16">
        <f>'KEEI BAU - Industry'!AA$54*'Others Split'!$G$14</f>
        <v>15833356984775.797</v>
      </c>
      <c r="L23" s="16">
        <f>'KEEI BAU - Industry'!AB$54*'Others Split'!$G$14</f>
        <v>16085045141477.234</v>
      </c>
      <c r="M23" s="16">
        <f>'KEEI BAU - Industry'!AC$54*'Others Split'!$G$14</f>
        <v>16348231741885.832</v>
      </c>
      <c r="N23" s="16">
        <f>'KEEI BAU - Industry'!AD$54*'Others Split'!$G$14</f>
        <v>16611418342294.434</v>
      </c>
      <c r="O23" s="16">
        <f>'KEEI BAU - Industry'!AE$54*'Others Split'!$G$14</f>
        <v>16874604942703.037</v>
      </c>
      <c r="P23" s="16">
        <f>'KEEI BAU - Industry'!AF$54*'Others Split'!$G$14</f>
        <v>17137791543111.639</v>
      </c>
      <c r="Q23" s="16">
        <f>'KEEI BAU - Industry'!AG$54*'Others Split'!$G$14</f>
        <v>17400978143520.244</v>
      </c>
      <c r="R23" s="16">
        <f>'KEEI BAU - Industry'!AH$54*'Others Split'!$G$14</f>
        <v>17699937679906.715</v>
      </c>
      <c r="S23" s="16">
        <f>'KEEI BAU - Industry'!AI$54*'Others Split'!$G$14</f>
        <v>17998897216293.184</v>
      </c>
      <c r="T23" s="16">
        <f>'KEEI BAU - Industry'!AJ$54*'Others Split'!$G$14</f>
        <v>18297856752679.656</v>
      </c>
      <c r="U23" s="16">
        <f>'KEEI BAU - Industry'!AK$54*'Others Split'!$G$14</f>
        <v>18596816289066.125</v>
      </c>
      <c r="V23" s="16">
        <f>'KEEI BAU - Industry'!AL$54*'Others Split'!$G$14</f>
        <v>18895775825452.586</v>
      </c>
      <c r="W23" s="16">
        <f>'KEEI BAU - Industry'!AM$54*'Others Split'!$G$14</f>
        <v>19147038113868.551</v>
      </c>
      <c r="X23" s="16">
        <f>'KEEI BAU - Industry'!AN$54*'Others Split'!$G$14</f>
        <v>19430821253173.469</v>
      </c>
      <c r="Y23" s="16">
        <f>'KEEI BAU - Industry'!AO$54*'Others Split'!$G$14</f>
        <v>19714604392478.465</v>
      </c>
      <c r="Z23" s="16">
        <f>'KEEI BAU - Industry'!AP$54*'Others Split'!$G$14</f>
        <v>19998387531783.383</v>
      </c>
      <c r="AA23" s="16">
        <f>'KEEI BAU - Industry'!AQ$54*'Others Split'!$G$14</f>
        <v>20282170671088.379</v>
      </c>
      <c r="AB23" s="16">
        <f>'KEEI BAU - Industry'!AR$54*'Others Split'!$G$14</f>
        <v>20565953810393.297</v>
      </c>
      <c r="AC23" s="16">
        <f>'KEEI BAU - Industry'!AS$54*'Others Split'!$G$14</f>
        <v>20849736949698.297</v>
      </c>
      <c r="AD23" s="16">
        <f>'KEEI BAU - Industry'!AT$54*'Others Split'!$G$14</f>
        <v>21133520089003.211</v>
      </c>
      <c r="AE23" s="16">
        <f>'KEEI BAU - Industry'!AU$54*'Others Split'!$G$14</f>
        <v>21417303228308.129</v>
      </c>
      <c r="AF23" s="16">
        <f>'KEEI BAU - Industry'!AV$54*'Others Split'!$G$14</f>
        <v>21701086367613.125</v>
      </c>
    </row>
    <row r="24" spans="1:33">
      <c r="A24" t="s">
        <v>24</v>
      </c>
      <c r="B24" s="16" cm="1">
        <f t="array" aca="1" ref="B24" ca="1">TREND($G24:$L24,$G$1:$L$1,B$1)</f>
        <v>1454764593.0333252</v>
      </c>
      <c r="C24" s="16" cm="1">
        <f t="array" aca="1" ref="C24" ca="1">TREND($G24:$L24,$G$1:$L$1,C$1)</f>
        <v>1481750339.2506104</v>
      </c>
      <c r="D24" s="16" cm="1">
        <f t="array" aca="1" ref="D24" ca="1">TREND($G24:$L24,$G$1:$L$1,D$1)</f>
        <v>1508736085.4678955</v>
      </c>
      <c r="E24" s="16" cm="1">
        <f t="array" aca="1" ref="E24" ca="1">TREND($G24:$L24,$G$1:$L$1,E$1)</f>
        <v>1535721831.6851807</v>
      </c>
      <c r="F24" s="16" cm="1">
        <f t="array" aca="1" ref="F24" ca="1">TREND($G24:$L24,$G$1:$L$1,F$1)</f>
        <v>1562707577.9024658</v>
      </c>
      <c r="G24" s="16">
        <f ca="1">F24*(1+'KEEI BAU - Gas Supply'!W9)</f>
        <v>4780632943724.9541</v>
      </c>
      <c r="H24" s="16">
        <f ca="1">G24*(1+'KEEI BAU - Gas Supply'!X9)</f>
        <v>4867544254659.1299</v>
      </c>
      <c r="I24" s="16">
        <f ca="1">H24*(1+'KEEI BAU - Gas Supply'!Y9)</f>
        <v>4954455565593.3145</v>
      </c>
      <c r="J24" s="16">
        <f ca="1">I24*(1+'KEEI BAU - Gas Supply'!Z9)</f>
        <v>5041366876527.498</v>
      </c>
      <c r="K24" s="16">
        <f ca="1">J24*(1+'KEEI BAU - Gas Supply'!AA9)</f>
        <v>5128278187461.6826</v>
      </c>
      <c r="L24" s="16">
        <f ca="1">K24*(1+'KEEI BAU - Gas Supply'!AB9)</f>
        <v>5215189498395.876</v>
      </c>
      <c r="M24" s="16">
        <f ca="1">L24*(1+'KEEI BAU - Gas Supply'!AC9)</f>
        <v>5278329612217.1758</v>
      </c>
      <c r="N24" s="16">
        <f ca="1">M24*(1+'KEEI BAU - Gas Supply'!AD9)</f>
        <v>5341469726038.4834</v>
      </c>
      <c r="O24" s="16">
        <f ca="1">N24*(1+'KEEI BAU - Gas Supply'!AE9)</f>
        <v>5404609839859.791</v>
      </c>
      <c r="P24" s="16">
        <f ca="1">O24*(1+'KEEI BAU - Gas Supply'!AF9)</f>
        <v>5467749953681.0986</v>
      </c>
      <c r="Q24" s="16">
        <f ca="1">P24*(1+'KEEI BAU - Gas Supply'!AG9)</f>
        <v>5530890067502.4141</v>
      </c>
      <c r="R24" s="16">
        <f ca="1">Q24*(1+'KEEI BAU - Gas Supply'!AH9)</f>
        <v>5636038450147.126</v>
      </c>
      <c r="S24" s="16">
        <f ca="1">R24*(1+'KEEI BAU - Gas Supply'!AI9)</f>
        <v>5741186832791.8281</v>
      </c>
      <c r="T24" s="16">
        <f ca="1">S24*(1+'KEEI BAU - Gas Supply'!AJ9)</f>
        <v>5846335215436.5313</v>
      </c>
      <c r="U24" s="16">
        <f ca="1">T24*(1+'KEEI BAU - Gas Supply'!AK9)</f>
        <v>5951483598081.2344</v>
      </c>
      <c r="V24" s="16">
        <f ca="1">U24*(1+'KEEI BAU - Gas Supply'!AL9)</f>
        <v>6056631980725.9502</v>
      </c>
      <c r="W24" s="16">
        <f ca="1">V24*(1+'KEEI BAU - Gas Supply'!AM9)</f>
        <v>6105769338272.7686</v>
      </c>
      <c r="X24" s="16">
        <f ca="1">W24*(1+'KEEI BAU - Gas Supply'!AN9)</f>
        <v>6193096031113.627</v>
      </c>
      <c r="Y24" s="16">
        <f ca="1">X24*(1+'KEEI BAU - Gas Supply'!AO9)</f>
        <v>6280422723954.4502</v>
      </c>
      <c r="Z24" s="16">
        <f ca="1">Y24*(1+'KEEI BAU - Gas Supply'!AP9)</f>
        <v>6367749416795.3076</v>
      </c>
      <c r="AA24" s="16">
        <f ca="1">Z24*(1+'KEEI BAU - Gas Supply'!AQ9)</f>
        <v>6455076109636.1309</v>
      </c>
      <c r="AB24" s="16">
        <f ca="1">AA24*(1+'KEEI BAU - Gas Supply'!AR9)</f>
        <v>6542402802476.9893</v>
      </c>
      <c r="AC24" s="16">
        <f ca="1">AB24*(1+'KEEI BAU - Gas Supply'!AS9)</f>
        <v>6629729495317.8135</v>
      </c>
      <c r="AD24" s="16">
        <f ca="1">AC24*(1+'KEEI BAU - Gas Supply'!AT9)</f>
        <v>6717056188158.6709</v>
      </c>
      <c r="AE24" s="16">
        <f ca="1">AD24*(1+'KEEI BAU - Gas Supply'!AU9)</f>
        <v>6804382880999.5293</v>
      </c>
      <c r="AF24" s="16">
        <f ca="1">AE24*(1+'KEEI BAU - Gas Supply'!AV9)</f>
        <v>6891709573840.3535</v>
      </c>
    </row>
    <row r="25" spans="1:33">
      <c r="A25" t="s">
        <v>25</v>
      </c>
      <c r="B25" s="16" cm="1">
        <f t="array" aca="1" ref="B25" ca="1">TREND($G25:$L25,$G$1:$L$1,B$1)</f>
        <v>1454764593.0333252</v>
      </c>
      <c r="C25" s="16" cm="1">
        <f t="array" aca="1" ref="C25" ca="1">TREND($G25:$L25,$G$1:$L$1,C$1)</f>
        <v>1481750339.2506104</v>
      </c>
      <c r="D25" s="16" cm="1">
        <f t="array" aca="1" ref="D25" ca="1">TREND($G25:$L25,$G$1:$L$1,D$1)</f>
        <v>1508736085.4678955</v>
      </c>
      <c r="E25" s="16" cm="1">
        <f t="array" aca="1" ref="E25" ca="1">TREND($G25:$L25,$G$1:$L$1,E$1)</f>
        <v>1535721831.6851807</v>
      </c>
      <c r="F25" s="16" cm="1">
        <f t="array" aca="1" ref="F25" ca="1">TREND($G25:$L25,$G$1:$L$1,F$1)</f>
        <v>1562707577.9024658</v>
      </c>
      <c r="G25" s="16">
        <f ca="1">F25*(1+'Water and Waste'!J40)</f>
        <v>5534141124589.7725</v>
      </c>
      <c r="H25" s="16">
        <f ca="1">G25*(1+'Water and Waste'!K40)</f>
        <v>5539675265714.3613</v>
      </c>
      <c r="I25" s="16">
        <f ca="1">H25*(1+'Water and Waste'!L40)</f>
        <v>5545214940980.0752</v>
      </c>
      <c r="J25" s="16">
        <f ca="1">I25*(1+'Water and Waste'!M40)</f>
        <v>5550760155921.0547</v>
      </c>
      <c r="K25" s="16">
        <f ca="1">J25*(1+'Water and Waste'!N40)</f>
        <v>5556310916076.9756</v>
      </c>
      <c r="L25" s="16">
        <f ca="1">K25*(1+'Water and Waste'!O40)</f>
        <v>5561867226993.0518</v>
      </c>
      <c r="M25" s="16">
        <f ca="1">L25*(1+'Water and Waste'!P40)</f>
        <v>5567429094220.0439</v>
      </c>
      <c r="N25" s="16">
        <f ca="1">M25*(1+'Water and Waste'!Q40)</f>
        <v>5572996523314.2637</v>
      </c>
      <c r="O25" s="16">
        <f ca="1">N25*(1+'Water and Waste'!R40)</f>
        <v>5578569519837.5771</v>
      </c>
      <c r="P25" s="16">
        <f ca="1">O25*(1+'Water and Waste'!S40)</f>
        <v>5584148089357.4141</v>
      </c>
      <c r="Q25" s="16">
        <f ca="1">P25*(1+'Water and Waste'!T40)</f>
        <v>5589732237446.7705</v>
      </c>
      <c r="R25" s="16">
        <f ca="1">Q25*(1+'Water and Waste'!U40)</f>
        <v>5595321969684.2168</v>
      </c>
      <c r="S25" s="16">
        <f ca="1">R25*(1+'Water and Waste'!V40)</f>
        <v>5600917291653.9004</v>
      </c>
      <c r="T25" s="16">
        <f ca="1">S25*(1+'Water and Waste'!W40)</f>
        <v>5606518208945.5537</v>
      </c>
      <c r="U25" s="16">
        <f ca="1">T25*(1+'Water and Waste'!X40)</f>
        <v>5612124727154.499</v>
      </c>
      <c r="V25" s="16">
        <f ca="1">U25*(1+'Water and Waste'!Y40)</f>
        <v>5617736851881.6533</v>
      </c>
      <c r="W25" s="16">
        <f ca="1">V25*(1+'Water and Waste'!Z40)</f>
        <v>5589648167622.2451</v>
      </c>
      <c r="X25" s="16">
        <f ca="1">W25*(1+'Water and Waste'!AA40)</f>
        <v>5561699926784.1338</v>
      </c>
      <c r="Y25" s="16">
        <f ca="1">X25*(1+'Water and Waste'!AB40)</f>
        <v>5533891427150.2129</v>
      </c>
      <c r="Z25" s="16">
        <f ca="1">Y25*(1+'Water and Waste'!AC40)</f>
        <v>5506221970014.4619</v>
      </c>
      <c r="AA25" s="16">
        <f ca="1">Z25*(1+'Water and Waste'!AD40)</f>
        <v>5478690860164.3896</v>
      </c>
      <c r="AB25" s="16">
        <f ca="1">AA25*(1+'Water and Waste'!AE40)</f>
        <v>5451297405863.5674</v>
      </c>
      <c r="AC25" s="16">
        <f ca="1">AB25*(1+'Water and Waste'!AF40)</f>
        <v>5424040918834.25</v>
      </c>
      <c r="AD25" s="16">
        <f ca="1">AC25*(1+'Water and Waste'!AG40)</f>
        <v>5396920714240.0791</v>
      </c>
      <c r="AE25" s="16">
        <f ca="1">AD25*(1+'Water and Waste'!AH40)</f>
        <v>5369936110668.8789</v>
      </c>
      <c r="AF25" s="16">
        <f ca="1">AE25*(1+'Water and Waste'!AI40)</f>
        <v>5343086430115.5342</v>
      </c>
    </row>
    <row r="26" spans="1:33">
      <c r="A26" t="s">
        <v>26</v>
      </c>
      <c r="B26" s="16" cm="1">
        <f t="array" ref="B26">TREND($G26:$L26,$G$1:$L$1,B$1)</f>
        <v>4612668221.8129883</v>
      </c>
      <c r="C26" s="16" cm="1">
        <f t="array" ref="C26">TREND($G26:$L26,$G$1:$L$1,C$1)</f>
        <v>4698232782.9897461</v>
      </c>
      <c r="D26" s="16" cm="1">
        <f t="array" ref="D26">TREND($G26:$L26,$G$1:$L$1,D$1)</f>
        <v>4783797344.1665039</v>
      </c>
      <c r="E26" s="16" cm="1">
        <f t="array" ref="E26">TREND($G26:$L26,$G$1:$L$1,E$1)</f>
        <v>4869361905.3432617</v>
      </c>
      <c r="F26" s="16" cm="1">
        <f t="array" ref="F26">TREND($G26:$L26,$G$1:$L$1,F$1)</f>
        <v>4954926466.5200195</v>
      </c>
      <c r="G26" s="16">
        <f>'KEEI BAU - Industry'!W$54*'Others Split'!$G$15</f>
        <v>5040491027.6967783</v>
      </c>
      <c r="H26" s="16">
        <f>'KEEI BAU - Industry'!X$54*'Others Split'!$G$15</f>
        <v>5126055588.8735361</v>
      </c>
      <c r="I26" s="16">
        <f>'KEEI BAU - Industry'!Y$54*'Others Split'!$G$15</f>
        <v>5211620150.050293</v>
      </c>
      <c r="J26" s="16">
        <f>'KEEI BAU - Industry'!Z$54*'Others Split'!$G$15</f>
        <v>5297184711.2270508</v>
      </c>
      <c r="K26" s="16">
        <f>'KEEI BAU - Industry'!AA$54*'Others Split'!$G$15</f>
        <v>5382749272.4038076</v>
      </c>
      <c r="L26" s="16">
        <f>'KEEI BAU - Industry'!AB$54*'Others Split'!$G$15</f>
        <v>5468313833.5805664</v>
      </c>
      <c r="M26" s="16">
        <f>'KEEI BAU - Industry'!AC$54*'Others Split'!$G$15</f>
        <v>5557787435.6232643</v>
      </c>
      <c r="N26" s="16">
        <f>'KEEI BAU - Industry'!AD$54*'Others Split'!$G$15</f>
        <v>5647261037.6659651</v>
      </c>
      <c r="O26" s="16">
        <f>'KEEI BAU - Industry'!AE$54*'Others Split'!$G$15</f>
        <v>5736734639.7086649</v>
      </c>
      <c r="P26" s="16">
        <f>'KEEI BAU - Industry'!AF$54*'Others Split'!$G$15</f>
        <v>5826208241.7513657</v>
      </c>
      <c r="Q26" s="16">
        <f>'KEEI BAU - Industry'!AG$54*'Others Split'!$G$15</f>
        <v>5915681843.7940664</v>
      </c>
      <c r="R26" s="16">
        <f>'KEEI BAU - Industry'!AH$54*'Others Split'!$G$15</f>
        <v>6017316906.308589</v>
      </c>
      <c r="S26" s="16">
        <f>'KEEI BAU - Industry'!AI$54*'Others Split'!$G$15</f>
        <v>6118951968.8231125</v>
      </c>
      <c r="T26" s="16">
        <f>'KEEI BAU - Industry'!AJ$54*'Others Split'!$G$15</f>
        <v>6220587031.3376369</v>
      </c>
      <c r="U26" s="16">
        <f>'KEEI BAU - Industry'!AK$54*'Others Split'!$G$15</f>
        <v>6322222093.8521605</v>
      </c>
      <c r="V26" s="16">
        <f>'KEEI BAU - Industry'!AL$54*'Others Split'!$G$15</f>
        <v>6423857156.3666801</v>
      </c>
      <c r="W26" s="16">
        <f>'KEEI BAU - Industry'!AM$54*'Others Split'!$G$15</f>
        <v>6509276938.2521</v>
      </c>
      <c r="X26" s="16">
        <f>'KEEI BAU - Industry'!AN$54*'Others Split'!$G$15</f>
        <v>6605752593.2937174</v>
      </c>
      <c r="Y26" s="16">
        <f>'KEEI BAU - Industry'!AO$54*'Others Split'!$G$15</f>
        <v>6702228248.3353624</v>
      </c>
      <c r="Z26" s="16">
        <f>'KEEI BAU - Industry'!AP$54*'Others Split'!$G$15</f>
        <v>6798703903.3769798</v>
      </c>
      <c r="AA26" s="16">
        <f>'KEEI BAU - Industry'!AQ$54*'Others Split'!$G$15</f>
        <v>6895179558.4186239</v>
      </c>
      <c r="AB26" s="16">
        <f>'KEEI BAU - Industry'!AR$54*'Others Split'!$G$15</f>
        <v>6991655213.4602413</v>
      </c>
      <c r="AC26" s="16">
        <f>'KEEI BAU - Industry'!AS$54*'Others Split'!$G$15</f>
        <v>7088130868.5018864</v>
      </c>
      <c r="AD26" s="16">
        <f>'KEEI BAU - Industry'!AT$54*'Others Split'!$G$15</f>
        <v>7184606523.5435028</v>
      </c>
      <c r="AE26" s="16">
        <f>'KEEI BAU - Industry'!AU$54*'Others Split'!$G$15</f>
        <v>7281082178.5851202</v>
      </c>
      <c r="AF26" s="16">
        <f>'KEEI BAU - Industry'!AV$54*'Others Split'!$G$15</f>
        <v>7377557833.6267653</v>
      </c>
    </row>
    <row r="28" spans="1:33">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row>
    <row r="29" spans="1:33">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row>
    <row r="30" spans="1:33">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row>
    <row r="31" spans="1:33">
      <c r="B31" s="221"/>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row>
    <row r="32" spans="1:33">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row>
    <row r="33" spans="2:33">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row>
    <row r="34" spans="2:33">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row>
    <row r="35" spans="2:33">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row>
    <row r="36" spans="2:33">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row>
    <row r="37" spans="2:33">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row>
    <row r="38" spans="2:33">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row>
    <row r="39" spans="2:33">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row>
    <row r="40" spans="2:33">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row>
    <row r="41" spans="2:33">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row>
    <row r="42" spans="2:33">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row>
    <row r="43" spans="2:33">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row>
    <row r="44" spans="2:33">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row>
    <row r="45" spans="2:33">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row>
    <row r="46" spans="2:33">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row>
    <row r="47" spans="2:33">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row>
    <row r="48" spans="2:33">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row>
    <row r="49" spans="2:33">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row>
    <row r="50" spans="2:33">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row>
    <row r="51" spans="2:33">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row>
    <row r="53" spans="2:33">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row>
    <row r="55" spans="2:33">
      <c r="B55" s="21"/>
    </row>
    <row r="56" spans="2:33">
      <c r="B56" s="21"/>
    </row>
    <row r="57" spans="2:33">
      <c r="B57" s="21"/>
    </row>
    <row r="58" spans="2:33">
      <c r="B58" s="21"/>
    </row>
    <row r="59" spans="2:33">
      <c r="B59" s="21"/>
    </row>
    <row r="60" spans="2:33">
      <c r="B60" s="21"/>
    </row>
    <row r="61" spans="2:33">
      <c r="B61" s="21"/>
    </row>
    <row r="62" spans="2:33">
      <c r="B62" s="21"/>
    </row>
    <row r="63" spans="2:33">
      <c r="B63" s="21"/>
    </row>
    <row r="64" spans="2:33">
      <c r="B64" s="21"/>
    </row>
    <row r="65" spans="2:2">
      <c r="B65" s="21"/>
    </row>
    <row r="66" spans="2:2">
      <c r="B66" s="21"/>
    </row>
    <row r="67" spans="2:2">
      <c r="B67" s="21"/>
    </row>
    <row r="68" spans="2:2">
      <c r="B68" s="21"/>
    </row>
    <row r="69" spans="2:2">
      <c r="B69" s="21"/>
    </row>
    <row r="70" spans="2:2">
      <c r="B70" s="21"/>
    </row>
    <row r="71" spans="2:2">
      <c r="B71" s="21"/>
    </row>
    <row r="72" spans="2:2">
      <c r="B72" s="21"/>
    </row>
    <row r="73" spans="2:2">
      <c r="B73" s="21"/>
    </row>
    <row r="74" spans="2:2">
      <c r="B74" s="21"/>
    </row>
    <row r="75" spans="2:2">
      <c r="B75" s="21"/>
    </row>
    <row r="76" spans="2:2">
      <c r="B76" s="21"/>
    </row>
    <row r="77" spans="2:2">
      <c r="B77" s="21"/>
    </row>
    <row r="78" spans="2:2">
      <c r="B78" s="21"/>
    </row>
    <row r="79" spans="2:2">
      <c r="B79" s="21"/>
    </row>
    <row r="80" spans="2:2">
      <c r="B80" s="21"/>
    </row>
    <row r="81" spans="2:2">
      <c r="B81" s="21"/>
    </row>
    <row r="82" spans="2:2">
      <c r="B82" s="21"/>
    </row>
  </sheetData>
  <phoneticPr fontId="37"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56F69-933D-4AAD-B453-4060C4A099C8}">
  <dimension ref="A1:AI26"/>
  <sheetViews>
    <sheetView zoomScale="68" zoomScaleNormal="68" workbookViewId="0">
      <pane xSplit="1" ySplit="1" topLeftCell="B2" activePane="bottomRight" state="frozen"/>
      <selection pane="topRight" activeCell="B1" sqref="B1"/>
      <selection pane="bottomLeft" activeCell="A2" sqref="A2"/>
      <selection pane="bottomRight" activeCell="B2" sqref="B2"/>
    </sheetView>
  </sheetViews>
  <sheetFormatPr defaultColWidth="9.125" defaultRowHeight="16.5"/>
  <cols>
    <col min="1" max="1" width="39.875" customWidth="1"/>
    <col min="2" max="16" width="11.5" customWidth="1"/>
    <col min="17" max="17" width="13.375" customWidth="1"/>
    <col min="18" max="33" width="11.5" customWidth="1"/>
    <col min="34" max="35" width="9.5" bestFit="1" customWidth="1"/>
  </cols>
  <sheetData>
    <row r="1" spans="1:35">
      <c r="A1" s="24" t="s">
        <v>27</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1"/>
      <c r="AH1" s="11"/>
      <c r="AI1" s="11"/>
    </row>
    <row r="2" spans="1:35">
      <c r="A2" t="s">
        <v>2</v>
      </c>
      <c r="B2" s="16">
        <f>'KEEI BAU - Industry'!R56*'Others Split'!$H$6</f>
        <v>24458561772904.477</v>
      </c>
      <c r="C2" s="16">
        <f>'KEEI BAU - Industry'!S56*'Others Split'!$H$6</f>
        <v>25545826135020.988</v>
      </c>
      <c r="D2" s="16">
        <f>'KEEI BAU - Industry'!T56*'Others Split'!$H$6</f>
        <v>26633090497137.492</v>
      </c>
      <c r="E2" s="16">
        <f>'KEEI BAU - Industry'!U56*'Others Split'!$H$6</f>
        <v>27720354859254</v>
      </c>
      <c r="F2" s="16">
        <f>'KEEI BAU - Industry'!V56*'Others Split'!$H$6</f>
        <v>28807619221370.512</v>
      </c>
      <c r="G2" s="16">
        <f>'KEEI BAU - Industry'!W56*'Others Split'!$H$6</f>
        <v>29894883583487.02</v>
      </c>
      <c r="H2" s="16">
        <f>'KEEI BAU - Industry'!X56*'Others Split'!$H$6</f>
        <v>30698221735902.77</v>
      </c>
      <c r="I2" s="16">
        <f>'KEEI BAU - Industry'!Y56*'Others Split'!$H$6</f>
        <v>31501559888318.516</v>
      </c>
      <c r="J2" s="16">
        <f>'KEEI BAU - Industry'!Z56*'Others Split'!$H$6</f>
        <v>32304898040734.004</v>
      </c>
      <c r="K2" s="16">
        <f>'KEEI BAU - Industry'!AA56*'Others Split'!$H$6</f>
        <v>33108236193149.75</v>
      </c>
      <c r="L2" s="16">
        <f>'KEEI BAU - Industry'!AB56*'Others Split'!$H$6</f>
        <v>33911574345565.109</v>
      </c>
      <c r="M2" s="16">
        <f>'KEEI BAU - Industry'!AC56*'Others Split'!$H$6</f>
        <v>34629483841157.801</v>
      </c>
      <c r="N2" s="16">
        <f>'KEEI BAU - Industry'!AD56*'Others Split'!$H$6</f>
        <v>35347393336750.102</v>
      </c>
      <c r="O2" s="16">
        <f>'KEEI BAU - Industry'!AE56*'Others Split'!$H$6</f>
        <v>36065302832342.664</v>
      </c>
      <c r="P2" s="16">
        <f>'KEEI BAU - Industry'!AF56*'Others Split'!$H$6</f>
        <v>36783212327934.969</v>
      </c>
      <c r="Q2" s="16">
        <f>'KEEI BAU - Industry'!AG56*'Others Split'!$H$6</f>
        <v>37501121823527.273</v>
      </c>
      <c r="R2" s="16">
        <f>'KEEI BAU - Industry'!AH56*'Others Split'!$H$6</f>
        <v>38234470233003.539</v>
      </c>
      <c r="S2" s="16">
        <f>'KEEI BAU - Industry'!AI56*'Others Split'!$H$6</f>
        <v>38967818642479.813</v>
      </c>
      <c r="T2" s="16">
        <f>'KEEI BAU - Industry'!AJ56*'Others Split'!$H$6</f>
        <v>39701167051955.82</v>
      </c>
      <c r="U2" s="16">
        <f>'KEEI BAU - Industry'!AK56*'Others Split'!$H$6</f>
        <v>40434515461432.094</v>
      </c>
      <c r="V2" s="16">
        <f>'KEEI BAU - Industry'!AL56*'Others Split'!$H$6</f>
        <v>41167863870907.977</v>
      </c>
      <c r="W2" s="16">
        <f>'KEEI BAU - Industry'!AM56*'Others Split'!$H$6</f>
        <v>41880627061872.5</v>
      </c>
      <c r="X2" s="16">
        <f>'KEEI BAU - Industry'!AN56*'Others Split'!$H$6</f>
        <v>42607425629095.031</v>
      </c>
      <c r="Y2" s="16">
        <f>'KEEI BAU - Industry'!AO56*'Others Split'!$H$6</f>
        <v>43334224196317.563</v>
      </c>
      <c r="Z2" s="16">
        <f>'KEEI BAU - Industry'!AP56*'Others Split'!$H$6</f>
        <v>44061022763539.828</v>
      </c>
      <c r="AA2" s="16">
        <f>'KEEI BAU - Industry'!AQ56*'Others Split'!$H$6</f>
        <v>44787821330762.359</v>
      </c>
      <c r="AB2" s="16">
        <f>'KEEI BAU - Industry'!AR56*'Others Split'!$H$6</f>
        <v>45514619897984.891</v>
      </c>
      <c r="AC2" s="16">
        <f>'KEEI BAU - Industry'!AS56*'Others Split'!$H$6</f>
        <v>46241418465207.156</v>
      </c>
      <c r="AD2" s="16">
        <f>'KEEI BAU - Industry'!AT56*'Others Split'!$H$6</f>
        <v>46968217032429.688</v>
      </c>
      <c r="AE2" s="16">
        <f>'KEEI BAU - Industry'!AU56*'Others Split'!$H$6</f>
        <v>47695015599652.211</v>
      </c>
      <c r="AF2" s="16">
        <f>'KEEI BAU - Industry'!AV56*'Others Split'!$H$6</f>
        <v>48421814166874.484</v>
      </c>
    </row>
    <row r="3" spans="1:35">
      <c r="A3" t="s">
        <v>3</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c r="AC3" s="16">
        <v>0</v>
      </c>
      <c r="AD3" s="16">
        <v>0</v>
      </c>
      <c r="AE3" s="16">
        <v>0</v>
      </c>
      <c r="AF3" s="16">
        <v>0</v>
      </c>
    </row>
    <row r="4" spans="1:35">
      <c r="A4" t="s">
        <v>4</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c r="AC4" s="16">
        <v>0</v>
      </c>
      <c r="AD4" s="16">
        <v>0</v>
      </c>
      <c r="AE4" s="16">
        <v>0</v>
      </c>
      <c r="AF4" s="16">
        <v>0</v>
      </c>
    </row>
    <row r="5" spans="1:35">
      <c r="A5" t="s">
        <v>5</v>
      </c>
      <c r="B5" s="16">
        <f>'KEEI BAU - Industry'!R$56*'Others Split'!$H$7</f>
        <v>10913154458.729464</v>
      </c>
      <c r="C5" s="16">
        <f>'KEEI BAU - Industry'!S$56*'Others Split'!$H$7</f>
        <v>11398280445.752716</v>
      </c>
      <c r="D5" s="16">
        <f>'KEEI BAU - Industry'!T$56*'Others Split'!$H$7</f>
        <v>11883406432.775965</v>
      </c>
      <c r="E5" s="16">
        <f>'KEEI BAU - Industry'!U$56*'Others Split'!$H$7</f>
        <v>12368532419.799213</v>
      </c>
      <c r="F5" s="16">
        <f>'KEEI BAU - Industry'!V$56*'Others Split'!$H$7</f>
        <v>12853658406.822464</v>
      </c>
      <c r="G5" s="16">
        <f>'KEEI BAU - Industry'!W$56*'Others Split'!$H$7</f>
        <v>13338784393.845715</v>
      </c>
      <c r="H5" s="16">
        <f>'KEEI BAU - Industry'!X$56*'Others Split'!$H$7</f>
        <v>13697225475.594666</v>
      </c>
      <c r="I5" s="16">
        <f>'KEEI BAU - Industry'!Y$56*'Others Split'!$H$7</f>
        <v>14055666557.343616</v>
      </c>
      <c r="J5" s="16">
        <f>'KEEI BAU - Industry'!Z$56*'Others Split'!$H$7</f>
        <v>14414107639.092451</v>
      </c>
      <c r="K5" s="16">
        <f>'KEEI BAU - Industry'!AA$56*'Others Split'!$H$7</f>
        <v>14772548720.8414</v>
      </c>
      <c r="L5" s="16">
        <f>'KEEI BAU - Industry'!AB$56*'Others Split'!$H$7</f>
        <v>15130989802.590178</v>
      </c>
      <c r="M5" s="16">
        <f>'KEEI BAU - Industry'!AC$56*'Others Split'!$H$7</f>
        <v>15451313511.135908</v>
      </c>
      <c r="N5" s="16">
        <f>'KEEI BAU - Industry'!AD$56*'Others Split'!$H$7</f>
        <v>15771637219.681465</v>
      </c>
      <c r="O5" s="16">
        <f>'KEEI BAU - Industry'!AE$56*'Others Split'!$H$7</f>
        <v>16091960928.227139</v>
      </c>
      <c r="P5" s="16">
        <f>'KEEI BAU - Industry'!AF$56*'Others Split'!$H$7</f>
        <v>16412284636.772696</v>
      </c>
      <c r="Q5" s="16">
        <f>'KEEI BAU - Industry'!AG$56*'Others Split'!$H$7</f>
        <v>16732608345.318253</v>
      </c>
      <c r="R5" s="16">
        <f>'KEEI BAU - Industry'!AH$56*'Others Split'!$H$7</f>
        <v>17059820735.768131</v>
      </c>
      <c r="S5" s="16">
        <f>'KEEI BAU - Industry'!AI$56*'Others Split'!$H$7</f>
        <v>17387033126.21801</v>
      </c>
      <c r="T5" s="16">
        <f>'KEEI BAU - Industry'!AJ$56*'Others Split'!$H$7</f>
        <v>17714245516.667774</v>
      </c>
      <c r="U5" s="16">
        <f>'KEEI BAU - Industry'!AK$56*'Others Split'!$H$7</f>
        <v>18041457907.117657</v>
      </c>
      <c r="V5" s="16">
        <f>'KEEI BAU - Industry'!AL$56*'Others Split'!$H$7</f>
        <v>18368670297.56736</v>
      </c>
      <c r="W5" s="16">
        <f>'KEEI BAU - Industry'!AM$56*'Others Split'!$H$7</f>
        <v>18686697778.811573</v>
      </c>
      <c r="X5" s="16">
        <f>'KEEI BAU - Industry'!AN$56*'Others Split'!$H$7</f>
        <v>19010987698.150558</v>
      </c>
      <c r="Y5" s="16">
        <f>'KEEI BAU - Industry'!AO$56*'Others Split'!$H$7</f>
        <v>19335277617.48954</v>
      </c>
      <c r="Z5" s="16">
        <f>'KEEI BAU - Industry'!AP$56*'Others Split'!$H$7</f>
        <v>19659567536.828407</v>
      </c>
      <c r="AA5" s="16">
        <f>'KEEI BAU - Industry'!AQ$56*'Others Split'!$H$7</f>
        <v>19983857456.167389</v>
      </c>
      <c r="AB5" s="16">
        <f>'KEEI BAU - Industry'!AR$56*'Others Split'!$H$7</f>
        <v>20308147375.506374</v>
      </c>
      <c r="AC5" s="16">
        <f>'KEEI BAU - Industry'!AS$56*'Others Split'!$H$7</f>
        <v>20632437294.845242</v>
      </c>
      <c r="AD5" s="16">
        <f>'KEEI BAU - Industry'!AT$56*'Others Split'!$H$7</f>
        <v>20956727214.184223</v>
      </c>
      <c r="AE5" s="16">
        <f>'KEEI BAU - Industry'!AU$56*'Others Split'!$H$7</f>
        <v>21281017133.523205</v>
      </c>
      <c r="AF5" s="16">
        <f>'KEEI BAU - Industry'!AV$56*'Others Split'!$H$7</f>
        <v>21605307052.862072</v>
      </c>
    </row>
    <row r="6" spans="1:35">
      <c r="A6" t="s">
        <v>6</v>
      </c>
      <c r="B6" s="16">
        <f>'KEEI BAU - Industry'!R$56*'Others Split'!$H$8</f>
        <v>9241441081559.7559</v>
      </c>
      <c r="C6" s="16">
        <f>'KEEI BAU - Industry'!S$56*'Others Split'!$H$8</f>
        <v>9652253852804.1621</v>
      </c>
      <c r="D6" s="16">
        <f>'KEEI BAU - Industry'!T$56*'Others Split'!$H$8</f>
        <v>10063066624048.566</v>
      </c>
      <c r="E6" s="16">
        <f>'KEEI BAU - Industry'!U$56*'Others Split'!$H$8</f>
        <v>10473879395292.971</v>
      </c>
      <c r="F6" s="16">
        <f>'KEEI BAU - Industry'!V$56*'Others Split'!$H$8</f>
        <v>10884692166537.377</v>
      </c>
      <c r="G6" s="16">
        <f>'KEEI BAU - Industry'!W$56*'Others Split'!$H$8</f>
        <v>11295504937781.783</v>
      </c>
      <c r="H6" s="16">
        <f>'KEEI BAU - Industry'!X$56*'Others Split'!$H$8</f>
        <v>11599038819824.822</v>
      </c>
      <c r="I6" s="16">
        <f>'KEEI BAU - Industry'!Y$56*'Others Split'!$H$8</f>
        <v>11902572701867.863</v>
      </c>
      <c r="J6" s="16">
        <f>'KEEI BAU - Industry'!Z$56*'Others Split'!$H$8</f>
        <v>12206106583910.805</v>
      </c>
      <c r="K6" s="16">
        <f>'KEEI BAU - Industry'!AA$56*'Others Split'!$H$8</f>
        <v>12509640465953.846</v>
      </c>
      <c r="L6" s="16">
        <f>'KEEI BAU - Industry'!AB$56*'Others Split'!$H$8</f>
        <v>12813174347996.738</v>
      </c>
      <c r="M6" s="16">
        <f>'KEEI BAU - Industry'!AC$56*'Others Split'!$H$8</f>
        <v>13084429803121.74</v>
      </c>
      <c r="N6" s="16">
        <f>'KEEI BAU - Industry'!AD$56*'Others Split'!$H$8</f>
        <v>13355685258246.594</v>
      </c>
      <c r="O6" s="16">
        <f>'KEEI BAU - Industry'!AE$56*'Others Split'!$H$8</f>
        <v>13626940713371.545</v>
      </c>
      <c r="P6" s="16">
        <f>'KEEI BAU - Industry'!AF$56*'Others Split'!$H$8</f>
        <v>13898196168496.398</v>
      </c>
      <c r="Q6" s="16">
        <f>'KEEI BAU - Industry'!AG$56*'Others Split'!$H$8</f>
        <v>14169451623621.252</v>
      </c>
      <c r="R6" s="16">
        <f>'KEEI BAU - Industry'!AH$56*'Others Split'!$H$8</f>
        <v>14446540529394.051</v>
      </c>
      <c r="S6" s="16">
        <f>'KEEI BAU - Industry'!AI$56*'Others Split'!$H$8</f>
        <v>14723629435166.85</v>
      </c>
      <c r="T6" s="16">
        <f>'KEEI BAU - Industry'!AJ$56*'Others Split'!$H$8</f>
        <v>15000718340939.551</v>
      </c>
      <c r="U6" s="16">
        <f>'KEEI BAU - Industry'!AK$56*'Others Split'!$H$8</f>
        <v>15277807246712.35</v>
      </c>
      <c r="V6" s="16">
        <f>'KEEI BAU - Industry'!AL$56*'Others Split'!$H$8</f>
        <v>15554896152485.002</v>
      </c>
      <c r="W6" s="16">
        <f>'KEEI BAU - Industry'!AM$56*'Others Split'!$H$8</f>
        <v>15824207124060.621</v>
      </c>
      <c r="X6" s="16">
        <f>'KEEI BAU - Industry'!AN$56*'Others Split'!$H$8</f>
        <v>16098821232588.861</v>
      </c>
      <c r="Y6" s="16">
        <f>'KEEI BAU - Industry'!AO$56*'Others Split'!$H$8</f>
        <v>16373435341117.102</v>
      </c>
      <c r="Z6" s="16">
        <f>'KEEI BAU - Industry'!AP$56*'Others Split'!$H$8</f>
        <v>16648049449645.242</v>
      </c>
      <c r="AA6" s="16">
        <f>'KEEI BAU - Industry'!AQ$56*'Others Split'!$H$8</f>
        <v>16922663558173.482</v>
      </c>
      <c r="AB6" s="16">
        <f>'KEEI BAU - Industry'!AR$56*'Others Split'!$H$8</f>
        <v>17197277666701.723</v>
      </c>
      <c r="AC6" s="16">
        <f>'KEEI BAU - Industry'!AS$56*'Others Split'!$H$8</f>
        <v>17471891775229.863</v>
      </c>
      <c r="AD6" s="16">
        <f>'KEEI BAU - Industry'!AT$56*'Others Split'!$H$8</f>
        <v>17746505883758.102</v>
      </c>
      <c r="AE6" s="16">
        <f>'KEEI BAU - Industry'!AU$56*'Others Split'!$H$8</f>
        <v>18021119992286.344</v>
      </c>
      <c r="AF6" s="16">
        <f>'KEEI BAU - Industry'!AV$56*'Others Split'!$H$8</f>
        <v>18295734100814.484</v>
      </c>
    </row>
    <row r="7" spans="1:35">
      <c r="A7" t="s">
        <v>7</v>
      </c>
      <c r="B7" s="16">
        <f>'KEEI BAU - Industry'!R$56*'Others Split'!$H$9</f>
        <v>19941789028343.996</v>
      </c>
      <c r="C7" s="16">
        <f>'KEEI BAU - Industry'!S$56*'Others Split'!$H$9</f>
        <v>20828267829864.699</v>
      </c>
      <c r="D7" s="16">
        <f>'KEEI BAU - Industry'!T$56*'Others Split'!$H$9</f>
        <v>21714746631385.402</v>
      </c>
      <c r="E7" s="16">
        <f>'KEEI BAU - Industry'!U$56*'Others Split'!$H$9</f>
        <v>22601225432906.102</v>
      </c>
      <c r="F7" s="16">
        <f>'KEEI BAU - Industry'!V$56*'Others Split'!$H$9</f>
        <v>23487704234426.805</v>
      </c>
      <c r="G7" s="16">
        <f>'KEEI BAU - Industry'!W$56*'Others Split'!$H$9</f>
        <v>24374183035947.508</v>
      </c>
      <c r="H7" s="16">
        <f>'KEEI BAU - Industry'!X$56*'Others Split'!$H$9</f>
        <v>25029168398645.395</v>
      </c>
      <c r="I7" s="16">
        <f>'KEEI BAU - Industry'!Y$56*'Others Split'!$H$9</f>
        <v>25684153761343.281</v>
      </c>
      <c r="J7" s="16">
        <f>'KEEI BAU - Industry'!Z$56*'Others Split'!$H$9</f>
        <v>26339139124040.957</v>
      </c>
      <c r="K7" s="16">
        <f>'KEEI BAU - Industry'!AA$56*'Others Split'!$H$9</f>
        <v>26994124486738.844</v>
      </c>
      <c r="L7" s="16">
        <f>'KEEI BAU - Industry'!AB$56*'Others Split'!$H$9</f>
        <v>27649109849436.41</v>
      </c>
      <c r="M7" s="16">
        <f>'KEEI BAU - Industry'!AC$56*'Others Split'!$H$9</f>
        <v>28234442700790.5</v>
      </c>
      <c r="N7" s="16">
        <f>'KEEI BAU - Industry'!AD$56*'Others Split'!$H$9</f>
        <v>28819775552144.273</v>
      </c>
      <c r="O7" s="16">
        <f>'KEEI BAU - Industry'!AE$56*'Others Split'!$H$9</f>
        <v>29405108403498.258</v>
      </c>
      <c r="P7" s="16">
        <f>'KEEI BAU - Industry'!AF$56*'Others Split'!$H$9</f>
        <v>29990441254852.027</v>
      </c>
      <c r="Q7" s="16">
        <f>'KEEI BAU - Industry'!AG$56*'Others Split'!$H$9</f>
        <v>30575774106205.801</v>
      </c>
      <c r="R7" s="16">
        <f>'KEEI BAU - Industry'!AH$56*'Others Split'!$H$9</f>
        <v>31173694760814.707</v>
      </c>
      <c r="S7" s="16">
        <f>'KEEI BAU - Industry'!AI$56*'Others Split'!$H$9</f>
        <v>31771615415423.613</v>
      </c>
      <c r="T7" s="16">
        <f>'KEEI BAU - Industry'!AJ$56*'Others Split'!$H$9</f>
        <v>32369536070032.309</v>
      </c>
      <c r="U7" s="16">
        <f>'KEEI BAU - Industry'!AK$56*'Others Split'!$H$9</f>
        <v>32967456724641.215</v>
      </c>
      <c r="V7" s="16">
        <f>'KEEI BAU - Industry'!AL$56*'Others Split'!$H$9</f>
        <v>33565377379249.801</v>
      </c>
      <c r="W7" s="16">
        <f>'KEEI BAU - Industry'!AM$56*'Others Split'!$H$9</f>
        <v>34146514296185.371</v>
      </c>
      <c r="X7" s="16">
        <f>'KEEI BAU - Industry'!AN$56*'Others Split'!$H$9</f>
        <v>34739094670625.484</v>
      </c>
      <c r="Y7" s="16">
        <f>'KEEI BAU - Industry'!AO$56*'Others Split'!$H$9</f>
        <v>35331675045065.602</v>
      </c>
      <c r="Z7" s="16">
        <f>'KEEI BAU - Industry'!AP$56*'Others Split'!$H$9</f>
        <v>35924255419505.5</v>
      </c>
      <c r="AA7" s="16">
        <f>'KEEI BAU - Industry'!AQ$56*'Others Split'!$H$9</f>
        <v>36516835793945.609</v>
      </c>
      <c r="AB7" s="16">
        <f>'KEEI BAU - Industry'!AR$56*'Others Split'!$H$9</f>
        <v>37109416168385.727</v>
      </c>
      <c r="AC7" s="16">
        <f>'KEEI BAU - Industry'!AS$56*'Others Split'!$H$9</f>
        <v>37701996542825.625</v>
      </c>
      <c r="AD7" s="16">
        <f>'KEEI BAU - Industry'!AT$56*'Others Split'!$H$9</f>
        <v>38294576917265.734</v>
      </c>
      <c r="AE7" s="16">
        <f>'KEEI BAU - Industry'!AU$56*'Others Split'!$H$9</f>
        <v>38887157291705.852</v>
      </c>
      <c r="AF7" s="16">
        <f>'KEEI BAU - Industry'!AV$56*'Others Split'!$H$9</f>
        <v>39479737666145.75</v>
      </c>
    </row>
    <row r="8" spans="1:35">
      <c r="A8" t="s">
        <v>8</v>
      </c>
      <c r="B8" s="16">
        <f>'KEEI BAU - Industry'!R$56*'Others Split'!$H$10</f>
        <v>12298579417265.172</v>
      </c>
      <c r="C8" s="16">
        <f>'KEEI BAU - Industry'!S$56*'Others Split'!$H$10</f>
        <v>12845292148341.025</v>
      </c>
      <c r="D8" s="16">
        <f>'KEEI BAU - Industry'!T$56*'Others Split'!$H$10</f>
        <v>13392004879416.875</v>
      </c>
      <c r="E8" s="16">
        <f>'KEEI BAU - Industry'!U$56*'Others Split'!$H$10</f>
        <v>13938717610492.727</v>
      </c>
      <c r="F8" s="16">
        <f>'KEEI BAU - Industry'!V$56*'Others Split'!$H$10</f>
        <v>14485430341568.578</v>
      </c>
      <c r="G8" s="16">
        <f>'KEEI BAU - Industry'!W$56*'Others Split'!$H$10</f>
        <v>15032143072644.432</v>
      </c>
      <c r="H8" s="16">
        <f>'KEEI BAU - Industry'!X$56*'Others Split'!$H$10</f>
        <v>15436088249721.412</v>
      </c>
      <c r="I8" s="16">
        <f>'KEEI BAU - Industry'!Y$56*'Others Split'!$H$10</f>
        <v>15840033426798.391</v>
      </c>
      <c r="J8" s="16">
        <f>'KEEI BAU - Industry'!Z$56*'Others Split'!$H$10</f>
        <v>16243978603875.24</v>
      </c>
      <c r="K8" s="16">
        <f>'KEEI BAU - Industry'!AA$56*'Others Split'!$H$10</f>
        <v>16647923780952.221</v>
      </c>
      <c r="L8" s="16">
        <f>'KEEI BAU - Industry'!AB$56*'Others Split'!$H$10</f>
        <v>17051868958029.004</v>
      </c>
      <c r="M8" s="16">
        <f>'KEEI BAU - Industry'!AC$56*'Others Split'!$H$10</f>
        <v>17412857761374.615</v>
      </c>
      <c r="N8" s="16">
        <f>'KEEI BAU - Industry'!AD$56*'Others Split'!$H$10</f>
        <v>17773846564720.031</v>
      </c>
      <c r="O8" s="16">
        <f>'KEEI BAU - Industry'!AE$56*'Others Split'!$H$10</f>
        <v>18134835368065.578</v>
      </c>
      <c r="P8" s="16">
        <f>'KEEI BAU - Industry'!AF$56*'Others Split'!$H$10</f>
        <v>18495824171410.992</v>
      </c>
      <c r="Q8" s="16">
        <f>'KEEI BAU - Industry'!AG$56*'Others Split'!$H$10</f>
        <v>18856812974756.406</v>
      </c>
      <c r="R8" s="16">
        <f>'KEEI BAU - Industry'!AH$56*'Others Split'!$H$10</f>
        <v>19225564978173.898</v>
      </c>
      <c r="S8" s="16">
        <f>'KEEI BAU - Industry'!AI$56*'Others Split'!$H$10</f>
        <v>19594316981591.391</v>
      </c>
      <c r="T8" s="16">
        <f>'KEEI BAU - Industry'!AJ$56*'Others Split'!$H$10</f>
        <v>19963068985008.754</v>
      </c>
      <c r="U8" s="16">
        <f>'KEEI BAU - Industry'!AK$56*'Others Split'!$H$10</f>
        <v>20331820988426.246</v>
      </c>
      <c r="V8" s="16">
        <f>'KEEI BAU - Industry'!AL$56*'Others Split'!$H$10</f>
        <v>20700572991843.543</v>
      </c>
      <c r="W8" s="16">
        <f>'KEEI BAU - Industry'!AM$56*'Others Split'!$H$10</f>
        <v>21058974061831.707</v>
      </c>
      <c r="X8" s="16">
        <f>'KEEI BAU - Industry'!AN$56*'Others Split'!$H$10</f>
        <v>21424432586430.773</v>
      </c>
      <c r="Y8" s="16">
        <f>'KEEI BAU - Industry'!AO$56*'Others Split'!$H$10</f>
        <v>21789891111029.84</v>
      </c>
      <c r="Z8" s="16">
        <f>'KEEI BAU - Industry'!AP$56*'Others Split'!$H$10</f>
        <v>22155349635628.777</v>
      </c>
      <c r="AA8" s="16">
        <f>'KEEI BAU - Industry'!AQ$56*'Others Split'!$H$10</f>
        <v>22520808160227.844</v>
      </c>
      <c r="AB8" s="16">
        <f>'KEEI BAU - Industry'!AR$56*'Others Split'!$H$10</f>
        <v>22886266684826.91</v>
      </c>
      <c r="AC8" s="16">
        <f>'KEEI BAU - Industry'!AS$56*'Others Split'!$H$10</f>
        <v>23251725209425.848</v>
      </c>
      <c r="AD8" s="16">
        <f>'KEEI BAU - Industry'!AT$56*'Others Split'!$H$10</f>
        <v>23617183734024.914</v>
      </c>
      <c r="AE8" s="16">
        <f>'KEEI BAU - Industry'!AU$56*'Others Split'!$H$10</f>
        <v>23982642258623.98</v>
      </c>
      <c r="AF8" s="16">
        <f>'KEEI BAU - Industry'!AV$56*'Others Split'!$H$10</f>
        <v>24348100783222.918</v>
      </c>
    </row>
    <row r="9" spans="1:35">
      <c r="A9" t="s">
        <v>9</v>
      </c>
      <c r="B9" s="16">
        <f>'KEEI BAU - Industry'!R$56*'Others Split'!$H$11</f>
        <v>109162828963409.66</v>
      </c>
      <c r="C9" s="16">
        <f>'KEEI BAU - Industry'!S$56*'Others Split'!$H$11</f>
        <v>114015479528138.31</v>
      </c>
      <c r="D9" s="16">
        <f>'KEEI BAU - Industry'!T$56*'Others Split'!$H$11</f>
        <v>118868130092866.94</v>
      </c>
      <c r="E9" s="16">
        <f>'KEEI BAU - Industry'!U$56*'Others Split'!$H$11</f>
        <v>123720780657595.56</v>
      </c>
      <c r="F9" s="16">
        <f>'KEEI BAU - Industry'!V$56*'Others Split'!$H$11</f>
        <v>128573431222324.2</v>
      </c>
      <c r="G9" s="16">
        <f>'KEEI BAU - Industry'!W$56*'Others Split'!$H$11</f>
        <v>133426081787052.84</v>
      </c>
      <c r="H9" s="16">
        <f>'KEEI BAU - Industry'!X$56*'Others Split'!$H$11</f>
        <v>137011520135643.36</v>
      </c>
      <c r="I9" s="16">
        <f>'KEEI BAU - Industry'!Y$56*'Others Split'!$H$11</f>
        <v>140596958484233.88</v>
      </c>
      <c r="J9" s="16">
        <f>'KEEI BAU - Industry'!Z$56*'Others Split'!$H$11</f>
        <v>144182396832823.25</v>
      </c>
      <c r="K9" s="16">
        <f>'KEEI BAU - Industry'!AA$56*'Others Split'!$H$11</f>
        <v>147767835181413.75</v>
      </c>
      <c r="L9" s="16">
        <f>'KEEI BAU - Industry'!AB$56*'Others Split'!$H$11</f>
        <v>151353273530002.53</v>
      </c>
      <c r="M9" s="16">
        <f>'KEEI BAU - Industry'!AC$56*'Others Split'!$H$11</f>
        <v>154557428876757.66</v>
      </c>
      <c r="N9" s="16">
        <f>'KEEI BAU - Industry'!AD$56*'Others Split'!$H$11</f>
        <v>157761584223511.06</v>
      </c>
      <c r="O9" s="16">
        <f>'KEEI BAU - Industry'!AE$56*'Others Split'!$H$11</f>
        <v>160965739570265.63</v>
      </c>
      <c r="P9" s="16">
        <f>'KEEI BAU - Industry'!AF$56*'Others Split'!$H$11</f>
        <v>164169894917019.03</v>
      </c>
      <c r="Q9" s="16">
        <f>'KEEI BAU - Industry'!AG$56*'Others Split'!$H$11</f>
        <v>167374050263772.44</v>
      </c>
      <c r="R9" s="16">
        <f>'KEEI BAU - Industry'!AH$56*'Others Split'!$H$11</f>
        <v>170647112177123.84</v>
      </c>
      <c r="S9" s="16">
        <f>'KEEI BAU - Industry'!AI$56*'Others Split'!$H$11</f>
        <v>173920174090475.28</v>
      </c>
      <c r="T9" s="16">
        <f>'KEEI BAU - Industry'!AJ$56*'Others Split'!$H$11</f>
        <v>177193236003825.53</v>
      </c>
      <c r="U9" s="16">
        <f>'KEEI BAU - Industry'!AK$56*'Others Split'!$H$11</f>
        <v>180466297917176.94</v>
      </c>
      <c r="V9" s="16">
        <f>'KEEI BAU - Industry'!AL$56*'Others Split'!$H$11</f>
        <v>183739359830526.63</v>
      </c>
      <c r="W9" s="16">
        <f>'KEEI BAU - Industry'!AM$56*'Others Split'!$H$11</f>
        <v>186920546321748.31</v>
      </c>
      <c r="X9" s="16">
        <f>'KEEI BAU - Industry'!AN$56*'Others Split'!$H$11</f>
        <v>190164375146240.25</v>
      </c>
      <c r="Y9" s="16">
        <f>'KEEI BAU - Industry'!AO$56*'Others Split'!$H$11</f>
        <v>193408203970732.19</v>
      </c>
      <c r="Z9" s="16">
        <f>'KEEI BAU - Industry'!AP$56*'Others Split'!$H$11</f>
        <v>196652032795222.97</v>
      </c>
      <c r="AA9" s="16">
        <f>'KEEI BAU - Industry'!AQ$56*'Others Split'!$H$11</f>
        <v>199895861619714.91</v>
      </c>
      <c r="AB9" s="16">
        <f>'KEEI BAU - Industry'!AR$56*'Others Split'!$H$11</f>
        <v>203139690444206.84</v>
      </c>
      <c r="AC9" s="16">
        <f>'KEEI BAU - Industry'!AS$56*'Others Split'!$H$11</f>
        <v>206383519268697.63</v>
      </c>
      <c r="AD9" s="16">
        <f>'KEEI BAU - Industry'!AT$56*'Others Split'!$H$11</f>
        <v>209627348093189.56</v>
      </c>
      <c r="AE9" s="16">
        <f>'KEEI BAU - Industry'!AU$56*'Others Split'!$H$11</f>
        <v>212871176917681.5</v>
      </c>
      <c r="AF9" s="16">
        <f>'KEEI BAU - Industry'!AV$56*'Others Split'!$H$11</f>
        <v>216115005742172.25</v>
      </c>
    </row>
    <row r="10" spans="1:35">
      <c r="A10" t="s">
        <v>10</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c r="AC10" s="16">
        <v>0</v>
      </c>
      <c r="AD10" s="16">
        <v>0</v>
      </c>
      <c r="AE10" s="16">
        <v>0</v>
      </c>
      <c r="AF10" s="16">
        <v>0</v>
      </c>
    </row>
    <row r="11" spans="1:35">
      <c r="A11" t="s">
        <v>11</v>
      </c>
      <c r="B11" s="16">
        <f>'KEEI BAU - Industry'!R$14*'Petrochemicals Split'!$H$6</f>
        <v>0</v>
      </c>
      <c r="C11" s="16">
        <f>'KEEI BAU - Industry'!S$14*'Petrochemicals Split'!$H$6</f>
        <v>0</v>
      </c>
      <c r="D11" s="16">
        <f>'KEEI BAU - Industry'!T$14*'Petrochemicals Split'!$H$6</f>
        <v>0</v>
      </c>
      <c r="E11" s="16">
        <f>'KEEI BAU - Industry'!U$14*'Petrochemicals Split'!$H$6</f>
        <v>0</v>
      </c>
      <c r="F11" s="16">
        <f>'KEEI BAU - Industry'!V$14*'Petrochemicals Split'!$H$6</f>
        <v>0</v>
      </c>
      <c r="G11" s="16">
        <f>'KEEI BAU - Industry'!W$14*'Petrochemicals Split'!$H$6</f>
        <v>168859267967.55646</v>
      </c>
      <c r="H11" s="16">
        <f>'KEEI BAU - Industry'!X$14*'Petrochemicals Split'!$H$6</f>
        <v>144960831774.81714</v>
      </c>
      <c r="I11" s="16">
        <f>'KEEI BAU - Industry'!Y$14*'Petrochemicals Split'!$H$6</f>
        <v>141696496115.87561</v>
      </c>
      <c r="J11" s="16">
        <f>'KEEI BAU - Industry'!Z$14*'Petrochemicals Split'!$H$6</f>
        <v>1206354927288.4272</v>
      </c>
      <c r="K11" s="16">
        <f>'KEEI BAU - Industry'!AA$14*'Petrochemicals Split'!$H$6</f>
        <v>1174432632361.7402</v>
      </c>
      <c r="L11" s="16">
        <f>'KEEI BAU - Industry'!AB$14*'Petrochemicals Split'!$H$6</f>
        <v>70513386463962.281</v>
      </c>
      <c r="M11" s="16">
        <f>'KEEI BAU - Industry'!AC$14*'Petrochemicals Split'!$H$6</f>
        <v>70003561560026.844</v>
      </c>
      <c r="N11" s="16">
        <f>'KEEI BAU - Industry'!AD$14*'Petrochemicals Split'!$H$6</f>
        <v>69492210531156.695</v>
      </c>
      <c r="O11" s="16">
        <f>'KEEI BAU - Industry'!AE$14*'Petrochemicals Split'!$H$6</f>
        <v>68979307284086.469</v>
      </c>
      <c r="P11" s="16">
        <f>'KEEI BAU - Industry'!AF$14*'Petrochemicals Split'!$H$6</f>
        <v>68464824965404.727</v>
      </c>
      <c r="Q11" s="16">
        <f>'KEEI BAU - Industry'!AG$14*'Petrochemicals Split'!$H$6</f>
        <v>67948735930059.977</v>
      </c>
      <c r="R11" s="16">
        <f>'KEEI BAU - Industry'!AH$14*'Petrochemicals Split'!$H$6</f>
        <v>67903205370420.406</v>
      </c>
      <c r="S11" s="16">
        <f>'KEEI BAU - Industry'!AI$14*'Petrochemicals Split'!$H$6</f>
        <v>67857674810780.836</v>
      </c>
      <c r="T11" s="16">
        <f>'KEEI BAU - Industry'!AJ$14*'Petrochemicals Split'!$H$6</f>
        <v>67812144251141.258</v>
      </c>
      <c r="U11" s="16">
        <f>'KEEI BAU - Industry'!AK$14*'Petrochemicals Split'!$H$6</f>
        <v>67766613691501.688</v>
      </c>
      <c r="V11" s="16">
        <f>'KEEI BAU - Industry'!AL$14*'Petrochemicals Split'!$H$6</f>
        <v>67721083131862.125</v>
      </c>
      <c r="W11" s="16">
        <f>'KEEI BAU - Industry'!AM$14*'Petrochemicals Split'!$H$6</f>
        <v>67652685231083.625</v>
      </c>
      <c r="X11" s="16">
        <f>'KEEI BAU - Industry'!AN$14*'Petrochemicals Split'!$H$6</f>
        <v>67584287330305.109</v>
      </c>
      <c r="Y11" s="16">
        <f>'KEEI BAU - Industry'!AO$14*'Petrochemicals Split'!$H$6</f>
        <v>67515889429526.594</v>
      </c>
      <c r="Z11" s="16">
        <f>'KEEI BAU - Industry'!AP$14*'Petrochemicals Split'!$H$6</f>
        <v>67447491528748.102</v>
      </c>
      <c r="AA11" s="16">
        <f>'KEEI BAU - Industry'!AQ$14*'Petrochemicals Split'!$H$6</f>
        <v>67379093627969.594</v>
      </c>
      <c r="AB11" s="16">
        <f>'KEEI BAU - Industry'!AR$14*'Petrochemicals Split'!$H$6</f>
        <v>67310695727191.078</v>
      </c>
      <c r="AC11" s="16">
        <f>'KEEI BAU - Industry'!AS$14*'Petrochemicals Split'!$H$6</f>
        <v>67242297826412.57</v>
      </c>
      <c r="AD11" s="16">
        <f>'KEEI BAU - Industry'!AT$14*'Petrochemicals Split'!$H$6</f>
        <v>67173899925634.07</v>
      </c>
      <c r="AE11" s="16">
        <f>'KEEI BAU - Industry'!AU$14*'Petrochemicals Split'!$H$6</f>
        <v>67105502024855.57</v>
      </c>
      <c r="AF11" s="16">
        <f>'KEEI BAU - Industry'!AV$14*'Petrochemicals Split'!$H$6</f>
        <v>67037104124077.063</v>
      </c>
    </row>
    <row r="12" spans="1:35">
      <c r="A12" t="s">
        <v>12</v>
      </c>
      <c r="B12" s="16">
        <f>'KEEI BAU - Industry'!R$14*'Petrochemicals Split'!$H$7</f>
        <v>0</v>
      </c>
      <c r="C12" s="16">
        <f>'KEEI BAU - Industry'!S$14*'Petrochemicals Split'!$H$7</f>
        <v>0</v>
      </c>
      <c r="D12" s="16">
        <f>'KEEI BAU - Industry'!T$14*'Petrochemicals Split'!$H$7</f>
        <v>0</v>
      </c>
      <c r="E12" s="16">
        <f>'KEEI BAU - Industry'!U$14*'Petrochemicals Split'!$H$7</f>
        <v>0</v>
      </c>
      <c r="F12" s="16">
        <f>'KEEI BAU - Industry'!V$14*'Petrochemicals Split'!$H$7</f>
        <v>0</v>
      </c>
      <c r="G12" s="16">
        <f>'KEEI BAU - Industry'!W$14*'Petrochemicals Split'!$H$7</f>
        <v>5635473142.1211205</v>
      </c>
      <c r="H12" s="16">
        <f>'KEEI BAU - Industry'!X$14*'Petrochemicals Split'!$H$7</f>
        <v>4837891837.14499</v>
      </c>
      <c r="I12" s="16">
        <f>'KEEI BAU - Industry'!Y$14*'Petrochemicals Split'!$H$7</f>
        <v>4728948596.1002178</v>
      </c>
      <c r="J12" s="16">
        <f>'KEEI BAU - Industry'!Z$14*'Petrochemicals Split'!$H$7</f>
        <v>40260631675.28125</v>
      </c>
      <c r="K12" s="16">
        <f>'KEEI BAU - Industry'!AA$14*'Petrochemicals Split'!$H$7</f>
        <v>39195263822.752251</v>
      </c>
      <c r="L12" s="16">
        <f>'KEEI BAU - Industry'!AB$14*'Petrochemicals Split'!$H$7</f>
        <v>2353298698736.6055</v>
      </c>
      <c r="M12" s="16">
        <f>'KEEI BAU - Industry'!AC$14*'Petrochemicals Split'!$H$7</f>
        <v>2336283911287.3037</v>
      </c>
      <c r="N12" s="16">
        <f>'KEEI BAU - Industry'!AD$14*'Petrochemicals Split'!$H$7</f>
        <v>2319218191270.3994</v>
      </c>
      <c r="O12" s="16">
        <f>'KEEI BAU - Industry'!AE$14*'Petrochemicals Split'!$H$7</f>
        <v>2302100667854.8276</v>
      </c>
      <c r="P12" s="16">
        <f>'KEEI BAU - Industry'!AF$14*'Petrochemicals Split'!$H$7</f>
        <v>2284930444840.5703</v>
      </c>
      <c r="Q12" s="16">
        <f>'KEEI BAU - Industry'!AG$14*'Petrochemicals Split'!$H$7</f>
        <v>2267706599607.584</v>
      </c>
      <c r="R12" s="16">
        <f>'KEEI BAU - Industry'!AH$14*'Petrochemicals Split'!$H$7</f>
        <v>2266187072435.147</v>
      </c>
      <c r="S12" s="16">
        <f>'KEEI BAU - Industry'!AI$14*'Petrochemicals Split'!$H$7</f>
        <v>2264667545262.71</v>
      </c>
      <c r="T12" s="16">
        <f>'KEEI BAU - Industry'!AJ$14*'Petrochemicals Split'!$H$7</f>
        <v>2263148018090.2725</v>
      </c>
      <c r="U12" s="16">
        <f>'KEEI BAU - Industry'!AK$14*'Petrochemicals Split'!$H$7</f>
        <v>2261628490917.8354</v>
      </c>
      <c r="V12" s="16">
        <f>'KEEI BAU - Industry'!AL$14*'Petrochemicals Split'!$H$7</f>
        <v>2260108963745.3989</v>
      </c>
      <c r="W12" s="16">
        <f>'KEEI BAU - Industry'!AM$14*'Petrochemicals Split'!$H$7</f>
        <v>2257826266814.0776</v>
      </c>
      <c r="X12" s="16">
        <f>'KEEI BAU - Industry'!AN$14*'Petrochemicals Split'!$H$7</f>
        <v>2255543569882.7554</v>
      </c>
      <c r="Y12" s="16">
        <f>'KEEI BAU - Industry'!AO$14*'Petrochemicals Split'!$H$7</f>
        <v>2253260872951.4336</v>
      </c>
      <c r="Z12" s="16">
        <f>'KEEI BAU - Industry'!AP$14*'Petrochemicals Split'!$H$7</f>
        <v>2250978176020.1128</v>
      </c>
      <c r="AA12" s="16">
        <f>'KEEI BAU - Industry'!AQ$14*'Petrochemicals Split'!$H$7</f>
        <v>2248695479088.791</v>
      </c>
      <c r="AB12" s="16">
        <f>'KEEI BAU - Industry'!AR$14*'Petrochemicals Split'!$H$7</f>
        <v>2246412782157.4692</v>
      </c>
      <c r="AC12" s="16">
        <f>'KEEI BAU - Industry'!AS$14*'Petrochemicals Split'!$H$7</f>
        <v>2244130085226.1479</v>
      </c>
      <c r="AD12" s="16">
        <f>'KEEI BAU - Industry'!AT$14*'Petrochemicals Split'!$H$7</f>
        <v>2241847388294.8262</v>
      </c>
      <c r="AE12" s="16">
        <f>'KEEI BAU - Industry'!AU$14*'Petrochemicals Split'!$H$7</f>
        <v>2239564691363.5049</v>
      </c>
      <c r="AF12" s="16">
        <f>'KEEI BAU - Industry'!AV$14*'Petrochemicals Split'!$H$7</f>
        <v>2237281994432.1836</v>
      </c>
    </row>
    <row r="13" spans="1:35">
      <c r="A13" t="s">
        <v>13</v>
      </c>
      <c r="B13" s="16">
        <f>'KEEI BAU - Industry'!R$56*'Others Split'!$H$12</f>
        <v>0</v>
      </c>
      <c r="C13" s="16">
        <f>'KEEI BAU - Industry'!S$56*'Others Split'!$H$12</f>
        <v>0</v>
      </c>
      <c r="D13" s="16">
        <f>'KEEI BAU - Industry'!T$56*'Others Split'!$H$12</f>
        <v>0</v>
      </c>
      <c r="E13" s="16">
        <f>'KEEI BAU - Industry'!U$56*'Others Split'!$H$12</f>
        <v>0</v>
      </c>
      <c r="F13" s="16">
        <f>'KEEI BAU - Industry'!V$56*'Others Split'!$H$12</f>
        <v>0</v>
      </c>
      <c r="G13" s="16">
        <f>'KEEI BAU - Industry'!W$56*'Others Split'!$H$12</f>
        <v>0</v>
      </c>
      <c r="H13" s="16">
        <f>'KEEI BAU - Industry'!X$56*'Others Split'!$H$12</f>
        <v>0</v>
      </c>
      <c r="I13" s="16">
        <f>'KEEI BAU - Industry'!Y$56*'Others Split'!$H$12</f>
        <v>0</v>
      </c>
      <c r="J13" s="16">
        <f>'KEEI BAU - Industry'!Z$56*'Others Split'!$H$12</f>
        <v>0</v>
      </c>
      <c r="K13" s="16">
        <f>'KEEI BAU - Industry'!AA$56*'Others Split'!$H$12</f>
        <v>0</v>
      </c>
      <c r="L13" s="16">
        <f>'KEEI BAU - Industry'!AB$56*'Others Split'!$H$12</f>
        <v>0</v>
      </c>
      <c r="M13" s="16">
        <f>'KEEI BAU - Industry'!AC$56*'Others Split'!$H$12</f>
        <v>0</v>
      </c>
      <c r="N13" s="16">
        <f>'KEEI BAU - Industry'!AD$56*'Others Split'!$H$12</f>
        <v>0</v>
      </c>
      <c r="O13" s="16">
        <f>'KEEI BAU - Industry'!AE$56*'Others Split'!$H$12</f>
        <v>0</v>
      </c>
      <c r="P13" s="16">
        <f>'KEEI BAU - Industry'!AF$56*'Others Split'!$H$12</f>
        <v>0</v>
      </c>
      <c r="Q13" s="16">
        <f>'KEEI BAU - Industry'!AG$56*'Others Split'!$H$12</f>
        <v>0</v>
      </c>
      <c r="R13" s="16">
        <f>'KEEI BAU - Industry'!AH$56*'Others Split'!$H$12</f>
        <v>0</v>
      </c>
      <c r="S13" s="16">
        <f>'KEEI BAU - Industry'!AI$56*'Others Split'!$H$12</f>
        <v>0</v>
      </c>
      <c r="T13" s="16">
        <f>'KEEI BAU - Industry'!AJ$56*'Others Split'!$H$12</f>
        <v>0</v>
      </c>
      <c r="U13" s="16">
        <f>'KEEI BAU - Industry'!AK$56*'Others Split'!$H$12</f>
        <v>0</v>
      </c>
      <c r="V13" s="16">
        <f>'KEEI BAU - Industry'!AL$56*'Others Split'!$H$12</f>
        <v>0</v>
      </c>
      <c r="W13" s="16">
        <f>'KEEI BAU - Industry'!AM$56*'Others Split'!$H$12</f>
        <v>0</v>
      </c>
      <c r="X13" s="16">
        <f>'KEEI BAU - Industry'!AN$56*'Others Split'!$H$12</f>
        <v>0</v>
      </c>
      <c r="Y13" s="16">
        <f>'KEEI BAU - Industry'!AO$56*'Others Split'!$H$12</f>
        <v>0</v>
      </c>
      <c r="Z13" s="16">
        <f>'KEEI BAU - Industry'!AP$56*'Others Split'!$H$12</f>
        <v>0</v>
      </c>
      <c r="AA13" s="16">
        <f>'KEEI BAU - Industry'!AQ$56*'Others Split'!$H$12</f>
        <v>0</v>
      </c>
      <c r="AB13" s="16">
        <f>'KEEI BAU - Industry'!AR$56*'Others Split'!$H$12</f>
        <v>0</v>
      </c>
      <c r="AC13" s="16">
        <f>'KEEI BAU - Industry'!AS$56*'Others Split'!$H$12</f>
        <v>0</v>
      </c>
      <c r="AD13" s="16">
        <f>'KEEI BAU - Industry'!AT$56*'Others Split'!$H$12</f>
        <v>0</v>
      </c>
      <c r="AE13" s="16">
        <f>'KEEI BAU - Industry'!AU$56*'Others Split'!$H$12</f>
        <v>0</v>
      </c>
      <c r="AF13" s="16">
        <f>'KEEI BAU - Industry'!AV$56*'Others Split'!$H$12</f>
        <v>0</v>
      </c>
    </row>
    <row r="14" spans="1:35">
      <c r="A14" t="s">
        <v>14</v>
      </c>
      <c r="B14" s="16">
        <f>'KEEI BAU - Industry'!R$56*'Others Split'!$H$13</f>
        <v>127229192398021.02</v>
      </c>
      <c r="C14" s="16">
        <f>'KEEI BAU - Industry'!S$56*'Others Split'!$H$13</f>
        <v>132884952863400.41</v>
      </c>
      <c r="D14" s="16">
        <f>'KEEI BAU - Industry'!T$56*'Others Split'!$H$13</f>
        <v>138540713328779.8</v>
      </c>
      <c r="E14" s="16">
        <f>'KEEI BAU - Industry'!U$56*'Others Split'!$H$13</f>
        <v>144196473794159.19</v>
      </c>
      <c r="F14" s="16">
        <f>'KEEI BAU - Industry'!V$56*'Others Split'!$H$13</f>
        <v>149852234259538.56</v>
      </c>
      <c r="G14" s="16">
        <f>'KEEI BAU - Industry'!W$56*'Others Split'!$H$13</f>
        <v>155507994724917.97</v>
      </c>
      <c r="H14" s="16">
        <f>'KEEI BAU - Industry'!X$56*'Others Split'!$H$13</f>
        <v>159686820336307.81</v>
      </c>
      <c r="I14" s="16">
        <f>'KEEI BAU - Industry'!Y$56*'Others Split'!$H$13</f>
        <v>163865645947697.66</v>
      </c>
      <c r="J14" s="16">
        <f>'KEEI BAU - Industry'!Z$56*'Others Split'!$H$13</f>
        <v>168044471559086.16</v>
      </c>
      <c r="K14" s="16">
        <f>'KEEI BAU - Industry'!AA$56*'Others Split'!$H$13</f>
        <v>172223297170476</v>
      </c>
      <c r="L14" s="16">
        <f>'KEEI BAU - Industry'!AB$56*'Others Split'!$H$13</f>
        <v>176402122781863.84</v>
      </c>
      <c r="M14" s="16">
        <f>'KEEI BAU - Industry'!AC$56*'Others Split'!$H$13</f>
        <v>180136563350659.47</v>
      </c>
      <c r="N14" s="16">
        <f>'KEEI BAU - Industry'!AD$56*'Others Split'!$H$13</f>
        <v>183871003919453.09</v>
      </c>
      <c r="O14" s="16">
        <f>'KEEI BAU - Industry'!AE$56*'Others Split'!$H$13</f>
        <v>187605444488248.06</v>
      </c>
      <c r="P14" s="16">
        <f>'KEEI BAU - Industry'!AF$56*'Others Split'!$H$13</f>
        <v>191339885057041.69</v>
      </c>
      <c r="Q14" s="16">
        <f>'KEEI BAU - Industry'!AG$56*'Others Split'!$H$13</f>
        <v>195074325625835.31</v>
      </c>
      <c r="R14" s="16">
        <f>'KEEI BAU - Industry'!AH$56*'Others Split'!$H$13</f>
        <v>198889076744496.81</v>
      </c>
      <c r="S14" s="16">
        <f>'KEEI BAU - Industry'!AI$56*'Others Split'!$H$13</f>
        <v>202703827863158.34</v>
      </c>
      <c r="T14" s="16">
        <f>'KEEI BAU - Industry'!AJ$56*'Others Split'!$H$13</f>
        <v>206518578981818.5</v>
      </c>
      <c r="U14" s="16">
        <f>'KEEI BAU - Industry'!AK$56*'Others Split'!$H$13</f>
        <v>210333330100480</v>
      </c>
      <c r="V14" s="16">
        <f>'KEEI BAU - Industry'!AL$56*'Others Split'!$H$13</f>
        <v>214148081219139.5</v>
      </c>
      <c r="W14" s="16">
        <f>'KEEI BAU - Industry'!AM$56*'Others Split'!$H$13</f>
        <v>217855751604644.94</v>
      </c>
      <c r="X14" s="16">
        <f>'KEEI BAU - Industry'!AN$56*'Others Split'!$H$13</f>
        <v>221636431580938.59</v>
      </c>
      <c r="Y14" s="16">
        <f>'KEEI BAU - Industry'!AO$56*'Others Split'!$H$13</f>
        <v>225417111557232.22</v>
      </c>
      <c r="Z14" s="16">
        <f>'KEEI BAU - Industry'!AP$56*'Others Split'!$H$13</f>
        <v>229197791533524.53</v>
      </c>
      <c r="AA14" s="16">
        <f>'KEEI BAU - Industry'!AQ$56*'Others Split'!$H$13</f>
        <v>232978471509818.16</v>
      </c>
      <c r="AB14" s="16">
        <f>'KEEI BAU - Industry'!AR$56*'Others Split'!$H$13</f>
        <v>236759151486111.81</v>
      </c>
      <c r="AC14" s="16">
        <f>'KEEI BAU - Industry'!AS$56*'Others Split'!$H$13</f>
        <v>240539831462404.09</v>
      </c>
      <c r="AD14" s="16">
        <f>'KEEI BAU - Industry'!AT$56*'Others Split'!$H$13</f>
        <v>244320511438697.75</v>
      </c>
      <c r="AE14" s="16">
        <f>'KEEI BAU - Industry'!AU$56*'Others Split'!$H$13</f>
        <v>248101191414991.41</v>
      </c>
      <c r="AF14" s="16">
        <f>'KEEI BAU - Industry'!AV$56*'Others Split'!$H$13</f>
        <v>251881871391283.69</v>
      </c>
    </row>
    <row r="15" spans="1:35">
      <c r="A15" t="s">
        <v>15</v>
      </c>
      <c r="B15" s="16">
        <f>'KEEI BAU - Industry'!R28</f>
        <v>0</v>
      </c>
      <c r="C15" s="16">
        <f>'KEEI BAU - Industry'!S28</f>
        <v>0</v>
      </c>
      <c r="D15" s="16">
        <f>'KEEI BAU - Industry'!T28</f>
        <v>0</v>
      </c>
      <c r="E15" s="16">
        <f>'KEEI BAU - Industry'!U28</f>
        <v>0</v>
      </c>
      <c r="F15" s="16">
        <f>'KEEI BAU - Industry'!V28</f>
        <v>0</v>
      </c>
      <c r="G15" s="16">
        <f>'KEEI BAU - Industry'!W28</f>
        <v>0</v>
      </c>
      <c r="H15" s="16">
        <f>'KEEI BAU - Industry'!X28</f>
        <v>0</v>
      </c>
      <c r="I15" s="16">
        <f>'KEEI BAU - Industry'!Y28</f>
        <v>0</v>
      </c>
      <c r="J15" s="16">
        <f>'KEEI BAU - Industry'!Z28</f>
        <v>0</v>
      </c>
      <c r="K15" s="16">
        <f>'KEEI BAU - Industry'!AA28</f>
        <v>0</v>
      </c>
      <c r="L15" s="16">
        <f>'KEEI BAU - Industry'!AB28</f>
        <v>0</v>
      </c>
      <c r="M15" s="16">
        <f>'KEEI BAU - Industry'!AC28</f>
        <v>0</v>
      </c>
      <c r="N15" s="16">
        <f>'KEEI BAU - Industry'!AD28</f>
        <v>0</v>
      </c>
      <c r="O15" s="16">
        <f>'KEEI BAU - Industry'!AE28</f>
        <v>0</v>
      </c>
      <c r="P15" s="16">
        <f>'KEEI BAU - Industry'!AF28</f>
        <v>0</v>
      </c>
      <c r="Q15" s="16">
        <f>'KEEI BAU - Industry'!AG28</f>
        <v>0</v>
      </c>
      <c r="R15" s="16">
        <f>'KEEI BAU - Industry'!AH28</f>
        <v>0</v>
      </c>
      <c r="S15" s="16">
        <f>'KEEI BAU - Industry'!AI28</f>
        <v>0</v>
      </c>
      <c r="T15" s="16">
        <f>'KEEI BAU - Industry'!AJ28</f>
        <v>0</v>
      </c>
      <c r="U15" s="16">
        <f>'KEEI BAU - Industry'!AK28</f>
        <v>0</v>
      </c>
      <c r="V15" s="16">
        <f>'KEEI BAU - Industry'!AL28</f>
        <v>0</v>
      </c>
      <c r="W15" s="16">
        <f>'KEEI BAU - Industry'!AM28</f>
        <v>0</v>
      </c>
      <c r="X15" s="16">
        <f>'KEEI BAU - Industry'!AN28</f>
        <v>0</v>
      </c>
      <c r="Y15" s="16">
        <f>'KEEI BAU - Industry'!AO28</f>
        <v>0</v>
      </c>
      <c r="Z15" s="16">
        <f>'KEEI BAU - Industry'!AP28</f>
        <v>0</v>
      </c>
      <c r="AA15" s="16">
        <f>'KEEI BAU - Industry'!AQ28</f>
        <v>0</v>
      </c>
      <c r="AB15" s="16">
        <f>'KEEI BAU - Industry'!AR28</f>
        <v>0</v>
      </c>
      <c r="AC15" s="16">
        <f>'KEEI BAU - Industry'!AS28</f>
        <v>0</v>
      </c>
      <c r="AD15" s="16">
        <f>'KEEI BAU - Industry'!AT28</f>
        <v>0</v>
      </c>
      <c r="AE15" s="16">
        <f>'KEEI BAU - Industry'!AU28</f>
        <v>0</v>
      </c>
      <c r="AF15" s="16">
        <f>'KEEI BAU - Industry'!AV28</f>
        <v>0</v>
      </c>
    </row>
    <row r="16" spans="1:35">
      <c r="A16" t="s">
        <v>16</v>
      </c>
      <c r="B16" s="16">
        <f>'KEEI BAU - Industry'!R$21*'Non-ferrous Metals Split'!$H$6</f>
        <v>0</v>
      </c>
      <c r="C16" s="16">
        <f>'KEEI BAU - Industry'!S$21*'Non-ferrous Metals Split'!$H$6</f>
        <v>0</v>
      </c>
      <c r="D16" s="16">
        <f>'KEEI BAU - Industry'!T$21*'Non-ferrous Metals Split'!$H$6</f>
        <v>0</v>
      </c>
      <c r="E16" s="16">
        <f>'KEEI BAU - Industry'!U$21*'Non-ferrous Metals Split'!$H$6</f>
        <v>0</v>
      </c>
      <c r="F16" s="16">
        <f>'KEEI BAU - Industry'!V$21*'Non-ferrous Metals Split'!$H$6</f>
        <v>0</v>
      </c>
      <c r="G16" s="16">
        <f>'KEEI BAU - Industry'!W$21*'Non-ferrous Metals Split'!$H$6</f>
        <v>0</v>
      </c>
      <c r="H16" s="16">
        <f>'KEEI BAU - Industry'!X$21*'Non-ferrous Metals Split'!$H$6</f>
        <v>0</v>
      </c>
      <c r="I16" s="16">
        <f>'KEEI BAU - Industry'!Y$21*'Non-ferrous Metals Split'!$H$6</f>
        <v>0</v>
      </c>
      <c r="J16" s="16">
        <f>'KEEI BAU - Industry'!Z$21*'Non-ferrous Metals Split'!$H$6</f>
        <v>0</v>
      </c>
      <c r="K16" s="16">
        <f>'KEEI BAU - Industry'!AA$21*'Non-ferrous Metals Split'!$H$6</f>
        <v>0</v>
      </c>
      <c r="L16" s="16">
        <f>'KEEI BAU - Industry'!AB$21*'Non-ferrous Metals Split'!$H$6</f>
        <v>0</v>
      </c>
      <c r="M16" s="16">
        <f>'KEEI BAU - Industry'!AC$21*'Non-ferrous Metals Split'!$H$6</f>
        <v>0</v>
      </c>
      <c r="N16" s="16">
        <f>'KEEI BAU - Industry'!AD$21*'Non-ferrous Metals Split'!$H$6</f>
        <v>0</v>
      </c>
      <c r="O16" s="16">
        <f>'KEEI BAU - Industry'!AE$21*'Non-ferrous Metals Split'!$H$6</f>
        <v>0</v>
      </c>
      <c r="P16" s="16">
        <f>'KEEI BAU - Industry'!AF$21*'Non-ferrous Metals Split'!$H$6</f>
        <v>0</v>
      </c>
      <c r="Q16" s="16">
        <f>'KEEI BAU - Industry'!AG$21*'Non-ferrous Metals Split'!$H$6</f>
        <v>0</v>
      </c>
      <c r="R16" s="16">
        <f>'KEEI BAU - Industry'!AH$21*'Non-ferrous Metals Split'!$H$6</f>
        <v>0</v>
      </c>
      <c r="S16" s="16">
        <f>'KEEI BAU - Industry'!AI$21*'Non-ferrous Metals Split'!$H$6</f>
        <v>0</v>
      </c>
      <c r="T16" s="16">
        <f>'KEEI BAU - Industry'!AJ$21*'Non-ferrous Metals Split'!$H$6</f>
        <v>0</v>
      </c>
      <c r="U16" s="16">
        <f>'KEEI BAU - Industry'!AK$21*'Non-ferrous Metals Split'!$H$6</f>
        <v>0</v>
      </c>
      <c r="V16" s="16">
        <f>'KEEI BAU - Industry'!AL$21*'Non-ferrous Metals Split'!$H$6</f>
        <v>0</v>
      </c>
      <c r="W16" s="16">
        <f>'KEEI BAU - Industry'!AM$21*'Non-ferrous Metals Split'!$H$6</f>
        <v>0</v>
      </c>
      <c r="X16" s="16">
        <f>'KEEI BAU - Industry'!AN$21*'Non-ferrous Metals Split'!$H$6</f>
        <v>0</v>
      </c>
      <c r="Y16" s="16">
        <f>'KEEI BAU - Industry'!AO$21*'Non-ferrous Metals Split'!$H$6</f>
        <v>0</v>
      </c>
      <c r="Z16" s="16">
        <f>'KEEI BAU - Industry'!AP$21*'Non-ferrous Metals Split'!$H$6</f>
        <v>0</v>
      </c>
      <c r="AA16" s="16">
        <f>'KEEI BAU - Industry'!AQ$21*'Non-ferrous Metals Split'!$H$6</f>
        <v>0</v>
      </c>
      <c r="AB16" s="16">
        <f>'KEEI BAU - Industry'!AR$21*'Non-ferrous Metals Split'!$H$6</f>
        <v>0</v>
      </c>
      <c r="AC16" s="16">
        <f>'KEEI BAU - Industry'!AS$21*'Non-ferrous Metals Split'!$H$6</f>
        <v>0</v>
      </c>
      <c r="AD16" s="16">
        <f>'KEEI BAU - Industry'!AT$21*'Non-ferrous Metals Split'!$H$6</f>
        <v>0</v>
      </c>
      <c r="AE16" s="16">
        <f>'KEEI BAU - Industry'!AU$21*'Non-ferrous Metals Split'!$H$6</f>
        <v>0</v>
      </c>
      <c r="AF16" s="16">
        <f>'KEEI BAU - Industry'!AV$21*'Non-ferrous Metals Split'!$H$6</f>
        <v>0</v>
      </c>
    </row>
    <row r="17" spans="1:32">
      <c r="A17" t="s">
        <v>17</v>
      </c>
      <c r="B17" s="16">
        <f>'KEEI BAU - Industry'!R$21*'Non-ferrous Metals Split'!$H$7</f>
        <v>0</v>
      </c>
      <c r="C17" s="16">
        <f>'KEEI BAU - Industry'!S$21*'Non-ferrous Metals Split'!$H$7</f>
        <v>0</v>
      </c>
      <c r="D17" s="16">
        <f>'KEEI BAU - Industry'!T$21*'Non-ferrous Metals Split'!$H$7</f>
        <v>0</v>
      </c>
      <c r="E17" s="16">
        <f>'KEEI BAU - Industry'!U$21*'Non-ferrous Metals Split'!$H$7</f>
        <v>0</v>
      </c>
      <c r="F17" s="16">
        <f>'KEEI BAU - Industry'!V$21*'Non-ferrous Metals Split'!$H$7</f>
        <v>0</v>
      </c>
      <c r="G17" s="16">
        <f>'KEEI BAU - Industry'!W$21*'Non-ferrous Metals Split'!$H$7</f>
        <v>0</v>
      </c>
      <c r="H17" s="16">
        <f>'KEEI BAU - Industry'!X$21*'Non-ferrous Metals Split'!$H$7</f>
        <v>0</v>
      </c>
      <c r="I17" s="16">
        <f>'KEEI BAU - Industry'!Y$21*'Non-ferrous Metals Split'!$H$7</f>
        <v>0</v>
      </c>
      <c r="J17" s="16">
        <f>'KEEI BAU - Industry'!Z$21*'Non-ferrous Metals Split'!$H$7</f>
        <v>0</v>
      </c>
      <c r="K17" s="16">
        <f>'KEEI BAU - Industry'!AA$21*'Non-ferrous Metals Split'!$H$7</f>
        <v>0</v>
      </c>
      <c r="L17" s="16">
        <f>'KEEI BAU - Industry'!AB$21*'Non-ferrous Metals Split'!$H$7</f>
        <v>0</v>
      </c>
      <c r="M17" s="16">
        <f>'KEEI BAU - Industry'!AC$21*'Non-ferrous Metals Split'!$H$7</f>
        <v>0</v>
      </c>
      <c r="N17" s="16">
        <f>'KEEI BAU - Industry'!AD$21*'Non-ferrous Metals Split'!$H$7</f>
        <v>0</v>
      </c>
      <c r="O17" s="16">
        <f>'KEEI BAU - Industry'!AE$21*'Non-ferrous Metals Split'!$H$7</f>
        <v>0</v>
      </c>
      <c r="P17" s="16">
        <f>'KEEI BAU - Industry'!AF$21*'Non-ferrous Metals Split'!$H$7</f>
        <v>0</v>
      </c>
      <c r="Q17" s="16">
        <f>'KEEI BAU - Industry'!AG$21*'Non-ferrous Metals Split'!$H$7</f>
        <v>0</v>
      </c>
      <c r="R17" s="16">
        <f>'KEEI BAU - Industry'!AH$21*'Non-ferrous Metals Split'!$H$7</f>
        <v>0</v>
      </c>
      <c r="S17" s="16">
        <f>'KEEI BAU - Industry'!AI$21*'Non-ferrous Metals Split'!$H$7</f>
        <v>0</v>
      </c>
      <c r="T17" s="16">
        <f>'KEEI BAU - Industry'!AJ$21*'Non-ferrous Metals Split'!$H$7</f>
        <v>0</v>
      </c>
      <c r="U17" s="16">
        <f>'KEEI BAU - Industry'!AK$21*'Non-ferrous Metals Split'!$H$7</f>
        <v>0</v>
      </c>
      <c r="V17" s="16">
        <f>'KEEI BAU - Industry'!AL$21*'Non-ferrous Metals Split'!$H$7</f>
        <v>0</v>
      </c>
      <c r="W17" s="16">
        <f>'KEEI BAU - Industry'!AM$21*'Non-ferrous Metals Split'!$H$7</f>
        <v>0</v>
      </c>
      <c r="X17" s="16">
        <f>'KEEI BAU - Industry'!AN$21*'Non-ferrous Metals Split'!$H$7</f>
        <v>0</v>
      </c>
      <c r="Y17" s="16">
        <f>'KEEI BAU - Industry'!AO$21*'Non-ferrous Metals Split'!$H$7</f>
        <v>0</v>
      </c>
      <c r="Z17" s="16">
        <f>'KEEI BAU - Industry'!AP$21*'Non-ferrous Metals Split'!$H$7</f>
        <v>0</v>
      </c>
      <c r="AA17" s="16">
        <f>'KEEI BAU - Industry'!AQ$21*'Non-ferrous Metals Split'!$H$7</f>
        <v>0</v>
      </c>
      <c r="AB17" s="16">
        <f>'KEEI BAU - Industry'!AR$21*'Non-ferrous Metals Split'!$H$7</f>
        <v>0</v>
      </c>
      <c r="AC17" s="16">
        <f>'KEEI BAU - Industry'!AS$21*'Non-ferrous Metals Split'!$H$7</f>
        <v>0</v>
      </c>
      <c r="AD17" s="16">
        <f>'KEEI BAU - Industry'!AT$21*'Non-ferrous Metals Split'!$H$7</f>
        <v>0</v>
      </c>
      <c r="AE17" s="16">
        <f>'KEEI BAU - Industry'!AU$21*'Non-ferrous Metals Split'!$H$7</f>
        <v>0</v>
      </c>
      <c r="AF17" s="16">
        <f>'KEEI BAU - Industry'!AV$21*'Non-ferrous Metals Split'!$H$7</f>
        <v>0</v>
      </c>
    </row>
    <row r="18" spans="1:32">
      <c r="A18" t="s">
        <v>18</v>
      </c>
      <c r="B18" s="16">
        <f>'KEEI BAU - Industry'!R$35*'Machinery Split'!$H6</f>
        <v>0</v>
      </c>
      <c r="C18" s="16">
        <f>'KEEI BAU - Industry'!S$35*'Machinery Split'!$H6</f>
        <v>0</v>
      </c>
      <c r="D18" s="16">
        <f>'KEEI BAU - Industry'!T$35*'Machinery Split'!$H6</f>
        <v>0</v>
      </c>
      <c r="E18" s="16">
        <f>'KEEI BAU - Industry'!U$35*'Machinery Split'!$H6</f>
        <v>0</v>
      </c>
      <c r="F18" s="16">
        <f>'KEEI BAU - Industry'!V$35*'Machinery Split'!$H6</f>
        <v>0</v>
      </c>
      <c r="G18" s="16">
        <f>'KEEI BAU - Industry'!W$35*'Machinery Split'!$H6</f>
        <v>0</v>
      </c>
      <c r="H18" s="16">
        <f>'KEEI BAU - Industry'!X$35*'Machinery Split'!$H6</f>
        <v>0</v>
      </c>
      <c r="I18" s="16">
        <f>'KEEI BAU - Industry'!Y$35*'Machinery Split'!$H6</f>
        <v>0</v>
      </c>
      <c r="J18" s="16">
        <f>'KEEI BAU - Industry'!Z$35*'Machinery Split'!$H6</f>
        <v>0</v>
      </c>
      <c r="K18" s="16">
        <f>'KEEI BAU - Industry'!AA$35*'Machinery Split'!$H6</f>
        <v>0</v>
      </c>
      <c r="L18" s="16">
        <f>'KEEI BAU - Industry'!AB$35*'Machinery Split'!$H6</f>
        <v>0</v>
      </c>
      <c r="M18" s="16">
        <f>'KEEI BAU - Industry'!AC$35*'Machinery Split'!$H6</f>
        <v>0</v>
      </c>
      <c r="N18" s="16">
        <f>'KEEI BAU - Industry'!AD$35*'Machinery Split'!$H6</f>
        <v>0</v>
      </c>
      <c r="O18" s="16">
        <f>'KEEI BAU - Industry'!AE$35*'Machinery Split'!$H6</f>
        <v>0</v>
      </c>
      <c r="P18" s="16">
        <f>'KEEI BAU - Industry'!AF$35*'Machinery Split'!$H6</f>
        <v>0</v>
      </c>
      <c r="Q18" s="16">
        <f>'KEEI BAU - Industry'!AG$35*'Machinery Split'!$H6</f>
        <v>0</v>
      </c>
      <c r="R18" s="16">
        <f>'KEEI BAU - Industry'!AH$35*'Machinery Split'!$H6</f>
        <v>0</v>
      </c>
      <c r="S18" s="16">
        <f>'KEEI BAU - Industry'!AI$35*'Machinery Split'!$H6</f>
        <v>0</v>
      </c>
      <c r="T18" s="16">
        <f>'KEEI BAU - Industry'!AJ$35*'Machinery Split'!$H6</f>
        <v>0</v>
      </c>
      <c r="U18" s="16">
        <f>'KEEI BAU - Industry'!AK$35*'Machinery Split'!$H6</f>
        <v>0</v>
      </c>
      <c r="V18" s="16">
        <f>'KEEI BAU - Industry'!AL$35*'Machinery Split'!$H6</f>
        <v>0</v>
      </c>
      <c r="W18" s="16">
        <f>'KEEI BAU - Industry'!AM$35*'Machinery Split'!$H6</f>
        <v>0</v>
      </c>
      <c r="X18" s="16">
        <f>'KEEI BAU - Industry'!AN$35*'Machinery Split'!$H6</f>
        <v>0</v>
      </c>
      <c r="Y18" s="16">
        <f>'KEEI BAU - Industry'!AO$35*'Machinery Split'!$H6</f>
        <v>0</v>
      </c>
      <c r="Z18" s="16">
        <f>'KEEI BAU - Industry'!AP$35*'Machinery Split'!$H6</f>
        <v>0</v>
      </c>
      <c r="AA18" s="16">
        <f>'KEEI BAU - Industry'!AQ$35*'Machinery Split'!$H6</f>
        <v>0</v>
      </c>
      <c r="AB18" s="16">
        <f>'KEEI BAU - Industry'!AR$35*'Machinery Split'!$H6</f>
        <v>0</v>
      </c>
      <c r="AC18" s="16">
        <f>'KEEI BAU - Industry'!AS$35*'Machinery Split'!$H6</f>
        <v>0</v>
      </c>
      <c r="AD18" s="16">
        <f>'KEEI BAU - Industry'!AT$35*'Machinery Split'!$H6</f>
        <v>0</v>
      </c>
      <c r="AE18" s="16">
        <f>'KEEI BAU - Industry'!AU$35*'Machinery Split'!$H6</f>
        <v>0</v>
      </c>
      <c r="AF18" s="16">
        <f>'KEEI BAU - Industry'!AV$35*'Machinery Split'!$H6</f>
        <v>0</v>
      </c>
    </row>
    <row r="19" spans="1:32">
      <c r="A19" t="s">
        <v>19</v>
      </c>
      <c r="B19" s="16">
        <f>'KEEI BAU - Industry'!R$35*'Machinery Split'!$H7</f>
        <v>0</v>
      </c>
      <c r="C19" s="16">
        <f>'KEEI BAU - Industry'!S$35*'Machinery Split'!$H7</f>
        <v>0</v>
      </c>
      <c r="D19" s="16">
        <f>'KEEI BAU - Industry'!T$35*'Machinery Split'!$H7</f>
        <v>0</v>
      </c>
      <c r="E19" s="16">
        <f>'KEEI BAU - Industry'!U$35*'Machinery Split'!$H7</f>
        <v>0</v>
      </c>
      <c r="F19" s="16">
        <f>'KEEI BAU - Industry'!V$35*'Machinery Split'!$H7</f>
        <v>0</v>
      </c>
      <c r="G19" s="16">
        <f>'KEEI BAU - Industry'!W$35*'Machinery Split'!$H7</f>
        <v>0</v>
      </c>
      <c r="H19" s="16">
        <f>'KEEI BAU - Industry'!X$35*'Machinery Split'!$H7</f>
        <v>0</v>
      </c>
      <c r="I19" s="16">
        <f>'KEEI BAU - Industry'!Y$35*'Machinery Split'!$H7</f>
        <v>0</v>
      </c>
      <c r="J19" s="16">
        <f>'KEEI BAU - Industry'!Z$35*'Machinery Split'!$H7</f>
        <v>0</v>
      </c>
      <c r="K19" s="16">
        <f>'KEEI BAU - Industry'!AA$35*'Machinery Split'!$H7</f>
        <v>0</v>
      </c>
      <c r="L19" s="16">
        <f>'KEEI BAU - Industry'!AB$35*'Machinery Split'!$H7</f>
        <v>0</v>
      </c>
      <c r="M19" s="16">
        <f>'KEEI BAU - Industry'!AC$35*'Machinery Split'!$H7</f>
        <v>0</v>
      </c>
      <c r="N19" s="16">
        <f>'KEEI BAU - Industry'!AD$35*'Machinery Split'!$H7</f>
        <v>0</v>
      </c>
      <c r="O19" s="16">
        <f>'KEEI BAU - Industry'!AE$35*'Machinery Split'!$H7</f>
        <v>0</v>
      </c>
      <c r="P19" s="16">
        <f>'KEEI BAU - Industry'!AF$35*'Machinery Split'!$H7</f>
        <v>0</v>
      </c>
      <c r="Q19" s="16">
        <f>'KEEI BAU - Industry'!AG$35*'Machinery Split'!$H7</f>
        <v>0</v>
      </c>
      <c r="R19" s="16">
        <f>'KEEI BAU - Industry'!AH$35*'Machinery Split'!$H7</f>
        <v>0</v>
      </c>
      <c r="S19" s="16">
        <f>'KEEI BAU - Industry'!AI$35*'Machinery Split'!$H7</f>
        <v>0</v>
      </c>
      <c r="T19" s="16">
        <f>'KEEI BAU - Industry'!AJ$35*'Machinery Split'!$H7</f>
        <v>0</v>
      </c>
      <c r="U19" s="16">
        <f>'KEEI BAU - Industry'!AK$35*'Machinery Split'!$H7</f>
        <v>0</v>
      </c>
      <c r="V19" s="16">
        <f>'KEEI BAU - Industry'!AL$35*'Machinery Split'!$H7</f>
        <v>0</v>
      </c>
      <c r="W19" s="16">
        <f>'KEEI BAU - Industry'!AM$35*'Machinery Split'!$H7</f>
        <v>0</v>
      </c>
      <c r="X19" s="16">
        <f>'KEEI BAU - Industry'!AN$35*'Machinery Split'!$H7</f>
        <v>0</v>
      </c>
      <c r="Y19" s="16">
        <f>'KEEI BAU - Industry'!AO$35*'Machinery Split'!$H7</f>
        <v>0</v>
      </c>
      <c r="Z19" s="16">
        <f>'KEEI BAU - Industry'!AP$35*'Machinery Split'!$H7</f>
        <v>0</v>
      </c>
      <c r="AA19" s="16">
        <f>'KEEI BAU - Industry'!AQ$35*'Machinery Split'!$H7</f>
        <v>0</v>
      </c>
      <c r="AB19" s="16">
        <f>'KEEI BAU - Industry'!AR$35*'Machinery Split'!$H7</f>
        <v>0</v>
      </c>
      <c r="AC19" s="16">
        <f>'KEEI BAU - Industry'!AS$35*'Machinery Split'!$H7</f>
        <v>0</v>
      </c>
      <c r="AD19" s="16">
        <f>'KEEI BAU - Industry'!AT$35*'Machinery Split'!$H7</f>
        <v>0</v>
      </c>
      <c r="AE19" s="16">
        <f>'KEEI BAU - Industry'!AU$35*'Machinery Split'!$H7</f>
        <v>0</v>
      </c>
      <c r="AF19" s="16">
        <f>'KEEI BAU - Industry'!AV$35*'Machinery Split'!$H7</f>
        <v>0</v>
      </c>
    </row>
    <row r="20" spans="1:32">
      <c r="A20" t="s">
        <v>20</v>
      </c>
      <c r="B20" s="16">
        <f>'KEEI BAU - Industry'!R$35*'Machinery Split'!$H8</f>
        <v>0</v>
      </c>
      <c r="C20" s="16">
        <f>'KEEI BAU - Industry'!S$35*'Machinery Split'!$H8</f>
        <v>0</v>
      </c>
      <c r="D20" s="16">
        <f>'KEEI BAU - Industry'!T$35*'Machinery Split'!$H8</f>
        <v>0</v>
      </c>
      <c r="E20" s="16">
        <f>'KEEI BAU - Industry'!U$35*'Machinery Split'!$H8</f>
        <v>0</v>
      </c>
      <c r="F20" s="16">
        <f>'KEEI BAU - Industry'!V$35*'Machinery Split'!$H8</f>
        <v>0</v>
      </c>
      <c r="G20" s="16">
        <f>'KEEI BAU - Industry'!W$35*'Machinery Split'!$H8</f>
        <v>0</v>
      </c>
      <c r="H20" s="16">
        <f>'KEEI BAU - Industry'!X$35*'Machinery Split'!$H8</f>
        <v>0</v>
      </c>
      <c r="I20" s="16">
        <f>'KEEI BAU - Industry'!Y$35*'Machinery Split'!$H8</f>
        <v>0</v>
      </c>
      <c r="J20" s="16">
        <f>'KEEI BAU - Industry'!Z$35*'Machinery Split'!$H8</f>
        <v>0</v>
      </c>
      <c r="K20" s="16">
        <f>'KEEI BAU - Industry'!AA$35*'Machinery Split'!$H8</f>
        <v>0</v>
      </c>
      <c r="L20" s="16">
        <f>'KEEI BAU - Industry'!AB$35*'Machinery Split'!$H8</f>
        <v>0</v>
      </c>
      <c r="M20" s="16">
        <f>'KEEI BAU - Industry'!AC$35*'Machinery Split'!$H8</f>
        <v>0</v>
      </c>
      <c r="N20" s="16">
        <f>'KEEI BAU - Industry'!AD$35*'Machinery Split'!$H8</f>
        <v>0</v>
      </c>
      <c r="O20" s="16">
        <f>'KEEI BAU - Industry'!AE$35*'Machinery Split'!$H8</f>
        <v>0</v>
      </c>
      <c r="P20" s="16">
        <f>'KEEI BAU - Industry'!AF$35*'Machinery Split'!$H8</f>
        <v>0</v>
      </c>
      <c r="Q20" s="16">
        <f>'KEEI BAU - Industry'!AG$35*'Machinery Split'!$H8</f>
        <v>0</v>
      </c>
      <c r="R20" s="16">
        <f>'KEEI BAU - Industry'!AH$35*'Machinery Split'!$H8</f>
        <v>0</v>
      </c>
      <c r="S20" s="16">
        <f>'KEEI BAU - Industry'!AI$35*'Machinery Split'!$H8</f>
        <v>0</v>
      </c>
      <c r="T20" s="16">
        <f>'KEEI BAU - Industry'!AJ$35*'Machinery Split'!$H8</f>
        <v>0</v>
      </c>
      <c r="U20" s="16">
        <f>'KEEI BAU - Industry'!AK$35*'Machinery Split'!$H8</f>
        <v>0</v>
      </c>
      <c r="V20" s="16">
        <f>'KEEI BAU - Industry'!AL$35*'Machinery Split'!$H8</f>
        <v>0</v>
      </c>
      <c r="W20" s="16">
        <f>'KEEI BAU - Industry'!AM$35*'Machinery Split'!$H8</f>
        <v>0</v>
      </c>
      <c r="X20" s="16">
        <f>'KEEI BAU - Industry'!AN$35*'Machinery Split'!$H8</f>
        <v>0</v>
      </c>
      <c r="Y20" s="16">
        <f>'KEEI BAU - Industry'!AO$35*'Machinery Split'!$H8</f>
        <v>0</v>
      </c>
      <c r="Z20" s="16">
        <f>'KEEI BAU - Industry'!AP$35*'Machinery Split'!$H8</f>
        <v>0</v>
      </c>
      <c r="AA20" s="16">
        <f>'KEEI BAU - Industry'!AQ$35*'Machinery Split'!$H8</f>
        <v>0</v>
      </c>
      <c r="AB20" s="16">
        <f>'KEEI BAU - Industry'!AR$35*'Machinery Split'!$H8</f>
        <v>0</v>
      </c>
      <c r="AC20" s="16">
        <f>'KEEI BAU - Industry'!AS$35*'Machinery Split'!$H8</f>
        <v>0</v>
      </c>
      <c r="AD20" s="16">
        <f>'KEEI BAU - Industry'!AT$35*'Machinery Split'!$H8</f>
        <v>0</v>
      </c>
      <c r="AE20" s="16">
        <f>'KEEI BAU - Industry'!AU$35*'Machinery Split'!$H8</f>
        <v>0</v>
      </c>
      <c r="AF20" s="16">
        <f>'KEEI BAU - Industry'!AV$35*'Machinery Split'!$H8</f>
        <v>0</v>
      </c>
    </row>
    <row r="21" spans="1:32">
      <c r="A21" t="s">
        <v>21</v>
      </c>
      <c r="B21" s="16">
        <f>'KEEI BAU - Industry'!R$35*'Machinery Split'!$H9</f>
        <v>0</v>
      </c>
      <c r="C21" s="16">
        <f>'KEEI BAU - Industry'!S$35*'Machinery Split'!$H9</f>
        <v>0</v>
      </c>
      <c r="D21" s="16">
        <f>'KEEI BAU - Industry'!T$35*'Machinery Split'!$H9</f>
        <v>0</v>
      </c>
      <c r="E21" s="16">
        <f>'KEEI BAU - Industry'!U$35*'Machinery Split'!$H9</f>
        <v>0</v>
      </c>
      <c r="F21" s="16">
        <f>'KEEI BAU - Industry'!V$35*'Machinery Split'!$H9</f>
        <v>0</v>
      </c>
      <c r="G21" s="16">
        <f>'KEEI BAU - Industry'!W$35*'Machinery Split'!$H9</f>
        <v>0</v>
      </c>
      <c r="H21" s="16">
        <f>'KEEI BAU - Industry'!X$35*'Machinery Split'!$H9</f>
        <v>0</v>
      </c>
      <c r="I21" s="16">
        <f>'KEEI BAU - Industry'!Y$35*'Machinery Split'!$H9</f>
        <v>0</v>
      </c>
      <c r="J21" s="16">
        <f>'KEEI BAU - Industry'!Z$35*'Machinery Split'!$H9</f>
        <v>0</v>
      </c>
      <c r="K21" s="16">
        <f>'KEEI BAU - Industry'!AA$35*'Machinery Split'!$H9</f>
        <v>0</v>
      </c>
      <c r="L21" s="16">
        <f>'KEEI BAU - Industry'!AB$35*'Machinery Split'!$H9</f>
        <v>0</v>
      </c>
      <c r="M21" s="16">
        <f>'KEEI BAU - Industry'!AC$35*'Machinery Split'!$H9</f>
        <v>0</v>
      </c>
      <c r="N21" s="16">
        <f>'KEEI BAU - Industry'!AD$35*'Machinery Split'!$H9</f>
        <v>0</v>
      </c>
      <c r="O21" s="16">
        <f>'KEEI BAU - Industry'!AE$35*'Machinery Split'!$H9</f>
        <v>0</v>
      </c>
      <c r="P21" s="16">
        <f>'KEEI BAU - Industry'!AF$35*'Machinery Split'!$H9</f>
        <v>0</v>
      </c>
      <c r="Q21" s="16">
        <f>'KEEI BAU - Industry'!AG$35*'Machinery Split'!$H9</f>
        <v>0</v>
      </c>
      <c r="R21" s="16">
        <f>'KEEI BAU - Industry'!AH$35*'Machinery Split'!$H9</f>
        <v>0</v>
      </c>
      <c r="S21" s="16">
        <f>'KEEI BAU - Industry'!AI$35*'Machinery Split'!$H9</f>
        <v>0</v>
      </c>
      <c r="T21" s="16">
        <f>'KEEI BAU - Industry'!AJ$35*'Machinery Split'!$H9</f>
        <v>0</v>
      </c>
      <c r="U21" s="16">
        <f>'KEEI BAU - Industry'!AK$35*'Machinery Split'!$H9</f>
        <v>0</v>
      </c>
      <c r="V21" s="16">
        <f>'KEEI BAU - Industry'!AL$35*'Machinery Split'!$H9</f>
        <v>0</v>
      </c>
      <c r="W21" s="16">
        <f>'KEEI BAU - Industry'!AM$35*'Machinery Split'!$H9</f>
        <v>0</v>
      </c>
      <c r="X21" s="16">
        <f>'KEEI BAU - Industry'!AN$35*'Machinery Split'!$H9</f>
        <v>0</v>
      </c>
      <c r="Y21" s="16">
        <f>'KEEI BAU - Industry'!AO$35*'Machinery Split'!$H9</f>
        <v>0</v>
      </c>
      <c r="Z21" s="16">
        <f>'KEEI BAU - Industry'!AP$35*'Machinery Split'!$H9</f>
        <v>0</v>
      </c>
      <c r="AA21" s="16">
        <f>'KEEI BAU - Industry'!AQ$35*'Machinery Split'!$H9</f>
        <v>0</v>
      </c>
      <c r="AB21" s="16">
        <f>'KEEI BAU - Industry'!AR$35*'Machinery Split'!$H9</f>
        <v>0</v>
      </c>
      <c r="AC21" s="16">
        <f>'KEEI BAU - Industry'!AS$35*'Machinery Split'!$H9</f>
        <v>0</v>
      </c>
      <c r="AD21" s="16">
        <f>'KEEI BAU - Industry'!AT$35*'Machinery Split'!$H9</f>
        <v>0</v>
      </c>
      <c r="AE21" s="16">
        <f>'KEEI BAU - Industry'!AU$35*'Machinery Split'!$H9</f>
        <v>0</v>
      </c>
      <c r="AF21" s="16">
        <f>'KEEI BAU - Industry'!AV$35*'Machinery Split'!$H9</f>
        <v>0</v>
      </c>
    </row>
    <row r="22" spans="1:32">
      <c r="A22" t="s">
        <v>22</v>
      </c>
      <c r="B22" s="16">
        <f>'KEEI BAU - Industry'!R$35*'Machinery Split'!$H10</f>
        <v>0</v>
      </c>
      <c r="C22" s="16">
        <f>'KEEI BAU - Industry'!S$35*'Machinery Split'!$H10</f>
        <v>0</v>
      </c>
      <c r="D22" s="16">
        <f>'KEEI BAU - Industry'!T$35*'Machinery Split'!$H10</f>
        <v>0</v>
      </c>
      <c r="E22" s="16">
        <f>'KEEI BAU - Industry'!U$35*'Machinery Split'!$H10</f>
        <v>0</v>
      </c>
      <c r="F22" s="16">
        <f>'KEEI BAU - Industry'!V$35*'Machinery Split'!$H10</f>
        <v>0</v>
      </c>
      <c r="G22" s="16">
        <f>'KEEI BAU - Industry'!W$35*'Machinery Split'!$H10</f>
        <v>0</v>
      </c>
      <c r="H22" s="16">
        <f>'KEEI BAU - Industry'!X$35*'Machinery Split'!$H10</f>
        <v>0</v>
      </c>
      <c r="I22" s="16">
        <f>'KEEI BAU - Industry'!Y$35*'Machinery Split'!$H10</f>
        <v>0</v>
      </c>
      <c r="J22" s="16">
        <f>'KEEI BAU - Industry'!Z$35*'Machinery Split'!$H10</f>
        <v>0</v>
      </c>
      <c r="K22" s="16">
        <f>'KEEI BAU - Industry'!AA$35*'Machinery Split'!$H10</f>
        <v>0</v>
      </c>
      <c r="L22" s="16">
        <f>'KEEI BAU - Industry'!AB$35*'Machinery Split'!$H10</f>
        <v>0</v>
      </c>
      <c r="M22" s="16">
        <f>'KEEI BAU - Industry'!AC$35*'Machinery Split'!$H10</f>
        <v>0</v>
      </c>
      <c r="N22" s="16">
        <f>'KEEI BAU - Industry'!AD$35*'Machinery Split'!$H10</f>
        <v>0</v>
      </c>
      <c r="O22" s="16">
        <f>'KEEI BAU - Industry'!AE$35*'Machinery Split'!$H10</f>
        <v>0</v>
      </c>
      <c r="P22" s="16">
        <f>'KEEI BAU - Industry'!AF$35*'Machinery Split'!$H10</f>
        <v>0</v>
      </c>
      <c r="Q22" s="16">
        <f>'KEEI BAU - Industry'!AG$35*'Machinery Split'!$H10</f>
        <v>0</v>
      </c>
      <c r="R22" s="16">
        <f>'KEEI BAU - Industry'!AH$35*'Machinery Split'!$H10</f>
        <v>0</v>
      </c>
      <c r="S22" s="16">
        <f>'KEEI BAU - Industry'!AI$35*'Machinery Split'!$H10</f>
        <v>0</v>
      </c>
      <c r="T22" s="16">
        <f>'KEEI BAU - Industry'!AJ$35*'Machinery Split'!$H10</f>
        <v>0</v>
      </c>
      <c r="U22" s="16">
        <f>'KEEI BAU - Industry'!AK$35*'Machinery Split'!$H10</f>
        <v>0</v>
      </c>
      <c r="V22" s="16">
        <f>'KEEI BAU - Industry'!AL$35*'Machinery Split'!$H10</f>
        <v>0</v>
      </c>
      <c r="W22" s="16">
        <f>'KEEI BAU - Industry'!AM$35*'Machinery Split'!$H10</f>
        <v>0</v>
      </c>
      <c r="X22" s="16">
        <f>'KEEI BAU - Industry'!AN$35*'Machinery Split'!$H10</f>
        <v>0</v>
      </c>
      <c r="Y22" s="16">
        <f>'KEEI BAU - Industry'!AO$35*'Machinery Split'!$H10</f>
        <v>0</v>
      </c>
      <c r="Z22" s="16">
        <f>'KEEI BAU - Industry'!AP$35*'Machinery Split'!$H10</f>
        <v>0</v>
      </c>
      <c r="AA22" s="16">
        <f>'KEEI BAU - Industry'!AQ$35*'Machinery Split'!$H10</f>
        <v>0</v>
      </c>
      <c r="AB22" s="16">
        <f>'KEEI BAU - Industry'!AR$35*'Machinery Split'!$H10</f>
        <v>0</v>
      </c>
      <c r="AC22" s="16">
        <f>'KEEI BAU - Industry'!AS$35*'Machinery Split'!$H10</f>
        <v>0</v>
      </c>
      <c r="AD22" s="16">
        <f>'KEEI BAU - Industry'!AT$35*'Machinery Split'!$H10</f>
        <v>0</v>
      </c>
      <c r="AE22" s="16">
        <f>'KEEI BAU - Industry'!AU$35*'Machinery Split'!$H10</f>
        <v>0</v>
      </c>
      <c r="AF22" s="16">
        <f>'KEEI BAU - Industry'!AV$35*'Machinery Split'!$H10</f>
        <v>0</v>
      </c>
    </row>
    <row r="23" spans="1:32">
      <c r="A23" t="s">
        <v>23</v>
      </c>
      <c r="B23" s="16">
        <f>'KEEI BAU - Industry'!R$56*'Others Split'!$H$14</f>
        <v>68517148953687.078</v>
      </c>
      <c r="C23" s="16">
        <f>'KEEI BAU - Industry'!S$56*'Others Split'!$H$14</f>
        <v>71562963950613.859</v>
      </c>
      <c r="D23" s="16">
        <f>'KEEI BAU - Industry'!T$56*'Others Split'!$H$14</f>
        <v>74608778947540.625</v>
      </c>
      <c r="E23" s="16">
        <f>'KEEI BAU - Industry'!U$56*'Others Split'!$H$14</f>
        <v>77654593944467.391</v>
      </c>
      <c r="F23" s="16">
        <f>'KEEI BAU - Industry'!V$56*'Others Split'!$H$14</f>
        <v>80700408941394.172</v>
      </c>
      <c r="G23" s="16">
        <f>'KEEI BAU - Industry'!W$56*'Others Split'!$H$14</f>
        <v>83746223938320.953</v>
      </c>
      <c r="H23" s="16">
        <f>'KEEI BAU - Industry'!X$56*'Others Split'!$H$14</f>
        <v>85996660425973.563</v>
      </c>
      <c r="I23" s="16">
        <f>'KEEI BAU - Industry'!Y$56*'Others Split'!$H$14</f>
        <v>88247096913626.172</v>
      </c>
      <c r="J23" s="16">
        <f>'KEEI BAU - Industry'!Z$56*'Others Split'!$H$14</f>
        <v>90497533401278.047</v>
      </c>
      <c r="K23" s="16">
        <f>'KEEI BAU - Industry'!AA$56*'Others Split'!$H$14</f>
        <v>92747969888930.656</v>
      </c>
      <c r="L23" s="16">
        <f>'KEEI BAU - Industry'!AB$56*'Others Split'!$H$14</f>
        <v>94998406376582.188</v>
      </c>
      <c r="M23" s="16">
        <f>'KEEI BAU - Industry'!AC$56*'Others Split'!$H$14</f>
        <v>97009526748315.703</v>
      </c>
      <c r="N23" s="16">
        <f>'KEEI BAU - Industry'!AD$56*'Others Split'!$H$14</f>
        <v>99020647120048.125</v>
      </c>
      <c r="O23" s="16">
        <f>'KEEI BAU - Industry'!AE$56*'Others Split'!$H$14</f>
        <v>101031767491781.28</v>
      </c>
      <c r="P23" s="16">
        <f>'KEEI BAU - Industry'!AF$56*'Others Split'!$H$14</f>
        <v>103042887863513.7</v>
      </c>
      <c r="Q23" s="16">
        <f>'KEEI BAU - Industry'!AG$56*'Others Split'!$H$14</f>
        <v>105054008235246.13</v>
      </c>
      <c r="R23" s="16">
        <f>'KEEI BAU - Industry'!AH$56*'Others Split'!$H$14</f>
        <v>107108378507446.66</v>
      </c>
      <c r="S23" s="16">
        <f>'KEEI BAU - Industry'!AI$56*'Others Split'!$H$14</f>
        <v>109162748779647.17</v>
      </c>
      <c r="T23" s="16">
        <f>'KEEI BAU - Industry'!AJ$56*'Others Split'!$H$14</f>
        <v>111217119051846.97</v>
      </c>
      <c r="U23" s="16">
        <f>'KEEI BAU - Industry'!AK$56*'Others Split'!$H$14</f>
        <v>113271489324047.5</v>
      </c>
      <c r="V23" s="16">
        <f>'KEEI BAU - Industry'!AL$56*'Others Split'!$H$14</f>
        <v>115325859596246.94</v>
      </c>
      <c r="W23" s="16">
        <f>'KEEI BAU - Industry'!AM$56*'Others Split'!$H$14</f>
        <v>117322563334490.59</v>
      </c>
      <c r="X23" s="16">
        <f>'KEEI BAU - Industry'!AN$56*'Others Split'!$H$14</f>
        <v>119358585164068.47</v>
      </c>
      <c r="Y23" s="16">
        <f>'KEEI BAU - Industry'!AO$56*'Others Split'!$H$14</f>
        <v>121394606993646.34</v>
      </c>
      <c r="Z23" s="16">
        <f>'KEEI BAU - Industry'!AP$56*'Others Split'!$H$14</f>
        <v>123430628823223.48</v>
      </c>
      <c r="AA23" s="16">
        <f>'KEEI BAU - Industry'!AQ$56*'Others Split'!$H$14</f>
        <v>125466650652801.36</v>
      </c>
      <c r="AB23" s="16">
        <f>'KEEI BAU - Industry'!AR$56*'Others Split'!$H$14</f>
        <v>127502672482379.22</v>
      </c>
      <c r="AC23" s="16">
        <f>'KEEI BAU - Industry'!AS$56*'Others Split'!$H$14</f>
        <v>129538694311956.38</v>
      </c>
      <c r="AD23" s="16">
        <f>'KEEI BAU - Industry'!AT$56*'Others Split'!$H$14</f>
        <v>131574716141534.23</v>
      </c>
      <c r="AE23" s="16">
        <f>'KEEI BAU - Industry'!AU$56*'Others Split'!$H$14</f>
        <v>133610737971112.11</v>
      </c>
      <c r="AF23" s="16">
        <f>'KEEI BAU - Industry'!AV$56*'Others Split'!$H$14</f>
        <v>135646759800689.25</v>
      </c>
    </row>
    <row r="24" spans="1:32">
      <c r="A24" t="s">
        <v>24</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row>
    <row r="25" spans="1:32">
      <c r="A25" t="s">
        <v>25</v>
      </c>
      <c r="B25" s="16">
        <f>'Water and Waste'!F34*(1+'Water and Waste'!D40)*(1+'Water and Waste'!E40)</f>
        <v>25612478040.130802</v>
      </c>
      <c r="C25" s="16">
        <f>B25*(1+'Water and Waste'!F40)</f>
        <v>25638090518.170929</v>
      </c>
      <c r="D25" s="16">
        <f>C25*(1+'Water and Waste'!G40)</f>
        <v>25663728608.689098</v>
      </c>
      <c r="E25" s="16">
        <f>D25*(1+'Water and Waste'!H40)</f>
        <v>25689392337.297783</v>
      </c>
      <c r="F25" s="16">
        <f>E25*(1+'Water and Waste'!I40)</f>
        <v>25715081729.635078</v>
      </c>
      <c r="G25" s="16">
        <f>F25*(1+'Water and Waste'!J40)</f>
        <v>25740796811.364712</v>
      </c>
      <c r="H25" s="16">
        <f>G25*(1+'Water and Waste'!K40)</f>
        <v>25766537608.176075</v>
      </c>
      <c r="I25" s="16">
        <f>H25*(1+'Water and Waste'!L40)</f>
        <v>25792304145.784248</v>
      </c>
      <c r="J25" s="16">
        <f>I25*(1+'Water and Waste'!M40)</f>
        <v>25818096449.930031</v>
      </c>
      <c r="K25" s="16">
        <f>J25*(1+'Water and Waste'!N40)</f>
        <v>25843914546.379959</v>
      </c>
      <c r="L25" s="16">
        <f>K25*(1+'Water and Waste'!O40)</f>
        <v>25869758460.926334</v>
      </c>
      <c r="M25" s="16">
        <f>L25*(1+'Water and Waste'!P40)</f>
        <v>25895628219.387257</v>
      </c>
      <c r="N25" s="16">
        <f>M25*(1+'Water and Waste'!Q40)</f>
        <v>25921523847.60664</v>
      </c>
      <c r="O25" s="16">
        <f>N25*(1+'Water and Waste'!R40)</f>
        <v>25947445371.454243</v>
      </c>
      <c r="P25" s="16">
        <f>O25*(1+'Water and Waste'!S40)</f>
        <v>25973392816.825695</v>
      </c>
      <c r="Q25" s="16">
        <f>P25*(1+'Water and Waste'!T40)</f>
        <v>25999366209.642517</v>
      </c>
      <c r="R25" s="16">
        <f>Q25*(1+'Water and Waste'!U40)</f>
        <v>26025365575.852158</v>
      </c>
      <c r="S25" s="16">
        <f>R25*(1+'Water and Waste'!V40)</f>
        <v>26051390941.428005</v>
      </c>
      <c r="T25" s="16">
        <f>S25*(1+'Water and Waste'!W40)</f>
        <v>26077442332.369431</v>
      </c>
      <c r="U25" s="16">
        <f>T25*(1+'Water and Waste'!X40)</f>
        <v>26103519774.701797</v>
      </c>
      <c r="V25" s="16">
        <f>U25*(1+'Water and Waste'!Y40)</f>
        <v>26129623294.476498</v>
      </c>
      <c r="W25" s="16">
        <f>V25*(1+'Water and Waste'!Z40)</f>
        <v>25998975178.004116</v>
      </c>
      <c r="X25" s="16">
        <f>W25*(1+'Water and Waste'!AA40)</f>
        <v>25868980302.114094</v>
      </c>
      <c r="Y25" s="16">
        <f>X25*(1+'Water and Waste'!AB40)</f>
        <v>25739635400.603523</v>
      </c>
      <c r="Z25" s="16">
        <f>Y25*(1+'Water and Waste'!AC40)</f>
        <v>25610937223.600506</v>
      </c>
      <c r="AA25" s="16">
        <f>Z25*(1+'Water and Waste'!AD40)</f>
        <v>25482882537.482502</v>
      </c>
      <c r="AB25" s="16">
        <f>AA25*(1+'Water and Waste'!AE40)</f>
        <v>25355468124.79509</v>
      </c>
      <c r="AC25" s="16">
        <f>AB25*(1+'Water and Waste'!AF40)</f>
        <v>25228690784.171116</v>
      </c>
      <c r="AD25" s="16">
        <f>AC25*(1+'Water and Waste'!AG40)</f>
        <v>25102547330.250259</v>
      </c>
      <c r="AE25" s="16">
        <f>AD25*(1+'Water and Waste'!AH40)</f>
        <v>24977034593.599007</v>
      </c>
      <c r="AF25" s="16">
        <f>AE25*(1+'Water and Waste'!AI40)</f>
        <v>24852149420.631008</v>
      </c>
    </row>
    <row r="26" spans="1:32">
      <c r="A26" t="s">
        <v>26</v>
      </c>
      <c r="B26" s="16">
        <f>'KEEI BAU - Industry'!R$56*'Others Split'!$H$15</f>
        <v>6087721328894.5859</v>
      </c>
      <c r="C26" s="16">
        <f>'KEEI BAU - Industry'!S$56*'Others Split'!$H$15</f>
        <v>6358340775322.3896</v>
      </c>
      <c r="D26" s="16">
        <f>'KEEI BAU - Industry'!T$56*'Others Split'!$H$15</f>
        <v>6628960221750.1924</v>
      </c>
      <c r="E26" s="16">
        <f>'KEEI BAU - Industry'!U$56*'Others Split'!$H$15</f>
        <v>6899579668177.9941</v>
      </c>
      <c r="F26" s="16">
        <f>'KEEI BAU - Industry'!V$56*'Others Split'!$H$15</f>
        <v>7170199114605.7979</v>
      </c>
      <c r="G26" s="16">
        <f>'KEEI BAU - Industry'!W$56*'Others Split'!$H$15</f>
        <v>7440818561033.6016</v>
      </c>
      <c r="H26" s="16">
        <f>'KEEI BAU - Industry'!X$56*'Others Split'!$H$15</f>
        <v>7640768944469.2246</v>
      </c>
      <c r="I26" s="16">
        <f>'KEEI BAU - Industry'!Y$56*'Others Split'!$H$15</f>
        <v>7840719327904.8467</v>
      </c>
      <c r="J26" s="16">
        <f>'KEEI BAU - Industry'!Z$56*'Others Split'!$H$15</f>
        <v>8040669711340.4053</v>
      </c>
      <c r="K26" s="16">
        <f>'KEEI BAU - Industry'!AA$56*'Others Split'!$H$15</f>
        <v>8240620094776.0283</v>
      </c>
      <c r="L26" s="16">
        <f>'KEEI BAU - Industry'!AB$56*'Others Split'!$H$15</f>
        <v>8440570478211.5537</v>
      </c>
      <c r="M26" s="16">
        <f>'KEEI BAU - Industry'!AC$56*'Others Split'!$H$15</f>
        <v>8619257720295.3145</v>
      </c>
      <c r="N26" s="16">
        <f>'KEEI BAU - Industry'!AD$56*'Others Split'!$H$15</f>
        <v>8797944962378.9766</v>
      </c>
      <c r="O26" s="16">
        <f>'KEEI BAU - Industry'!AE$56*'Others Split'!$H$15</f>
        <v>8976632204462.7051</v>
      </c>
      <c r="P26" s="16">
        <f>'KEEI BAU - Industry'!AF$56*'Others Split'!$H$15</f>
        <v>9155319446546.3691</v>
      </c>
      <c r="Q26" s="16">
        <f>'KEEI BAU - Industry'!AG$56*'Others Split'!$H$15</f>
        <v>9334006688630.0313</v>
      </c>
      <c r="R26" s="16">
        <f>'KEEI BAU - Industry'!AH$56*'Others Split'!$H$15</f>
        <v>9516536667102.6563</v>
      </c>
      <c r="S26" s="16">
        <f>'KEEI BAU - Industry'!AI$56*'Others Split'!$H$15</f>
        <v>9699066645575.2813</v>
      </c>
      <c r="T26" s="16">
        <f>'KEEI BAU - Industry'!AJ$56*'Others Split'!$H$15</f>
        <v>9881596624047.8398</v>
      </c>
      <c r="U26" s="16">
        <f>'KEEI BAU - Industry'!AK$56*'Others Split'!$H$15</f>
        <v>10064126602520.465</v>
      </c>
      <c r="V26" s="16">
        <f>'KEEI BAU - Industry'!AL$56*'Others Split'!$H$15</f>
        <v>10246656580992.992</v>
      </c>
      <c r="W26" s="16">
        <f>'KEEI BAU - Industry'!AM$56*'Others Split'!$H$15</f>
        <v>10424062910947.057</v>
      </c>
      <c r="X26" s="16">
        <f>'KEEI BAU - Industry'!AN$56*'Others Split'!$H$15</f>
        <v>10604962637618.318</v>
      </c>
      <c r="Y26" s="16">
        <f>'KEEI BAU - Industry'!AO$56*'Others Split'!$H$15</f>
        <v>10785862364289.582</v>
      </c>
      <c r="Z26" s="16">
        <f>'KEEI BAU - Industry'!AP$56*'Others Split'!$H$15</f>
        <v>10966762090960.779</v>
      </c>
      <c r="AA26" s="16">
        <f>'KEEI BAU - Industry'!AQ$56*'Others Split'!$H$15</f>
        <v>11147661817632.043</v>
      </c>
      <c r="AB26" s="16">
        <f>'KEEI BAU - Industry'!AR$56*'Others Split'!$H$15</f>
        <v>11328561544303.305</v>
      </c>
      <c r="AC26" s="16">
        <f>'KEEI BAU - Industry'!AS$56*'Others Split'!$H$15</f>
        <v>11509461270974.502</v>
      </c>
      <c r="AD26" s="16">
        <f>'KEEI BAU - Industry'!AT$56*'Others Split'!$H$15</f>
        <v>11690360997645.766</v>
      </c>
      <c r="AE26" s="16">
        <f>'KEEI BAU - Industry'!AU$56*'Others Split'!$H$15</f>
        <v>11871260724317.027</v>
      </c>
      <c r="AF26" s="16">
        <f>'KEEI BAU - Industry'!AV$56*'Others Split'!$H$15</f>
        <v>12052160450988.227</v>
      </c>
    </row>
  </sheetData>
  <phoneticPr fontId="37" type="noConversion"/>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5A70E-05BE-4F71-92EA-D90139295743}">
  <dimension ref="A1:AI80"/>
  <sheetViews>
    <sheetView zoomScale="55" zoomScaleNormal="55" workbookViewId="0">
      <pane xSplit="1" ySplit="1" topLeftCell="B11" activePane="bottomRight" state="frozen"/>
      <selection pane="topRight" activeCell="B1" sqref="B1"/>
      <selection pane="bottomLeft" activeCell="A2" sqref="A2"/>
      <selection pane="bottomRight" activeCell="W38" sqref="W38"/>
    </sheetView>
  </sheetViews>
  <sheetFormatPr defaultColWidth="9.125" defaultRowHeight="16.5"/>
  <cols>
    <col min="1" max="1" width="39.875" customWidth="1"/>
    <col min="2" max="33" width="11.875" customWidth="1"/>
    <col min="34" max="35" width="9.5" bestFit="1" customWidth="1"/>
  </cols>
  <sheetData>
    <row r="1" spans="1:35">
      <c r="A1" s="24" t="s">
        <v>27</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c r="A2" t="s">
        <v>2</v>
      </c>
      <c r="B2" s="16">
        <f>'KEEI BAU - Industry'!R53*'Others Split'!$D$46*'Others Split'!$I$6</f>
        <v>76236330577659.875</v>
      </c>
      <c r="C2" s="16">
        <f>'KEEI BAU - Industry'!S53*'Others Split'!$D$46*'Others Split'!$I$6</f>
        <v>77927733637930.109</v>
      </c>
      <c r="D2" s="16">
        <f>'KEEI BAU - Industry'!T53*'Others Split'!$D$46*'Others Split'!$I$6</f>
        <v>79619136698200.344</v>
      </c>
      <c r="E2" s="16">
        <f>'KEEI BAU - Industry'!U53*'Others Split'!$D$46*'Others Split'!$I$6</f>
        <v>81310539758470.594</v>
      </c>
      <c r="F2" s="16">
        <f>'KEEI BAU - Industry'!V53*'Others Split'!$D$46*'Others Split'!$I$6</f>
        <v>83001942818740.828</v>
      </c>
      <c r="G2" s="16">
        <f>'KEEI BAU - Industry'!W53*'Others Split'!$D$46*'Others Split'!$I$6</f>
        <v>84693345879011.063</v>
      </c>
      <c r="H2" s="16">
        <f>'KEEI BAU - Industry'!X53*'Others Split'!$D$46*'Others Split'!$I$6</f>
        <v>85474970809551.922</v>
      </c>
      <c r="I2" s="16">
        <f>'KEEI BAU - Industry'!Y53*'Others Split'!$D$46*'Others Split'!$I$6</f>
        <v>86256595740092.547</v>
      </c>
      <c r="J2" s="16">
        <f>'KEEI BAU - Industry'!Z53*'Others Split'!$D$46*'Others Split'!$I$6</f>
        <v>87038220670633.172</v>
      </c>
      <c r="K2" s="16">
        <f>'KEEI BAU - Industry'!AA53*'Others Split'!$D$46*'Others Split'!$I$6</f>
        <v>87819845601173.781</v>
      </c>
      <c r="L2" s="16">
        <f>'KEEI BAU - Industry'!AB53*'Others Split'!$D$46*'Others Split'!$I$6</f>
        <v>88601470531714.563</v>
      </c>
      <c r="M2" s="16">
        <f>'KEEI BAU - Industry'!AC53*'Others Split'!$D$46*'Others Split'!$I$6</f>
        <v>89157177292962.563</v>
      </c>
      <c r="N2" s="16">
        <f>'KEEI BAU - Industry'!AD53*'Others Split'!$D$46*'Others Split'!$I$6</f>
        <v>89712884054210.719</v>
      </c>
      <c r="O2" s="16">
        <f>'KEEI BAU - Industry'!AE53*'Others Split'!$D$46*'Others Split'!$I$6</f>
        <v>90268590815458.875</v>
      </c>
      <c r="P2" s="16">
        <f>'KEEI BAU - Industry'!AF53*'Others Split'!$D$46*'Others Split'!$I$6</f>
        <v>90824297576707</v>
      </c>
      <c r="Q2" s="16">
        <f>'KEEI BAU - Industry'!AG53*'Others Split'!$D$46*'Others Split'!$I$6</f>
        <v>91380004337955.125</v>
      </c>
      <c r="R2" s="16">
        <f>'KEEI BAU - Industry'!AH53*'Others Split'!$D$46*'Others Split'!$I$6</f>
        <v>91816260113140.781</v>
      </c>
      <c r="S2" s="16">
        <f>'KEEI BAU - Industry'!AI53*'Others Split'!$D$46*'Others Split'!$I$6</f>
        <v>92252515888326.094</v>
      </c>
      <c r="T2" s="16">
        <f>'KEEI BAU - Industry'!AJ53*'Others Split'!$D$46*'Others Split'!$I$6</f>
        <v>92688771663511.547</v>
      </c>
      <c r="U2" s="16">
        <f>'KEEI BAU - Industry'!AK53*'Others Split'!$D$46*'Others Split'!$I$6</f>
        <v>93125027438697.031</v>
      </c>
      <c r="V2" s="16">
        <f>'KEEI BAU - Industry'!AL53*'Others Split'!$D$46*'Others Split'!$I$6</f>
        <v>93561283213882.328</v>
      </c>
      <c r="W2" s="16">
        <f>'KEEI BAU - Industry'!AM53*'Others Split'!$D$46*'Others Split'!$I$6</f>
        <v>94156806970484.75</v>
      </c>
      <c r="X2" s="16">
        <f>'KEEI BAU - Industry'!AN53*'Others Split'!$D$46*'Others Split'!$I$6</f>
        <v>94643738921575.547</v>
      </c>
      <c r="Y2" s="16">
        <f>'KEEI BAU - Industry'!AO53*'Others Split'!$D$46*'Others Split'!$I$6</f>
        <v>95130670872666.5</v>
      </c>
      <c r="Z2" s="16">
        <f>'KEEI BAU - Industry'!AP53*'Others Split'!$D$46*'Others Split'!$I$6</f>
        <v>95617602823757.313</v>
      </c>
      <c r="AA2" s="16">
        <f>'KEEI BAU - Industry'!AQ53*'Others Split'!$D$46*'Others Split'!$I$6</f>
        <v>96104534774848.109</v>
      </c>
      <c r="AB2" s="16">
        <f>'KEEI BAU - Industry'!AR53*'Others Split'!$D$46*'Others Split'!$I$6</f>
        <v>96591466725938.891</v>
      </c>
      <c r="AC2" s="16">
        <f>'KEEI BAU - Industry'!AS53*'Others Split'!$D$46*'Others Split'!$I$6</f>
        <v>97078398677029.844</v>
      </c>
      <c r="AD2" s="16">
        <f>'KEEI BAU - Industry'!AT53*'Others Split'!$D$46*'Others Split'!$I$6</f>
        <v>97565330628120.656</v>
      </c>
      <c r="AE2" s="16">
        <f>'KEEI BAU - Industry'!AU53*'Others Split'!$D$46*'Others Split'!$I$6</f>
        <v>98052262579211.453</v>
      </c>
      <c r="AF2" s="16">
        <f>'KEEI BAU - Industry'!AV53*'Others Split'!$D$46*'Others Split'!$I$6</f>
        <v>98539194530302.406</v>
      </c>
    </row>
    <row r="3" spans="1:35">
      <c r="A3" t="s">
        <v>3</v>
      </c>
      <c r="B3" s="16">
        <f>-SUM('2019 KESIS Energy Balance'!Z36:AE36)*'KEEI BAU - Industry'!$N$3/1000*(1+'KEEI BAU - Coal Supply'!R9)</f>
        <v>350079024747.12341</v>
      </c>
      <c r="C3" s="16">
        <f>B3*(1+'KEEI BAU - Coal Supply'!S9)</f>
        <v>336704684433.10022</v>
      </c>
      <c r="D3" s="16">
        <f>C3*(1+'KEEI BAU - Coal Supply'!T9)</f>
        <v>300436717704.85895</v>
      </c>
      <c r="E3" s="16">
        <f>D3*(1+'KEEI BAU - Coal Supply'!U9)</f>
        <v>294693586195.57178</v>
      </c>
      <c r="F3" s="16">
        <f>E3*(1+'KEEI BAU - Coal Supply'!V9)</f>
        <v>288950454686.2879</v>
      </c>
      <c r="G3" s="16">
        <f>F3*(1+'KEEI BAU - Coal Supply'!W9)</f>
        <v>283207323177.00226</v>
      </c>
      <c r="H3" s="16">
        <f>G3*(1+'KEEI BAU - Coal Supply'!X9)</f>
        <v>277464191667.71667</v>
      </c>
      <c r="I3" s="16">
        <f>H3*(1+'KEEI BAU - Coal Supply'!Y9)</f>
        <v>271721060158.43106</v>
      </c>
      <c r="J3" s="16">
        <f>I3*(1+'KEEI BAU - Coal Supply'!Z9)</f>
        <v>265977928649.14545</v>
      </c>
      <c r="K3" s="16">
        <f>J3*(1+'KEEI BAU - Coal Supply'!AA9)</f>
        <v>260234797139.85983</v>
      </c>
      <c r="L3" s="16">
        <f>K3*(1+'KEEI BAU - Coal Supply'!AB9)</f>
        <v>254491665630.57596</v>
      </c>
      <c r="M3" s="16">
        <f>L3*(1+'KEEI BAU - Coal Supply'!AC9)</f>
        <v>248769517072.19168</v>
      </c>
      <c r="N3" s="16">
        <f>M3*(1+'KEEI BAU - Coal Supply'!AD9)</f>
        <v>243047368513.80563</v>
      </c>
      <c r="O3" s="16">
        <f>N3*(1+'KEEI BAU - Coal Supply'!AE9)</f>
        <v>237325219955.41962</v>
      </c>
      <c r="P3" s="16">
        <f>O3*(1+'KEEI BAU - Coal Supply'!AF9)</f>
        <v>231603071397.03534</v>
      </c>
      <c r="Q3" s="16">
        <f>P3*(1+'KEEI BAU - Coal Supply'!AG9)</f>
        <v>225880922838.64932</v>
      </c>
      <c r="R3" s="16">
        <f>Q3*(1+'KEEI BAU - Coal Supply'!AH9)</f>
        <v>220158774280.26328</v>
      </c>
      <c r="S3" s="16">
        <f>R3*(1+'KEEI BAU - Coal Supply'!AI9)</f>
        <v>214436625721.87903</v>
      </c>
      <c r="T3" s="16">
        <f>S3*(1+'KEEI BAU - Coal Supply'!AJ9)</f>
        <v>208714477163.49301</v>
      </c>
      <c r="U3" s="16">
        <f>T3*(1+'KEEI BAU - Coal Supply'!AK9)</f>
        <v>202992328605.10873</v>
      </c>
      <c r="V3" s="16">
        <f>U3*(1+'KEEI BAU - Coal Supply'!AL9)</f>
        <v>197270180046.72226</v>
      </c>
      <c r="W3" s="16">
        <f>V3*(1+'KEEI BAU - Coal Supply'!AM9)</f>
        <v>191783301466.30484</v>
      </c>
      <c r="X3" s="16">
        <f>W3*(1+'KEEI BAU - Coal Supply'!AN9)</f>
        <v>186296422885.88699</v>
      </c>
      <c r="Y3" s="16">
        <f>X3*(1+'KEEI BAU - Coal Supply'!AO9)</f>
        <v>180809544305.46738</v>
      </c>
      <c r="Z3" s="16">
        <f>Y3*(1+'KEEI BAU - Coal Supply'!AP9)</f>
        <v>175322665725.04953</v>
      </c>
      <c r="AA3" s="16">
        <f>Z3*(1+'KEEI BAU - Coal Supply'!AQ9)</f>
        <v>169835787144.62991</v>
      </c>
      <c r="AB3" s="16">
        <f>AA3*(1+'KEEI BAU - Coal Supply'!AR9)</f>
        <v>164348908564.21207</v>
      </c>
      <c r="AC3" s="16">
        <f>AB3*(1+'KEEI BAU - Coal Supply'!AS9)</f>
        <v>158862029983.79245</v>
      </c>
      <c r="AD3" s="16">
        <f>AC3*(1+'KEEI BAU - Coal Supply'!AT9)</f>
        <v>153375151403.3746</v>
      </c>
      <c r="AE3" s="16">
        <f>AD3*(1+'KEEI BAU - Coal Supply'!AU9)</f>
        <v>147888272822.95676</v>
      </c>
      <c r="AF3" s="16">
        <f>AE3*(1+'KEEI BAU - Coal Supply'!AV9)</f>
        <v>142401394242.53604</v>
      </c>
    </row>
    <row r="4" spans="1:35">
      <c r="A4" t="s">
        <v>4</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c r="AC4" s="16">
        <v>0</v>
      </c>
      <c r="AD4" s="16">
        <v>0</v>
      </c>
      <c r="AE4" s="16">
        <v>0</v>
      </c>
      <c r="AF4" s="16">
        <v>0</v>
      </c>
    </row>
    <row r="5" spans="1:35">
      <c r="A5" t="s">
        <v>5</v>
      </c>
      <c r="B5" s="16">
        <f>'KEEI BAU - Industry'!R$53*'Others Split'!$D$46*'Others Split'!$I$7</f>
        <v>1977644354360.5574</v>
      </c>
      <c r="C5" s="16">
        <f>'KEEI BAU - Industry'!S$53*'Others Split'!$D$46*'Others Split'!$I$7</f>
        <v>2021520990181.6394</v>
      </c>
      <c r="D5" s="16">
        <f>'KEEI BAU - Industry'!T$53*'Others Split'!$D$46*'Others Split'!$I$7</f>
        <v>2065397626002.7214</v>
      </c>
      <c r="E5" s="16">
        <f>'KEEI BAU - Industry'!U$53*'Others Split'!$D$46*'Others Split'!$I$7</f>
        <v>2109274261823.8037</v>
      </c>
      <c r="F5" s="16">
        <f>'KEEI BAU - Industry'!V$53*'Others Split'!$D$46*'Others Split'!$I$7</f>
        <v>2153150897644.8857</v>
      </c>
      <c r="G5" s="16">
        <f>'KEEI BAU - Industry'!W$53*'Others Split'!$D$46*'Others Split'!$I$7</f>
        <v>2197027533465.9678</v>
      </c>
      <c r="H5" s="16">
        <f>'KEEI BAU - Industry'!X$53*'Others Split'!$D$46*'Others Split'!$I$7</f>
        <v>2217303642237.1914</v>
      </c>
      <c r="I5" s="16">
        <f>'KEEI BAU - Industry'!Y$53*'Others Split'!$D$46*'Others Split'!$I$7</f>
        <v>2237579751008.4087</v>
      </c>
      <c r="J5" s="16">
        <f>'KEEI BAU - Industry'!Z$53*'Others Split'!$D$46*'Others Split'!$I$7</f>
        <v>2257855859779.6265</v>
      </c>
      <c r="K5" s="16">
        <f>'KEEI BAU - Industry'!AA$53*'Others Split'!$D$46*'Others Split'!$I$7</f>
        <v>2278131968550.8438</v>
      </c>
      <c r="L5" s="16">
        <f>'KEEI BAU - Industry'!AB$53*'Others Split'!$D$46*'Others Split'!$I$7</f>
        <v>2298408077322.0654</v>
      </c>
      <c r="M5" s="16">
        <f>'KEEI BAU - Industry'!AC$53*'Others Split'!$D$46*'Others Split'!$I$7</f>
        <v>2312823649671.0332</v>
      </c>
      <c r="N5" s="16">
        <f>'KEEI BAU - Industry'!AD$53*'Others Split'!$D$46*'Others Split'!$I$7</f>
        <v>2327239222020.0054</v>
      </c>
      <c r="O5" s="16">
        <f>'KEEI BAU - Industry'!AE$53*'Others Split'!$D$46*'Others Split'!$I$7</f>
        <v>2341654794368.9771</v>
      </c>
      <c r="P5" s="16">
        <f>'KEEI BAU - Industry'!AF$53*'Others Split'!$D$46*'Others Split'!$I$7</f>
        <v>2356070366717.9487</v>
      </c>
      <c r="Q5" s="16">
        <f>'KEEI BAU - Industry'!AG$53*'Others Split'!$D$46*'Others Split'!$I$7</f>
        <v>2370485939066.9199</v>
      </c>
      <c r="R5" s="16">
        <f>'KEEI BAU - Industry'!AH$53*'Others Split'!$D$46*'Others Split'!$I$7</f>
        <v>2381802836985.7441</v>
      </c>
      <c r="S5" s="16">
        <f>'KEEI BAU - Industry'!AI$53*'Others Split'!$D$46*'Others Split'!$I$7</f>
        <v>2393119734904.5591</v>
      </c>
      <c r="T5" s="16">
        <f>'KEEI BAU - Industry'!AJ$53*'Others Split'!$D$46*'Others Split'!$I$7</f>
        <v>2404436632823.3779</v>
      </c>
      <c r="U5" s="16">
        <f>'KEEI BAU - Industry'!AK$53*'Others Split'!$D$46*'Others Split'!$I$7</f>
        <v>2415753530742.1973</v>
      </c>
      <c r="V5" s="16">
        <f>'KEEI BAU - Industry'!AL$53*'Others Split'!$D$46*'Others Split'!$I$7</f>
        <v>2427070428661.0122</v>
      </c>
      <c r="W5" s="16">
        <f>'KEEI BAU - Industry'!AM$53*'Others Split'!$D$46*'Others Split'!$I$7</f>
        <v>2442518892486.7026</v>
      </c>
      <c r="X5" s="16">
        <f>'KEEI BAU - Industry'!AN$53*'Others Split'!$D$46*'Others Split'!$I$7</f>
        <v>2455150379557.7065</v>
      </c>
      <c r="Y5" s="16">
        <f>'KEEI BAU - Industry'!AO$53*'Others Split'!$D$46*'Others Split'!$I$7</f>
        <v>2467781866628.7144</v>
      </c>
      <c r="Z5" s="16">
        <f>'KEEI BAU - Industry'!AP$53*'Others Split'!$D$46*'Others Split'!$I$7</f>
        <v>2480413353699.7188</v>
      </c>
      <c r="AA5" s="16">
        <f>'KEEI BAU - Industry'!AQ$53*'Others Split'!$D$46*'Others Split'!$I$7</f>
        <v>2493044840770.7222</v>
      </c>
      <c r="AB5" s="16">
        <f>'KEEI BAU - Industry'!AR$53*'Others Split'!$D$46*'Others Split'!$I$7</f>
        <v>2505676327841.7261</v>
      </c>
      <c r="AC5" s="16">
        <f>'KEEI BAU - Industry'!AS$53*'Others Split'!$D$46*'Others Split'!$I$7</f>
        <v>2518307814912.7339</v>
      </c>
      <c r="AD5" s="16">
        <f>'KEEI BAU - Industry'!AT$53*'Others Split'!$D$46*'Others Split'!$I$7</f>
        <v>2530939301983.7383</v>
      </c>
      <c r="AE5" s="16">
        <f>'KEEI BAU - Industry'!AU$53*'Others Split'!$D$46*'Others Split'!$I$7</f>
        <v>2543570789054.7417</v>
      </c>
      <c r="AF5" s="16">
        <f>'KEEI BAU - Industry'!AV$53*'Others Split'!$D$46*'Others Split'!$I$7</f>
        <v>2556202276125.75</v>
      </c>
    </row>
    <row r="6" spans="1:35">
      <c r="A6" t="s">
        <v>6</v>
      </c>
      <c r="B6" s="16">
        <f>'KEEI BAU - Industry'!R$53*'Others Split'!$D$46*'Others Split'!$I$8</f>
        <v>2279367476664.3818</v>
      </c>
      <c r="C6" s="16">
        <f>'KEEI BAU - Industry'!S$53*'Others Split'!$D$46*'Others Split'!$I$8</f>
        <v>2329938235989.9932</v>
      </c>
      <c r="D6" s="16">
        <f>'KEEI BAU - Industry'!T$53*'Others Split'!$D$46*'Others Split'!$I$8</f>
        <v>2380508995315.6045</v>
      </c>
      <c r="E6" s="16">
        <f>'KEEI BAU - Industry'!U$53*'Others Split'!$D$46*'Others Split'!$I$8</f>
        <v>2431079754641.2158</v>
      </c>
      <c r="F6" s="16">
        <f>'KEEI BAU - Industry'!V$53*'Others Split'!$D$46*'Others Split'!$I$8</f>
        <v>2481650513966.8271</v>
      </c>
      <c r="G6" s="16">
        <f>'KEEI BAU - Industry'!W$53*'Others Split'!$D$46*'Others Split'!$I$8</f>
        <v>2532221273292.439</v>
      </c>
      <c r="H6" s="16">
        <f>'KEEI BAU - Industry'!X$53*'Others Split'!$D$46*'Others Split'!$I$8</f>
        <v>2555590845675.1235</v>
      </c>
      <c r="I6" s="16">
        <f>'KEEI BAU - Industry'!Y$53*'Others Split'!$D$46*'Others Split'!$I$8</f>
        <v>2578960418057.8008</v>
      </c>
      <c r="J6" s="16">
        <f>'KEEI BAU - Industry'!Z$53*'Others Split'!$D$46*'Others Split'!$I$8</f>
        <v>2602329990440.4785</v>
      </c>
      <c r="K6" s="16">
        <f>'KEEI BAU - Industry'!AA$53*'Others Split'!$D$46*'Others Split'!$I$8</f>
        <v>2625699562823.1558</v>
      </c>
      <c r="L6" s="16">
        <f>'KEEI BAU - Industry'!AB$53*'Others Split'!$D$46*'Others Split'!$I$8</f>
        <v>2649069135205.8379</v>
      </c>
      <c r="M6" s="16">
        <f>'KEEI BAU - Industry'!AC$53*'Others Split'!$D$46*'Others Split'!$I$8</f>
        <v>2665684047132.3877</v>
      </c>
      <c r="N6" s="16">
        <f>'KEEI BAU - Industry'!AD$53*'Others Split'!$D$46*'Others Split'!$I$8</f>
        <v>2682298959058.9429</v>
      </c>
      <c r="O6" s="16">
        <f>'KEEI BAU - Industry'!AE$53*'Others Split'!$D$46*'Others Split'!$I$8</f>
        <v>2698913870985.4976</v>
      </c>
      <c r="P6" s="16">
        <f>'KEEI BAU - Industry'!AF$53*'Others Split'!$D$46*'Others Split'!$I$8</f>
        <v>2715528782912.0522</v>
      </c>
      <c r="Q6" s="16">
        <f>'KEEI BAU - Industry'!AG$53*'Others Split'!$D$46*'Others Split'!$I$8</f>
        <v>2732143694838.606</v>
      </c>
      <c r="R6" s="16">
        <f>'KEEI BAU - Industry'!AH$53*'Others Split'!$D$46*'Others Split'!$I$8</f>
        <v>2745187177098.7109</v>
      </c>
      <c r="S6" s="16">
        <f>'KEEI BAU - Industry'!AI$53*'Others Split'!$D$46*'Others Split'!$I$8</f>
        <v>2758230659358.8052</v>
      </c>
      <c r="T6" s="16">
        <f>'KEEI BAU - Industry'!AJ$53*'Others Split'!$D$46*'Others Split'!$I$8</f>
        <v>2771274141618.9043</v>
      </c>
      <c r="U6" s="16">
        <f>'KEEI BAU - Industry'!AK$53*'Others Split'!$D$46*'Others Split'!$I$8</f>
        <v>2784317623879.0034</v>
      </c>
      <c r="V6" s="16">
        <f>'KEEI BAU - Industry'!AL$53*'Others Split'!$D$46*'Others Split'!$I$8</f>
        <v>2797361106139.0981</v>
      </c>
      <c r="W6" s="16">
        <f>'KEEI BAU - Industry'!AM$53*'Others Split'!$D$46*'Others Split'!$I$8</f>
        <v>2815166494621.1392</v>
      </c>
      <c r="X6" s="16">
        <f>'KEEI BAU - Industry'!AN$53*'Others Split'!$D$46*'Others Split'!$I$8</f>
        <v>2829725128860.9453</v>
      </c>
      <c r="Y6" s="16">
        <f>'KEEI BAU - Industry'!AO$53*'Others Split'!$D$46*'Others Split'!$I$8</f>
        <v>2844283763100.7559</v>
      </c>
      <c r="Z6" s="16">
        <f>'KEEI BAU - Industry'!AP$53*'Others Split'!$D$46*'Others Split'!$I$8</f>
        <v>2858842397340.5625</v>
      </c>
      <c r="AA6" s="16">
        <f>'KEEI BAU - Industry'!AQ$53*'Others Split'!$D$46*'Others Split'!$I$8</f>
        <v>2873401031580.3682</v>
      </c>
      <c r="AB6" s="16">
        <f>'KEEI BAU - Industry'!AR$53*'Others Split'!$D$46*'Others Split'!$I$8</f>
        <v>2887959665820.1743</v>
      </c>
      <c r="AC6" s="16">
        <f>'KEEI BAU - Industry'!AS$53*'Others Split'!$D$46*'Others Split'!$I$8</f>
        <v>2902518300059.9849</v>
      </c>
      <c r="AD6" s="16">
        <f>'KEEI BAU - Industry'!AT$53*'Others Split'!$D$46*'Others Split'!$I$8</f>
        <v>2917076934299.7915</v>
      </c>
      <c r="AE6" s="16">
        <f>'KEEI BAU - Industry'!AU$53*'Others Split'!$D$46*'Others Split'!$I$8</f>
        <v>2931635568539.5972</v>
      </c>
      <c r="AF6" s="16">
        <f>'KEEI BAU - Industry'!AV$53*'Others Split'!$D$46*'Others Split'!$I$8</f>
        <v>2946194202779.4082</v>
      </c>
    </row>
    <row r="7" spans="1:35">
      <c r="A7" t="s">
        <v>7</v>
      </c>
      <c r="B7" s="16">
        <f>'KEEI BAU - Industry'!R$53*'Others Split'!$D$46*'Others Split'!$I$9</f>
        <v>412921970345.76807</v>
      </c>
      <c r="C7" s="16">
        <f>'KEEI BAU - Industry'!S$53*'Others Split'!$D$46*'Others Split'!$I$9</f>
        <v>422083186251.66986</v>
      </c>
      <c r="D7" s="16">
        <f>'KEEI BAU - Industry'!T$53*'Others Split'!$D$46*'Others Split'!$I$9</f>
        <v>431244402157.57172</v>
      </c>
      <c r="E7" s="16">
        <f>'KEEI BAU - Industry'!U$53*'Others Split'!$D$46*'Others Split'!$I$9</f>
        <v>440405618063.47357</v>
      </c>
      <c r="F7" s="16">
        <f>'KEEI BAU - Industry'!V$53*'Others Split'!$D$46*'Others Split'!$I$9</f>
        <v>449566833969.37543</v>
      </c>
      <c r="G7" s="16">
        <f>'KEEI BAU - Industry'!W$53*'Others Split'!$D$46*'Others Split'!$I$9</f>
        <v>458728049875.27728</v>
      </c>
      <c r="H7" s="16">
        <f>'KEEI BAU - Industry'!X$53*'Others Split'!$D$46*'Others Split'!$I$9</f>
        <v>462961597108.52887</v>
      </c>
      <c r="I7" s="16">
        <f>'KEEI BAU - Industry'!Y$53*'Others Split'!$D$46*'Others Split'!$I$9</f>
        <v>467195144341.77917</v>
      </c>
      <c r="J7" s="16">
        <f>'KEEI BAU - Industry'!Z$53*'Others Split'!$D$46*'Others Split'!$I$9</f>
        <v>471428691575.02948</v>
      </c>
      <c r="K7" s="16">
        <f>'KEEI BAU - Industry'!AA$53*'Others Split'!$D$46*'Others Split'!$I$9</f>
        <v>475662238808.27979</v>
      </c>
      <c r="L7" s="16">
        <f>'KEEI BAU - Industry'!AB$53*'Others Split'!$D$46*'Others Split'!$I$9</f>
        <v>479895786041.53094</v>
      </c>
      <c r="M7" s="16">
        <f>'KEEI BAU - Industry'!AC$53*'Others Split'!$D$46*'Others Split'!$I$9</f>
        <v>482905683410.02032</v>
      </c>
      <c r="N7" s="16">
        <f>'KEEI BAU - Industry'!AD$53*'Others Split'!$D$46*'Others Split'!$I$9</f>
        <v>485915580778.51062</v>
      </c>
      <c r="O7" s="16">
        <f>'KEEI BAU - Industry'!AE$53*'Others Split'!$D$46*'Others Split'!$I$9</f>
        <v>488925478147.00085</v>
      </c>
      <c r="P7" s="16">
        <f>'KEEI BAU - Industry'!AF$53*'Others Split'!$D$46*'Others Split'!$I$9</f>
        <v>491935375515.49109</v>
      </c>
      <c r="Q7" s="16">
        <f>'KEEI BAU - Industry'!AG$53*'Others Split'!$D$46*'Others Split'!$I$9</f>
        <v>494945272883.98114</v>
      </c>
      <c r="R7" s="16">
        <f>'KEEI BAU - Industry'!AH$53*'Others Split'!$D$46*'Others Split'!$I$9</f>
        <v>497308182967.6568</v>
      </c>
      <c r="S7" s="16">
        <f>'KEEI BAU - Industry'!AI$53*'Others Split'!$D$46*'Others Split'!$I$9</f>
        <v>499671093051.33057</v>
      </c>
      <c r="T7" s="16">
        <f>'KEEI BAU - Industry'!AJ$53*'Others Split'!$D$46*'Others Split'!$I$9</f>
        <v>502034003135.00513</v>
      </c>
      <c r="U7" s="16">
        <f>'KEEI BAU - Industry'!AK$53*'Others Split'!$D$46*'Others Split'!$I$9</f>
        <v>504396913218.67975</v>
      </c>
      <c r="V7" s="16">
        <f>'KEEI BAU - Industry'!AL$53*'Others Split'!$D$46*'Others Split'!$I$9</f>
        <v>506759823302.35352</v>
      </c>
      <c r="W7" s="16">
        <f>'KEEI BAU - Industry'!AM$53*'Others Split'!$D$46*'Others Split'!$I$9</f>
        <v>509985383099.11591</v>
      </c>
      <c r="X7" s="16">
        <f>'KEEI BAU - Industry'!AN$53*'Others Split'!$D$46*'Others Split'!$I$9</f>
        <v>512622772636.95441</v>
      </c>
      <c r="Y7" s="16">
        <f>'KEEI BAU - Industry'!AO$53*'Others Split'!$D$46*'Others Split'!$I$9</f>
        <v>515260162174.79382</v>
      </c>
      <c r="Z7" s="16">
        <f>'KEEI BAU - Industry'!AP$53*'Others Split'!$D$46*'Others Split'!$I$9</f>
        <v>517897551712.63245</v>
      </c>
      <c r="AA7" s="16">
        <f>'KEEI BAU - Industry'!AQ$53*'Others Split'!$D$46*'Others Split'!$I$9</f>
        <v>520534941250.47095</v>
      </c>
      <c r="AB7" s="16">
        <f>'KEEI BAU - Industry'!AR$53*'Others Split'!$D$46*'Others Split'!$I$9</f>
        <v>523172330788.30945</v>
      </c>
      <c r="AC7" s="16">
        <f>'KEEI BAU - Industry'!AS$53*'Others Split'!$D$46*'Others Split'!$I$9</f>
        <v>525809720326.14886</v>
      </c>
      <c r="AD7" s="16">
        <f>'KEEI BAU - Industry'!AT$53*'Others Split'!$D$46*'Others Split'!$I$9</f>
        <v>528447109863.98749</v>
      </c>
      <c r="AE7" s="16">
        <f>'KEEI BAU - Industry'!AU$53*'Others Split'!$D$46*'Others Split'!$I$9</f>
        <v>531084499401.82599</v>
      </c>
      <c r="AF7" s="16">
        <f>'KEEI BAU - Industry'!AV$53*'Others Split'!$D$46*'Others Split'!$I$9</f>
        <v>533721888939.66541</v>
      </c>
    </row>
    <row r="8" spans="1:35">
      <c r="A8" t="s">
        <v>8</v>
      </c>
      <c r="B8" s="16">
        <f>'KEEI BAU - Industry'!R$53*'Others Split'!$D$46*'Others Split'!$I$10</f>
        <v>64642164481.709572</v>
      </c>
      <c r="C8" s="16">
        <f>'KEEI BAU - Industry'!S$53*'Others Split'!$D$46*'Others Split'!$I$10</f>
        <v>66076335748.852058</v>
      </c>
      <c r="D8" s="16">
        <f>'KEEI BAU - Industry'!T$53*'Others Split'!$D$46*'Others Split'!$I$10</f>
        <v>67510507015.994537</v>
      </c>
      <c r="E8" s="16">
        <f>'KEEI BAU - Industry'!U$53*'Others Split'!$D$46*'Others Split'!$I$10</f>
        <v>68944678283.137024</v>
      </c>
      <c r="F8" s="16">
        <f>'KEEI BAU - Industry'!V$53*'Others Split'!$D$46*'Others Split'!$I$10</f>
        <v>70378849550.27951</v>
      </c>
      <c r="G8" s="16">
        <f>'KEEI BAU - Industry'!W$53*'Others Split'!$D$46*'Others Split'!$I$10</f>
        <v>71813020817.421997</v>
      </c>
      <c r="H8" s="16">
        <f>'KEEI BAU - Industry'!X$53*'Others Split'!$D$46*'Others Split'!$I$10</f>
        <v>72475774742.488693</v>
      </c>
      <c r="I8" s="16">
        <f>'KEEI BAU - Industry'!Y$53*'Others Split'!$D$46*'Others Split'!$I$10</f>
        <v>73138528667.555206</v>
      </c>
      <c r="J8" s="16">
        <f>'KEEI BAU - Industry'!Z$53*'Others Split'!$D$46*'Others Split'!$I$10</f>
        <v>73801282592.621719</v>
      </c>
      <c r="K8" s="16">
        <f>'KEEI BAU - Industry'!AA$53*'Others Split'!$D$46*'Others Split'!$I$10</f>
        <v>74464036517.688217</v>
      </c>
      <c r="L8" s="16">
        <f>'KEEI BAU - Industry'!AB$53*'Others Split'!$D$46*'Others Split'!$I$10</f>
        <v>75126790442.754852</v>
      </c>
      <c r="M8" s="16">
        <f>'KEEI BAU - Industry'!AC$53*'Others Split'!$D$46*'Others Split'!$I$10</f>
        <v>75597984263.233887</v>
      </c>
      <c r="N8" s="16">
        <f>'KEEI BAU - Industry'!AD$53*'Others Split'!$D$46*'Others Split'!$I$10</f>
        <v>76069178083.713074</v>
      </c>
      <c r="O8" s="16">
        <f>'KEEI BAU - Industry'!AE$53*'Others Split'!$D$46*'Others Split'!$I$10</f>
        <v>76540371904.192245</v>
      </c>
      <c r="P8" s="16">
        <f>'KEEI BAU - Industry'!AF$53*'Others Split'!$D$46*'Others Split'!$I$10</f>
        <v>77011565724.671417</v>
      </c>
      <c r="Q8" s="16">
        <f>'KEEI BAU - Industry'!AG$53*'Others Split'!$D$46*'Others Split'!$I$10</f>
        <v>77482759545.150574</v>
      </c>
      <c r="R8" s="16">
        <f>'KEEI BAU - Industry'!AH$53*'Others Split'!$D$46*'Others Split'!$I$10</f>
        <v>77852668712.629715</v>
      </c>
      <c r="S8" s="16">
        <f>'KEEI BAU - Industry'!AI$53*'Others Split'!$D$46*'Others Split'!$I$10</f>
        <v>78222577880.108566</v>
      </c>
      <c r="T8" s="16">
        <f>'KEEI BAU - Industry'!AJ$53*'Others Split'!$D$46*'Others Split'!$I$10</f>
        <v>78592487047.58754</v>
      </c>
      <c r="U8" s="16">
        <f>'KEEI BAU - Industry'!AK$53*'Others Split'!$D$46*'Others Split'!$I$10</f>
        <v>78962396215.066528</v>
      </c>
      <c r="V8" s="16">
        <f>'KEEI BAU - Industry'!AL$53*'Others Split'!$D$46*'Others Split'!$I$10</f>
        <v>79332305382.54538</v>
      </c>
      <c r="W8" s="16">
        <f>'KEEI BAU - Industry'!AM$53*'Others Split'!$D$46*'Others Split'!$I$10</f>
        <v>79837260754.024658</v>
      </c>
      <c r="X8" s="16">
        <f>'KEEI BAU - Industry'!AN$53*'Others Split'!$D$46*'Others Split'!$I$10</f>
        <v>80250139168.230942</v>
      </c>
      <c r="Y8" s="16">
        <f>'KEEI BAU - Industry'!AO$53*'Others Split'!$D$46*'Others Split'!$I$10</f>
        <v>80663017582.437378</v>
      </c>
      <c r="Z8" s="16">
        <f>'KEEI BAU - Industry'!AP$53*'Others Split'!$D$46*'Others Split'!$I$10</f>
        <v>81075895996.643677</v>
      </c>
      <c r="AA8" s="16">
        <f>'KEEI BAU - Industry'!AQ$53*'Others Split'!$D$46*'Others Split'!$I$10</f>
        <v>81488774410.84996</v>
      </c>
      <c r="AB8" s="16">
        <f>'KEEI BAU - Industry'!AR$53*'Others Split'!$D$46*'Others Split'!$I$10</f>
        <v>81901652825.056259</v>
      </c>
      <c r="AC8" s="16">
        <f>'KEEI BAU - Industry'!AS$53*'Others Split'!$D$46*'Others Split'!$I$10</f>
        <v>82314531239.262695</v>
      </c>
      <c r="AD8" s="16">
        <f>'KEEI BAU - Industry'!AT$53*'Others Split'!$D$46*'Others Split'!$I$10</f>
        <v>82727409653.468994</v>
      </c>
      <c r="AE8" s="16">
        <f>'KEEI BAU - Industry'!AU$53*'Others Split'!$D$46*'Others Split'!$I$10</f>
        <v>83140288067.675278</v>
      </c>
      <c r="AF8" s="16">
        <f>'KEEI BAU - Industry'!AV$53*'Others Split'!$D$46*'Others Split'!$I$10</f>
        <v>83553166481.881714</v>
      </c>
    </row>
    <row r="9" spans="1:35">
      <c r="A9" t="s">
        <v>9</v>
      </c>
      <c r="B9" s="16">
        <f>'KEEI BAU - Industry'!R$53*'Others Split'!$D$46*'Others Split'!$I$11</f>
        <v>200492179588.23868</v>
      </c>
      <c r="C9" s="16">
        <f>'KEEI BAU - Industry'!S$53*'Others Split'!$D$46*'Others Split'!$I$11</f>
        <v>204940361754.74985</v>
      </c>
      <c r="D9" s="16">
        <f>'KEEI BAU - Industry'!T$53*'Others Split'!$D$46*'Others Split'!$I$11</f>
        <v>209388543921.26102</v>
      </c>
      <c r="E9" s="16">
        <f>'KEEI BAU - Industry'!U$53*'Others Split'!$D$46*'Others Split'!$I$11</f>
        <v>213836726087.77219</v>
      </c>
      <c r="F9" s="16">
        <f>'KEEI BAU - Industry'!V$53*'Others Split'!$D$46*'Others Split'!$I$11</f>
        <v>218284908254.28336</v>
      </c>
      <c r="G9" s="16">
        <f>'KEEI BAU - Industry'!W$53*'Others Split'!$D$46*'Others Split'!$I$11</f>
        <v>222733090420.79453</v>
      </c>
      <c r="H9" s="16">
        <f>'KEEI BAU - Industry'!X$53*'Others Split'!$D$46*'Others Split'!$I$11</f>
        <v>224788667922.45575</v>
      </c>
      <c r="I9" s="16">
        <f>'KEEI BAU - Industry'!Y$53*'Others Split'!$D$46*'Others Split'!$I$11</f>
        <v>226844245424.11627</v>
      </c>
      <c r="J9" s="16">
        <f>'KEEI BAU - Industry'!Z$53*'Others Split'!$D$46*'Others Split'!$I$11</f>
        <v>228899822925.77689</v>
      </c>
      <c r="K9" s="16">
        <f>'KEEI BAU - Industry'!AA$53*'Others Split'!$D$46*'Others Split'!$I$11</f>
        <v>230955400427.43741</v>
      </c>
      <c r="L9" s="16">
        <f>'KEEI BAU - Industry'!AB$53*'Others Split'!$D$46*'Others Split'!$I$11</f>
        <v>233010977929.09839</v>
      </c>
      <c r="M9" s="16">
        <f>'KEEI BAU - Industry'!AC$53*'Others Split'!$D$46*'Others Split'!$I$11</f>
        <v>234472418412.00616</v>
      </c>
      <c r="N9" s="16">
        <f>'KEEI BAU - Industry'!AD$53*'Others Split'!$D$46*'Others Split'!$I$11</f>
        <v>235933858894.91434</v>
      </c>
      <c r="O9" s="16">
        <f>'KEEI BAU - Industry'!AE$53*'Others Split'!$D$46*'Others Split'!$I$11</f>
        <v>237395299377.82254</v>
      </c>
      <c r="P9" s="16">
        <f>'KEEI BAU - Industry'!AF$53*'Others Split'!$D$46*'Others Split'!$I$11</f>
        <v>238856739860.73068</v>
      </c>
      <c r="Q9" s="16">
        <f>'KEEI BAU - Industry'!AG$53*'Others Split'!$D$46*'Others Split'!$I$11</f>
        <v>240318180343.63876</v>
      </c>
      <c r="R9" s="16">
        <f>'KEEI BAU - Industry'!AH$53*'Others Split'!$D$46*'Others Split'!$I$11</f>
        <v>241465479414.33356</v>
      </c>
      <c r="S9" s="16">
        <f>'KEEI BAU - Industry'!AI$53*'Others Split'!$D$46*'Others Split'!$I$11</f>
        <v>242612778485.0274</v>
      </c>
      <c r="T9" s="16">
        <f>'KEEI BAU - Industry'!AJ$53*'Others Split'!$D$46*'Others Split'!$I$11</f>
        <v>243760077555.72165</v>
      </c>
      <c r="U9" s="16">
        <f>'KEEI BAU - Industry'!AK$53*'Others Split'!$D$46*'Others Split'!$I$11</f>
        <v>244907376626.41595</v>
      </c>
      <c r="V9" s="16">
        <f>'KEEI BAU - Industry'!AL$53*'Others Split'!$D$46*'Others Split'!$I$11</f>
        <v>246054675697.10983</v>
      </c>
      <c r="W9" s="16">
        <f>'KEEI BAU - Industry'!AM$53*'Others Split'!$D$46*'Others Split'!$I$11</f>
        <v>247620829984.08942</v>
      </c>
      <c r="X9" s="16">
        <f>'KEEI BAU - Industry'!AN$53*'Others Split'!$D$46*'Others Split'!$I$11</f>
        <v>248901401169.05609</v>
      </c>
      <c r="Y9" s="16">
        <f>'KEEI BAU - Industry'!AO$53*'Others Split'!$D$46*'Others Split'!$I$11</f>
        <v>250181972354.02322</v>
      </c>
      <c r="Z9" s="16">
        <f>'KEEI BAU - Industry'!AP$53*'Others Split'!$D$46*'Others Split'!$I$11</f>
        <v>251462543538.98996</v>
      </c>
      <c r="AA9" s="16">
        <f>'KEEI BAU - Industry'!AQ$53*'Others Split'!$D$46*'Others Split'!$I$11</f>
        <v>252743114723.95667</v>
      </c>
      <c r="AB9" s="16">
        <f>'KEEI BAU - Industry'!AR$53*'Others Split'!$D$46*'Others Split'!$I$11</f>
        <v>254023685908.92334</v>
      </c>
      <c r="AC9" s="16">
        <f>'KEEI BAU - Industry'!AS$53*'Others Split'!$D$46*'Others Split'!$I$11</f>
        <v>255304257093.89047</v>
      </c>
      <c r="AD9" s="16">
        <f>'KEEI BAU - Industry'!AT$53*'Others Split'!$D$46*'Others Split'!$I$11</f>
        <v>256584828278.85721</v>
      </c>
      <c r="AE9" s="16">
        <f>'KEEI BAU - Industry'!AU$53*'Others Split'!$D$46*'Others Split'!$I$11</f>
        <v>257865399463.82391</v>
      </c>
      <c r="AF9" s="16">
        <f>'KEEI BAU - Industry'!AV$53*'Others Split'!$D$46*'Others Split'!$I$11</f>
        <v>259145970648.79105</v>
      </c>
    </row>
    <row r="10" spans="1:35">
      <c r="A10" t="s">
        <v>10</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c r="AC10" s="16">
        <v>0</v>
      </c>
      <c r="AD10" s="16">
        <v>0</v>
      </c>
      <c r="AE10" s="16">
        <v>0</v>
      </c>
      <c r="AF10" s="16">
        <v>0</v>
      </c>
    </row>
    <row r="11" spans="1:35">
      <c r="A11" t="s">
        <v>11</v>
      </c>
      <c r="B11" s="16">
        <f>'KEEI BAU - Industry'!R$11*'Petrochemicals Split'!$D$37*'Petrochemicals Split'!$I$6</f>
        <v>73801896915186.719</v>
      </c>
      <c r="C11" s="16">
        <f>'KEEI BAU - Industry'!S$11*'Petrochemicals Split'!$D$37*'Petrochemicals Split'!$I$6</f>
        <v>82652418311185.25</v>
      </c>
      <c r="D11" s="16">
        <f>'KEEI BAU - Industry'!T$11*'Petrochemicals Split'!$D$37*'Petrochemicals Split'!$I$6</f>
        <v>77966258407649.109</v>
      </c>
      <c r="E11" s="16">
        <f>'KEEI BAU - Industry'!U$11*'Petrochemicals Split'!$D$37*'Petrochemicals Split'!$I$6</f>
        <v>72503972277071.672</v>
      </c>
      <c r="F11" s="16">
        <f>'KEEI BAU - Industry'!V$11*'Petrochemicals Split'!$D$37*'Petrochemicals Split'!$I$6</f>
        <v>70213265564065.633</v>
      </c>
      <c r="G11" s="16">
        <f>'KEEI BAU - Industry'!W$11*'Petrochemicals Split'!$D$37*'Petrochemicals Split'!$I$6</f>
        <v>68953396871099.359</v>
      </c>
      <c r="H11" s="16">
        <f>'KEEI BAU - Industry'!X$11*'Petrochemicals Split'!$D$37*'Petrochemicals Split'!$I$6</f>
        <v>67601015271568.828</v>
      </c>
      <c r="I11" s="16">
        <f>'KEEI BAU - Industry'!Y$11*'Petrochemicals Split'!$D$37*'Petrochemicals Split'!$I$6</f>
        <v>66159149019964.234</v>
      </c>
      <c r="J11" s="16">
        <f>'KEEI BAU - Industry'!Z$11*'Petrochemicals Split'!$D$37*'Petrochemicals Split'!$I$6</f>
        <v>64622297127489.398</v>
      </c>
      <c r="K11" s="16">
        <f>'KEEI BAU - Industry'!AA$11*'Petrochemicals Split'!$D$37*'Petrochemicals Split'!$I$6</f>
        <v>62576655076498.656</v>
      </c>
      <c r="L11" s="16">
        <f>'KEEI BAU - Industry'!AB$11*'Petrochemicals Split'!$D$37*'Petrochemicals Split'!$I$6</f>
        <v>58639769756523.906</v>
      </c>
      <c r="M11" s="16">
        <f>'KEEI BAU - Industry'!AC$11*'Petrochemicals Split'!$D$37*'Petrochemicals Split'!$I$6</f>
        <v>58215793310601.898</v>
      </c>
      <c r="N11" s="16">
        <f>'KEEI BAU - Industry'!AD$11*'Petrochemicals Split'!$D$37*'Petrochemicals Split'!$I$6</f>
        <v>57790547721056.547</v>
      </c>
      <c r="O11" s="16">
        <f>'KEEI BAU - Industry'!AE$11*'Petrochemicals Split'!$D$37*'Petrochemicals Split'!$I$6</f>
        <v>57364011288418.422</v>
      </c>
      <c r="P11" s="16">
        <f>'KEEI BAU - Industry'!AF$11*'Petrochemicals Split'!$D$37*'Petrochemicals Split'!$I$6</f>
        <v>56936161681071.617</v>
      </c>
      <c r="Q11" s="16">
        <f>'KEEI BAU - Industry'!AG$11*'Petrochemicals Split'!$D$37*'Petrochemicals Split'!$I$6</f>
        <v>56118232104471.555</v>
      </c>
      <c r="R11" s="16">
        <f>'KEEI BAU - Industry'!AH$11*'Petrochemicals Split'!$D$37*'Petrochemicals Split'!$I$6</f>
        <v>56003140562175.672</v>
      </c>
      <c r="S11" s="16">
        <f>'KEEI BAU - Industry'!AI$11*'Petrochemicals Split'!$D$37*'Petrochemicals Split'!$I$6</f>
        <v>55888049019879.836</v>
      </c>
      <c r="T11" s="16">
        <f>'KEEI BAU - Industry'!AJ$11*'Petrochemicals Split'!$D$37*'Petrochemicals Split'!$I$6</f>
        <v>55772957477583.945</v>
      </c>
      <c r="U11" s="16">
        <f>'KEEI BAU - Industry'!AK$11*'Petrochemicals Split'!$D$37*'Petrochemicals Split'!$I$6</f>
        <v>55657865935288.07</v>
      </c>
      <c r="V11" s="16">
        <f>'KEEI BAU - Industry'!AL$11*'Petrochemicals Split'!$D$37*'Petrochemicals Split'!$I$6</f>
        <v>55542774392992.219</v>
      </c>
      <c r="W11" s="16">
        <f>'KEEI BAU - Industry'!AM$11*'Petrochemicals Split'!$D$37*'Petrochemicals Split'!$I$6</f>
        <v>55448323689621.117</v>
      </c>
      <c r="X11" s="16">
        <f>'KEEI BAU - Industry'!AN$11*'Petrochemicals Split'!$D$37*'Petrochemicals Split'!$I$6</f>
        <v>55353872986250.031</v>
      </c>
      <c r="Y11" s="16">
        <f>'KEEI BAU - Industry'!AO$11*'Petrochemicals Split'!$D$37*'Petrochemicals Split'!$I$6</f>
        <v>55259422282878.961</v>
      </c>
      <c r="Z11" s="16">
        <f>'KEEI BAU - Industry'!AP$11*'Petrochemicals Split'!$D$37*'Petrochemicals Split'!$I$6</f>
        <v>55164971579507.852</v>
      </c>
      <c r="AA11" s="16">
        <f>'KEEI BAU - Industry'!AQ$11*'Petrochemicals Split'!$D$37*'Petrochemicals Split'!$I$6</f>
        <v>55070520876136.805</v>
      </c>
      <c r="AB11" s="16">
        <f>'KEEI BAU - Industry'!AR$11*'Petrochemicals Split'!$D$37*'Petrochemicals Split'!$I$6</f>
        <v>54976070172765.711</v>
      </c>
      <c r="AC11" s="16">
        <f>'KEEI BAU - Industry'!AS$11*'Petrochemicals Split'!$D$37*'Petrochemicals Split'!$I$6</f>
        <v>54881619469394.648</v>
      </c>
      <c r="AD11" s="16">
        <f>'KEEI BAU - Industry'!AT$11*'Petrochemicals Split'!$D$37*'Petrochemicals Split'!$I$6</f>
        <v>54787168766023.547</v>
      </c>
      <c r="AE11" s="16">
        <f>'KEEI BAU - Industry'!AU$11*'Petrochemicals Split'!$D$37*'Petrochemicals Split'!$I$6</f>
        <v>54692718062652.445</v>
      </c>
      <c r="AF11" s="16">
        <f>'KEEI BAU - Industry'!AV$11*'Petrochemicals Split'!$D$37*'Petrochemicals Split'!$I$6</f>
        <v>54598267359281.398</v>
      </c>
    </row>
    <row r="12" spans="1:35">
      <c r="A12" t="s">
        <v>12</v>
      </c>
      <c r="B12" s="16">
        <f>'KEEI BAU - Industry'!R$11*'Petrochemicals Split'!$D$37*'Petrochemicals Split'!$I$7</f>
        <v>38218839473935.984</v>
      </c>
      <c r="C12" s="16">
        <f>'KEEI BAU - Industry'!S$11*'Petrochemicals Split'!$D$37*'Petrochemicals Split'!$I$7</f>
        <v>42802145196863.789</v>
      </c>
      <c r="D12" s="16">
        <f>'KEEI BAU - Industry'!T$11*'Petrochemicals Split'!$D$37*'Petrochemicals Split'!$I$7</f>
        <v>40375383818246.859</v>
      </c>
      <c r="E12" s="16">
        <f>'KEEI BAU - Industry'!U$11*'Petrochemicals Split'!$D$37*'Petrochemicals Split'!$I$7</f>
        <v>37546699929197.828</v>
      </c>
      <c r="F12" s="16">
        <f>'KEEI BAU - Industry'!V$11*'Petrochemicals Split'!$D$37*'Petrochemicals Split'!$I$7</f>
        <v>36360441095676.852</v>
      </c>
      <c r="G12" s="16">
        <f>'KEEI BAU - Industry'!W$11*'Petrochemicals Split'!$D$37*'Petrochemicals Split'!$I$7</f>
        <v>35708009093962.172</v>
      </c>
      <c r="H12" s="16">
        <f>'KEEI BAU - Industry'!X$11*'Petrochemicals Split'!$D$37*'Petrochemicals Split'!$I$7</f>
        <v>35007668622776.719</v>
      </c>
      <c r="I12" s="16">
        <f>'KEEI BAU - Industry'!Y$11*'Petrochemicals Split'!$D$37*'Petrochemicals Split'!$I$7</f>
        <v>34260987885338.625</v>
      </c>
      <c r="J12" s="16">
        <f>'KEEI BAU - Industry'!Z$11*'Petrochemicals Split'!$D$37*'Petrochemicals Split'!$I$7</f>
        <v>33465118155307.012</v>
      </c>
      <c r="K12" s="16">
        <f>'KEEI BAU - Industry'!AA$11*'Petrochemicals Split'!$D$37*'Petrochemicals Split'!$I$7</f>
        <v>32405767807472.52</v>
      </c>
      <c r="L12" s="16">
        <f>'KEEI BAU - Industry'!AB$11*'Petrochemicals Split'!$D$37*'Petrochemicals Split'!$I$7</f>
        <v>30367023623914.168</v>
      </c>
      <c r="M12" s="16">
        <f>'KEEI BAU - Industry'!AC$11*'Petrochemicals Split'!$D$37*'Petrochemicals Split'!$I$7</f>
        <v>30147464392990.27</v>
      </c>
      <c r="N12" s="16">
        <f>'KEEI BAU - Industry'!AD$11*'Petrochemicals Split'!$D$37*'Petrochemicals Split'!$I$7</f>
        <v>29927247926975.715</v>
      </c>
      <c r="O12" s="16">
        <f>'KEEI BAU - Industry'!AE$11*'Petrochemicals Split'!$D$37*'Petrochemicals Split'!$I$7</f>
        <v>29706362988645.254</v>
      </c>
      <c r="P12" s="16">
        <f>'KEEI BAU - Industry'!AF$11*'Petrochemicals Split'!$D$37*'Petrochemicals Split'!$I$7</f>
        <v>29484798013412.086</v>
      </c>
      <c r="Q12" s="16">
        <f>'KEEI BAU - Industry'!AG$11*'Petrochemicals Split'!$D$37*'Petrochemicals Split'!$I$7</f>
        <v>29061227339815.629</v>
      </c>
      <c r="R12" s="16">
        <f>'KEEI BAU - Industry'!AH$11*'Petrochemicals Split'!$D$37*'Petrochemicals Split'!$I$7</f>
        <v>29001626362555.262</v>
      </c>
      <c r="S12" s="16">
        <f>'KEEI BAU - Industry'!AI$11*'Petrochemicals Split'!$D$37*'Petrochemicals Split'!$I$7</f>
        <v>28942025385294.914</v>
      </c>
      <c r="T12" s="16">
        <f>'KEEI BAU - Industry'!AJ$11*'Petrochemicals Split'!$D$37*'Petrochemicals Split'!$I$7</f>
        <v>28882424408034.543</v>
      </c>
      <c r="U12" s="16">
        <f>'KEEI BAU - Industry'!AK$11*'Petrochemicals Split'!$D$37*'Petrochemicals Split'!$I$7</f>
        <v>28822823430774.18</v>
      </c>
      <c r="V12" s="16">
        <f>'KEEI BAU - Industry'!AL$11*'Petrochemicals Split'!$D$37*'Petrochemicals Split'!$I$7</f>
        <v>28763222453513.828</v>
      </c>
      <c r="W12" s="16">
        <f>'KEEI BAU - Industry'!AM$11*'Petrochemicals Split'!$D$37*'Petrochemicals Split'!$I$7</f>
        <v>28714310482125.223</v>
      </c>
      <c r="X12" s="16">
        <f>'KEEI BAU - Industry'!AN$11*'Petrochemicals Split'!$D$37*'Petrochemicals Split'!$I$7</f>
        <v>28665398510736.625</v>
      </c>
      <c r="Y12" s="16">
        <f>'KEEI BAU - Industry'!AO$11*'Petrochemicals Split'!$D$37*'Petrochemicals Split'!$I$7</f>
        <v>28616486539348.035</v>
      </c>
      <c r="Z12" s="16">
        <f>'KEEI BAU - Industry'!AP$11*'Petrochemicals Split'!$D$37*'Petrochemicals Split'!$I$7</f>
        <v>28567574567959.426</v>
      </c>
      <c r="AA12" s="16">
        <f>'KEEI BAU - Industry'!AQ$11*'Petrochemicals Split'!$D$37*'Petrochemicals Split'!$I$7</f>
        <v>28518662596570.848</v>
      </c>
      <c r="AB12" s="16">
        <f>'KEEI BAU - Industry'!AR$11*'Petrochemicals Split'!$D$37*'Petrochemicals Split'!$I$7</f>
        <v>28469750625182.242</v>
      </c>
      <c r="AC12" s="16">
        <f>'KEEI BAU - Industry'!AS$11*'Petrochemicals Split'!$D$37*'Petrochemicals Split'!$I$7</f>
        <v>28420838653793.66</v>
      </c>
      <c r="AD12" s="16">
        <f>'KEEI BAU - Industry'!AT$11*'Petrochemicals Split'!$D$37*'Petrochemicals Split'!$I$7</f>
        <v>28371926682405.051</v>
      </c>
      <c r="AE12" s="16">
        <f>'KEEI BAU - Industry'!AU$11*'Petrochemicals Split'!$D$37*'Petrochemicals Split'!$I$7</f>
        <v>28323014711016.445</v>
      </c>
      <c r="AF12" s="16">
        <f>'KEEI BAU - Industry'!AV$11*'Petrochemicals Split'!$D$37*'Petrochemicals Split'!$I$7</f>
        <v>28274102739627.867</v>
      </c>
    </row>
    <row r="13" spans="1:35">
      <c r="A13" t="s">
        <v>13</v>
      </c>
      <c r="B13" s="16">
        <f>'KEEI BAU - Industry'!R$53*'Others Split'!$D$46*'Others Split'!$I$12</f>
        <v>70943688343.373352</v>
      </c>
      <c r="C13" s="16">
        <f>'KEEI BAU - Industry'!S$53*'Others Split'!$D$46*'Others Split'!$I$12</f>
        <v>72517667188.651123</v>
      </c>
      <c r="D13" s="16">
        <f>'KEEI BAU - Industry'!T$53*'Others Split'!$D$46*'Others Split'!$I$12</f>
        <v>74091646033.928894</v>
      </c>
      <c r="E13" s="16">
        <f>'KEEI BAU - Industry'!U$53*'Others Split'!$D$46*'Others Split'!$I$12</f>
        <v>75665624879.20668</v>
      </c>
      <c r="F13" s="16">
        <f>'KEEI BAU - Industry'!V$53*'Others Split'!$D$46*'Others Split'!$I$12</f>
        <v>77239603724.484451</v>
      </c>
      <c r="G13" s="16">
        <f>'KEEI BAU - Industry'!W$53*'Others Split'!$D$46*'Others Split'!$I$12</f>
        <v>78813582569.762222</v>
      </c>
      <c r="H13" s="16">
        <f>'KEEI BAU - Industry'!X$53*'Others Split'!$D$46*'Others Split'!$I$12</f>
        <v>79540943856.087708</v>
      </c>
      <c r="I13" s="16">
        <f>'KEEI BAU - Industry'!Y$53*'Others Split'!$D$46*'Others Split'!$I$12</f>
        <v>80268305142.412964</v>
      </c>
      <c r="J13" s="16">
        <f>'KEEI BAU - Industry'!Z$53*'Others Split'!$D$46*'Others Split'!$I$12</f>
        <v>80995666428.738235</v>
      </c>
      <c r="K13" s="16">
        <f>'KEEI BAU - Industry'!AA$53*'Others Split'!$D$46*'Others Split'!$I$12</f>
        <v>81723027715.063507</v>
      </c>
      <c r="L13" s="16">
        <f>'KEEI BAU - Industry'!AB$53*'Others Split'!$D$46*'Others Split'!$I$12</f>
        <v>82450389001.388916</v>
      </c>
      <c r="M13" s="16">
        <f>'KEEI BAU - Industry'!AC$53*'Others Split'!$D$46*'Others Split'!$I$12</f>
        <v>82967516294.656555</v>
      </c>
      <c r="N13" s="16">
        <f>'KEEI BAU - Industry'!AD$53*'Others Split'!$D$46*'Others Split'!$I$12</f>
        <v>83484643587.924362</v>
      </c>
      <c r="O13" s="16">
        <f>'KEEI BAU - Industry'!AE$53*'Others Split'!$D$46*'Others Split'!$I$12</f>
        <v>84001770881.192154</v>
      </c>
      <c r="P13" s="16">
        <f>'KEEI BAU - Industry'!AF$53*'Others Split'!$D$46*'Others Split'!$I$12</f>
        <v>84518898174.459946</v>
      </c>
      <c r="Q13" s="16">
        <f>'KEEI BAU - Industry'!AG$53*'Others Split'!$D$46*'Others Split'!$I$12</f>
        <v>85036025467.727707</v>
      </c>
      <c r="R13" s="16">
        <f>'KEEI BAU - Industry'!AH$53*'Others Split'!$D$46*'Others Split'!$I$12</f>
        <v>85441994557.769897</v>
      </c>
      <c r="S13" s="16">
        <f>'KEEI BAU - Industry'!AI$53*'Others Split'!$D$46*'Others Split'!$I$12</f>
        <v>85847963647.811768</v>
      </c>
      <c r="T13" s="16">
        <f>'KEEI BAU - Industry'!AJ$53*'Others Split'!$D$46*'Others Split'!$I$12</f>
        <v>86253932737.85376</v>
      </c>
      <c r="U13" s="16">
        <f>'KEEI BAU - Industry'!AK$53*'Others Split'!$D$46*'Others Split'!$I$12</f>
        <v>86659901827.895782</v>
      </c>
      <c r="V13" s="16">
        <f>'KEEI BAU - Industry'!AL$53*'Others Split'!$D$46*'Others Split'!$I$12</f>
        <v>87065870917.937653</v>
      </c>
      <c r="W13" s="16">
        <f>'KEEI BAU - Industry'!AM$53*'Others Split'!$D$46*'Others Split'!$I$12</f>
        <v>87620050945.614075</v>
      </c>
      <c r="X13" s="16">
        <f>'KEEI BAU - Industry'!AN$53*'Others Split'!$D$46*'Others Split'!$I$12</f>
        <v>88073178061.266968</v>
      </c>
      <c r="Y13" s="16">
        <f>'KEEI BAU - Industry'!AO$53*'Others Split'!$D$46*'Others Split'!$I$12</f>
        <v>88526305176.920029</v>
      </c>
      <c r="Z13" s="16">
        <f>'KEEI BAU - Industry'!AP$53*'Others Split'!$D$46*'Others Split'!$I$12</f>
        <v>88979432292.572937</v>
      </c>
      <c r="AA13" s="16">
        <f>'KEEI BAU - Industry'!AQ$53*'Others Split'!$D$46*'Others Split'!$I$12</f>
        <v>89432559408.22583</v>
      </c>
      <c r="AB13" s="16">
        <f>'KEEI BAU - Industry'!AR$53*'Others Split'!$D$46*'Others Split'!$I$12</f>
        <v>89885686523.878738</v>
      </c>
      <c r="AC13" s="16">
        <f>'KEEI BAU - Industry'!AS$53*'Others Split'!$D$46*'Others Split'!$I$12</f>
        <v>90338813639.531784</v>
      </c>
      <c r="AD13" s="16">
        <f>'KEEI BAU - Industry'!AT$53*'Others Split'!$D$46*'Others Split'!$I$12</f>
        <v>90791940755.184708</v>
      </c>
      <c r="AE13" s="16">
        <f>'KEEI BAU - Industry'!AU$53*'Others Split'!$D$46*'Others Split'!$I$12</f>
        <v>91245067870.837601</v>
      </c>
      <c r="AF13" s="16">
        <f>'KEEI BAU - Industry'!AV$53*'Others Split'!$D$46*'Others Split'!$I$12</f>
        <v>91698194986.490646</v>
      </c>
    </row>
    <row r="14" spans="1:35">
      <c r="A14" t="s">
        <v>14</v>
      </c>
      <c r="B14" s="16">
        <f>'KEEI BAU - Industry'!R$53*'Others Split'!$D$46*'Others Split'!$I$13</f>
        <v>8205819951716.8506</v>
      </c>
      <c r="C14" s="16">
        <f>'KEEI BAU - Industry'!S$53*'Others Split'!$D$46*'Others Split'!$I$13</f>
        <v>8387876838153.9795</v>
      </c>
      <c r="D14" s="16">
        <f>'KEEI BAU - Industry'!T$53*'Others Split'!$D$46*'Others Split'!$I$13</f>
        <v>8569933724591.1084</v>
      </c>
      <c r="E14" s="16">
        <f>'KEEI BAU - Industry'!U$53*'Others Split'!$D$46*'Others Split'!$I$13</f>
        <v>8751990611028.2383</v>
      </c>
      <c r="F14" s="16">
        <f>'KEEI BAU - Industry'!V$53*'Others Split'!$D$46*'Others Split'!$I$13</f>
        <v>8934047497465.3672</v>
      </c>
      <c r="G14" s="16">
        <f>'KEEI BAU - Industry'!W$53*'Others Split'!$D$46*'Others Split'!$I$13</f>
        <v>9116104383902.4961</v>
      </c>
      <c r="H14" s="16">
        <f>'KEEI BAU - Industry'!X$53*'Others Split'!$D$46*'Others Split'!$I$13</f>
        <v>9200235839354.1445</v>
      </c>
      <c r="I14" s="16">
        <f>'KEEI BAU - Industry'!Y$53*'Others Split'!$D$46*'Others Split'!$I$13</f>
        <v>9284367294805.7656</v>
      </c>
      <c r="J14" s="16">
        <f>'KEEI BAU - Industry'!Z$53*'Others Split'!$D$46*'Others Split'!$I$13</f>
        <v>9368498750257.3887</v>
      </c>
      <c r="K14" s="16">
        <f>'KEEI BAU - Industry'!AA$53*'Others Split'!$D$46*'Others Split'!$I$13</f>
        <v>9452630205709.0098</v>
      </c>
      <c r="L14" s="16">
        <f>'KEEI BAU - Industry'!AB$53*'Others Split'!$D$46*'Others Split'!$I$13</f>
        <v>9536761661160.6504</v>
      </c>
      <c r="M14" s="16">
        <f>'KEEI BAU - Industry'!AC$53*'Others Split'!$D$46*'Others Split'!$I$13</f>
        <v>9596576051415.2734</v>
      </c>
      <c r="N14" s="16">
        <f>'KEEI BAU - Industry'!AD$53*'Others Split'!$D$46*'Others Split'!$I$13</f>
        <v>9656390441669.916</v>
      </c>
      <c r="O14" s="16">
        <f>'KEEI BAU - Industry'!AE$53*'Others Split'!$D$46*'Others Split'!$I$13</f>
        <v>9716204831924.5586</v>
      </c>
      <c r="P14" s="16">
        <f>'KEEI BAU - Industry'!AF$53*'Others Split'!$D$46*'Others Split'!$I$13</f>
        <v>9776019222179.1992</v>
      </c>
      <c r="Q14" s="16">
        <f>'KEEI BAU - Industry'!AG$53*'Others Split'!$D$46*'Others Split'!$I$13</f>
        <v>9835833612433.8379</v>
      </c>
      <c r="R14" s="16">
        <f>'KEEI BAU - Industry'!AH$53*'Others Split'!$D$46*'Others Split'!$I$13</f>
        <v>9882790703848.7168</v>
      </c>
      <c r="S14" s="16">
        <f>'KEEI BAU - Industry'!AI$53*'Others Split'!$D$46*'Others Split'!$I$13</f>
        <v>9929747795263.5605</v>
      </c>
      <c r="T14" s="16">
        <f>'KEEI BAU - Industry'!AJ$53*'Others Split'!$D$46*'Others Split'!$I$13</f>
        <v>9976704886678.418</v>
      </c>
      <c r="U14" s="16">
        <f>'KEEI BAU - Industry'!AK$53*'Others Split'!$D$46*'Others Split'!$I$13</f>
        <v>10023661978093.277</v>
      </c>
      <c r="V14" s="16">
        <f>'KEEI BAU - Industry'!AL$53*'Others Split'!$D$46*'Others Split'!$I$13</f>
        <v>10070619069508.121</v>
      </c>
      <c r="W14" s="16">
        <f>'KEEI BAU - Industry'!AM$53*'Others Split'!$D$46*'Others Split'!$I$13</f>
        <v>10134719226042.693</v>
      </c>
      <c r="X14" s="16">
        <f>'KEEI BAU - Industry'!AN$53*'Others Split'!$D$46*'Others Split'!$I$13</f>
        <v>10187130929086.545</v>
      </c>
      <c r="Y14" s="16">
        <f>'KEEI BAU - Industry'!AO$53*'Others Split'!$D$46*'Others Split'!$I$13</f>
        <v>10239542632130.416</v>
      </c>
      <c r="Z14" s="16">
        <f>'KEEI BAU - Industry'!AP$53*'Others Split'!$D$46*'Others Split'!$I$13</f>
        <v>10291954335174.27</v>
      </c>
      <c r="AA14" s="16">
        <f>'KEEI BAU - Industry'!AQ$53*'Others Split'!$D$46*'Others Split'!$I$13</f>
        <v>10344366038218.121</v>
      </c>
      <c r="AB14" s="16">
        <f>'KEEI BAU - Industry'!AR$53*'Others Split'!$D$46*'Others Split'!$I$13</f>
        <v>10396777741261.973</v>
      </c>
      <c r="AC14" s="16">
        <f>'KEEI BAU - Industry'!AS$53*'Others Split'!$D$46*'Others Split'!$I$13</f>
        <v>10449189444305.842</v>
      </c>
      <c r="AD14" s="16">
        <f>'KEEI BAU - Industry'!AT$53*'Others Split'!$D$46*'Others Split'!$I$13</f>
        <v>10501601147349.695</v>
      </c>
      <c r="AE14" s="16">
        <f>'KEEI BAU - Industry'!AU$53*'Others Split'!$D$46*'Others Split'!$I$13</f>
        <v>10554012850393.549</v>
      </c>
      <c r="AF14" s="16">
        <f>'KEEI BAU - Industry'!AV$53*'Others Split'!$D$46*'Others Split'!$I$13</f>
        <v>10606424553437.418</v>
      </c>
    </row>
    <row r="15" spans="1:35">
      <c r="A15" t="s">
        <v>15</v>
      </c>
      <c r="B15" s="16">
        <f>'KEEI BAU - Industry'!R25*'Steel Split'!$D$10</f>
        <v>0</v>
      </c>
      <c r="C15" s="16">
        <f>'KEEI BAU - Industry'!S25*'Steel Split'!$D$10</f>
        <v>0</v>
      </c>
      <c r="D15" s="16">
        <f>'KEEI BAU - Industry'!T25*'Steel Split'!$D$10</f>
        <v>0</v>
      </c>
      <c r="E15" s="16">
        <f>'KEEI BAU - Industry'!U25*'Steel Split'!$D$10</f>
        <v>0</v>
      </c>
      <c r="F15" s="16">
        <f>'KEEI BAU - Industry'!V25*'Steel Split'!$D$10</f>
        <v>0</v>
      </c>
      <c r="G15" s="16">
        <f>'KEEI BAU - Industry'!W25*'Steel Split'!$D$10</f>
        <v>0</v>
      </c>
      <c r="H15" s="16">
        <f>'KEEI BAU - Industry'!X25*'Steel Split'!$D$10</f>
        <v>0</v>
      </c>
      <c r="I15" s="16">
        <f>'KEEI BAU - Industry'!Y25*'Steel Split'!$D$10</f>
        <v>0</v>
      </c>
      <c r="J15" s="16">
        <f>'KEEI BAU - Industry'!Z25*'Steel Split'!$D$10</f>
        <v>0</v>
      </c>
      <c r="K15" s="16">
        <f>'KEEI BAU - Industry'!AA25*'Steel Split'!$D$10</f>
        <v>0</v>
      </c>
      <c r="L15" s="16">
        <f>'KEEI BAU - Industry'!AB25*'Steel Split'!$D$10</f>
        <v>0</v>
      </c>
      <c r="M15" s="16">
        <f>'KEEI BAU - Industry'!AC25*'Steel Split'!$D$10</f>
        <v>0</v>
      </c>
      <c r="N15" s="16">
        <f>'KEEI BAU - Industry'!AD25*'Steel Split'!$D$10</f>
        <v>0</v>
      </c>
      <c r="O15" s="16">
        <f>'KEEI BAU - Industry'!AE25*'Steel Split'!$D$10</f>
        <v>0</v>
      </c>
      <c r="P15" s="16">
        <f>'KEEI BAU - Industry'!AF25*'Steel Split'!$D$10</f>
        <v>0</v>
      </c>
      <c r="Q15" s="16">
        <f>'KEEI BAU - Industry'!AG25*'Steel Split'!$D$10</f>
        <v>0</v>
      </c>
      <c r="R15" s="16">
        <f>'KEEI BAU - Industry'!AH25*'Steel Split'!$D$10</f>
        <v>0</v>
      </c>
      <c r="S15" s="16">
        <f>'KEEI BAU - Industry'!AI25*'Steel Split'!$D$10</f>
        <v>0</v>
      </c>
      <c r="T15" s="16">
        <f>'KEEI BAU - Industry'!AJ25*'Steel Split'!$D$10</f>
        <v>0</v>
      </c>
      <c r="U15" s="16">
        <f>'KEEI BAU - Industry'!AK25*'Steel Split'!$D$10</f>
        <v>0</v>
      </c>
      <c r="V15" s="16">
        <f>'KEEI BAU - Industry'!AL25*'Steel Split'!$D$10</f>
        <v>0</v>
      </c>
      <c r="W15" s="16">
        <f>'KEEI BAU - Industry'!AM25*'Steel Split'!$D$10</f>
        <v>0</v>
      </c>
      <c r="X15" s="16">
        <f>'KEEI BAU - Industry'!AN25*'Steel Split'!$D$10</f>
        <v>0</v>
      </c>
      <c r="Y15" s="16">
        <f>'KEEI BAU - Industry'!AO25*'Steel Split'!$D$10</f>
        <v>0</v>
      </c>
      <c r="Z15" s="16">
        <f>'KEEI BAU - Industry'!AP25*'Steel Split'!$D$10</f>
        <v>0</v>
      </c>
      <c r="AA15" s="16">
        <f>'KEEI BAU - Industry'!AQ25*'Steel Split'!$D$10</f>
        <v>0</v>
      </c>
      <c r="AB15" s="16">
        <f>'KEEI BAU - Industry'!AR25*'Steel Split'!$D$10</f>
        <v>0</v>
      </c>
      <c r="AC15" s="16">
        <f>'KEEI BAU - Industry'!AS25*'Steel Split'!$D$10</f>
        <v>0</v>
      </c>
      <c r="AD15" s="16">
        <f>'KEEI BAU - Industry'!AT25*'Steel Split'!$D$10</f>
        <v>0</v>
      </c>
      <c r="AE15" s="16">
        <f>'KEEI BAU - Industry'!AU25*'Steel Split'!$D$10</f>
        <v>0</v>
      </c>
      <c r="AF15" s="16">
        <f>'KEEI BAU - Industry'!AV25*'Steel Split'!$D$10</f>
        <v>0</v>
      </c>
    </row>
    <row r="16" spans="1:35">
      <c r="A16" t="s">
        <v>16</v>
      </c>
      <c r="B16" s="16">
        <f>'KEEI BAU - Industry'!R$18*'Non-ferrous Metals Split'!$I$6*'Non-ferrous Metals Split'!$D$44</f>
        <v>251690520001.31882</v>
      </c>
      <c r="C16" s="16">
        <f>'KEEI BAU - Industry'!S$18*'Non-ferrous Metals Split'!$I$6*'Non-ferrous Metals Split'!$D$44</f>
        <v>255290266137.87906</v>
      </c>
      <c r="D16" s="16">
        <f>'KEEI BAU - Industry'!T$18*'Non-ferrous Metals Split'!$I$6*'Non-ferrous Metals Split'!$D$44</f>
        <v>269689250684.12018</v>
      </c>
      <c r="E16" s="16">
        <f>'KEEI BAU - Industry'!U$18*'Non-ferrous Metals Split'!$I$6*'Non-ferrous Metals Split'!$D$44</f>
        <v>262489758410.9996</v>
      </c>
      <c r="F16" s="16">
        <f>'KEEI BAU - Industry'!V$18*'Non-ferrous Metals Split'!$I$6*'Non-ferrous Metals Split'!$D$44</f>
        <v>266089504547.55991</v>
      </c>
      <c r="G16" s="16">
        <f>'KEEI BAU - Industry'!W$18*'Non-ferrous Metals Split'!$I$6*'Non-ferrous Metals Split'!$D$44</f>
        <v>269689250684.12018</v>
      </c>
      <c r="H16" s="16">
        <f>'KEEI BAU - Industry'!X$18*'Non-ferrous Metals Split'!$I$6*'Non-ferrous Metals Split'!$D$44</f>
        <v>269591003233.96204</v>
      </c>
      <c r="I16" s="16">
        <f>'KEEI BAU - Industry'!Y$18*'Non-ferrous Metals Split'!$I$6*'Non-ferrous Metals Split'!$D$44</f>
        <v>269492755783.80386</v>
      </c>
      <c r="J16" s="16">
        <f>'KEEI BAU - Industry'!Z$18*'Non-ferrous Metals Split'!$I$6*'Non-ferrous Metals Split'!$D$44</f>
        <v>269394508333.64569</v>
      </c>
      <c r="K16" s="16">
        <f>'KEEI BAU - Industry'!AA$18*'Non-ferrous Metals Split'!$I$6*'Non-ferrous Metals Split'!$D$44</f>
        <v>269296260883.48758</v>
      </c>
      <c r="L16" s="16">
        <f>'KEEI BAU - Industry'!AB$18*'Non-ferrous Metals Split'!$I$6*'Non-ferrous Metals Split'!$D$44</f>
        <v>269198013433.32941</v>
      </c>
      <c r="M16" s="16">
        <f>'KEEI BAU - Industry'!AC$18*'Non-ferrous Metals Split'!$I$6*'Non-ferrous Metals Split'!$D$44</f>
        <v>268608528732.38052</v>
      </c>
      <c r="N16" s="16">
        <f>'KEEI BAU - Industry'!AD$18*'Non-ferrous Metals Split'!$I$6*'Non-ferrous Metals Split'!$D$44</f>
        <v>268019044031.43164</v>
      </c>
      <c r="O16" s="16">
        <f>'KEEI BAU - Industry'!AE$18*'Non-ferrous Metals Split'!$I$6*'Non-ferrous Metals Split'!$D$44</f>
        <v>267429559330.48273</v>
      </c>
      <c r="P16" s="16">
        <f>'KEEI BAU - Industry'!AF$18*'Non-ferrous Metals Split'!$I$6*'Non-ferrous Metals Split'!$D$44</f>
        <v>266840074629.53384</v>
      </c>
      <c r="Q16" s="16">
        <f>'KEEI BAU - Industry'!AG$18*'Non-ferrous Metals Split'!$I$6*'Non-ferrous Metals Split'!$D$44</f>
        <v>266250589928.58496</v>
      </c>
      <c r="R16" s="16">
        <f>'KEEI BAU - Industry'!AH$18*'Non-ferrous Metals Split'!$I$6*'Non-ferrous Metals Split'!$D$44</f>
        <v>266250589928.58496</v>
      </c>
      <c r="S16" s="16">
        <f>'KEEI BAU - Industry'!AI$18*'Non-ferrous Metals Split'!$I$6*'Non-ferrous Metals Split'!$D$44</f>
        <v>266250589928.58496</v>
      </c>
      <c r="T16" s="16">
        <f>'KEEI BAU - Industry'!AJ$18*'Non-ferrous Metals Split'!$I$6*'Non-ferrous Metals Split'!$D$44</f>
        <v>266250589928.58496</v>
      </c>
      <c r="U16" s="16">
        <f>'KEEI BAU - Industry'!AK$18*'Non-ferrous Metals Split'!$I$6*'Non-ferrous Metals Split'!$D$44</f>
        <v>266250589928.58496</v>
      </c>
      <c r="V16" s="16">
        <f>'KEEI BAU - Industry'!AL$18*'Non-ferrous Metals Split'!$I$6*'Non-ferrous Metals Split'!$D$44</f>
        <v>266250589928.58496</v>
      </c>
      <c r="W16" s="16">
        <f>'KEEI BAU - Industry'!AM$18*'Non-ferrous Metals Split'!$I$6*'Non-ferrous Metals Split'!$D$44</f>
        <v>265464610327.31973</v>
      </c>
      <c r="X16" s="16">
        <f>'KEEI BAU - Industry'!AN$18*'Non-ferrous Metals Split'!$I$6*'Non-ferrous Metals Split'!$D$44</f>
        <v>265214525908.73541</v>
      </c>
      <c r="Y16" s="16">
        <f>'KEEI BAU - Industry'!AO$18*'Non-ferrous Metals Split'!$I$6*'Non-ferrous Metals Split'!$D$44</f>
        <v>264964441490.151</v>
      </c>
      <c r="Z16" s="16">
        <f>'KEEI BAU - Industry'!AP$18*'Non-ferrous Metals Split'!$I$6*'Non-ferrous Metals Split'!$D$44</f>
        <v>264714357071.56668</v>
      </c>
      <c r="AA16" s="16">
        <f>'KEEI BAU - Industry'!AQ$18*'Non-ferrous Metals Split'!$I$6*'Non-ferrous Metals Split'!$D$44</f>
        <v>264464272652.9823</v>
      </c>
      <c r="AB16" s="16">
        <f>'KEEI BAU - Industry'!AR$18*'Non-ferrous Metals Split'!$I$6*'Non-ferrous Metals Split'!$D$44</f>
        <v>264214188234.39783</v>
      </c>
      <c r="AC16" s="16">
        <f>'KEEI BAU - Industry'!AS$18*'Non-ferrous Metals Split'!$I$6*'Non-ferrous Metals Split'!$D$44</f>
        <v>263964103815.81345</v>
      </c>
      <c r="AD16" s="16">
        <f>'KEEI BAU - Industry'!AT$18*'Non-ferrous Metals Split'!$I$6*'Non-ferrous Metals Split'!$D$44</f>
        <v>263714019397.22913</v>
      </c>
      <c r="AE16" s="16">
        <f>'KEEI BAU - Industry'!AU$18*'Non-ferrous Metals Split'!$I$6*'Non-ferrous Metals Split'!$D$44</f>
        <v>263463934978.64471</v>
      </c>
      <c r="AF16" s="16">
        <f>'KEEI BAU - Industry'!AV$18*'Non-ferrous Metals Split'!$I$6*'Non-ferrous Metals Split'!$D$44</f>
        <v>263213850560.06039</v>
      </c>
    </row>
    <row r="17" spans="1:33">
      <c r="A17" t="s">
        <v>17</v>
      </c>
      <c r="B17" s="16">
        <f>'KEEI BAU - Industry'!R$18*'Non-ferrous Metals Split'!$I$7*'Non-ferrous Metals Split'!$D$44</f>
        <v>2139369420011.2097</v>
      </c>
      <c r="C17" s="16">
        <f>'KEEI BAU - Industry'!S$18*'Non-ferrous Metals Split'!$I$7*'Non-ferrous Metals Split'!$D$44</f>
        <v>2169967262171.9719</v>
      </c>
      <c r="D17" s="16">
        <f>'KEEI BAU - Industry'!T$18*'Non-ferrous Metals Split'!$I$7*'Non-ferrous Metals Split'!$D$44</f>
        <v>2292358630815.021</v>
      </c>
      <c r="E17" s="16">
        <f>'KEEI BAU - Industry'!U$18*'Non-ferrous Metals Split'!$I$7*'Non-ferrous Metals Split'!$D$44</f>
        <v>2231162946493.4966</v>
      </c>
      <c r="F17" s="16">
        <f>'KEEI BAU - Industry'!V$18*'Non-ferrous Metals Split'!$I$7*'Non-ferrous Metals Split'!$D$44</f>
        <v>2261760788654.2588</v>
      </c>
      <c r="G17" s="16">
        <f>'KEEI BAU - Industry'!W$18*'Non-ferrous Metals Split'!$I$7*'Non-ferrous Metals Split'!$D$44</f>
        <v>2292358630815.021</v>
      </c>
      <c r="H17" s="16">
        <f>'KEEI BAU - Industry'!X$18*'Non-ferrous Metals Split'!$I$7*'Non-ferrous Metals Split'!$D$44</f>
        <v>2291523527488.6768</v>
      </c>
      <c r="I17" s="16">
        <f>'KEEI BAU - Industry'!Y$18*'Non-ferrous Metals Split'!$I$7*'Non-ferrous Metals Split'!$D$44</f>
        <v>2290688424162.333</v>
      </c>
      <c r="J17" s="16">
        <f>'KEEI BAU - Industry'!Z$18*'Non-ferrous Metals Split'!$I$7*'Non-ferrous Metals Split'!$D$44</f>
        <v>2289853320835.9883</v>
      </c>
      <c r="K17" s="16">
        <f>'KEEI BAU - Industry'!AA$18*'Non-ferrous Metals Split'!$I$7*'Non-ferrous Metals Split'!$D$44</f>
        <v>2289018217509.644</v>
      </c>
      <c r="L17" s="16">
        <f>'KEEI BAU - Industry'!AB$18*'Non-ferrous Metals Split'!$I$7*'Non-ferrous Metals Split'!$D$44</f>
        <v>2288183114183.2998</v>
      </c>
      <c r="M17" s="16">
        <f>'KEEI BAU - Industry'!AC$18*'Non-ferrous Metals Split'!$I$7*'Non-ferrous Metals Split'!$D$44</f>
        <v>2283172494225.2339</v>
      </c>
      <c r="N17" s="16">
        <f>'KEEI BAU - Industry'!AD$18*'Non-ferrous Metals Split'!$I$7*'Non-ferrous Metals Split'!$D$44</f>
        <v>2278161874267.1689</v>
      </c>
      <c r="O17" s="16">
        <f>'KEEI BAU - Industry'!AE$18*'Non-ferrous Metals Split'!$I$7*'Non-ferrous Metals Split'!$D$44</f>
        <v>2273151254309.103</v>
      </c>
      <c r="P17" s="16">
        <f>'KEEI BAU - Industry'!AF$18*'Non-ferrous Metals Split'!$I$7*'Non-ferrous Metals Split'!$D$44</f>
        <v>2268140634351.0371</v>
      </c>
      <c r="Q17" s="16">
        <f>'KEEI BAU - Industry'!AG$18*'Non-ferrous Metals Split'!$I$7*'Non-ferrous Metals Split'!$D$44</f>
        <v>2263130014392.9722</v>
      </c>
      <c r="R17" s="16">
        <f>'KEEI BAU - Industry'!AH$18*'Non-ferrous Metals Split'!$I$7*'Non-ferrous Metals Split'!$D$44</f>
        <v>2263130014392.9722</v>
      </c>
      <c r="S17" s="16">
        <f>'KEEI BAU - Industry'!AI$18*'Non-ferrous Metals Split'!$I$7*'Non-ferrous Metals Split'!$D$44</f>
        <v>2263130014392.9722</v>
      </c>
      <c r="T17" s="16">
        <f>'KEEI BAU - Industry'!AJ$18*'Non-ferrous Metals Split'!$I$7*'Non-ferrous Metals Split'!$D$44</f>
        <v>2263130014392.9722</v>
      </c>
      <c r="U17" s="16">
        <f>'KEEI BAU - Industry'!AK$18*'Non-ferrous Metals Split'!$I$7*'Non-ferrous Metals Split'!$D$44</f>
        <v>2263130014392.9722</v>
      </c>
      <c r="V17" s="16">
        <f>'KEEI BAU - Industry'!AL$18*'Non-ferrous Metals Split'!$I$7*'Non-ferrous Metals Split'!$D$44</f>
        <v>2263130014392.9722</v>
      </c>
      <c r="W17" s="16">
        <f>'KEEI BAU - Industry'!AM$18*'Non-ferrous Metals Split'!$I$7*'Non-ferrous Metals Split'!$D$44</f>
        <v>2256449187782.2173</v>
      </c>
      <c r="X17" s="16">
        <f>'KEEI BAU - Industry'!AN$18*'Non-ferrous Metals Split'!$I$7*'Non-ferrous Metals Split'!$D$44</f>
        <v>2254323470224.251</v>
      </c>
      <c r="Y17" s="16">
        <f>'KEEI BAU - Industry'!AO$18*'Non-ferrous Metals Split'!$I$7*'Non-ferrous Metals Split'!$D$44</f>
        <v>2252197752666.2837</v>
      </c>
      <c r="Z17" s="16">
        <f>'KEEI BAU - Industry'!AP$18*'Non-ferrous Metals Split'!$I$7*'Non-ferrous Metals Split'!$D$44</f>
        <v>2250072035108.3164</v>
      </c>
      <c r="AA17" s="16">
        <f>'KEEI BAU - Industry'!AQ$18*'Non-ferrous Metals Split'!$I$7*'Non-ferrous Metals Split'!$D$44</f>
        <v>2247946317550.3491</v>
      </c>
      <c r="AB17" s="16">
        <f>'KEEI BAU - Industry'!AR$18*'Non-ferrous Metals Split'!$I$7*'Non-ferrous Metals Split'!$D$44</f>
        <v>2245820599992.3813</v>
      </c>
      <c r="AC17" s="16">
        <f>'KEEI BAU - Industry'!AS$18*'Non-ferrous Metals Split'!$I$7*'Non-ferrous Metals Split'!$D$44</f>
        <v>2243694882434.4141</v>
      </c>
      <c r="AD17" s="16">
        <f>'KEEI BAU - Industry'!AT$18*'Non-ferrous Metals Split'!$I$7*'Non-ferrous Metals Split'!$D$44</f>
        <v>2241569164876.4473</v>
      </c>
      <c r="AE17" s="16">
        <f>'KEEI BAU - Industry'!AU$18*'Non-ferrous Metals Split'!$I$7*'Non-ferrous Metals Split'!$D$44</f>
        <v>2239443447318.48</v>
      </c>
      <c r="AF17" s="16">
        <f>'KEEI BAU - Industry'!AV$18*'Non-ferrous Metals Split'!$I$7*'Non-ferrous Metals Split'!$D$44</f>
        <v>2237317729760.5127</v>
      </c>
    </row>
    <row r="18" spans="1:33">
      <c r="A18" t="s">
        <v>18</v>
      </c>
      <c r="B18" s="16">
        <f>'KEEI BAU - Industry'!R$35*'Machinery Split'!$I6*'Machinery Split'!$D$40</f>
        <v>0</v>
      </c>
      <c r="C18" s="16">
        <f>'KEEI BAU - Industry'!S$35*'Machinery Split'!$I6*'Machinery Split'!$D$40</f>
        <v>0</v>
      </c>
      <c r="D18" s="16">
        <f>'KEEI BAU - Industry'!T$35*'Machinery Split'!$I6*'Machinery Split'!$D$40</f>
        <v>0</v>
      </c>
      <c r="E18" s="16">
        <f>'KEEI BAU - Industry'!U$35*'Machinery Split'!$I6*'Machinery Split'!$D$40</f>
        <v>0</v>
      </c>
      <c r="F18" s="16">
        <f>'KEEI BAU - Industry'!V$35*'Machinery Split'!$I6*'Machinery Split'!$D$40</f>
        <v>0</v>
      </c>
      <c r="G18" s="16">
        <f>'KEEI BAU - Industry'!W$35*'Machinery Split'!$I6*'Machinery Split'!$D$40</f>
        <v>0</v>
      </c>
      <c r="H18" s="16">
        <f>'KEEI BAU - Industry'!X$35*'Machinery Split'!$I6*'Machinery Split'!$D$40</f>
        <v>0</v>
      </c>
      <c r="I18" s="16">
        <f>'KEEI BAU - Industry'!Y$35*'Machinery Split'!$I6*'Machinery Split'!$D$40</f>
        <v>0</v>
      </c>
      <c r="J18" s="16">
        <f>'KEEI BAU - Industry'!Z$35*'Machinery Split'!$I6*'Machinery Split'!$D$40</f>
        <v>0</v>
      </c>
      <c r="K18" s="16">
        <f>'KEEI BAU - Industry'!AA$35*'Machinery Split'!$I6*'Machinery Split'!$D$40</f>
        <v>0</v>
      </c>
      <c r="L18" s="16">
        <f>'KEEI BAU - Industry'!AB$35*'Machinery Split'!$I6*'Machinery Split'!$D$40</f>
        <v>0</v>
      </c>
      <c r="M18" s="16">
        <f>'KEEI BAU - Industry'!AC$35*'Machinery Split'!$I6*'Machinery Split'!$D$40</f>
        <v>0</v>
      </c>
      <c r="N18" s="16">
        <f>'KEEI BAU - Industry'!AD$35*'Machinery Split'!$I6*'Machinery Split'!$D$40</f>
        <v>0</v>
      </c>
      <c r="O18" s="16">
        <f>'KEEI BAU - Industry'!AE$35*'Machinery Split'!$I6*'Machinery Split'!$D$40</f>
        <v>0</v>
      </c>
      <c r="P18" s="16">
        <f>'KEEI BAU - Industry'!AF$35*'Machinery Split'!$I6*'Machinery Split'!$D$40</f>
        <v>0</v>
      </c>
      <c r="Q18" s="16">
        <f>'KEEI BAU - Industry'!AG$35*'Machinery Split'!$I6*'Machinery Split'!$D$40</f>
        <v>0</v>
      </c>
      <c r="R18" s="16">
        <f>'KEEI BAU - Industry'!AH$35*'Machinery Split'!$I6*'Machinery Split'!$D$40</f>
        <v>0</v>
      </c>
      <c r="S18" s="16">
        <f>'KEEI BAU - Industry'!AI$35*'Machinery Split'!$I6*'Machinery Split'!$D$40</f>
        <v>0</v>
      </c>
      <c r="T18" s="16">
        <f>'KEEI BAU - Industry'!AJ$35*'Machinery Split'!$I6*'Machinery Split'!$D$40</f>
        <v>0</v>
      </c>
      <c r="U18" s="16">
        <f>'KEEI BAU - Industry'!AK$35*'Machinery Split'!$I6*'Machinery Split'!$D$40</f>
        <v>0</v>
      </c>
      <c r="V18" s="16">
        <f>'KEEI BAU - Industry'!AL$35*'Machinery Split'!$I6*'Machinery Split'!$D$40</f>
        <v>0</v>
      </c>
      <c r="W18" s="16">
        <f>'KEEI BAU - Industry'!AM$35*'Machinery Split'!$I6*'Machinery Split'!$D$40</f>
        <v>0</v>
      </c>
      <c r="X18" s="16">
        <f>'KEEI BAU - Industry'!AN$35*'Machinery Split'!$I6*'Machinery Split'!$D$40</f>
        <v>0</v>
      </c>
      <c r="Y18" s="16">
        <f>'KEEI BAU - Industry'!AO$35*'Machinery Split'!$I6*'Machinery Split'!$D$40</f>
        <v>0</v>
      </c>
      <c r="Z18" s="16">
        <f>'KEEI BAU - Industry'!AP$35*'Machinery Split'!$I6*'Machinery Split'!$D$40</f>
        <v>0</v>
      </c>
      <c r="AA18" s="16">
        <f>'KEEI BAU - Industry'!AQ$35*'Machinery Split'!$I6*'Machinery Split'!$D$40</f>
        <v>0</v>
      </c>
      <c r="AB18" s="16">
        <f>'KEEI BAU - Industry'!AR$35*'Machinery Split'!$I6*'Machinery Split'!$D$40</f>
        <v>0</v>
      </c>
      <c r="AC18" s="16">
        <f>'KEEI BAU - Industry'!AS$35*'Machinery Split'!$I6*'Machinery Split'!$D$40</f>
        <v>0</v>
      </c>
      <c r="AD18" s="16">
        <f>'KEEI BAU - Industry'!AT$35*'Machinery Split'!$I6*'Machinery Split'!$D$40</f>
        <v>0</v>
      </c>
      <c r="AE18" s="16">
        <f>'KEEI BAU - Industry'!AU$35*'Machinery Split'!$I6*'Machinery Split'!$D$40</f>
        <v>0</v>
      </c>
      <c r="AF18" s="16">
        <f>'KEEI BAU - Industry'!AV$35*'Machinery Split'!$I6*'Machinery Split'!$D$40</f>
        <v>0</v>
      </c>
    </row>
    <row r="19" spans="1:33">
      <c r="A19" t="s">
        <v>19</v>
      </c>
      <c r="B19" s="16">
        <f>'KEEI BAU - Industry'!R$35*'Machinery Split'!$I7*'Machinery Split'!$D$40</f>
        <v>0</v>
      </c>
      <c r="C19" s="16">
        <f>'KEEI BAU - Industry'!S$35*'Machinery Split'!$I7*'Machinery Split'!$D$40</f>
        <v>0</v>
      </c>
      <c r="D19" s="16">
        <f>'KEEI BAU - Industry'!T$35*'Machinery Split'!$I7*'Machinery Split'!$D$40</f>
        <v>0</v>
      </c>
      <c r="E19" s="16">
        <f>'KEEI BAU - Industry'!U$35*'Machinery Split'!$I7*'Machinery Split'!$D$40</f>
        <v>0</v>
      </c>
      <c r="F19" s="16">
        <f>'KEEI BAU - Industry'!V$35*'Machinery Split'!$I7*'Machinery Split'!$D$40</f>
        <v>0</v>
      </c>
      <c r="G19" s="16">
        <f>'KEEI BAU - Industry'!W$35*'Machinery Split'!$I7*'Machinery Split'!$D$40</f>
        <v>0</v>
      </c>
      <c r="H19" s="16">
        <f>'KEEI BAU - Industry'!X$35*'Machinery Split'!$I7*'Machinery Split'!$D$40</f>
        <v>0</v>
      </c>
      <c r="I19" s="16">
        <f>'KEEI BAU - Industry'!Y$35*'Machinery Split'!$I7*'Machinery Split'!$D$40</f>
        <v>0</v>
      </c>
      <c r="J19" s="16">
        <f>'KEEI BAU - Industry'!Z$35*'Machinery Split'!$I7*'Machinery Split'!$D$40</f>
        <v>0</v>
      </c>
      <c r="K19" s="16">
        <f>'KEEI BAU - Industry'!AA$35*'Machinery Split'!$I7*'Machinery Split'!$D$40</f>
        <v>0</v>
      </c>
      <c r="L19" s="16">
        <f>'KEEI BAU - Industry'!AB$35*'Machinery Split'!$I7*'Machinery Split'!$D$40</f>
        <v>0</v>
      </c>
      <c r="M19" s="16">
        <f>'KEEI BAU - Industry'!AC$35*'Machinery Split'!$I7*'Machinery Split'!$D$40</f>
        <v>0</v>
      </c>
      <c r="N19" s="16">
        <f>'KEEI BAU - Industry'!AD$35*'Machinery Split'!$I7*'Machinery Split'!$D$40</f>
        <v>0</v>
      </c>
      <c r="O19" s="16">
        <f>'KEEI BAU - Industry'!AE$35*'Machinery Split'!$I7*'Machinery Split'!$D$40</f>
        <v>0</v>
      </c>
      <c r="P19" s="16">
        <f>'KEEI BAU - Industry'!AF$35*'Machinery Split'!$I7*'Machinery Split'!$D$40</f>
        <v>0</v>
      </c>
      <c r="Q19" s="16">
        <f>'KEEI BAU - Industry'!AG$35*'Machinery Split'!$I7*'Machinery Split'!$D$40</f>
        <v>0</v>
      </c>
      <c r="R19" s="16">
        <f>'KEEI BAU - Industry'!AH$35*'Machinery Split'!$I7*'Machinery Split'!$D$40</f>
        <v>0</v>
      </c>
      <c r="S19" s="16">
        <f>'KEEI BAU - Industry'!AI$35*'Machinery Split'!$I7*'Machinery Split'!$D$40</f>
        <v>0</v>
      </c>
      <c r="T19" s="16">
        <f>'KEEI BAU - Industry'!AJ$35*'Machinery Split'!$I7*'Machinery Split'!$D$40</f>
        <v>0</v>
      </c>
      <c r="U19" s="16">
        <f>'KEEI BAU - Industry'!AK$35*'Machinery Split'!$I7*'Machinery Split'!$D$40</f>
        <v>0</v>
      </c>
      <c r="V19" s="16">
        <f>'KEEI BAU - Industry'!AL$35*'Machinery Split'!$I7*'Machinery Split'!$D$40</f>
        <v>0</v>
      </c>
      <c r="W19" s="16">
        <f>'KEEI BAU - Industry'!AM$35*'Machinery Split'!$I7*'Machinery Split'!$D$40</f>
        <v>0</v>
      </c>
      <c r="X19" s="16">
        <f>'KEEI BAU - Industry'!AN$35*'Machinery Split'!$I7*'Machinery Split'!$D$40</f>
        <v>0</v>
      </c>
      <c r="Y19" s="16">
        <f>'KEEI BAU - Industry'!AO$35*'Machinery Split'!$I7*'Machinery Split'!$D$40</f>
        <v>0</v>
      </c>
      <c r="Z19" s="16">
        <f>'KEEI BAU - Industry'!AP$35*'Machinery Split'!$I7*'Machinery Split'!$D$40</f>
        <v>0</v>
      </c>
      <c r="AA19" s="16">
        <f>'KEEI BAU - Industry'!AQ$35*'Machinery Split'!$I7*'Machinery Split'!$D$40</f>
        <v>0</v>
      </c>
      <c r="AB19" s="16">
        <f>'KEEI BAU - Industry'!AR$35*'Machinery Split'!$I7*'Machinery Split'!$D$40</f>
        <v>0</v>
      </c>
      <c r="AC19" s="16">
        <f>'KEEI BAU - Industry'!AS$35*'Machinery Split'!$I7*'Machinery Split'!$D$40</f>
        <v>0</v>
      </c>
      <c r="AD19" s="16">
        <f>'KEEI BAU - Industry'!AT$35*'Machinery Split'!$I7*'Machinery Split'!$D$40</f>
        <v>0</v>
      </c>
      <c r="AE19" s="16">
        <f>'KEEI BAU - Industry'!AU$35*'Machinery Split'!$I7*'Machinery Split'!$D$40</f>
        <v>0</v>
      </c>
      <c r="AF19" s="16">
        <f>'KEEI BAU - Industry'!AV$35*'Machinery Split'!$I7*'Machinery Split'!$D$40</f>
        <v>0</v>
      </c>
    </row>
    <row r="20" spans="1:33">
      <c r="A20" t="s">
        <v>20</v>
      </c>
      <c r="B20" s="16">
        <f>'KEEI BAU - Industry'!R$35*'Machinery Split'!$I8*'Machinery Split'!$D$40</f>
        <v>0</v>
      </c>
      <c r="C20" s="16">
        <f>'KEEI BAU - Industry'!S$35*'Machinery Split'!$I8*'Machinery Split'!$D$40</f>
        <v>0</v>
      </c>
      <c r="D20" s="16">
        <f>'KEEI BAU - Industry'!T$35*'Machinery Split'!$I8*'Machinery Split'!$D$40</f>
        <v>0</v>
      </c>
      <c r="E20" s="16">
        <f>'KEEI BAU - Industry'!U$35*'Machinery Split'!$I8*'Machinery Split'!$D$40</f>
        <v>0</v>
      </c>
      <c r="F20" s="16">
        <f>'KEEI BAU - Industry'!V$35*'Machinery Split'!$I8*'Machinery Split'!$D$40</f>
        <v>0</v>
      </c>
      <c r="G20" s="16">
        <f>'KEEI BAU - Industry'!W$35*'Machinery Split'!$I8*'Machinery Split'!$D$40</f>
        <v>0</v>
      </c>
      <c r="H20" s="16">
        <f>'KEEI BAU - Industry'!X$35*'Machinery Split'!$I8*'Machinery Split'!$D$40</f>
        <v>0</v>
      </c>
      <c r="I20" s="16">
        <f>'KEEI BAU - Industry'!Y$35*'Machinery Split'!$I8*'Machinery Split'!$D$40</f>
        <v>0</v>
      </c>
      <c r="J20" s="16">
        <f>'KEEI BAU - Industry'!Z$35*'Machinery Split'!$I8*'Machinery Split'!$D$40</f>
        <v>0</v>
      </c>
      <c r="K20" s="16">
        <f>'KEEI BAU - Industry'!AA$35*'Machinery Split'!$I8*'Machinery Split'!$D$40</f>
        <v>0</v>
      </c>
      <c r="L20" s="16">
        <f>'KEEI BAU - Industry'!AB$35*'Machinery Split'!$I8*'Machinery Split'!$D$40</f>
        <v>0</v>
      </c>
      <c r="M20" s="16">
        <f>'KEEI BAU - Industry'!AC$35*'Machinery Split'!$I8*'Machinery Split'!$D$40</f>
        <v>0</v>
      </c>
      <c r="N20" s="16">
        <f>'KEEI BAU - Industry'!AD$35*'Machinery Split'!$I8*'Machinery Split'!$D$40</f>
        <v>0</v>
      </c>
      <c r="O20" s="16">
        <f>'KEEI BAU - Industry'!AE$35*'Machinery Split'!$I8*'Machinery Split'!$D$40</f>
        <v>0</v>
      </c>
      <c r="P20" s="16">
        <f>'KEEI BAU - Industry'!AF$35*'Machinery Split'!$I8*'Machinery Split'!$D$40</f>
        <v>0</v>
      </c>
      <c r="Q20" s="16">
        <f>'KEEI BAU - Industry'!AG$35*'Machinery Split'!$I8*'Machinery Split'!$D$40</f>
        <v>0</v>
      </c>
      <c r="R20" s="16">
        <f>'KEEI BAU - Industry'!AH$35*'Machinery Split'!$I8*'Machinery Split'!$D$40</f>
        <v>0</v>
      </c>
      <c r="S20" s="16">
        <f>'KEEI BAU - Industry'!AI$35*'Machinery Split'!$I8*'Machinery Split'!$D$40</f>
        <v>0</v>
      </c>
      <c r="T20" s="16">
        <f>'KEEI BAU - Industry'!AJ$35*'Machinery Split'!$I8*'Machinery Split'!$D$40</f>
        <v>0</v>
      </c>
      <c r="U20" s="16">
        <f>'KEEI BAU - Industry'!AK$35*'Machinery Split'!$I8*'Machinery Split'!$D$40</f>
        <v>0</v>
      </c>
      <c r="V20" s="16">
        <f>'KEEI BAU - Industry'!AL$35*'Machinery Split'!$I8*'Machinery Split'!$D$40</f>
        <v>0</v>
      </c>
      <c r="W20" s="16">
        <f>'KEEI BAU - Industry'!AM$35*'Machinery Split'!$I8*'Machinery Split'!$D$40</f>
        <v>0</v>
      </c>
      <c r="X20" s="16">
        <f>'KEEI BAU - Industry'!AN$35*'Machinery Split'!$I8*'Machinery Split'!$D$40</f>
        <v>0</v>
      </c>
      <c r="Y20" s="16">
        <f>'KEEI BAU - Industry'!AO$35*'Machinery Split'!$I8*'Machinery Split'!$D$40</f>
        <v>0</v>
      </c>
      <c r="Z20" s="16">
        <f>'KEEI BAU - Industry'!AP$35*'Machinery Split'!$I8*'Machinery Split'!$D$40</f>
        <v>0</v>
      </c>
      <c r="AA20" s="16">
        <f>'KEEI BAU - Industry'!AQ$35*'Machinery Split'!$I8*'Machinery Split'!$D$40</f>
        <v>0</v>
      </c>
      <c r="AB20" s="16">
        <f>'KEEI BAU - Industry'!AR$35*'Machinery Split'!$I8*'Machinery Split'!$D$40</f>
        <v>0</v>
      </c>
      <c r="AC20" s="16">
        <f>'KEEI BAU - Industry'!AS$35*'Machinery Split'!$I8*'Machinery Split'!$D$40</f>
        <v>0</v>
      </c>
      <c r="AD20" s="16">
        <f>'KEEI BAU - Industry'!AT$35*'Machinery Split'!$I8*'Machinery Split'!$D$40</f>
        <v>0</v>
      </c>
      <c r="AE20" s="16">
        <f>'KEEI BAU - Industry'!AU$35*'Machinery Split'!$I8*'Machinery Split'!$D$40</f>
        <v>0</v>
      </c>
      <c r="AF20" s="16">
        <f>'KEEI BAU - Industry'!AV$35*'Machinery Split'!$I8*'Machinery Split'!$D$40</f>
        <v>0</v>
      </c>
    </row>
    <row r="21" spans="1:33">
      <c r="A21" t="s">
        <v>21</v>
      </c>
      <c r="B21" s="16">
        <f>'KEEI BAU - Industry'!R$35*'Machinery Split'!$I9*'Machinery Split'!$D$40</f>
        <v>0</v>
      </c>
      <c r="C21" s="16">
        <f>'KEEI BAU - Industry'!S$35*'Machinery Split'!$I9*'Machinery Split'!$D$40</f>
        <v>0</v>
      </c>
      <c r="D21" s="16">
        <f>'KEEI BAU - Industry'!T$35*'Machinery Split'!$I9*'Machinery Split'!$D$40</f>
        <v>0</v>
      </c>
      <c r="E21" s="16">
        <f>'KEEI BAU - Industry'!U$35*'Machinery Split'!$I9*'Machinery Split'!$D$40</f>
        <v>0</v>
      </c>
      <c r="F21" s="16">
        <f>'KEEI BAU - Industry'!V$35*'Machinery Split'!$I9*'Machinery Split'!$D$40</f>
        <v>0</v>
      </c>
      <c r="G21" s="16">
        <f>'KEEI BAU - Industry'!W$35*'Machinery Split'!$I9*'Machinery Split'!$D$40</f>
        <v>0</v>
      </c>
      <c r="H21" s="16">
        <f>'KEEI BAU - Industry'!X$35*'Machinery Split'!$I9*'Machinery Split'!$D$40</f>
        <v>0</v>
      </c>
      <c r="I21" s="16">
        <f>'KEEI BAU - Industry'!Y$35*'Machinery Split'!$I9*'Machinery Split'!$D$40</f>
        <v>0</v>
      </c>
      <c r="J21" s="16">
        <f>'KEEI BAU - Industry'!Z$35*'Machinery Split'!$I9*'Machinery Split'!$D$40</f>
        <v>0</v>
      </c>
      <c r="K21" s="16">
        <f>'KEEI BAU - Industry'!AA$35*'Machinery Split'!$I9*'Machinery Split'!$D$40</f>
        <v>0</v>
      </c>
      <c r="L21" s="16">
        <f>'KEEI BAU - Industry'!AB$35*'Machinery Split'!$I9*'Machinery Split'!$D$40</f>
        <v>0</v>
      </c>
      <c r="M21" s="16">
        <f>'KEEI BAU - Industry'!AC$35*'Machinery Split'!$I9*'Machinery Split'!$D$40</f>
        <v>0</v>
      </c>
      <c r="N21" s="16">
        <f>'KEEI BAU - Industry'!AD$35*'Machinery Split'!$I9*'Machinery Split'!$D$40</f>
        <v>0</v>
      </c>
      <c r="O21" s="16">
        <f>'KEEI BAU - Industry'!AE$35*'Machinery Split'!$I9*'Machinery Split'!$D$40</f>
        <v>0</v>
      </c>
      <c r="P21" s="16">
        <f>'KEEI BAU - Industry'!AF$35*'Machinery Split'!$I9*'Machinery Split'!$D$40</f>
        <v>0</v>
      </c>
      <c r="Q21" s="16">
        <f>'KEEI BAU - Industry'!AG$35*'Machinery Split'!$I9*'Machinery Split'!$D$40</f>
        <v>0</v>
      </c>
      <c r="R21" s="16">
        <f>'KEEI BAU - Industry'!AH$35*'Machinery Split'!$I9*'Machinery Split'!$D$40</f>
        <v>0</v>
      </c>
      <c r="S21" s="16">
        <f>'KEEI BAU - Industry'!AI$35*'Machinery Split'!$I9*'Machinery Split'!$D$40</f>
        <v>0</v>
      </c>
      <c r="T21" s="16">
        <f>'KEEI BAU - Industry'!AJ$35*'Machinery Split'!$I9*'Machinery Split'!$D$40</f>
        <v>0</v>
      </c>
      <c r="U21" s="16">
        <f>'KEEI BAU - Industry'!AK$35*'Machinery Split'!$I9*'Machinery Split'!$D$40</f>
        <v>0</v>
      </c>
      <c r="V21" s="16">
        <f>'KEEI BAU - Industry'!AL$35*'Machinery Split'!$I9*'Machinery Split'!$D$40</f>
        <v>0</v>
      </c>
      <c r="W21" s="16">
        <f>'KEEI BAU - Industry'!AM$35*'Machinery Split'!$I9*'Machinery Split'!$D$40</f>
        <v>0</v>
      </c>
      <c r="X21" s="16">
        <f>'KEEI BAU - Industry'!AN$35*'Machinery Split'!$I9*'Machinery Split'!$D$40</f>
        <v>0</v>
      </c>
      <c r="Y21" s="16">
        <f>'KEEI BAU - Industry'!AO$35*'Machinery Split'!$I9*'Machinery Split'!$D$40</f>
        <v>0</v>
      </c>
      <c r="Z21" s="16">
        <f>'KEEI BAU - Industry'!AP$35*'Machinery Split'!$I9*'Machinery Split'!$D$40</f>
        <v>0</v>
      </c>
      <c r="AA21" s="16">
        <f>'KEEI BAU - Industry'!AQ$35*'Machinery Split'!$I9*'Machinery Split'!$D$40</f>
        <v>0</v>
      </c>
      <c r="AB21" s="16">
        <f>'KEEI BAU - Industry'!AR$35*'Machinery Split'!$I9*'Machinery Split'!$D$40</f>
        <v>0</v>
      </c>
      <c r="AC21" s="16">
        <f>'KEEI BAU - Industry'!AS$35*'Machinery Split'!$I9*'Machinery Split'!$D$40</f>
        <v>0</v>
      </c>
      <c r="AD21" s="16">
        <f>'KEEI BAU - Industry'!AT$35*'Machinery Split'!$I9*'Machinery Split'!$D$40</f>
        <v>0</v>
      </c>
      <c r="AE21" s="16">
        <f>'KEEI BAU - Industry'!AU$35*'Machinery Split'!$I9*'Machinery Split'!$D$40</f>
        <v>0</v>
      </c>
      <c r="AF21" s="16">
        <f>'KEEI BAU - Industry'!AV$35*'Machinery Split'!$I9*'Machinery Split'!$D$40</f>
        <v>0</v>
      </c>
    </row>
    <row r="22" spans="1:33">
      <c r="A22" t="s">
        <v>22</v>
      </c>
      <c r="B22" s="16">
        <f>'KEEI BAU - Industry'!R$35*'Machinery Split'!$I10*'Machinery Split'!$D$40</f>
        <v>0</v>
      </c>
      <c r="C22" s="16">
        <f>'KEEI BAU - Industry'!S$35*'Machinery Split'!$I10*'Machinery Split'!$D$40</f>
        <v>0</v>
      </c>
      <c r="D22" s="16">
        <f>'KEEI BAU - Industry'!T$35*'Machinery Split'!$I10*'Machinery Split'!$D$40</f>
        <v>0</v>
      </c>
      <c r="E22" s="16">
        <f>'KEEI BAU - Industry'!U$35*'Machinery Split'!$I10*'Machinery Split'!$D$40</f>
        <v>0</v>
      </c>
      <c r="F22" s="16">
        <f>'KEEI BAU - Industry'!V$35*'Machinery Split'!$I10*'Machinery Split'!$D$40</f>
        <v>0</v>
      </c>
      <c r="G22" s="16">
        <f>'KEEI BAU - Industry'!W$35*'Machinery Split'!$I10*'Machinery Split'!$D$40</f>
        <v>0</v>
      </c>
      <c r="H22" s="16">
        <f>'KEEI BAU - Industry'!X$35*'Machinery Split'!$I10*'Machinery Split'!$D$40</f>
        <v>0</v>
      </c>
      <c r="I22" s="16">
        <f>'KEEI BAU - Industry'!Y$35*'Machinery Split'!$I10*'Machinery Split'!$D$40</f>
        <v>0</v>
      </c>
      <c r="J22" s="16">
        <f>'KEEI BAU - Industry'!Z$35*'Machinery Split'!$I10*'Machinery Split'!$D$40</f>
        <v>0</v>
      </c>
      <c r="K22" s="16">
        <f>'KEEI BAU - Industry'!AA$35*'Machinery Split'!$I10*'Machinery Split'!$D$40</f>
        <v>0</v>
      </c>
      <c r="L22" s="16">
        <f>'KEEI BAU - Industry'!AB$35*'Machinery Split'!$I10*'Machinery Split'!$D$40</f>
        <v>0</v>
      </c>
      <c r="M22" s="16">
        <f>'KEEI BAU - Industry'!AC$35*'Machinery Split'!$I10*'Machinery Split'!$D$40</f>
        <v>0</v>
      </c>
      <c r="N22" s="16">
        <f>'KEEI BAU - Industry'!AD$35*'Machinery Split'!$I10*'Machinery Split'!$D$40</f>
        <v>0</v>
      </c>
      <c r="O22" s="16">
        <f>'KEEI BAU - Industry'!AE$35*'Machinery Split'!$I10*'Machinery Split'!$D$40</f>
        <v>0</v>
      </c>
      <c r="P22" s="16">
        <f>'KEEI BAU - Industry'!AF$35*'Machinery Split'!$I10*'Machinery Split'!$D$40</f>
        <v>0</v>
      </c>
      <c r="Q22" s="16">
        <f>'KEEI BAU - Industry'!AG$35*'Machinery Split'!$I10*'Machinery Split'!$D$40</f>
        <v>0</v>
      </c>
      <c r="R22" s="16">
        <f>'KEEI BAU - Industry'!AH$35*'Machinery Split'!$I10*'Machinery Split'!$D$40</f>
        <v>0</v>
      </c>
      <c r="S22" s="16">
        <f>'KEEI BAU - Industry'!AI$35*'Machinery Split'!$I10*'Machinery Split'!$D$40</f>
        <v>0</v>
      </c>
      <c r="T22" s="16">
        <f>'KEEI BAU - Industry'!AJ$35*'Machinery Split'!$I10*'Machinery Split'!$D$40</f>
        <v>0</v>
      </c>
      <c r="U22" s="16">
        <f>'KEEI BAU - Industry'!AK$35*'Machinery Split'!$I10*'Machinery Split'!$D$40</f>
        <v>0</v>
      </c>
      <c r="V22" s="16">
        <f>'KEEI BAU - Industry'!AL$35*'Machinery Split'!$I10*'Machinery Split'!$D$40</f>
        <v>0</v>
      </c>
      <c r="W22" s="16">
        <f>'KEEI BAU - Industry'!AM$35*'Machinery Split'!$I10*'Machinery Split'!$D$40</f>
        <v>0</v>
      </c>
      <c r="X22" s="16">
        <f>'KEEI BAU - Industry'!AN$35*'Machinery Split'!$I10*'Machinery Split'!$D$40</f>
        <v>0</v>
      </c>
      <c r="Y22" s="16">
        <f>'KEEI BAU - Industry'!AO$35*'Machinery Split'!$I10*'Machinery Split'!$D$40</f>
        <v>0</v>
      </c>
      <c r="Z22" s="16">
        <f>'KEEI BAU - Industry'!AP$35*'Machinery Split'!$I10*'Machinery Split'!$D$40</f>
        <v>0</v>
      </c>
      <c r="AA22" s="16">
        <f>'KEEI BAU - Industry'!AQ$35*'Machinery Split'!$I10*'Machinery Split'!$D$40</f>
        <v>0</v>
      </c>
      <c r="AB22" s="16">
        <f>'KEEI BAU - Industry'!AR$35*'Machinery Split'!$I10*'Machinery Split'!$D$40</f>
        <v>0</v>
      </c>
      <c r="AC22" s="16">
        <f>'KEEI BAU - Industry'!AS$35*'Machinery Split'!$I10*'Machinery Split'!$D$40</f>
        <v>0</v>
      </c>
      <c r="AD22" s="16">
        <f>'KEEI BAU - Industry'!AT$35*'Machinery Split'!$I10*'Machinery Split'!$D$40</f>
        <v>0</v>
      </c>
      <c r="AE22" s="16">
        <f>'KEEI BAU - Industry'!AU$35*'Machinery Split'!$I10*'Machinery Split'!$D$40</f>
        <v>0</v>
      </c>
      <c r="AF22" s="16">
        <f>'KEEI BAU - Industry'!AV$35*'Machinery Split'!$I10*'Machinery Split'!$D$40</f>
        <v>0</v>
      </c>
    </row>
    <row r="23" spans="1:33">
      <c r="A23" t="s">
        <v>23</v>
      </c>
      <c r="B23" s="16">
        <f>'KEEI BAU - Industry'!R$53*'Others Split'!$D$46*'Others Split'!$I$14</f>
        <v>12033291122812.645</v>
      </c>
      <c r="C23" s="16">
        <f>'KEEI BAU - Industry'!S$53*'Others Split'!$D$46*'Others Split'!$I$14</f>
        <v>12300265481048.771</v>
      </c>
      <c r="D23" s="16">
        <f>'KEEI BAU - Industry'!T$53*'Others Split'!$D$46*'Others Split'!$I$14</f>
        <v>12567239839284.898</v>
      </c>
      <c r="E23" s="16">
        <f>'KEEI BAU - Industry'!U$53*'Others Split'!$D$46*'Others Split'!$I$14</f>
        <v>12834214197521.027</v>
      </c>
      <c r="F23" s="16">
        <f>'KEEI BAU - Industry'!V$53*'Others Split'!$D$46*'Others Split'!$I$14</f>
        <v>13101188555757.154</v>
      </c>
      <c r="G23" s="16">
        <f>'KEEI BAU - Industry'!W$53*'Others Split'!$D$46*'Others Split'!$I$14</f>
        <v>13368162913993.281</v>
      </c>
      <c r="H23" s="16">
        <f>'KEEI BAU - Industry'!X$53*'Others Split'!$D$46*'Others Split'!$I$14</f>
        <v>13491536117645.381</v>
      </c>
      <c r="I23" s="16">
        <f>'KEEI BAU - Industry'!Y$53*'Others Split'!$D$46*'Others Split'!$I$14</f>
        <v>13614909321297.441</v>
      </c>
      <c r="J23" s="16">
        <f>'KEEI BAU - Industry'!Z$53*'Others Split'!$D$46*'Others Split'!$I$14</f>
        <v>13738282524949.504</v>
      </c>
      <c r="K23" s="16">
        <f>'KEEI BAU - Industry'!AA$53*'Others Split'!$D$46*'Others Split'!$I$14</f>
        <v>13861655728601.564</v>
      </c>
      <c r="L23" s="16">
        <f>'KEEI BAU - Industry'!AB$53*'Others Split'!$D$46*'Others Split'!$I$14</f>
        <v>13985028932253.652</v>
      </c>
      <c r="M23" s="16">
        <f>'KEEI BAU - Industry'!AC$53*'Others Split'!$D$46*'Others Split'!$I$14</f>
        <v>14072742771394.959</v>
      </c>
      <c r="N23" s="16">
        <f>'KEEI BAU - Industry'!AD$53*'Others Split'!$D$46*'Others Split'!$I$14</f>
        <v>14160456610536.293</v>
      </c>
      <c r="O23" s="16">
        <f>'KEEI BAU - Industry'!AE$53*'Others Split'!$D$46*'Others Split'!$I$14</f>
        <v>14248170449677.627</v>
      </c>
      <c r="P23" s="16">
        <f>'KEEI BAU - Industry'!AF$53*'Others Split'!$D$46*'Others Split'!$I$14</f>
        <v>14335884288818.957</v>
      </c>
      <c r="Q23" s="16">
        <f>'KEEI BAU - Industry'!AG$53*'Others Split'!$D$46*'Others Split'!$I$14</f>
        <v>14423598127960.285</v>
      </c>
      <c r="R23" s="16">
        <f>'KEEI BAU - Industry'!AH$53*'Others Split'!$D$46*'Others Split'!$I$14</f>
        <v>14492457590463.791</v>
      </c>
      <c r="S23" s="16">
        <f>'KEEI BAU - Industry'!AI$53*'Others Split'!$D$46*'Others Split'!$I$14</f>
        <v>14561317052967.244</v>
      </c>
      <c r="T23" s="16">
        <f>'KEEI BAU - Industry'!AJ$53*'Others Split'!$D$46*'Others Split'!$I$14</f>
        <v>14630176515470.719</v>
      </c>
      <c r="U23" s="16">
        <f>'KEEI BAU - Industry'!AK$53*'Others Split'!$D$46*'Others Split'!$I$14</f>
        <v>14699035977974.197</v>
      </c>
      <c r="V23" s="16">
        <f>'KEEI BAU - Industry'!AL$53*'Others Split'!$D$46*'Others Split'!$I$14</f>
        <v>14767895440477.648</v>
      </c>
      <c r="W23" s="16">
        <f>'KEEI BAU - Industry'!AM$53*'Others Split'!$D$46*'Others Split'!$I$14</f>
        <v>14861894071831.607</v>
      </c>
      <c r="X23" s="16">
        <f>'KEEI BAU - Industry'!AN$53*'Others Split'!$D$46*'Others Split'!$I$14</f>
        <v>14938752360787.498</v>
      </c>
      <c r="Y23" s="16">
        <f>'KEEI BAU - Industry'!AO$53*'Others Split'!$D$46*'Others Split'!$I$14</f>
        <v>15015610649743.416</v>
      </c>
      <c r="Z23" s="16">
        <f>'KEEI BAU - Industry'!AP$53*'Others Split'!$D$46*'Others Split'!$I$14</f>
        <v>15092468938699.311</v>
      </c>
      <c r="AA23" s="16">
        <f>'KEEI BAU - Industry'!AQ$53*'Others Split'!$D$46*'Others Split'!$I$14</f>
        <v>15169327227655.203</v>
      </c>
      <c r="AB23" s="16">
        <f>'KEEI BAU - Industry'!AR$53*'Others Split'!$D$46*'Others Split'!$I$14</f>
        <v>15246185516611.094</v>
      </c>
      <c r="AC23" s="16">
        <f>'KEEI BAU - Industry'!AS$53*'Others Split'!$D$46*'Others Split'!$I$14</f>
        <v>15323043805567.012</v>
      </c>
      <c r="AD23" s="16">
        <f>'KEEI BAU - Industry'!AT$53*'Others Split'!$D$46*'Others Split'!$I$14</f>
        <v>15399902094522.906</v>
      </c>
      <c r="AE23" s="16">
        <f>'KEEI BAU - Industry'!AU$53*'Others Split'!$D$46*'Others Split'!$I$14</f>
        <v>15476760383478.799</v>
      </c>
      <c r="AF23" s="16">
        <f>'KEEI BAU - Industry'!AV$53*'Others Split'!$D$46*'Others Split'!$I$14</f>
        <v>15553618672434.715</v>
      </c>
    </row>
    <row r="24" spans="1:33">
      <c r="A24" t="s">
        <v>24</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row>
    <row r="25" spans="1:33">
      <c r="A25" t="s">
        <v>25</v>
      </c>
      <c r="B25" s="16">
        <f>'Water and Waste'!D34*(1+'Water and Waste'!D40)*(1+'Water and Waste'!E40)</f>
        <v>355814807146.05389</v>
      </c>
      <c r="C25" s="16">
        <f>B25*(1+'Water and Waste'!F40)</f>
        <v>356170621953.19989</v>
      </c>
      <c r="D25" s="16">
        <f>C25*(1+'Water and Waste'!G40)</f>
        <v>356526792575.15308</v>
      </c>
      <c r="E25" s="16">
        <f>D25*(1+'Water and Waste'!H40)</f>
        <v>356883319367.72821</v>
      </c>
      <c r="F25" s="16">
        <f>E25*(1+'Water and Waste'!I40)</f>
        <v>357240202687.09589</v>
      </c>
      <c r="G25" s="16">
        <f>F25*(1+'Water and Waste'!J40)</f>
        <v>357597442889.78296</v>
      </c>
      <c r="H25" s="16">
        <f>G25*(1+'Water and Waste'!K40)</f>
        <v>357955040332.67273</v>
      </c>
      <c r="I25" s="16">
        <f>H25*(1+'Water and Waste'!L40)</f>
        <v>358312995373.00537</v>
      </c>
      <c r="J25" s="16">
        <f>I25*(1+'Water and Waste'!M40)</f>
        <v>358671308368.37836</v>
      </c>
      <c r="K25" s="16">
        <f>J25*(1+'Water and Waste'!N40)</f>
        <v>359029979676.7467</v>
      </c>
      <c r="L25" s="16">
        <f>K25*(1+'Water and Waste'!O40)</f>
        <v>359389009656.4234</v>
      </c>
      <c r="M25" s="16">
        <f>L25*(1+'Water and Waste'!P40)</f>
        <v>359748398666.07977</v>
      </c>
      <c r="N25" s="16">
        <f>M25*(1+'Water and Waste'!Q40)</f>
        <v>360108147064.74579</v>
      </c>
      <c r="O25" s="16">
        <f>N25*(1+'Water and Waste'!R40)</f>
        <v>360468255211.81049</v>
      </c>
      <c r="P25" s="16">
        <f>O25*(1+'Water and Waste'!S40)</f>
        <v>360828723467.02228</v>
      </c>
      <c r="Q25" s="16">
        <f>P25*(1+'Water and Waste'!T40)</f>
        <v>361189552190.48926</v>
      </c>
      <c r="R25" s="16">
        <f>Q25*(1+'Water and Waste'!U40)</f>
        <v>361550741742.67969</v>
      </c>
      <c r="S25" s="16">
        <f>R25*(1+'Water and Waste'!V40)</f>
        <v>361912292484.4223</v>
      </c>
      <c r="T25" s="16">
        <f>S25*(1+'Water and Waste'!W40)</f>
        <v>362274204776.90668</v>
      </c>
      <c r="U25" s="16">
        <f>T25*(1+'Water and Waste'!X40)</f>
        <v>362636478981.68353</v>
      </c>
      <c r="V25" s="16">
        <f>U25*(1+'Water and Waste'!Y40)</f>
        <v>362999115460.66516</v>
      </c>
      <c r="W25" s="16">
        <f>V25*(1+'Water and Waste'!Z40)</f>
        <v>361184119883.36182</v>
      </c>
      <c r="X25" s="16">
        <f>W25*(1+'Water and Waste'!AA40)</f>
        <v>359378199283.94501</v>
      </c>
      <c r="Y25" s="16">
        <f>X25*(1+'Water and Waste'!AB40)</f>
        <v>357581308287.52527</v>
      </c>
      <c r="Z25" s="16">
        <f>Y25*(1+'Water and Waste'!AC40)</f>
        <v>355793401746.08765</v>
      </c>
      <c r="AA25" s="16">
        <f>Z25*(1+'Water and Waste'!AD40)</f>
        <v>354014434737.35718</v>
      </c>
      <c r="AB25" s="16">
        <f>AA25*(1+'Water and Waste'!AE40)</f>
        <v>352244362563.67041</v>
      </c>
      <c r="AC25" s="16">
        <f>AB25*(1+'Water and Waste'!AF40)</f>
        <v>350483140750.85205</v>
      </c>
      <c r="AD25" s="16">
        <f>AC25*(1+'Water and Waste'!AG40)</f>
        <v>348730725047.09778</v>
      </c>
      <c r="AE25" s="16">
        <f>AD25*(1+'Water and Waste'!AH40)</f>
        <v>346987071421.8623</v>
      </c>
      <c r="AF25" s="16">
        <f>AE25*(1+'Water and Waste'!AI40)</f>
        <v>345252136064.75293</v>
      </c>
    </row>
    <row r="26" spans="1:33">
      <c r="A26" t="s">
        <v>26</v>
      </c>
      <c r="B26" s="16">
        <f>'KEEI BAU - Industry'!R$53*'Others Split'!$D$46*'Others Split'!$I$15</f>
        <v>42981369015031.453</v>
      </c>
      <c r="C26" s="16">
        <f>'KEEI BAU - Industry'!S$53*'Others Split'!$D$46*'Others Split'!$I$15</f>
        <v>43934967103184.086</v>
      </c>
      <c r="D26" s="16">
        <f>'KEEI BAU - Industry'!T$53*'Others Split'!$D$46*'Others Split'!$I$15</f>
        <v>44888565191336.727</v>
      </c>
      <c r="E26" s="16">
        <f>'KEEI BAU - Industry'!U$53*'Others Split'!$D$46*'Others Split'!$I$15</f>
        <v>45842163279489.359</v>
      </c>
      <c r="F26" s="16">
        <f>'KEEI BAU - Industry'!V$53*'Others Split'!$D$46*'Others Split'!$I$15</f>
        <v>46795761367641.992</v>
      </c>
      <c r="G26" s="16">
        <f>'KEEI BAU - Industry'!W$53*'Others Split'!$D$46*'Others Split'!$I$15</f>
        <v>47749359455794.625</v>
      </c>
      <c r="H26" s="16">
        <f>'KEEI BAU - Industry'!X$53*'Others Split'!$D$46*'Others Split'!$I$15</f>
        <v>48190032679654.773</v>
      </c>
      <c r="I26" s="16">
        <f>'KEEI BAU - Industry'!Y$53*'Others Split'!$D$46*'Others Split'!$I$15</f>
        <v>48630705903514.773</v>
      </c>
      <c r="J26" s="16">
        <f>'KEEI BAU - Industry'!Z$53*'Others Split'!$D$46*'Others Split'!$I$15</f>
        <v>49071379127374.789</v>
      </c>
      <c r="K26" s="16">
        <f>'KEEI BAU - Industry'!AA$53*'Others Split'!$D$46*'Others Split'!$I$15</f>
        <v>49512052351234.797</v>
      </c>
      <c r="L26" s="16">
        <f>'KEEI BAU - Industry'!AB$53*'Others Split'!$D$46*'Others Split'!$I$15</f>
        <v>49952725575094.898</v>
      </c>
      <c r="M26" s="16">
        <f>'KEEI BAU - Industry'!AC$53*'Others Split'!$D$46*'Others Split'!$I$15</f>
        <v>50266028132922.188</v>
      </c>
      <c r="N26" s="16">
        <f>'KEEI BAU - Industry'!AD$53*'Others Split'!$D$46*'Others Split'!$I$15</f>
        <v>50579330690749.57</v>
      </c>
      <c r="O26" s="16">
        <f>'KEEI BAU - Industry'!AE$53*'Others Split'!$D$46*'Others Split'!$I$15</f>
        <v>50892633248576.953</v>
      </c>
      <c r="P26" s="16">
        <f>'KEEI BAU - Industry'!AF$53*'Others Split'!$D$46*'Others Split'!$I$15</f>
        <v>51205935806404.336</v>
      </c>
      <c r="Q26" s="16">
        <f>'KEEI BAU - Industry'!AG$53*'Others Split'!$D$46*'Others Split'!$I$15</f>
        <v>51519238364231.695</v>
      </c>
      <c r="R26" s="16">
        <f>'KEEI BAU - Industry'!AH$53*'Others Split'!$D$46*'Others Split'!$I$15</f>
        <v>51765195512432.742</v>
      </c>
      <c r="S26" s="16">
        <f>'KEEI BAU - Industry'!AI$53*'Others Split'!$D$46*'Others Split'!$I$15</f>
        <v>52011152660633.594</v>
      </c>
      <c r="T26" s="16">
        <f>'KEEI BAU - Industry'!AJ$53*'Others Split'!$D$46*'Others Split'!$I$15</f>
        <v>52257109808834.523</v>
      </c>
      <c r="U26" s="16">
        <f>'KEEI BAU - Industry'!AK$53*'Others Split'!$D$46*'Others Split'!$I$15</f>
        <v>52503066957035.469</v>
      </c>
      <c r="V26" s="16">
        <f>'KEEI BAU - Industry'!AL$53*'Others Split'!$D$46*'Others Split'!$I$15</f>
        <v>52749024105236.313</v>
      </c>
      <c r="W26" s="16">
        <f>'KEEI BAU - Industry'!AM$53*'Others Split'!$D$46*'Others Split'!$I$15</f>
        <v>53084775132939.203</v>
      </c>
      <c r="X26" s="16">
        <f>'KEEI BAU - Industry'!AN$53*'Others Split'!$D$46*'Others Split'!$I$15</f>
        <v>53359303060981.633</v>
      </c>
      <c r="Y26" s="16">
        <f>'KEEI BAU - Industry'!AO$53*'Others Split'!$D$46*'Others Split'!$I$15</f>
        <v>53633830989024.148</v>
      </c>
      <c r="Z26" s="16">
        <f>'KEEI BAU - Industry'!AP$53*'Others Split'!$D$46*'Others Split'!$I$15</f>
        <v>53908358917066.586</v>
      </c>
      <c r="AA26" s="16">
        <f>'KEEI BAU - Industry'!AQ$53*'Others Split'!$D$46*'Others Split'!$I$15</f>
        <v>54182886845109.016</v>
      </c>
      <c r="AB26" s="16">
        <f>'KEEI BAU - Industry'!AR$53*'Others Split'!$D$46*'Others Split'!$I$15</f>
        <v>54457414773151.445</v>
      </c>
      <c r="AC26" s="16">
        <f>'KEEI BAU - Industry'!AS$53*'Others Split'!$D$46*'Others Split'!$I$15</f>
        <v>54731942701193.969</v>
      </c>
      <c r="AD26" s="16">
        <f>'KEEI BAU - Industry'!AT$53*'Others Split'!$D$46*'Others Split'!$I$15</f>
        <v>55006470629236.406</v>
      </c>
      <c r="AE26" s="16">
        <f>'KEEI BAU - Industry'!AU$53*'Others Split'!$D$46*'Others Split'!$I$15</f>
        <v>55280998557278.828</v>
      </c>
      <c r="AF26" s="16">
        <f>'KEEI BAU - Industry'!AV$53*'Others Split'!$D$46*'Others Split'!$I$15</f>
        <v>55555526485321.352</v>
      </c>
    </row>
    <row r="30" spans="1:33">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row>
    <row r="31" spans="1:33">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row>
    <row r="32" spans="1:33">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row>
    <row r="33" spans="2:33">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row>
    <row r="34" spans="2:33">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row>
    <row r="35" spans="2:33">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row>
    <row r="36" spans="2:33">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row>
    <row r="37" spans="2:33">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row>
    <row r="39" spans="2:33">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row>
    <row r="40" spans="2:33">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row>
    <row r="41" spans="2:33">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row>
    <row r="42" spans="2:33">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row>
    <row r="43" spans="2:33">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row>
    <row r="44" spans="2:33">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row>
    <row r="45" spans="2:33">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row>
    <row r="46" spans="2:33">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row>
    <row r="47" spans="2:33">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row>
    <row r="48" spans="2:33">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row>
    <row r="49" spans="2:33">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row>
    <row r="50" spans="2:33">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row>
    <row r="51" spans="2:33">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row>
    <row r="54" spans="2:33">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row>
    <row r="56" spans="2:33">
      <c r="B56" s="21"/>
    </row>
    <row r="57" spans="2:33">
      <c r="B57" s="21"/>
    </row>
    <row r="58" spans="2:33">
      <c r="B58" s="21"/>
    </row>
    <row r="59" spans="2:33">
      <c r="B59" s="21"/>
    </row>
    <row r="60" spans="2:33">
      <c r="B60" s="21"/>
    </row>
    <row r="61" spans="2:33">
      <c r="B61" s="21"/>
    </row>
    <row r="62" spans="2:33">
      <c r="B62" s="21"/>
    </row>
    <row r="63" spans="2:33">
      <c r="B63" s="21"/>
    </row>
    <row r="64" spans="2:33">
      <c r="B64" s="21"/>
    </row>
    <row r="65" spans="2:2">
      <c r="B65" s="21"/>
    </row>
    <row r="66" spans="2:2">
      <c r="B66" s="21"/>
    </row>
    <row r="67" spans="2:2">
      <c r="B67" s="21"/>
    </row>
    <row r="68" spans="2:2">
      <c r="B68" s="21"/>
    </row>
    <row r="69" spans="2:2">
      <c r="B69" s="21"/>
    </row>
    <row r="70" spans="2:2">
      <c r="B70" s="21"/>
    </row>
    <row r="71" spans="2:2">
      <c r="B71" s="21"/>
    </row>
    <row r="72" spans="2:2">
      <c r="B72" s="21"/>
    </row>
    <row r="73" spans="2:2">
      <c r="B73" s="21"/>
    </row>
    <row r="74" spans="2:2">
      <c r="B74" s="21"/>
    </row>
    <row r="75" spans="2:2">
      <c r="B75" s="21"/>
    </row>
    <row r="76" spans="2:2">
      <c r="B76" s="21"/>
    </row>
    <row r="77" spans="2:2">
      <c r="B77" s="21"/>
    </row>
    <row r="78" spans="2:2">
      <c r="B78" s="21"/>
    </row>
    <row r="79" spans="2:2">
      <c r="B79" s="21"/>
    </row>
    <row r="80" spans="2:2">
      <c r="B80" s="21"/>
    </row>
  </sheetData>
  <phoneticPr fontId="37"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3CDB2-5A83-4C28-920A-FCCD58C6C0B7}">
  <sheetPr>
    <tabColor rgb="FFFF8989"/>
  </sheetPr>
  <dimension ref="A1:AF83"/>
  <sheetViews>
    <sheetView workbookViewId="0">
      <selection activeCell="B10" sqref="B10"/>
    </sheetView>
  </sheetViews>
  <sheetFormatPr defaultRowHeight="16.5"/>
  <cols>
    <col min="1" max="1" width="43.5" bestFit="1" customWidth="1"/>
  </cols>
  <sheetData>
    <row r="1" spans="1:32">
      <c r="A1" s="1" t="s">
        <v>790</v>
      </c>
    </row>
    <row r="2" spans="1:32">
      <c r="A2" s="24" t="s">
        <v>27</v>
      </c>
      <c r="B2" s="1">
        <v>2020</v>
      </c>
      <c r="C2" s="1">
        <v>2021</v>
      </c>
      <c r="D2" s="1">
        <v>2022</v>
      </c>
      <c r="E2" s="1">
        <v>2023</v>
      </c>
      <c r="F2" s="1">
        <v>2024</v>
      </c>
      <c r="G2" s="1">
        <v>2025</v>
      </c>
      <c r="H2" s="1">
        <v>2026</v>
      </c>
      <c r="I2" s="1">
        <v>2027</v>
      </c>
      <c r="J2" s="1">
        <v>2028</v>
      </c>
      <c r="K2" s="1">
        <v>2029</v>
      </c>
      <c r="L2" s="1">
        <v>2030</v>
      </c>
      <c r="M2" s="1">
        <v>2031</v>
      </c>
      <c r="N2" s="1">
        <v>2032</v>
      </c>
      <c r="O2" s="1">
        <v>2033</v>
      </c>
      <c r="P2" s="1">
        <v>2034</v>
      </c>
      <c r="Q2" s="1">
        <v>2035</v>
      </c>
      <c r="R2" s="1">
        <v>2036</v>
      </c>
      <c r="S2" s="1">
        <v>2037</v>
      </c>
      <c r="T2" s="1">
        <v>2038</v>
      </c>
      <c r="U2" s="1">
        <v>2039</v>
      </c>
      <c r="V2" s="1">
        <v>2040</v>
      </c>
      <c r="W2" s="1">
        <v>2041</v>
      </c>
      <c r="X2" s="1">
        <v>2042</v>
      </c>
      <c r="Y2" s="1">
        <v>2043</v>
      </c>
      <c r="Z2" s="1">
        <v>2044</v>
      </c>
      <c r="AA2" s="1">
        <v>2045</v>
      </c>
      <c r="AB2" s="1">
        <v>2046</v>
      </c>
      <c r="AC2" s="1">
        <v>2047</v>
      </c>
      <c r="AD2" s="1">
        <v>2048</v>
      </c>
      <c r="AE2" s="1">
        <v>2049</v>
      </c>
      <c r="AF2" s="1">
        <v>2050</v>
      </c>
    </row>
    <row r="3" spans="1:32">
      <c r="A3" t="s">
        <v>2</v>
      </c>
      <c r="B3" s="16">
        <f>SUM('BIFUbC-electricity'!B2,'BIFUbC-coal'!B2,'BIFUbC-natural-gas'!B2,'BIFUbC-biomass'!B2,'BIFUbC-heat'!B2,'BIFUbC-crude-oil'!B2,'BIFUbC-petroleum-diesel'!B2,'BIFUbC-heavy-or-residual-oil'!B2,'BIFUbC-LPG-propane-or-butane'!B2,'BIFUbC-hydrogen'!B2)</f>
        <v>211235623292388.03</v>
      </c>
      <c r="C3" s="16">
        <f>SUM('BIFUbC-electricity'!C2,'BIFUbC-coal'!C2,'BIFUbC-natural-gas'!C2,'BIFUbC-biomass'!C2,'BIFUbC-heat'!C2,'BIFUbC-crude-oil'!C2,'BIFUbC-petroleum-diesel'!C2,'BIFUbC-heavy-or-residual-oil'!C2,'BIFUbC-LPG-propane-or-butane'!C2,'BIFUbC-hydrogen'!C2)</f>
        <v>204644856461908.25</v>
      </c>
      <c r="D3" s="16">
        <f>SUM('BIFUbC-electricity'!D2,'BIFUbC-coal'!D2,'BIFUbC-natural-gas'!D2,'BIFUbC-biomass'!D2,'BIFUbC-heat'!D2,'BIFUbC-crude-oil'!D2,'BIFUbC-petroleum-diesel'!D2,'BIFUbC-heavy-or-residual-oil'!D2,'BIFUbC-LPG-propane-or-butane'!D2,'BIFUbC-hydrogen'!D2)</f>
        <v>211068803509167.16</v>
      </c>
      <c r="E3" s="16">
        <f>SUM('BIFUbC-electricity'!E2,'BIFUbC-coal'!E2,'BIFUbC-natural-gas'!E2,'BIFUbC-biomass'!E2,'BIFUbC-heat'!E2,'BIFUbC-crude-oil'!E2,'BIFUbC-petroleum-diesel'!E2,'BIFUbC-heavy-or-residual-oil'!E2,'BIFUbC-LPG-propane-or-butane'!E2,'BIFUbC-hydrogen'!E2)</f>
        <v>217492750556426.19</v>
      </c>
      <c r="F3" s="16">
        <f>SUM('BIFUbC-electricity'!F2,'BIFUbC-coal'!F2,'BIFUbC-natural-gas'!F2,'BIFUbC-biomass'!F2,'BIFUbC-heat'!F2,'BIFUbC-crude-oil'!F2,'BIFUbC-petroleum-diesel'!F2,'BIFUbC-heavy-or-residual-oil'!F2,'BIFUbC-LPG-propane-or-butane'!F2,'BIFUbC-hydrogen'!F2)</f>
        <v>223916697603685.16</v>
      </c>
      <c r="G3" s="16">
        <f>SUM('BIFUbC-electricity'!G2,'BIFUbC-coal'!G2,'BIFUbC-natural-gas'!G2,'BIFUbC-biomass'!G2,'BIFUbC-heat'!G2,'BIFUbC-crude-oil'!G2,'BIFUbC-petroleum-diesel'!G2,'BIFUbC-heavy-or-residual-oil'!G2,'BIFUbC-LPG-propane-or-butane'!G2,'BIFUbC-hydrogen'!G2)</f>
        <v>230340644650944.13</v>
      </c>
      <c r="H3" s="16">
        <f>SUM('BIFUbC-electricity'!H2,'BIFUbC-coal'!H2,'BIFUbC-natural-gas'!H2,'BIFUbC-biomass'!H2,'BIFUbC-heat'!H2,'BIFUbC-crude-oil'!H2,'BIFUbC-petroleum-diesel'!H2,'BIFUbC-heavy-or-residual-oil'!H2,'BIFUbC-LPG-propane-or-butane'!H2,'BIFUbC-hydrogen'!H2)</f>
        <v>232899801957672.94</v>
      </c>
      <c r="I3" s="16">
        <f>SUM('BIFUbC-electricity'!I2,'BIFUbC-coal'!I2,'BIFUbC-natural-gas'!I2,'BIFUbC-biomass'!I2,'BIFUbC-heat'!I2,'BIFUbC-crude-oil'!I2,'BIFUbC-petroleum-diesel'!I2,'BIFUbC-heavy-or-residual-oil'!I2,'BIFUbC-LPG-propane-or-butane'!I2,'BIFUbC-hydrogen'!I2)</f>
        <v>235458959264401.5</v>
      </c>
      <c r="J3" s="16">
        <f>SUM('BIFUbC-electricity'!J2,'BIFUbC-coal'!J2,'BIFUbC-natural-gas'!J2,'BIFUbC-biomass'!J2,'BIFUbC-heat'!J2,'BIFUbC-crude-oil'!J2,'BIFUbC-petroleum-diesel'!J2,'BIFUbC-heavy-or-residual-oil'!J2,'BIFUbC-LPG-propane-or-butane'!J2,'BIFUbC-hydrogen'!J2)</f>
        <v>238018116571129.78</v>
      </c>
      <c r="K3" s="16">
        <f>SUM('BIFUbC-electricity'!K2,'BIFUbC-coal'!K2,'BIFUbC-natural-gas'!K2,'BIFUbC-biomass'!K2,'BIFUbC-heat'!K2,'BIFUbC-crude-oil'!K2,'BIFUbC-petroleum-diesel'!K2,'BIFUbC-heavy-or-residual-oil'!K2,'BIFUbC-LPG-propane-or-butane'!K2,'BIFUbC-hydrogen'!K2)</f>
        <v>240577273877858.31</v>
      </c>
      <c r="L3" s="16">
        <f>SUM('BIFUbC-electricity'!L2,'BIFUbC-coal'!L2,'BIFUbC-natural-gas'!L2,'BIFUbC-biomass'!L2,'BIFUbC-heat'!L2,'BIFUbC-crude-oil'!L2,'BIFUbC-petroleum-diesel'!L2,'BIFUbC-heavy-or-residual-oil'!L2,'BIFUbC-LPG-propane-or-butane'!L2,'BIFUbC-hydrogen'!L2)</f>
        <v>243136431184586.69</v>
      </c>
      <c r="M3" s="16">
        <f>SUM('BIFUbC-electricity'!M2,'BIFUbC-coal'!M2,'BIFUbC-natural-gas'!M2,'BIFUbC-biomass'!M2,'BIFUbC-heat'!M2,'BIFUbC-crude-oil'!M2,'BIFUbC-petroleum-diesel'!M2,'BIFUbC-heavy-or-residual-oil'!M2,'BIFUbC-LPG-propane-or-butane'!M2,'BIFUbC-hydrogen'!M2)</f>
        <v>244939570103947.88</v>
      </c>
      <c r="N3" s="16">
        <f>SUM('BIFUbC-electricity'!N2,'BIFUbC-coal'!N2,'BIFUbC-natural-gas'!N2,'BIFUbC-biomass'!N2,'BIFUbC-heat'!N2,'BIFUbC-crude-oil'!N2,'BIFUbC-petroleum-diesel'!N2,'BIFUbC-heavy-or-residual-oil'!N2,'BIFUbC-LPG-propane-or-butane'!N2,'BIFUbC-hydrogen'!N2)</f>
        <v>246742709023308.91</v>
      </c>
      <c r="O3" s="16">
        <f>SUM('BIFUbC-electricity'!O2,'BIFUbC-coal'!O2,'BIFUbC-natural-gas'!O2,'BIFUbC-biomass'!O2,'BIFUbC-heat'!O2,'BIFUbC-crude-oil'!O2,'BIFUbC-petroleum-diesel'!O2,'BIFUbC-heavy-or-residual-oil'!O2,'BIFUbC-LPG-propane-or-butane'!O2,'BIFUbC-hydrogen'!O2)</f>
        <v>248545847942670.16</v>
      </c>
      <c r="P3" s="16">
        <f>SUM('BIFUbC-electricity'!P2,'BIFUbC-coal'!P2,'BIFUbC-natural-gas'!P2,'BIFUbC-biomass'!P2,'BIFUbC-heat'!P2,'BIFUbC-crude-oil'!P2,'BIFUbC-petroleum-diesel'!P2,'BIFUbC-heavy-or-residual-oil'!P2,'BIFUbC-LPG-propane-or-butane'!P2,'BIFUbC-hydrogen'!P2)</f>
        <v>250348986862031.19</v>
      </c>
      <c r="Q3" s="16">
        <f>SUM('BIFUbC-electricity'!Q2,'BIFUbC-coal'!Q2,'BIFUbC-natural-gas'!Q2,'BIFUbC-biomass'!Q2,'BIFUbC-heat'!Q2,'BIFUbC-crude-oil'!Q2,'BIFUbC-petroleum-diesel'!Q2,'BIFUbC-heavy-or-residual-oil'!Q2,'BIFUbC-LPG-propane-or-butane'!Q2,'BIFUbC-hydrogen'!Q2)</f>
        <v>252152125781392.16</v>
      </c>
      <c r="R3" s="16">
        <f>SUM('BIFUbC-electricity'!R2,'BIFUbC-coal'!R2,'BIFUbC-natural-gas'!R2,'BIFUbC-biomass'!R2,'BIFUbC-heat'!R2,'BIFUbC-crude-oil'!R2,'BIFUbC-petroleum-diesel'!R2,'BIFUbC-heavy-or-residual-oil'!R2,'BIFUbC-LPG-propane-or-butane'!R2,'BIFUbC-hydrogen'!R2)</f>
        <v>253698556659984.03</v>
      </c>
      <c r="S3" s="16">
        <f>SUM('BIFUbC-electricity'!S2,'BIFUbC-coal'!S2,'BIFUbC-natural-gas'!S2,'BIFUbC-biomass'!S2,'BIFUbC-heat'!S2,'BIFUbC-crude-oil'!S2,'BIFUbC-petroleum-diesel'!S2,'BIFUbC-heavy-or-residual-oil'!S2,'BIFUbC-LPG-propane-or-butane'!S2,'BIFUbC-hydrogen'!S2)</f>
        <v>255244987538575.44</v>
      </c>
      <c r="T3" s="16">
        <f>SUM('BIFUbC-electricity'!T2,'BIFUbC-coal'!T2,'BIFUbC-natural-gas'!T2,'BIFUbC-biomass'!T2,'BIFUbC-heat'!T2,'BIFUbC-crude-oil'!T2,'BIFUbC-petroleum-diesel'!T2,'BIFUbC-heavy-or-residual-oil'!T2,'BIFUbC-LPG-propane-or-butane'!T2,'BIFUbC-hydrogen'!T2)</f>
        <v>256791418417166.78</v>
      </c>
      <c r="U3" s="16">
        <f>SUM('BIFUbC-electricity'!U2,'BIFUbC-coal'!U2,'BIFUbC-natural-gas'!U2,'BIFUbC-biomass'!U2,'BIFUbC-heat'!U2,'BIFUbC-crude-oil'!U2,'BIFUbC-petroleum-diesel'!U2,'BIFUbC-heavy-or-residual-oil'!U2,'BIFUbC-LPG-propane-or-butane'!U2,'BIFUbC-hydrogen'!U2)</f>
        <v>258337849295758.47</v>
      </c>
      <c r="V3" s="16">
        <f>SUM('BIFUbC-electricity'!V2,'BIFUbC-coal'!V2,'BIFUbC-natural-gas'!V2,'BIFUbC-biomass'!V2,'BIFUbC-heat'!V2,'BIFUbC-crude-oil'!V2,'BIFUbC-petroleum-diesel'!V2,'BIFUbC-heavy-or-residual-oil'!V2,'BIFUbC-LPG-propane-or-butane'!V2,'BIFUbC-hydrogen'!V2)</f>
        <v>259884280174349.5</v>
      </c>
      <c r="W3" s="16">
        <f>SUM('BIFUbC-electricity'!W2,'BIFUbC-coal'!W2,'BIFUbC-natural-gas'!W2,'BIFUbC-biomass'!W2,'BIFUbC-heat'!W2,'BIFUbC-crude-oil'!W2,'BIFUbC-petroleum-diesel'!W2,'BIFUbC-heavy-or-residual-oil'!W2,'BIFUbC-LPG-propane-or-butane'!W2,'BIFUbC-hydrogen'!W2)</f>
        <v>261772988440633.97</v>
      </c>
      <c r="X3" s="16">
        <f>SUM('BIFUbC-electricity'!X2,'BIFUbC-coal'!X2,'BIFUbC-natural-gas'!X2,'BIFUbC-biomass'!X2,'BIFUbC-heat'!X2,'BIFUbC-crude-oil'!X2,'BIFUbC-petroleum-diesel'!X2,'BIFUbC-heavy-or-residual-oil'!X2,'BIFUbC-LPG-propane-or-butane'!X2,'BIFUbC-hydrogen'!X2)</f>
        <v>263428325760764.06</v>
      </c>
      <c r="Y3" s="16">
        <f>SUM('BIFUbC-electricity'!Y2,'BIFUbC-coal'!Y2,'BIFUbC-natural-gas'!Y2,'BIFUbC-biomass'!Y2,'BIFUbC-heat'!Y2,'BIFUbC-crude-oil'!Y2,'BIFUbC-petroleum-diesel'!Y2,'BIFUbC-heavy-or-residual-oil'!Y2,'BIFUbC-LPG-propane-or-butane'!Y2,'BIFUbC-hydrogen'!Y2)</f>
        <v>265083663080894.44</v>
      </c>
      <c r="Z3" s="16">
        <f>SUM('BIFUbC-electricity'!Z2,'BIFUbC-coal'!Z2,'BIFUbC-natural-gas'!Z2,'BIFUbC-biomass'!Z2,'BIFUbC-heat'!Z2,'BIFUbC-crude-oil'!Z2,'BIFUbC-petroleum-diesel'!Z2,'BIFUbC-heavy-or-residual-oil'!Z2,'BIFUbC-LPG-propane-or-butane'!Z2,'BIFUbC-hydrogen'!Z2)</f>
        <v>266739000401024.34</v>
      </c>
      <c r="AA3" s="16">
        <f>SUM('BIFUbC-electricity'!AA2,'BIFUbC-coal'!AA2,'BIFUbC-natural-gas'!AA2,'BIFUbC-biomass'!AA2,'BIFUbC-heat'!AA2,'BIFUbC-crude-oil'!AA2,'BIFUbC-petroleum-diesel'!AA2,'BIFUbC-heavy-or-residual-oil'!AA2,'BIFUbC-LPG-propane-or-butane'!AA2,'BIFUbC-hydrogen'!AA2)</f>
        <v>268394337721154.56</v>
      </c>
      <c r="AB3" s="16">
        <f>SUM('BIFUbC-electricity'!AB2,'BIFUbC-coal'!AB2,'BIFUbC-natural-gas'!AB2,'BIFUbC-biomass'!AB2,'BIFUbC-heat'!AB2,'BIFUbC-crude-oil'!AB2,'BIFUbC-petroleum-diesel'!AB2,'BIFUbC-heavy-or-residual-oil'!AB2,'BIFUbC-LPG-propane-or-butane'!AB2,'BIFUbC-hydrogen'!AB2)</f>
        <v>270049675041284.56</v>
      </c>
      <c r="AC3" s="16">
        <f>SUM('BIFUbC-electricity'!AC2,'BIFUbC-coal'!AC2,'BIFUbC-natural-gas'!AC2,'BIFUbC-biomass'!AC2,'BIFUbC-heat'!AC2,'BIFUbC-crude-oil'!AC2,'BIFUbC-petroleum-diesel'!AC2,'BIFUbC-heavy-or-residual-oil'!AC2,'BIFUbC-LPG-propane-or-butane'!AC2,'BIFUbC-hydrogen'!AC2)</f>
        <v>271705012361414.72</v>
      </c>
      <c r="AD3" s="16">
        <f>SUM('BIFUbC-electricity'!AD2,'BIFUbC-coal'!AD2,'BIFUbC-natural-gas'!AD2,'BIFUbC-biomass'!AD2,'BIFUbC-heat'!AD2,'BIFUbC-crude-oil'!AD2,'BIFUbC-petroleum-diesel'!AD2,'BIFUbC-heavy-or-residual-oil'!AD2,'BIFUbC-LPG-propane-or-butane'!AD2,'BIFUbC-hydrogen'!AD2)</f>
        <v>273360349681544.91</v>
      </c>
      <c r="AE3" s="16">
        <f>SUM('BIFUbC-electricity'!AE2,'BIFUbC-coal'!AE2,'BIFUbC-natural-gas'!AE2,'BIFUbC-biomass'!AE2,'BIFUbC-heat'!AE2,'BIFUbC-crude-oil'!AE2,'BIFUbC-petroleum-diesel'!AE2,'BIFUbC-heavy-or-residual-oil'!AE2,'BIFUbC-LPG-propane-or-butane'!AE2,'BIFUbC-hydrogen'!AE2)</f>
        <v>275015687001675.06</v>
      </c>
      <c r="AF3" s="16">
        <f>SUM('BIFUbC-electricity'!AF2,'BIFUbC-coal'!AF2,'BIFUbC-natural-gas'!AF2,'BIFUbC-biomass'!AF2,'BIFUbC-heat'!AF2,'BIFUbC-crude-oil'!AF2,'BIFUbC-petroleum-diesel'!AF2,'BIFUbC-heavy-or-residual-oil'!AF2,'BIFUbC-LPG-propane-or-butane'!AF2,'BIFUbC-hydrogen'!AF2)</f>
        <v>276671024321805.16</v>
      </c>
    </row>
    <row r="4" spans="1:32">
      <c r="A4" t="s">
        <v>3</v>
      </c>
      <c r="B4" s="16">
        <f>SUM('BIFUbC-electricity'!B3,'BIFUbC-coal'!B3,'BIFUbC-natural-gas'!B3,'BIFUbC-biomass'!B3,'BIFUbC-heat'!B3,'BIFUbC-crude-oil'!B3,'BIFUbC-petroleum-diesel'!B3,'BIFUbC-heavy-or-residual-oil'!B3,'BIFUbC-LPG-propane-or-butane'!B3,'BIFUbC-hydrogen'!B3)</f>
        <v>13379231513653.908</v>
      </c>
      <c r="C4" s="16">
        <f>SUM('BIFUbC-electricity'!C3,'BIFUbC-coal'!C3,'BIFUbC-natural-gas'!C3,'BIFUbC-biomass'!C3,'BIFUbC-heat'!C3,'BIFUbC-crude-oil'!C3,'BIFUbC-petroleum-diesel'!C3,'BIFUbC-heavy-or-residual-oil'!C3,'BIFUbC-LPG-propane-or-butane'!C3,'BIFUbC-hydrogen'!C3)</f>
        <v>350591686147.85327</v>
      </c>
      <c r="D4" s="16">
        <f>SUM('BIFUbC-electricity'!D3,'BIFUbC-coal'!D3,'BIFUbC-natural-gas'!D3,'BIFUbC-biomass'!D3,'BIFUbC-heat'!D3,'BIFUbC-crude-oil'!D3,'BIFUbC-petroleum-diesel'!D3,'BIFUbC-heavy-or-residual-oil'!D3,'BIFUbC-LPG-propane-or-butane'!D3,'BIFUbC-hydrogen'!D3)</f>
        <v>312827888385.97589</v>
      </c>
      <c r="E4" s="16">
        <f>SUM('BIFUbC-electricity'!E3,'BIFUbC-coal'!E3,'BIFUbC-natural-gas'!E3,'BIFUbC-biomass'!E3,'BIFUbC-heat'!E3,'BIFUbC-crude-oil'!E3,'BIFUbC-petroleum-diesel'!E3,'BIFUbC-heavy-or-residual-oil'!E3,'BIFUbC-LPG-propane-or-butane'!E3,'BIFUbC-hydrogen'!E3)</f>
        <v>306847887950.28278</v>
      </c>
      <c r="F4" s="16">
        <f>SUM('BIFUbC-electricity'!F3,'BIFUbC-coal'!F3,'BIFUbC-natural-gas'!F3,'BIFUbC-biomass'!F3,'BIFUbC-heat'!F3,'BIFUbC-crude-oil'!F3,'BIFUbC-petroleum-diesel'!F3,'BIFUbC-heavy-or-residual-oil'!F3,'BIFUbC-LPG-propane-or-butane'!F3,'BIFUbC-hydrogen'!F3)</f>
        <v>300867887514.59308</v>
      </c>
      <c r="G4" s="16">
        <f>SUM('BIFUbC-electricity'!G3,'BIFUbC-coal'!G3,'BIFUbC-natural-gas'!G3,'BIFUbC-biomass'!G3,'BIFUbC-heat'!G3,'BIFUbC-crude-oil'!G3,'BIFUbC-petroleum-diesel'!G3,'BIFUbC-heavy-or-residual-oil'!G3,'BIFUbC-LPG-propane-or-butane'!G3,'BIFUbC-hydrogen'!G3)</f>
        <v>294887887078.90155</v>
      </c>
      <c r="H4" s="16">
        <f>SUM('BIFUbC-electricity'!H3,'BIFUbC-coal'!H3,'BIFUbC-natural-gas'!H3,'BIFUbC-biomass'!H3,'BIFUbC-heat'!H3,'BIFUbC-crude-oil'!H3,'BIFUbC-petroleum-diesel'!H3,'BIFUbC-heavy-or-residual-oil'!H3,'BIFUbC-LPG-propane-or-butane'!H3,'BIFUbC-hydrogen'!H3)</f>
        <v>288907886643.21008</v>
      </c>
      <c r="I4" s="16">
        <f>SUM('BIFUbC-electricity'!I3,'BIFUbC-coal'!I3,'BIFUbC-natural-gas'!I3,'BIFUbC-biomass'!I3,'BIFUbC-heat'!I3,'BIFUbC-crude-oil'!I3,'BIFUbC-petroleum-diesel'!I3,'BIFUbC-heavy-or-residual-oil'!I3,'BIFUbC-LPG-propane-or-butane'!I3,'BIFUbC-hydrogen'!I3)</f>
        <v>282927886207.51855</v>
      </c>
      <c r="J4" s="16">
        <f>SUM('BIFUbC-electricity'!J3,'BIFUbC-coal'!J3,'BIFUbC-natural-gas'!J3,'BIFUbC-biomass'!J3,'BIFUbC-heat'!J3,'BIFUbC-crude-oil'!J3,'BIFUbC-petroleum-diesel'!J3,'BIFUbC-heavy-or-residual-oil'!J3,'BIFUbC-LPG-propane-or-butane'!J3,'BIFUbC-hydrogen'!J3)</f>
        <v>276947885771.82709</v>
      </c>
      <c r="K4" s="16">
        <f>SUM('BIFUbC-electricity'!K3,'BIFUbC-coal'!K3,'BIFUbC-natural-gas'!K3,'BIFUbC-biomass'!K3,'BIFUbC-heat'!K3,'BIFUbC-crude-oil'!K3,'BIFUbC-petroleum-diesel'!K3,'BIFUbC-heavy-or-residual-oil'!K3,'BIFUbC-LPG-propane-or-butane'!K3,'BIFUbC-hydrogen'!K3)</f>
        <v>270967885336.13556</v>
      </c>
      <c r="L4" s="16">
        <f>SUM('BIFUbC-electricity'!L3,'BIFUbC-coal'!L3,'BIFUbC-natural-gas'!L3,'BIFUbC-biomass'!L3,'BIFUbC-heat'!L3,'BIFUbC-crude-oil'!L3,'BIFUbC-petroleum-diesel'!L3,'BIFUbC-heavy-or-residual-oil'!L3,'BIFUbC-LPG-propane-or-butane'!L3,'BIFUbC-hydrogen'!L3)</f>
        <v>264987884900.44586</v>
      </c>
      <c r="M4" s="16">
        <f>SUM('BIFUbC-electricity'!M3,'BIFUbC-coal'!M3,'BIFUbC-natural-gas'!M3,'BIFUbC-biomass'!M3,'BIFUbC-heat'!M3,'BIFUbC-crude-oil'!M3,'BIFUbC-petroleum-diesel'!M3,'BIFUbC-heavy-or-residual-oil'!M3,'BIFUbC-LPG-propane-or-butane'!M3,'BIFUbC-hydrogen'!M3)</f>
        <v>259029732833.59796</v>
      </c>
      <c r="N4" s="16">
        <f>SUM('BIFUbC-electricity'!N3,'BIFUbC-coal'!N3,'BIFUbC-natural-gas'!N3,'BIFUbC-biomass'!N3,'BIFUbC-heat'!N3,'BIFUbC-crude-oil'!N3,'BIFUbC-petroleum-diesel'!N3,'BIFUbC-heavy-or-residual-oil'!N3,'BIFUbC-LPG-propane-or-butane'!N3,'BIFUbC-hydrogen'!N3)</f>
        <v>253071580766.7482</v>
      </c>
      <c r="O4" s="16">
        <f>SUM('BIFUbC-electricity'!O3,'BIFUbC-coal'!O3,'BIFUbC-natural-gas'!O3,'BIFUbC-biomass'!O3,'BIFUbC-heat'!O3,'BIFUbC-crude-oil'!O3,'BIFUbC-petroleum-diesel'!O3,'BIFUbC-heavy-or-residual-oil'!O3,'BIFUbC-LPG-propane-or-butane'!O3,'BIFUbC-hydrogen'!O3)</f>
        <v>247113428699.89847</v>
      </c>
      <c r="P4" s="16">
        <f>SUM('BIFUbC-electricity'!P3,'BIFUbC-coal'!P3,'BIFUbC-natural-gas'!P3,'BIFUbC-biomass'!P3,'BIFUbC-heat'!P3,'BIFUbC-crude-oil'!P3,'BIFUbC-petroleum-diesel'!P3,'BIFUbC-heavy-or-residual-oil'!P3,'BIFUbC-LPG-propane-or-butane'!P3,'BIFUbC-hydrogen'!P3)</f>
        <v>241155276633.05054</v>
      </c>
      <c r="Q4" s="16">
        <f>SUM('BIFUbC-electricity'!Q3,'BIFUbC-coal'!Q3,'BIFUbC-natural-gas'!Q3,'BIFUbC-biomass'!Q3,'BIFUbC-heat'!Q3,'BIFUbC-crude-oil'!Q3,'BIFUbC-petroleum-diesel'!Q3,'BIFUbC-heavy-or-residual-oil'!Q3,'BIFUbC-LPG-propane-or-butane'!Q3,'BIFUbC-hydrogen'!Q3)</f>
        <v>235197124566.20081</v>
      </c>
      <c r="R4" s="16">
        <f>SUM('BIFUbC-electricity'!R3,'BIFUbC-coal'!R3,'BIFUbC-natural-gas'!R3,'BIFUbC-biomass'!R3,'BIFUbC-heat'!R3,'BIFUbC-crude-oil'!R3,'BIFUbC-petroleum-diesel'!R3,'BIFUbC-heavy-or-residual-oil'!R3,'BIFUbC-LPG-propane-or-butane'!R3,'BIFUbC-hydrogen'!R3)</f>
        <v>229238972499.35107</v>
      </c>
      <c r="S4" s="16">
        <f>SUM('BIFUbC-electricity'!S3,'BIFUbC-coal'!S3,'BIFUbC-natural-gas'!S3,'BIFUbC-biomass'!S3,'BIFUbC-heat'!S3,'BIFUbC-crude-oil'!S3,'BIFUbC-petroleum-diesel'!S3,'BIFUbC-heavy-or-residual-oil'!S3,'BIFUbC-LPG-propane-or-butane'!S3,'BIFUbC-hydrogen'!S3)</f>
        <v>223280820432.50317</v>
      </c>
      <c r="T4" s="16">
        <f>SUM('BIFUbC-electricity'!T3,'BIFUbC-coal'!T3,'BIFUbC-natural-gas'!T3,'BIFUbC-biomass'!T3,'BIFUbC-heat'!T3,'BIFUbC-crude-oil'!T3,'BIFUbC-petroleum-diesel'!T3,'BIFUbC-heavy-or-residual-oil'!T3,'BIFUbC-LPG-propane-or-butane'!T3,'BIFUbC-hydrogen'!T3)</f>
        <v>217322668365.65344</v>
      </c>
      <c r="U4" s="16">
        <f>SUM('BIFUbC-electricity'!U3,'BIFUbC-coal'!U3,'BIFUbC-natural-gas'!U3,'BIFUbC-biomass'!U3,'BIFUbC-heat'!U3,'BIFUbC-crude-oil'!U3,'BIFUbC-petroleum-diesel'!U3,'BIFUbC-heavy-or-residual-oil'!U3,'BIFUbC-LPG-propane-or-butane'!U3,'BIFUbC-hydrogen'!U3)</f>
        <v>211364516298.80554</v>
      </c>
      <c r="V4" s="16">
        <f>SUM('BIFUbC-electricity'!V3,'BIFUbC-coal'!V3,'BIFUbC-natural-gas'!V3,'BIFUbC-biomass'!V3,'BIFUbC-heat'!V3,'BIFUbC-crude-oil'!V3,'BIFUbC-petroleum-diesel'!V3,'BIFUbC-heavy-or-residual-oil'!V3,'BIFUbC-LPG-propane-or-butane'!V3,'BIFUbC-hydrogen'!V3)</f>
        <v>205406364231.95532</v>
      </c>
      <c r="W4" s="16">
        <f>SUM('BIFUbC-electricity'!W3,'BIFUbC-coal'!W3,'BIFUbC-natural-gas'!W3,'BIFUbC-biomass'!W3,'BIFUbC-heat'!W3,'BIFUbC-crude-oil'!W3,'BIFUbC-petroleum-diesel'!W3,'BIFUbC-heavy-or-residual-oil'!W3,'BIFUbC-LPG-propane-or-butane'!W3,'BIFUbC-hydrogen'!W3)</f>
        <v>199693185585.70071</v>
      </c>
      <c r="X4" s="16">
        <f>SUM('BIFUbC-electricity'!X3,'BIFUbC-coal'!X3,'BIFUbC-natural-gas'!X3,'BIFUbC-biomass'!X3,'BIFUbC-heat'!X3,'BIFUbC-crude-oil'!X3,'BIFUbC-petroleum-diesel'!X3,'BIFUbC-heavy-or-residual-oil'!X3,'BIFUbC-LPG-propane-or-butane'!X3,'BIFUbC-hydrogen'!X3)</f>
        <v>193980006939.44568</v>
      </c>
      <c r="Y4" s="16">
        <f>SUM('BIFUbC-electricity'!Y3,'BIFUbC-coal'!Y3,'BIFUbC-natural-gas'!Y3,'BIFUbC-biomass'!Y3,'BIFUbC-heat'!Y3,'BIFUbC-crude-oil'!Y3,'BIFUbC-petroleum-diesel'!Y3,'BIFUbC-heavy-or-residual-oil'!Y3,'BIFUbC-LPG-propane-or-butane'!Y3,'BIFUbC-hydrogen'!Y3)</f>
        <v>188266828293.18878</v>
      </c>
      <c r="Z4" s="16">
        <f>SUM('BIFUbC-electricity'!Z3,'BIFUbC-coal'!Z3,'BIFUbC-natural-gas'!Z3,'BIFUbC-biomass'!Z3,'BIFUbC-heat'!Z3,'BIFUbC-crude-oil'!Z3,'BIFUbC-petroleum-diesel'!Z3,'BIFUbC-heavy-or-residual-oil'!Z3,'BIFUbC-LPG-propane-or-butane'!Z3,'BIFUbC-hydrogen'!Z3)</f>
        <v>182553649646.93375</v>
      </c>
      <c r="AA4" s="16">
        <f>SUM('BIFUbC-electricity'!AA3,'BIFUbC-coal'!AA3,'BIFUbC-natural-gas'!AA3,'BIFUbC-biomass'!AA3,'BIFUbC-heat'!AA3,'BIFUbC-crude-oil'!AA3,'BIFUbC-petroleum-diesel'!AA3,'BIFUbC-heavy-or-residual-oil'!AA3,'BIFUbC-LPG-propane-or-butane'!AA3,'BIFUbC-hydrogen'!AA3)</f>
        <v>176840471000.67685</v>
      </c>
      <c r="AB4" s="16">
        <f>SUM('BIFUbC-electricity'!AB3,'BIFUbC-coal'!AB3,'BIFUbC-natural-gas'!AB3,'BIFUbC-biomass'!AB3,'BIFUbC-heat'!AB3,'BIFUbC-crude-oil'!AB3,'BIFUbC-petroleum-diesel'!AB3,'BIFUbC-heavy-or-residual-oil'!AB3,'BIFUbC-LPG-propane-or-butane'!AB3,'BIFUbC-hydrogen'!AB3)</f>
        <v>171127292354.42181</v>
      </c>
      <c r="AC4" s="16">
        <f>SUM('BIFUbC-electricity'!AC3,'BIFUbC-coal'!AC3,'BIFUbC-natural-gas'!AC3,'BIFUbC-biomass'!AC3,'BIFUbC-heat'!AC3,'BIFUbC-crude-oil'!AC3,'BIFUbC-petroleum-diesel'!AC3,'BIFUbC-heavy-or-residual-oil'!AC3,'BIFUbC-LPG-propane-or-butane'!AC3,'BIFUbC-hydrogen'!AC3)</f>
        <v>165414113708.16492</v>
      </c>
      <c r="AD4" s="16">
        <f>SUM('BIFUbC-electricity'!AD3,'BIFUbC-coal'!AD3,'BIFUbC-natural-gas'!AD3,'BIFUbC-biomass'!AD3,'BIFUbC-heat'!AD3,'BIFUbC-crude-oil'!AD3,'BIFUbC-petroleum-diesel'!AD3,'BIFUbC-heavy-or-residual-oil'!AD3,'BIFUbC-LPG-propane-or-butane'!AD3,'BIFUbC-hydrogen'!AD3)</f>
        <v>159700935061.90985</v>
      </c>
      <c r="AE4" s="16">
        <f>SUM('BIFUbC-electricity'!AE3,'BIFUbC-coal'!AE3,'BIFUbC-natural-gas'!AE3,'BIFUbC-biomass'!AE3,'BIFUbC-heat'!AE3,'BIFUbC-crude-oil'!AE3,'BIFUbC-petroleum-diesel'!AE3,'BIFUbC-heavy-or-residual-oil'!AE3,'BIFUbC-LPG-propane-or-butane'!AE3,'BIFUbC-hydrogen'!AE3)</f>
        <v>153987756415.65482</v>
      </c>
      <c r="AF4" s="16">
        <f>SUM('BIFUbC-electricity'!AF3,'BIFUbC-coal'!AF3,'BIFUbC-natural-gas'!AF3,'BIFUbC-biomass'!AF3,'BIFUbC-heat'!AF3,'BIFUbC-crude-oil'!AF3,'BIFUbC-petroleum-diesel'!AF3,'BIFUbC-heavy-or-residual-oil'!AF3,'BIFUbC-LPG-propane-or-butane'!AF3,'BIFUbC-hydrogen'!AF3)</f>
        <v>148274577769.39679</v>
      </c>
    </row>
    <row r="5" spans="1:32">
      <c r="A5" t="s">
        <v>4</v>
      </c>
      <c r="B5" s="16">
        <f>SUM('BIFUbC-electricity'!B4,'BIFUbC-coal'!B4,'BIFUbC-natural-gas'!B4,'BIFUbC-biomass'!B4,'BIFUbC-heat'!B4,'BIFUbC-crude-oil'!B4,'BIFUbC-petroleum-diesel'!B4,'BIFUbC-heavy-or-residual-oil'!B4,'BIFUbC-LPG-propane-or-butane'!B4,'BIFUbC-hydrogen'!B4)</f>
        <v>144874496948.97116</v>
      </c>
      <c r="C5" s="16">
        <f>SUM('BIFUbC-electricity'!C4,'BIFUbC-coal'!C4,'BIFUbC-natural-gas'!C4,'BIFUbC-biomass'!C4,'BIFUbC-heat'!C4,'BIFUbC-crude-oil'!C4,'BIFUbC-petroleum-diesel'!C4,'BIFUbC-heavy-or-residual-oil'!C4,'BIFUbC-LPG-propane-or-butane'!C4,'BIFUbC-hydrogen'!C4)</f>
        <v>145676317927.71207</v>
      </c>
      <c r="D5" s="16">
        <f>SUM('BIFUbC-electricity'!D4,'BIFUbC-coal'!D4,'BIFUbC-natural-gas'!D4,'BIFUbC-biomass'!D4,'BIFUbC-heat'!D4,'BIFUbC-crude-oil'!D4,'BIFUbC-petroleum-diesel'!D4,'BIFUbC-heavy-or-residual-oil'!D4,'BIFUbC-LPG-propane-or-butane'!D4,'BIFUbC-hydrogen'!D4)</f>
        <v>146478138906.45343</v>
      </c>
      <c r="E5" s="16">
        <f>SUM('BIFUbC-electricity'!E4,'BIFUbC-coal'!E4,'BIFUbC-natural-gas'!E4,'BIFUbC-biomass'!E4,'BIFUbC-heat'!E4,'BIFUbC-crude-oil'!E4,'BIFUbC-petroleum-diesel'!E4,'BIFUbC-heavy-or-residual-oil'!E4,'BIFUbC-LPG-propane-or-butane'!E4,'BIFUbC-hydrogen'!E4)</f>
        <v>146289209273.35657</v>
      </c>
      <c r="F5" s="16">
        <f>SUM('BIFUbC-electricity'!F4,'BIFUbC-coal'!F4,'BIFUbC-natural-gas'!F4,'BIFUbC-biomass'!F4,'BIFUbC-heat'!F4,'BIFUbC-crude-oil'!F4,'BIFUbC-petroleum-diesel'!F4,'BIFUbC-heavy-or-residual-oil'!F4,'BIFUbC-LPG-propane-or-butane'!F4,'BIFUbC-hydrogen'!F4)</f>
        <v>146100279640.2598</v>
      </c>
      <c r="G5" s="16">
        <f>SUM('BIFUbC-electricity'!G4,'BIFUbC-coal'!G4,'BIFUbC-natural-gas'!G4,'BIFUbC-biomass'!G4,'BIFUbC-heat'!G4,'BIFUbC-crude-oil'!G4,'BIFUbC-petroleum-diesel'!G4,'BIFUbC-heavy-or-residual-oil'!G4,'BIFUbC-LPG-propane-or-butane'!G4,'BIFUbC-hydrogen'!G4)</f>
        <v>145911350007.16293</v>
      </c>
      <c r="H5" s="16">
        <f>SUM('BIFUbC-electricity'!H4,'BIFUbC-coal'!H4,'BIFUbC-natural-gas'!H4,'BIFUbC-biomass'!H4,'BIFUbC-heat'!H4,'BIFUbC-crude-oil'!H4,'BIFUbC-petroleum-diesel'!H4,'BIFUbC-heavy-or-residual-oil'!H4,'BIFUbC-LPG-propane-or-butane'!H4,'BIFUbC-hydrogen'!H4)</f>
        <v>145722420374.06616</v>
      </c>
      <c r="I5" s="16">
        <f>SUM('BIFUbC-electricity'!I4,'BIFUbC-coal'!I4,'BIFUbC-natural-gas'!I4,'BIFUbC-biomass'!I4,'BIFUbC-heat'!I4,'BIFUbC-crude-oil'!I4,'BIFUbC-petroleum-diesel'!I4,'BIFUbC-heavy-or-residual-oil'!I4,'BIFUbC-LPG-propane-or-butane'!I4,'BIFUbC-hydrogen'!I4)</f>
        <v>145533490740.96933</v>
      </c>
      <c r="J5" s="16">
        <f>SUM('BIFUbC-electricity'!J4,'BIFUbC-coal'!J4,'BIFUbC-natural-gas'!J4,'BIFUbC-biomass'!J4,'BIFUbC-heat'!J4,'BIFUbC-crude-oil'!J4,'BIFUbC-petroleum-diesel'!J4,'BIFUbC-heavy-or-residual-oil'!J4,'BIFUbC-LPG-propane-or-butane'!J4,'BIFUbC-hydrogen'!J4)</f>
        <v>145344561107.87253</v>
      </c>
      <c r="K5" s="16">
        <f>SUM('BIFUbC-electricity'!K4,'BIFUbC-coal'!K4,'BIFUbC-natural-gas'!K4,'BIFUbC-biomass'!K4,'BIFUbC-heat'!K4,'BIFUbC-crude-oil'!K4,'BIFUbC-petroleum-diesel'!K4,'BIFUbC-heavy-or-residual-oil'!K4,'BIFUbC-LPG-propane-or-butane'!K4,'BIFUbC-hydrogen'!K4)</f>
        <v>145155631474.77567</v>
      </c>
      <c r="L5" s="16">
        <f>SUM('BIFUbC-electricity'!L4,'BIFUbC-coal'!L4,'BIFUbC-natural-gas'!L4,'BIFUbC-biomass'!L4,'BIFUbC-heat'!L4,'BIFUbC-crude-oil'!L4,'BIFUbC-petroleum-diesel'!L4,'BIFUbC-heavy-or-residual-oil'!L4,'BIFUbC-LPG-propane-or-butane'!L4,'BIFUbC-hydrogen'!L4)</f>
        <v>144966701841.67886</v>
      </c>
      <c r="M5" s="16">
        <f>SUM('BIFUbC-electricity'!M4,'BIFUbC-coal'!M4,'BIFUbC-natural-gas'!M4,'BIFUbC-biomass'!M4,'BIFUbC-heat'!M4,'BIFUbC-crude-oil'!M4,'BIFUbC-petroleum-diesel'!M4,'BIFUbC-heavy-or-residual-oil'!M4,'BIFUbC-LPG-propane-or-butane'!M4,'BIFUbC-hydrogen'!M4)</f>
        <v>144217745001.42352</v>
      </c>
      <c r="N5" s="16">
        <f>SUM('BIFUbC-electricity'!N4,'BIFUbC-coal'!N4,'BIFUbC-natural-gas'!N4,'BIFUbC-biomass'!N4,'BIFUbC-heat'!N4,'BIFUbC-crude-oil'!N4,'BIFUbC-petroleum-diesel'!N4,'BIFUbC-heavy-or-residual-oil'!N4,'BIFUbC-LPG-propane-or-butane'!N4,'BIFUbC-hydrogen'!N4)</f>
        <v>143468788161.16809</v>
      </c>
      <c r="O5" s="16">
        <f>SUM('BIFUbC-electricity'!O4,'BIFUbC-coal'!O4,'BIFUbC-natural-gas'!O4,'BIFUbC-biomass'!O4,'BIFUbC-heat'!O4,'BIFUbC-crude-oil'!O4,'BIFUbC-petroleum-diesel'!O4,'BIFUbC-heavy-or-residual-oil'!O4,'BIFUbC-LPG-propane-or-butane'!O4,'BIFUbC-hydrogen'!O4)</f>
        <v>142719831320.91269</v>
      </c>
      <c r="P5" s="16">
        <f>SUM('BIFUbC-electricity'!P4,'BIFUbC-coal'!P4,'BIFUbC-natural-gas'!P4,'BIFUbC-biomass'!P4,'BIFUbC-heat'!P4,'BIFUbC-crude-oil'!P4,'BIFUbC-petroleum-diesel'!P4,'BIFUbC-heavy-or-residual-oil'!P4,'BIFUbC-LPG-propane-or-butane'!P4,'BIFUbC-hydrogen'!P4)</f>
        <v>141970874480.65726</v>
      </c>
      <c r="Q5" s="16">
        <f>SUM('BIFUbC-electricity'!Q4,'BIFUbC-coal'!Q4,'BIFUbC-natural-gas'!Q4,'BIFUbC-biomass'!Q4,'BIFUbC-heat'!Q4,'BIFUbC-crude-oil'!Q4,'BIFUbC-petroleum-diesel'!Q4,'BIFUbC-heavy-or-residual-oil'!Q4,'BIFUbC-LPG-propane-or-butane'!Q4,'BIFUbC-hydrogen'!Q4)</f>
        <v>141221917640.40182</v>
      </c>
      <c r="R5" s="16">
        <f>SUM('BIFUbC-electricity'!R4,'BIFUbC-coal'!R4,'BIFUbC-natural-gas'!R4,'BIFUbC-biomass'!R4,'BIFUbC-heat'!R4,'BIFUbC-crude-oil'!R4,'BIFUbC-petroleum-diesel'!R4,'BIFUbC-heavy-or-residual-oil'!R4,'BIFUbC-LPG-propane-or-butane'!R4,'BIFUbC-hydrogen'!R4)</f>
        <v>140472960800.14667</v>
      </c>
      <c r="S5" s="16">
        <f>SUM('BIFUbC-electricity'!S4,'BIFUbC-coal'!S4,'BIFUbC-natural-gas'!S4,'BIFUbC-biomass'!S4,'BIFUbC-heat'!S4,'BIFUbC-crude-oil'!S4,'BIFUbC-petroleum-diesel'!S4,'BIFUbC-heavy-or-residual-oil'!S4,'BIFUbC-LPG-propane-or-butane'!S4,'BIFUbC-hydrogen'!S4)</f>
        <v>139724003959.89124</v>
      </c>
      <c r="T5" s="16">
        <f>SUM('BIFUbC-electricity'!T4,'BIFUbC-coal'!T4,'BIFUbC-natural-gas'!T4,'BIFUbC-biomass'!T4,'BIFUbC-heat'!T4,'BIFUbC-crude-oil'!T4,'BIFUbC-petroleum-diesel'!T4,'BIFUbC-heavy-or-residual-oil'!T4,'BIFUbC-LPG-propane-or-butane'!T4,'BIFUbC-hydrogen'!T4)</f>
        <v>138975047119.6358</v>
      </c>
      <c r="U5" s="16">
        <f>SUM('BIFUbC-electricity'!U4,'BIFUbC-coal'!U4,'BIFUbC-natural-gas'!U4,'BIFUbC-biomass'!U4,'BIFUbC-heat'!U4,'BIFUbC-crude-oil'!U4,'BIFUbC-petroleum-diesel'!U4,'BIFUbC-heavy-or-residual-oil'!U4,'BIFUbC-LPG-propane-or-butane'!U4,'BIFUbC-hydrogen'!U4)</f>
        <v>138226090279.38037</v>
      </c>
      <c r="V5" s="16">
        <f>SUM('BIFUbC-electricity'!V4,'BIFUbC-coal'!V4,'BIFUbC-natural-gas'!V4,'BIFUbC-biomass'!V4,'BIFUbC-heat'!V4,'BIFUbC-crude-oil'!V4,'BIFUbC-petroleum-diesel'!V4,'BIFUbC-heavy-or-residual-oil'!V4,'BIFUbC-LPG-propane-or-butane'!V4,'BIFUbC-hydrogen'!V4)</f>
        <v>137477133439.12494</v>
      </c>
      <c r="W5" s="16">
        <f>SUM('BIFUbC-electricity'!W4,'BIFUbC-coal'!W4,'BIFUbC-natural-gas'!W4,'BIFUbC-biomass'!W4,'BIFUbC-heat'!W4,'BIFUbC-crude-oil'!W4,'BIFUbC-petroleum-diesel'!W4,'BIFUbC-heavy-or-residual-oil'!W4,'BIFUbC-LPG-propane-or-butane'!W4,'BIFUbC-hydrogen'!W4)</f>
        <v>136274215150.64278</v>
      </c>
      <c r="X5" s="16">
        <f>SUM('BIFUbC-electricity'!X4,'BIFUbC-coal'!X4,'BIFUbC-natural-gas'!X4,'BIFUbC-biomass'!X4,'BIFUbC-heat'!X4,'BIFUbC-crude-oil'!X4,'BIFUbC-petroleum-diesel'!X4,'BIFUbC-heavy-or-residual-oil'!X4,'BIFUbC-LPG-propane-or-butane'!X4,'BIFUbC-hydrogen'!X4)</f>
        <v>135071296862.16032</v>
      </c>
      <c r="Y5" s="16">
        <f>SUM('BIFUbC-electricity'!Y4,'BIFUbC-coal'!Y4,'BIFUbC-natural-gas'!Y4,'BIFUbC-biomass'!Y4,'BIFUbC-heat'!Y4,'BIFUbC-crude-oil'!Y4,'BIFUbC-petroleum-diesel'!Y4,'BIFUbC-heavy-or-residual-oil'!Y4,'BIFUbC-LPG-propane-or-butane'!Y4,'BIFUbC-hydrogen'!Y4)</f>
        <v>133868378573.67789</v>
      </c>
      <c r="Z5" s="16">
        <f>SUM('BIFUbC-electricity'!Z4,'BIFUbC-coal'!Z4,'BIFUbC-natural-gas'!Z4,'BIFUbC-biomass'!Z4,'BIFUbC-heat'!Z4,'BIFUbC-crude-oil'!Z4,'BIFUbC-petroleum-diesel'!Z4,'BIFUbC-heavy-or-residual-oil'!Z4,'BIFUbC-LPG-propane-or-butane'!Z4,'BIFUbC-hydrogen'!Z4)</f>
        <v>132665460285.19543</v>
      </c>
      <c r="AA5" s="16">
        <f>SUM('BIFUbC-electricity'!AA4,'BIFUbC-coal'!AA4,'BIFUbC-natural-gas'!AA4,'BIFUbC-biomass'!AA4,'BIFUbC-heat'!AA4,'BIFUbC-crude-oil'!AA4,'BIFUbC-petroleum-diesel'!AA4,'BIFUbC-heavy-or-residual-oil'!AA4,'BIFUbC-LPG-propane-or-butane'!AA4,'BIFUbC-hydrogen'!AA4)</f>
        <v>131462541996.713</v>
      </c>
      <c r="AB5" s="16">
        <f>SUM('BIFUbC-electricity'!AB4,'BIFUbC-coal'!AB4,'BIFUbC-natural-gas'!AB4,'BIFUbC-biomass'!AB4,'BIFUbC-heat'!AB4,'BIFUbC-crude-oil'!AB4,'BIFUbC-petroleum-diesel'!AB4,'BIFUbC-heavy-or-residual-oil'!AB4,'BIFUbC-LPG-propane-or-butane'!AB4,'BIFUbC-hydrogen'!AB4)</f>
        <v>130259623708.23055</v>
      </c>
      <c r="AC5" s="16">
        <f>SUM('BIFUbC-electricity'!AC4,'BIFUbC-coal'!AC4,'BIFUbC-natural-gas'!AC4,'BIFUbC-biomass'!AC4,'BIFUbC-heat'!AC4,'BIFUbC-crude-oil'!AC4,'BIFUbC-petroleum-diesel'!AC4,'BIFUbC-heavy-or-residual-oil'!AC4,'BIFUbC-LPG-propane-or-butane'!AC4,'BIFUbC-hydrogen'!AC4)</f>
        <v>129056705419.74809</v>
      </c>
      <c r="AD5" s="16">
        <f>SUM('BIFUbC-electricity'!AD4,'BIFUbC-coal'!AD4,'BIFUbC-natural-gas'!AD4,'BIFUbC-biomass'!AD4,'BIFUbC-heat'!AD4,'BIFUbC-crude-oil'!AD4,'BIFUbC-petroleum-diesel'!AD4,'BIFUbC-heavy-or-residual-oil'!AD4,'BIFUbC-LPG-propane-or-butane'!AD4,'BIFUbC-hydrogen'!AD4)</f>
        <v>127853787131.26564</v>
      </c>
      <c r="AE5" s="16">
        <f>SUM('BIFUbC-electricity'!AE4,'BIFUbC-coal'!AE4,'BIFUbC-natural-gas'!AE4,'BIFUbC-biomass'!AE4,'BIFUbC-heat'!AE4,'BIFUbC-crude-oil'!AE4,'BIFUbC-petroleum-diesel'!AE4,'BIFUbC-heavy-or-residual-oil'!AE4,'BIFUbC-LPG-propane-or-butane'!AE4,'BIFUbC-hydrogen'!AE4)</f>
        <v>126650868842.78319</v>
      </c>
      <c r="AF5" s="16">
        <f>SUM('BIFUbC-electricity'!AF4,'BIFUbC-coal'!AF4,'BIFUbC-natural-gas'!AF4,'BIFUbC-biomass'!AF4,'BIFUbC-heat'!AF4,'BIFUbC-crude-oil'!AF4,'BIFUbC-petroleum-diesel'!AF4,'BIFUbC-heavy-or-residual-oil'!AF4,'BIFUbC-LPG-propane-or-butane'!AF4,'BIFUbC-hydrogen'!AF4)</f>
        <v>125447950554.30081</v>
      </c>
    </row>
    <row r="6" spans="1:32">
      <c r="A6" t="s">
        <v>5</v>
      </c>
      <c r="B6" s="16">
        <f>SUM('BIFUbC-electricity'!B5,'BIFUbC-coal'!B5,'BIFUbC-natural-gas'!B5,'BIFUbC-biomass'!B5,'BIFUbC-heat'!B5,'BIFUbC-crude-oil'!B5,'BIFUbC-petroleum-diesel'!B5,'BIFUbC-heavy-or-residual-oil'!B5,'BIFUbC-LPG-propane-or-butane'!B5,'BIFUbC-hydrogen'!B5)</f>
        <v>10458102133106.773</v>
      </c>
      <c r="C6" s="16">
        <f>SUM('BIFUbC-electricity'!C5,'BIFUbC-coal'!C5,'BIFUbC-natural-gas'!C5,'BIFUbC-biomass'!C5,'BIFUbC-heat'!C5,'BIFUbC-crude-oil'!C5,'BIFUbC-petroleum-diesel'!C5,'BIFUbC-heavy-or-residual-oil'!C5,'BIFUbC-LPG-propane-or-butane'!C5,'BIFUbC-hydrogen'!C5)</f>
        <v>10807360074180.625</v>
      </c>
      <c r="D6" s="16">
        <f>SUM('BIFUbC-electricity'!D5,'BIFUbC-coal'!D5,'BIFUbC-natural-gas'!D5,'BIFUbC-biomass'!D5,'BIFUbC-heat'!D5,'BIFUbC-crude-oil'!D5,'BIFUbC-petroleum-diesel'!D5,'BIFUbC-heavy-or-residual-oil'!D5,'BIFUbC-LPG-propane-or-butane'!D5,'BIFUbC-hydrogen'!D5)</f>
        <v>11156618015254.479</v>
      </c>
      <c r="E6" s="16">
        <f>SUM('BIFUbC-electricity'!E5,'BIFUbC-coal'!E5,'BIFUbC-natural-gas'!E5,'BIFUbC-biomass'!E5,'BIFUbC-heat'!E5,'BIFUbC-crude-oil'!E5,'BIFUbC-petroleum-diesel'!E5,'BIFUbC-heavy-or-residual-oil'!E5,'BIFUbC-LPG-propane-or-butane'!E5,'BIFUbC-hydrogen'!E5)</f>
        <v>11505875956328.33</v>
      </c>
      <c r="F6" s="16">
        <f>SUM('BIFUbC-electricity'!F5,'BIFUbC-coal'!F5,'BIFUbC-natural-gas'!F5,'BIFUbC-biomass'!F5,'BIFUbC-heat'!F5,'BIFUbC-crude-oil'!F5,'BIFUbC-petroleum-diesel'!F5,'BIFUbC-heavy-or-residual-oil'!F5,'BIFUbC-LPG-propane-or-butane'!F5,'BIFUbC-hydrogen'!F5)</f>
        <v>11855133897402.184</v>
      </c>
      <c r="G6" s="16">
        <f>SUM('BIFUbC-electricity'!G5,'BIFUbC-coal'!G5,'BIFUbC-natural-gas'!G5,'BIFUbC-biomass'!G5,'BIFUbC-heat'!G5,'BIFUbC-crude-oil'!G5,'BIFUbC-petroleum-diesel'!G5,'BIFUbC-heavy-or-residual-oil'!G5,'BIFUbC-LPG-propane-or-butane'!G5,'BIFUbC-hydrogen'!G5)</f>
        <v>12204391838476.033</v>
      </c>
      <c r="H6" s="16">
        <f>SUM('BIFUbC-electricity'!H5,'BIFUbC-coal'!H5,'BIFUbC-natural-gas'!H5,'BIFUbC-biomass'!H5,'BIFUbC-heat'!H5,'BIFUbC-crude-oil'!H5,'BIFUbC-petroleum-diesel'!H5,'BIFUbC-heavy-or-residual-oil'!H5,'BIFUbC-LPG-propane-or-butane'!H5,'BIFUbC-hydrogen'!H5)</f>
        <v>12306082105716.256</v>
      </c>
      <c r="I6" s="16">
        <f>SUM('BIFUbC-electricity'!I5,'BIFUbC-coal'!I5,'BIFUbC-natural-gas'!I5,'BIFUbC-biomass'!I5,'BIFUbC-heat'!I5,'BIFUbC-crude-oil'!I5,'BIFUbC-petroleum-diesel'!I5,'BIFUbC-heavy-or-residual-oil'!I5,'BIFUbC-LPG-propane-or-butane'!I5,'BIFUbC-hydrogen'!I5)</f>
        <v>12407772372956.469</v>
      </c>
      <c r="J6" s="16">
        <f>SUM('BIFUbC-electricity'!J5,'BIFUbC-coal'!J5,'BIFUbC-natural-gas'!J5,'BIFUbC-biomass'!J5,'BIFUbC-heat'!J5,'BIFUbC-crude-oil'!J5,'BIFUbC-petroleum-diesel'!J5,'BIFUbC-heavy-or-residual-oil'!J5,'BIFUbC-LPG-propane-or-butane'!J5,'BIFUbC-hydrogen'!J5)</f>
        <v>12509462640196.686</v>
      </c>
      <c r="K6" s="16">
        <f>SUM('BIFUbC-electricity'!K5,'BIFUbC-coal'!K5,'BIFUbC-natural-gas'!K5,'BIFUbC-biomass'!K5,'BIFUbC-heat'!K5,'BIFUbC-crude-oil'!K5,'BIFUbC-petroleum-diesel'!K5,'BIFUbC-heavy-or-residual-oil'!K5,'BIFUbC-LPG-propane-or-butane'!K5,'BIFUbC-hydrogen'!K5)</f>
        <v>12611152907436.895</v>
      </c>
      <c r="L6" s="16">
        <f>SUM('BIFUbC-electricity'!L5,'BIFUbC-coal'!L5,'BIFUbC-natural-gas'!L5,'BIFUbC-biomass'!L5,'BIFUbC-heat'!L5,'BIFUbC-crude-oil'!L5,'BIFUbC-petroleum-diesel'!L5,'BIFUbC-heavy-or-residual-oil'!L5,'BIFUbC-LPG-propane-or-butane'!L5,'BIFUbC-hydrogen'!L5)</f>
        <v>12712843174677.113</v>
      </c>
      <c r="M6" s="16">
        <f>SUM('BIFUbC-electricity'!M5,'BIFUbC-coal'!M5,'BIFUbC-natural-gas'!M5,'BIFUbC-biomass'!M5,'BIFUbC-heat'!M5,'BIFUbC-crude-oil'!M5,'BIFUbC-petroleum-diesel'!M5,'BIFUbC-heavy-or-residual-oil'!M5,'BIFUbC-LPG-propane-or-butane'!M5,'BIFUbC-hydrogen'!M5)</f>
        <v>12771216966184.209</v>
      </c>
      <c r="N6" s="16">
        <f>SUM('BIFUbC-electricity'!N5,'BIFUbC-coal'!N5,'BIFUbC-natural-gas'!N5,'BIFUbC-biomass'!N5,'BIFUbC-heat'!N5,'BIFUbC-crude-oil'!N5,'BIFUbC-petroleum-diesel'!N5,'BIFUbC-heavy-or-residual-oil'!N5,'BIFUbC-LPG-propane-or-butane'!N5,'BIFUbC-hydrogen'!N5)</f>
        <v>12829590757691.314</v>
      </c>
      <c r="O6" s="16">
        <f>SUM('BIFUbC-electricity'!O5,'BIFUbC-coal'!O5,'BIFUbC-natural-gas'!O5,'BIFUbC-biomass'!O5,'BIFUbC-heat'!O5,'BIFUbC-crude-oil'!O5,'BIFUbC-petroleum-diesel'!O5,'BIFUbC-heavy-or-residual-oil'!O5,'BIFUbC-LPG-propane-or-butane'!O5,'BIFUbC-hydrogen'!O5)</f>
        <v>12887964549198.416</v>
      </c>
      <c r="P6" s="16">
        <f>SUM('BIFUbC-electricity'!P5,'BIFUbC-coal'!P5,'BIFUbC-natural-gas'!P5,'BIFUbC-biomass'!P5,'BIFUbC-heat'!P5,'BIFUbC-crude-oil'!P5,'BIFUbC-petroleum-diesel'!P5,'BIFUbC-heavy-or-residual-oil'!P5,'BIFUbC-LPG-propane-or-butane'!P5,'BIFUbC-hydrogen'!P5)</f>
        <v>12946338340705.52</v>
      </c>
      <c r="Q6" s="16">
        <f>SUM('BIFUbC-electricity'!Q5,'BIFUbC-coal'!Q5,'BIFUbC-natural-gas'!Q5,'BIFUbC-biomass'!Q5,'BIFUbC-heat'!Q5,'BIFUbC-crude-oil'!Q5,'BIFUbC-petroleum-diesel'!Q5,'BIFUbC-heavy-or-residual-oil'!Q5,'BIFUbC-LPG-propane-or-butane'!Q5,'BIFUbC-hydrogen'!Q5)</f>
        <v>13004712132212.619</v>
      </c>
      <c r="R6" s="16">
        <f>SUM('BIFUbC-electricity'!R5,'BIFUbC-coal'!R5,'BIFUbC-natural-gas'!R5,'BIFUbC-biomass'!R5,'BIFUbC-heat'!R5,'BIFUbC-crude-oil'!R5,'BIFUbC-petroleum-diesel'!R5,'BIFUbC-heavy-or-residual-oil'!R5,'BIFUbC-LPG-propane-or-butane'!R5,'BIFUbC-hydrogen'!R5)</f>
        <v>13047750911809.609</v>
      </c>
      <c r="S6" s="16">
        <f>SUM('BIFUbC-electricity'!S5,'BIFUbC-coal'!S5,'BIFUbC-natural-gas'!S5,'BIFUbC-biomass'!S5,'BIFUbC-heat'!S5,'BIFUbC-crude-oil'!S5,'BIFUbC-petroleum-diesel'!S5,'BIFUbC-heavy-or-residual-oil'!S5,'BIFUbC-LPG-propane-or-butane'!S5,'BIFUbC-hydrogen'!S5)</f>
        <v>13090789691406.594</v>
      </c>
      <c r="T6" s="16">
        <f>SUM('BIFUbC-electricity'!T5,'BIFUbC-coal'!T5,'BIFUbC-natural-gas'!T5,'BIFUbC-biomass'!T5,'BIFUbC-heat'!T5,'BIFUbC-crude-oil'!T5,'BIFUbC-petroleum-diesel'!T5,'BIFUbC-heavy-or-residual-oil'!T5,'BIFUbC-LPG-propane-or-butane'!T5,'BIFUbC-hydrogen'!T5)</f>
        <v>13133828471003.574</v>
      </c>
      <c r="U6" s="16">
        <f>SUM('BIFUbC-electricity'!U5,'BIFUbC-coal'!U5,'BIFUbC-natural-gas'!U5,'BIFUbC-biomass'!U5,'BIFUbC-heat'!U5,'BIFUbC-crude-oil'!U5,'BIFUbC-petroleum-diesel'!U5,'BIFUbC-heavy-or-residual-oil'!U5,'BIFUbC-LPG-propane-or-butane'!U5,'BIFUbC-hydrogen'!U5)</f>
        <v>13176867250600.563</v>
      </c>
      <c r="V6" s="16">
        <f>SUM('BIFUbC-electricity'!V5,'BIFUbC-coal'!V5,'BIFUbC-natural-gas'!V5,'BIFUbC-biomass'!V5,'BIFUbC-heat'!V5,'BIFUbC-crude-oil'!V5,'BIFUbC-petroleum-diesel'!V5,'BIFUbC-heavy-or-residual-oil'!V5,'BIFUbC-LPG-propane-or-butane'!V5,'BIFUbC-hydrogen'!V5)</f>
        <v>13219906030197.543</v>
      </c>
      <c r="W6" s="16">
        <f>SUM('BIFUbC-electricity'!W5,'BIFUbC-coal'!W5,'BIFUbC-natural-gas'!W5,'BIFUbC-biomass'!W5,'BIFUbC-heat'!W5,'BIFUbC-crude-oil'!W5,'BIFUbC-petroleum-diesel'!W5,'BIFUbC-heavy-or-residual-oil'!W5,'BIFUbC-LPG-propane-or-butane'!W5,'BIFUbC-hydrogen'!W5)</f>
        <v>13283391492341.357</v>
      </c>
      <c r="X6" s="16">
        <f>SUM('BIFUbC-electricity'!X5,'BIFUbC-coal'!X5,'BIFUbC-natural-gas'!X5,'BIFUbC-biomass'!X5,'BIFUbC-heat'!X5,'BIFUbC-crude-oil'!X5,'BIFUbC-petroleum-diesel'!X5,'BIFUbC-heavy-or-residual-oil'!X5,'BIFUbC-LPG-propane-or-butane'!X5,'BIFUbC-hydrogen'!X5)</f>
        <v>13332936034566.869</v>
      </c>
      <c r="Y6" s="16">
        <f>SUM('BIFUbC-electricity'!Y5,'BIFUbC-coal'!Y5,'BIFUbC-natural-gas'!Y5,'BIFUbC-biomass'!Y5,'BIFUbC-heat'!Y5,'BIFUbC-crude-oil'!Y5,'BIFUbC-petroleum-diesel'!Y5,'BIFUbC-heavy-or-residual-oil'!Y5,'BIFUbC-LPG-propane-or-butane'!Y5,'BIFUbC-hydrogen'!Y5)</f>
        <v>13382480576792.395</v>
      </c>
      <c r="Z6" s="16">
        <f>SUM('BIFUbC-electricity'!Z5,'BIFUbC-coal'!Z5,'BIFUbC-natural-gas'!Z5,'BIFUbC-biomass'!Z5,'BIFUbC-heat'!Z5,'BIFUbC-crude-oil'!Z5,'BIFUbC-petroleum-diesel'!Z5,'BIFUbC-heavy-or-residual-oil'!Z5,'BIFUbC-LPG-propane-or-butane'!Z5,'BIFUbC-hydrogen'!Z5)</f>
        <v>13432025119017.916</v>
      </c>
      <c r="AA6" s="16">
        <f>SUM('BIFUbC-electricity'!AA5,'BIFUbC-coal'!AA5,'BIFUbC-natural-gas'!AA5,'BIFUbC-biomass'!AA5,'BIFUbC-heat'!AA5,'BIFUbC-crude-oil'!AA5,'BIFUbC-petroleum-diesel'!AA5,'BIFUbC-heavy-or-residual-oil'!AA5,'BIFUbC-LPG-propane-or-butane'!AA5,'BIFUbC-hydrogen'!AA5)</f>
        <v>13481569661243.436</v>
      </c>
      <c r="AB6" s="16">
        <f>SUM('BIFUbC-electricity'!AB5,'BIFUbC-coal'!AB5,'BIFUbC-natural-gas'!AB5,'BIFUbC-biomass'!AB5,'BIFUbC-heat'!AB5,'BIFUbC-crude-oil'!AB5,'BIFUbC-petroleum-diesel'!AB5,'BIFUbC-heavy-or-residual-oil'!AB5,'BIFUbC-LPG-propane-or-butane'!AB5,'BIFUbC-hydrogen'!AB5)</f>
        <v>13531114203468.945</v>
      </c>
      <c r="AC6" s="16">
        <f>SUM('BIFUbC-electricity'!AC5,'BIFUbC-coal'!AC5,'BIFUbC-natural-gas'!AC5,'BIFUbC-biomass'!AC5,'BIFUbC-heat'!AC5,'BIFUbC-crude-oil'!AC5,'BIFUbC-petroleum-diesel'!AC5,'BIFUbC-heavy-or-residual-oil'!AC5,'BIFUbC-LPG-propane-or-butane'!AC5,'BIFUbC-hydrogen'!AC5)</f>
        <v>13580658745694.473</v>
      </c>
      <c r="AD6" s="16">
        <f>SUM('BIFUbC-electricity'!AD5,'BIFUbC-coal'!AD5,'BIFUbC-natural-gas'!AD5,'BIFUbC-biomass'!AD5,'BIFUbC-heat'!AD5,'BIFUbC-crude-oil'!AD5,'BIFUbC-petroleum-diesel'!AD5,'BIFUbC-heavy-or-residual-oil'!AD5,'BIFUbC-LPG-propane-or-butane'!AD5,'BIFUbC-hydrogen'!AD5)</f>
        <v>13630203287919.992</v>
      </c>
      <c r="AE6" s="16">
        <f>SUM('BIFUbC-electricity'!AE5,'BIFUbC-coal'!AE5,'BIFUbC-natural-gas'!AE5,'BIFUbC-biomass'!AE5,'BIFUbC-heat'!AE5,'BIFUbC-crude-oil'!AE5,'BIFUbC-petroleum-diesel'!AE5,'BIFUbC-heavy-or-residual-oil'!AE5,'BIFUbC-LPG-propane-or-butane'!AE5,'BIFUbC-hydrogen'!AE5)</f>
        <v>13679747830145.512</v>
      </c>
      <c r="AF6" s="16">
        <f>SUM('BIFUbC-electricity'!AF5,'BIFUbC-coal'!AF5,'BIFUbC-natural-gas'!AF5,'BIFUbC-biomass'!AF5,'BIFUbC-heat'!AF5,'BIFUbC-crude-oil'!AF5,'BIFUbC-petroleum-diesel'!AF5,'BIFUbC-heavy-or-residual-oil'!AF5,'BIFUbC-LPG-propane-or-butane'!AF5,'BIFUbC-hydrogen'!AF5)</f>
        <v>13729292372371.039</v>
      </c>
    </row>
    <row r="7" spans="1:32">
      <c r="A7" t="s">
        <v>6</v>
      </c>
      <c r="B7" s="16">
        <f>SUM('BIFUbC-electricity'!B6,'BIFUbC-coal'!B6,'BIFUbC-natural-gas'!B6,'BIFUbC-biomass'!B6,'BIFUbC-heat'!B6,'BIFUbC-crude-oil'!B6,'BIFUbC-petroleum-diesel'!B6,'BIFUbC-heavy-or-residual-oil'!B6,'BIFUbC-LPG-propane-or-butane'!B6,'BIFUbC-hydrogen'!B6)</f>
        <v>116968340381855.41</v>
      </c>
      <c r="C7" s="16">
        <f>SUM('BIFUbC-electricity'!C6,'BIFUbC-coal'!C6,'BIFUbC-natural-gas'!C6,'BIFUbC-biomass'!C6,'BIFUbC-heat'!C6,'BIFUbC-crude-oil'!C6,'BIFUbC-petroleum-diesel'!C6,'BIFUbC-heavy-or-residual-oil'!C6,'BIFUbC-LPG-propane-or-butane'!C6,'BIFUbC-hydrogen'!C6)</f>
        <v>120738993142439.59</v>
      </c>
      <c r="D7" s="16">
        <f>SUM('BIFUbC-electricity'!D6,'BIFUbC-coal'!D6,'BIFUbC-natural-gas'!D6,'BIFUbC-biomass'!D6,'BIFUbC-heat'!D6,'BIFUbC-crude-oil'!D6,'BIFUbC-petroleum-diesel'!D6,'BIFUbC-heavy-or-residual-oil'!D6,'BIFUbC-LPG-propane-or-butane'!D6,'BIFUbC-hydrogen'!D6)</f>
        <v>124509645903023.73</v>
      </c>
      <c r="E7" s="16">
        <f>SUM('BIFUbC-electricity'!E6,'BIFUbC-coal'!E6,'BIFUbC-natural-gas'!E6,'BIFUbC-biomass'!E6,'BIFUbC-heat'!E6,'BIFUbC-crude-oil'!E6,'BIFUbC-petroleum-diesel'!E6,'BIFUbC-heavy-or-residual-oil'!E6,'BIFUbC-LPG-propane-or-butane'!E6,'BIFUbC-hydrogen'!E6)</f>
        <v>128280298663608.02</v>
      </c>
      <c r="F7" s="16">
        <f>SUM('BIFUbC-electricity'!F6,'BIFUbC-coal'!F6,'BIFUbC-natural-gas'!F6,'BIFUbC-biomass'!F6,'BIFUbC-heat'!F6,'BIFUbC-crude-oil'!F6,'BIFUbC-petroleum-diesel'!F6,'BIFUbC-heavy-or-residual-oil'!F6,'BIFUbC-LPG-propane-or-butane'!F6,'BIFUbC-hydrogen'!F6)</f>
        <v>132050951424192.34</v>
      </c>
      <c r="G7" s="16">
        <f>SUM('BIFUbC-electricity'!G6,'BIFUbC-coal'!G6,'BIFUbC-natural-gas'!G6,'BIFUbC-biomass'!G6,'BIFUbC-heat'!G6,'BIFUbC-crude-oil'!G6,'BIFUbC-petroleum-diesel'!G6,'BIFUbC-heavy-or-residual-oil'!G6,'BIFUbC-LPG-propane-or-butane'!G6,'BIFUbC-hydrogen'!G6)</f>
        <v>135821604184776.73</v>
      </c>
      <c r="H7" s="16">
        <f>SUM('BIFUbC-electricity'!H6,'BIFUbC-coal'!H6,'BIFUbC-natural-gas'!H6,'BIFUbC-biomass'!H6,'BIFUbC-heat'!H6,'BIFUbC-crude-oil'!H6,'BIFUbC-petroleum-diesel'!H6,'BIFUbC-heavy-or-residual-oil'!H6,'BIFUbC-LPG-propane-or-butane'!H6,'BIFUbC-hydrogen'!H6)</f>
        <v>137415721360084.91</v>
      </c>
      <c r="I7" s="16">
        <f>SUM('BIFUbC-electricity'!I6,'BIFUbC-coal'!I6,'BIFUbC-natural-gas'!I6,'BIFUbC-biomass'!I6,'BIFUbC-heat'!I6,'BIFUbC-crude-oil'!I6,'BIFUbC-petroleum-diesel'!I6,'BIFUbC-heavy-or-residual-oil'!I6,'BIFUbC-LPG-propane-or-butane'!I6,'BIFUbC-hydrogen'!I6)</f>
        <v>139009838535393.08</v>
      </c>
      <c r="J7" s="16">
        <f>SUM('BIFUbC-electricity'!J6,'BIFUbC-coal'!J6,'BIFUbC-natural-gas'!J6,'BIFUbC-biomass'!J6,'BIFUbC-heat'!J6,'BIFUbC-crude-oil'!J6,'BIFUbC-petroleum-diesel'!J6,'BIFUbC-heavy-or-residual-oil'!J6,'BIFUbC-LPG-propane-or-butane'!J6,'BIFUbC-hydrogen'!J6)</f>
        <v>140603955710701.17</v>
      </c>
      <c r="K7" s="16">
        <f>SUM('BIFUbC-electricity'!K6,'BIFUbC-coal'!K6,'BIFUbC-natural-gas'!K6,'BIFUbC-biomass'!K6,'BIFUbC-heat'!K6,'BIFUbC-crude-oil'!K6,'BIFUbC-petroleum-diesel'!K6,'BIFUbC-heavy-or-residual-oil'!K6,'BIFUbC-LPG-propane-or-butane'!K6,'BIFUbC-hydrogen'!K6)</f>
        <v>142198072886009.38</v>
      </c>
      <c r="L7" s="16">
        <f>SUM('BIFUbC-electricity'!L6,'BIFUbC-coal'!L6,'BIFUbC-natural-gas'!L6,'BIFUbC-biomass'!L6,'BIFUbC-heat'!L6,'BIFUbC-crude-oil'!L6,'BIFUbC-petroleum-diesel'!L6,'BIFUbC-heavy-or-residual-oil'!L6,'BIFUbC-LPG-propane-or-butane'!L6,'BIFUbC-hydrogen'!L6)</f>
        <v>143792190061317.53</v>
      </c>
      <c r="M7" s="16">
        <f>SUM('BIFUbC-electricity'!M6,'BIFUbC-coal'!M6,'BIFUbC-natural-gas'!M6,'BIFUbC-biomass'!M6,'BIFUbC-heat'!M6,'BIFUbC-crude-oil'!M6,'BIFUbC-petroleum-diesel'!M6,'BIFUbC-heavy-or-residual-oil'!M6,'BIFUbC-LPG-propane-or-butane'!M6,'BIFUbC-hydrogen'!M6)</f>
        <v>145031488110142.16</v>
      </c>
      <c r="N7" s="16">
        <f>SUM('BIFUbC-electricity'!N6,'BIFUbC-coal'!N6,'BIFUbC-natural-gas'!N6,'BIFUbC-biomass'!N6,'BIFUbC-heat'!N6,'BIFUbC-crude-oil'!N6,'BIFUbC-petroleum-diesel'!N6,'BIFUbC-heavy-or-residual-oil'!N6,'BIFUbC-LPG-propane-or-butane'!N6,'BIFUbC-hydrogen'!N6)</f>
        <v>146270786158966.63</v>
      </c>
      <c r="O7" s="16">
        <f>SUM('BIFUbC-electricity'!O6,'BIFUbC-coal'!O6,'BIFUbC-natural-gas'!O6,'BIFUbC-biomass'!O6,'BIFUbC-heat'!O6,'BIFUbC-crude-oil'!O6,'BIFUbC-petroleum-diesel'!O6,'BIFUbC-heavy-or-residual-oil'!O6,'BIFUbC-LPG-propane-or-butane'!O6,'BIFUbC-hydrogen'!O6)</f>
        <v>147510084207791.28</v>
      </c>
      <c r="P7" s="16">
        <f>SUM('BIFUbC-electricity'!P6,'BIFUbC-coal'!P6,'BIFUbC-natural-gas'!P6,'BIFUbC-biomass'!P6,'BIFUbC-heat'!P6,'BIFUbC-crude-oil'!P6,'BIFUbC-petroleum-diesel'!P6,'BIFUbC-heavy-or-residual-oil'!P6,'BIFUbC-LPG-propane-or-butane'!P6,'BIFUbC-hydrogen'!P6)</f>
        <v>148749382256615.88</v>
      </c>
      <c r="Q7" s="16">
        <f>SUM('BIFUbC-electricity'!Q6,'BIFUbC-coal'!Q6,'BIFUbC-natural-gas'!Q6,'BIFUbC-biomass'!Q6,'BIFUbC-heat'!Q6,'BIFUbC-crude-oil'!Q6,'BIFUbC-petroleum-diesel'!Q6,'BIFUbC-heavy-or-residual-oil'!Q6,'BIFUbC-LPG-propane-or-butane'!Q6,'BIFUbC-hydrogen'!Q6)</f>
        <v>149988680305440.53</v>
      </c>
      <c r="R7" s="16">
        <f>SUM('BIFUbC-electricity'!R6,'BIFUbC-coal'!R6,'BIFUbC-natural-gas'!R6,'BIFUbC-biomass'!R6,'BIFUbC-heat'!R6,'BIFUbC-crude-oil'!R6,'BIFUbC-petroleum-diesel'!R6,'BIFUbC-heavy-or-residual-oil'!R6,'BIFUbC-LPG-propane-or-butane'!R6,'BIFUbC-hydrogen'!R6)</f>
        <v>151195627393483.22</v>
      </c>
      <c r="S7" s="16">
        <f>SUM('BIFUbC-electricity'!S6,'BIFUbC-coal'!S6,'BIFUbC-natural-gas'!S6,'BIFUbC-biomass'!S6,'BIFUbC-heat'!S6,'BIFUbC-crude-oil'!S6,'BIFUbC-petroleum-diesel'!S6,'BIFUbC-heavy-or-residual-oil'!S6,'BIFUbC-LPG-propane-or-butane'!S6,'BIFUbC-hydrogen'!S6)</f>
        <v>152402574481526</v>
      </c>
      <c r="T7" s="16">
        <f>SUM('BIFUbC-electricity'!T6,'BIFUbC-coal'!T6,'BIFUbC-natural-gas'!T6,'BIFUbC-biomass'!T6,'BIFUbC-heat'!T6,'BIFUbC-crude-oil'!T6,'BIFUbC-petroleum-diesel'!T6,'BIFUbC-heavy-or-residual-oil'!T6,'BIFUbC-LPG-propane-or-butane'!T6,'BIFUbC-hydrogen'!T6)</f>
        <v>153609521569568.69</v>
      </c>
      <c r="U7" s="16">
        <f>SUM('BIFUbC-electricity'!U6,'BIFUbC-coal'!U6,'BIFUbC-natural-gas'!U6,'BIFUbC-biomass'!U6,'BIFUbC-heat'!U6,'BIFUbC-crude-oil'!U6,'BIFUbC-petroleum-diesel'!U6,'BIFUbC-heavy-or-residual-oil'!U6,'BIFUbC-LPG-propane-or-butane'!U6,'BIFUbC-hydrogen'!U6)</f>
        <v>154816468657611.5</v>
      </c>
      <c r="V7" s="16">
        <f>SUM('BIFUbC-electricity'!V6,'BIFUbC-coal'!V6,'BIFUbC-natural-gas'!V6,'BIFUbC-biomass'!V6,'BIFUbC-heat'!V6,'BIFUbC-crude-oil'!V6,'BIFUbC-petroleum-diesel'!V6,'BIFUbC-heavy-or-residual-oil'!V6,'BIFUbC-LPG-propane-or-butane'!V6,'BIFUbC-hydrogen'!V6)</f>
        <v>156023415745654.22</v>
      </c>
      <c r="W7" s="16">
        <f>SUM('BIFUbC-electricity'!W6,'BIFUbC-coal'!W6,'BIFUbC-natural-gas'!W6,'BIFUbC-biomass'!W6,'BIFUbC-heat'!W6,'BIFUbC-crude-oil'!W6,'BIFUbC-petroleum-diesel'!W6,'BIFUbC-heavy-or-residual-oil'!W6,'BIFUbC-LPG-propane-or-butane'!W6,'BIFUbC-hydrogen'!W6)</f>
        <v>157273497448073.22</v>
      </c>
      <c r="X7" s="16">
        <f>SUM('BIFUbC-electricity'!X6,'BIFUbC-coal'!X6,'BIFUbC-natural-gas'!X6,'BIFUbC-biomass'!X6,'BIFUbC-heat'!X6,'BIFUbC-crude-oil'!X6,'BIFUbC-petroleum-diesel'!X6,'BIFUbC-heavy-or-residual-oil'!X6,'BIFUbC-LPG-propane-or-butane'!X6,'BIFUbC-hydrogen'!X6)</f>
        <v>158494169186144.72</v>
      </c>
      <c r="Y7" s="16">
        <f>SUM('BIFUbC-electricity'!Y6,'BIFUbC-coal'!Y6,'BIFUbC-natural-gas'!Y6,'BIFUbC-biomass'!Y6,'BIFUbC-heat'!Y6,'BIFUbC-crude-oil'!Y6,'BIFUbC-petroleum-diesel'!Y6,'BIFUbC-heavy-or-residual-oil'!Y6,'BIFUbC-LPG-propane-or-butane'!Y6,'BIFUbC-hydrogen'!Y6)</f>
        <v>159714840924216.63</v>
      </c>
      <c r="Z7" s="16">
        <f>SUM('BIFUbC-electricity'!Z6,'BIFUbC-coal'!Z6,'BIFUbC-natural-gas'!Z6,'BIFUbC-biomass'!Z6,'BIFUbC-heat'!Z6,'BIFUbC-crude-oil'!Z6,'BIFUbC-petroleum-diesel'!Z6,'BIFUbC-heavy-or-residual-oil'!Z6,'BIFUbC-LPG-propane-or-butane'!Z6,'BIFUbC-hydrogen'!Z6)</f>
        <v>160935512662288.25</v>
      </c>
      <c r="AA7" s="16">
        <f>SUM('BIFUbC-electricity'!AA6,'BIFUbC-coal'!AA6,'BIFUbC-natural-gas'!AA6,'BIFUbC-biomass'!AA6,'BIFUbC-heat'!AA6,'BIFUbC-crude-oil'!AA6,'BIFUbC-petroleum-diesel'!AA6,'BIFUbC-heavy-or-residual-oil'!AA6,'BIFUbC-LPG-propane-or-butane'!AA6,'BIFUbC-hydrogen'!AA6)</f>
        <v>162156184400360.16</v>
      </c>
      <c r="AB7" s="16">
        <f>SUM('BIFUbC-electricity'!AB6,'BIFUbC-coal'!AB6,'BIFUbC-natural-gas'!AB6,'BIFUbC-biomass'!AB6,'BIFUbC-heat'!AB6,'BIFUbC-crude-oil'!AB6,'BIFUbC-petroleum-diesel'!AB6,'BIFUbC-heavy-or-residual-oil'!AB6,'BIFUbC-LPG-propane-or-butane'!AB6,'BIFUbC-hydrogen'!AB6)</f>
        <v>163376856138431.97</v>
      </c>
      <c r="AC7" s="16">
        <f>SUM('BIFUbC-electricity'!AC6,'BIFUbC-coal'!AC6,'BIFUbC-natural-gas'!AC6,'BIFUbC-biomass'!AC6,'BIFUbC-heat'!AC6,'BIFUbC-crude-oil'!AC6,'BIFUbC-petroleum-diesel'!AC6,'BIFUbC-heavy-or-residual-oil'!AC6,'BIFUbC-LPG-propane-or-butane'!AC6,'BIFUbC-hydrogen'!AC6)</f>
        <v>164597527876503.88</v>
      </c>
      <c r="AD7" s="16">
        <f>SUM('BIFUbC-electricity'!AD6,'BIFUbC-coal'!AD6,'BIFUbC-natural-gas'!AD6,'BIFUbC-biomass'!AD6,'BIFUbC-heat'!AD6,'BIFUbC-crude-oil'!AD6,'BIFUbC-petroleum-diesel'!AD6,'BIFUbC-heavy-or-residual-oil'!AD6,'BIFUbC-LPG-propane-or-butane'!AD6,'BIFUbC-hydrogen'!AD6)</f>
        <v>165818199614575.78</v>
      </c>
      <c r="AE7" s="16">
        <f>SUM('BIFUbC-electricity'!AE6,'BIFUbC-coal'!AE6,'BIFUbC-natural-gas'!AE6,'BIFUbC-biomass'!AE6,'BIFUbC-heat'!AE6,'BIFUbC-crude-oil'!AE6,'BIFUbC-petroleum-diesel'!AE6,'BIFUbC-heavy-or-residual-oil'!AE6,'BIFUbC-LPG-propane-or-butane'!AE6,'BIFUbC-hydrogen'!AE6)</f>
        <v>167038871352647.75</v>
      </c>
      <c r="AF7" s="16">
        <f>SUM('BIFUbC-electricity'!AF6,'BIFUbC-coal'!AF6,'BIFUbC-natural-gas'!AF6,'BIFUbC-biomass'!AF6,'BIFUbC-heat'!AF6,'BIFUbC-crude-oil'!AF6,'BIFUbC-petroleum-diesel'!AF6,'BIFUbC-heavy-or-residual-oil'!AF6,'BIFUbC-LPG-propane-or-butane'!AF6,'BIFUbC-hydrogen'!AF6)</f>
        <v>168259543090719.84</v>
      </c>
    </row>
    <row r="8" spans="1:32">
      <c r="A8" t="s">
        <v>7</v>
      </c>
      <c r="B8" s="16">
        <f>SUM('BIFUbC-electricity'!B7,'BIFUbC-coal'!B7,'BIFUbC-natural-gas'!B7,'BIFUbC-biomass'!B7,'BIFUbC-heat'!B7,'BIFUbC-crude-oil'!B7,'BIFUbC-petroleum-diesel'!B7,'BIFUbC-heavy-or-residual-oil'!B7,'BIFUbC-LPG-propane-or-butane'!B7,'BIFUbC-hydrogen'!B7)</f>
        <v>100732622323718.92</v>
      </c>
      <c r="C8" s="16">
        <f>SUM('BIFUbC-electricity'!C7,'BIFUbC-coal'!C7,'BIFUbC-natural-gas'!C7,'BIFUbC-biomass'!C7,'BIFUbC-heat'!C7,'BIFUbC-crude-oil'!C7,'BIFUbC-petroleum-diesel'!C7,'BIFUbC-heavy-or-residual-oil'!C7,'BIFUbC-LPG-propane-or-butane'!C7,'BIFUbC-hydrogen'!C7)</f>
        <v>105241736204819.64</v>
      </c>
      <c r="D8" s="16">
        <f>SUM('BIFUbC-electricity'!D7,'BIFUbC-coal'!D7,'BIFUbC-natural-gas'!D7,'BIFUbC-biomass'!D7,'BIFUbC-heat'!D7,'BIFUbC-crude-oil'!D7,'BIFUbC-petroleum-diesel'!D7,'BIFUbC-heavy-or-residual-oil'!D7,'BIFUbC-LPG-propane-or-butane'!D7,'BIFUbC-hydrogen'!D7)</f>
        <v>109750850085920.44</v>
      </c>
      <c r="E8" s="16">
        <f>SUM('BIFUbC-electricity'!E7,'BIFUbC-coal'!E7,'BIFUbC-natural-gas'!E7,'BIFUbC-biomass'!E7,'BIFUbC-heat'!E7,'BIFUbC-crude-oil'!E7,'BIFUbC-petroleum-diesel'!E7,'BIFUbC-heavy-or-residual-oil'!E7,'BIFUbC-LPG-propane-or-butane'!E7,'BIFUbC-hydrogen'!E7)</f>
        <v>114259963967021.27</v>
      </c>
      <c r="F8" s="16">
        <f>SUM('BIFUbC-electricity'!F7,'BIFUbC-coal'!F7,'BIFUbC-natural-gas'!F7,'BIFUbC-biomass'!F7,'BIFUbC-heat'!F7,'BIFUbC-crude-oil'!F7,'BIFUbC-petroleum-diesel'!F7,'BIFUbC-heavy-or-residual-oil'!F7,'BIFUbC-LPG-propane-or-butane'!F7,'BIFUbC-hydrogen'!F7)</f>
        <v>118769077848122.19</v>
      </c>
      <c r="G8" s="16">
        <f>SUM('BIFUbC-electricity'!G7,'BIFUbC-coal'!G7,'BIFUbC-natural-gas'!G7,'BIFUbC-biomass'!G7,'BIFUbC-heat'!G7,'BIFUbC-crude-oil'!G7,'BIFUbC-petroleum-diesel'!G7,'BIFUbC-heavy-or-residual-oil'!G7,'BIFUbC-LPG-propane-or-butane'!G7,'BIFUbC-hydrogen'!G7)</f>
        <v>123278191729223.11</v>
      </c>
      <c r="H8" s="16">
        <f>SUM('BIFUbC-electricity'!H7,'BIFUbC-coal'!H7,'BIFUbC-natural-gas'!H7,'BIFUbC-biomass'!H7,'BIFUbC-heat'!H7,'BIFUbC-crude-oil'!H7,'BIFUbC-petroleum-diesel'!H7,'BIFUbC-heavy-or-residual-oil'!H7,'BIFUbC-LPG-propane-or-butane'!H7,'BIFUbC-hydrogen'!H7)</f>
        <v>125146149045829.89</v>
      </c>
      <c r="I8" s="16">
        <f>SUM('BIFUbC-electricity'!I7,'BIFUbC-coal'!I7,'BIFUbC-natural-gas'!I7,'BIFUbC-biomass'!I7,'BIFUbC-heat'!I7,'BIFUbC-crude-oil'!I7,'BIFUbC-petroleum-diesel'!I7,'BIFUbC-heavy-or-residual-oil'!I7,'BIFUbC-LPG-propane-or-butane'!I7,'BIFUbC-hydrogen'!I7)</f>
        <v>127014106362436.8</v>
      </c>
      <c r="J8" s="16">
        <f>SUM('BIFUbC-electricity'!J7,'BIFUbC-coal'!J7,'BIFUbC-natural-gas'!J7,'BIFUbC-biomass'!J7,'BIFUbC-heat'!J7,'BIFUbC-crude-oil'!J7,'BIFUbC-petroleum-diesel'!J7,'BIFUbC-heavy-or-residual-oil'!J7,'BIFUbC-LPG-propane-or-butane'!J7,'BIFUbC-hydrogen'!J7)</f>
        <v>128882063679043.55</v>
      </c>
      <c r="K8" s="16">
        <f>SUM('BIFUbC-electricity'!K7,'BIFUbC-coal'!K7,'BIFUbC-natural-gas'!K7,'BIFUbC-biomass'!K7,'BIFUbC-heat'!K7,'BIFUbC-crude-oil'!K7,'BIFUbC-petroleum-diesel'!K7,'BIFUbC-heavy-or-residual-oil'!K7,'BIFUbC-LPG-propane-or-butane'!K7,'BIFUbC-hydrogen'!K7)</f>
        <v>130750020995650.56</v>
      </c>
      <c r="L8" s="16">
        <f>SUM('BIFUbC-electricity'!L7,'BIFUbC-coal'!L7,'BIFUbC-natural-gas'!L7,'BIFUbC-biomass'!L7,'BIFUbC-heat'!L7,'BIFUbC-crude-oil'!L7,'BIFUbC-petroleum-diesel'!L7,'BIFUbC-heavy-or-residual-oil'!L7,'BIFUbC-LPG-propane-or-butane'!L7,'BIFUbC-hydrogen'!L7)</f>
        <v>132617978312257.34</v>
      </c>
      <c r="M8" s="16">
        <f>SUM('BIFUbC-electricity'!M7,'BIFUbC-coal'!M7,'BIFUbC-natural-gas'!M7,'BIFUbC-biomass'!M7,'BIFUbC-heat'!M7,'BIFUbC-crude-oil'!M7,'BIFUbC-petroleum-diesel'!M7,'BIFUbC-heavy-or-residual-oil'!M7,'BIFUbC-LPG-propane-or-butane'!M7,'BIFUbC-hydrogen'!M7)</f>
        <v>134018765695374.59</v>
      </c>
      <c r="N8" s="16">
        <f>SUM('BIFUbC-electricity'!N7,'BIFUbC-coal'!N7,'BIFUbC-natural-gas'!N7,'BIFUbC-biomass'!N7,'BIFUbC-heat'!N7,'BIFUbC-crude-oil'!N7,'BIFUbC-petroleum-diesel'!N7,'BIFUbC-heavy-or-residual-oil'!N7,'BIFUbC-LPG-propane-or-butane'!N7,'BIFUbC-hydrogen'!N7)</f>
        <v>135419553078491.61</v>
      </c>
      <c r="O8" s="16">
        <f>SUM('BIFUbC-electricity'!O7,'BIFUbC-coal'!O7,'BIFUbC-natural-gas'!O7,'BIFUbC-biomass'!O7,'BIFUbC-heat'!O7,'BIFUbC-crude-oil'!O7,'BIFUbC-petroleum-diesel'!O7,'BIFUbC-heavy-or-residual-oil'!O7,'BIFUbC-LPG-propane-or-butane'!O7,'BIFUbC-hydrogen'!O7)</f>
        <v>136820340461608.94</v>
      </c>
      <c r="P8" s="16">
        <f>SUM('BIFUbC-electricity'!P7,'BIFUbC-coal'!P7,'BIFUbC-natural-gas'!P7,'BIFUbC-biomass'!P7,'BIFUbC-heat'!P7,'BIFUbC-crude-oil'!P7,'BIFUbC-petroleum-diesel'!P7,'BIFUbC-heavy-or-residual-oil'!P7,'BIFUbC-LPG-propane-or-butane'!P7,'BIFUbC-hydrogen'!P7)</f>
        <v>138221127844726.11</v>
      </c>
      <c r="Q8" s="16">
        <f>SUM('BIFUbC-electricity'!Q7,'BIFUbC-coal'!Q7,'BIFUbC-natural-gas'!Q7,'BIFUbC-biomass'!Q7,'BIFUbC-heat'!Q7,'BIFUbC-crude-oil'!Q7,'BIFUbC-petroleum-diesel'!Q7,'BIFUbC-heavy-or-residual-oil'!Q7,'BIFUbC-LPG-propane-or-butane'!Q7,'BIFUbC-hydrogen'!Q7)</f>
        <v>139621915227843.34</v>
      </c>
      <c r="R8" s="16">
        <f>SUM('BIFUbC-electricity'!R7,'BIFUbC-coal'!R7,'BIFUbC-natural-gas'!R7,'BIFUbC-biomass'!R7,'BIFUbC-heat'!R7,'BIFUbC-crude-oil'!R7,'BIFUbC-petroleum-diesel'!R7,'BIFUbC-heavy-or-residual-oil'!R7,'BIFUbC-LPG-propane-or-butane'!R7,'BIFUbC-hydrogen'!R7)</f>
        <v>140855303985265.25</v>
      </c>
      <c r="S8" s="16">
        <f>SUM('BIFUbC-electricity'!S7,'BIFUbC-coal'!S7,'BIFUbC-natural-gas'!S7,'BIFUbC-biomass'!S7,'BIFUbC-heat'!S7,'BIFUbC-crude-oil'!S7,'BIFUbC-petroleum-diesel'!S7,'BIFUbC-heavy-or-residual-oil'!S7,'BIFUbC-LPG-propane-or-butane'!S7,'BIFUbC-hydrogen'!S7)</f>
        <v>142088692742687.19</v>
      </c>
      <c r="T8" s="16">
        <f>SUM('BIFUbC-electricity'!T7,'BIFUbC-coal'!T7,'BIFUbC-natural-gas'!T7,'BIFUbC-biomass'!T7,'BIFUbC-heat'!T7,'BIFUbC-crude-oil'!T7,'BIFUbC-petroleum-diesel'!T7,'BIFUbC-heavy-or-residual-oil'!T7,'BIFUbC-LPG-propane-or-butane'!T7,'BIFUbC-hydrogen'!T7)</f>
        <v>143322081500109</v>
      </c>
      <c r="U8" s="16">
        <f>SUM('BIFUbC-electricity'!U7,'BIFUbC-coal'!U7,'BIFUbC-natural-gas'!U7,'BIFUbC-biomass'!U7,'BIFUbC-heat'!U7,'BIFUbC-crude-oil'!U7,'BIFUbC-petroleum-diesel'!U7,'BIFUbC-heavy-or-residual-oil'!U7,'BIFUbC-LPG-propane-or-butane'!U7,'BIFUbC-hydrogen'!U7)</f>
        <v>144555470257531.16</v>
      </c>
      <c r="V8" s="16">
        <f>SUM('BIFUbC-electricity'!V7,'BIFUbC-coal'!V7,'BIFUbC-natural-gas'!V7,'BIFUbC-biomass'!V7,'BIFUbC-heat'!V7,'BIFUbC-crude-oil'!V7,'BIFUbC-petroleum-diesel'!V7,'BIFUbC-heavy-or-residual-oil'!V7,'BIFUbC-LPG-propane-or-butane'!V7,'BIFUbC-hydrogen'!V7)</f>
        <v>145788859014953</v>
      </c>
      <c r="W8" s="16">
        <f>SUM('BIFUbC-electricity'!W7,'BIFUbC-coal'!W7,'BIFUbC-natural-gas'!W7,'BIFUbC-biomass'!W7,'BIFUbC-heat'!W7,'BIFUbC-crude-oil'!W7,'BIFUbC-petroleum-diesel'!W7,'BIFUbC-heavy-or-residual-oil'!W7,'BIFUbC-LPG-propane-or-butane'!W7,'BIFUbC-hydrogen'!W7)</f>
        <v>147245445939969.44</v>
      </c>
      <c r="X8" s="16">
        <f>SUM('BIFUbC-electricity'!X7,'BIFUbC-coal'!X7,'BIFUbC-natural-gas'!X7,'BIFUbC-biomass'!X7,'BIFUbC-heat'!X7,'BIFUbC-crude-oil'!X7,'BIFUbC-petroleum-diesel'!X7,'BIFUbC-heavy-or-residual-oil'!X7,'BIFUbC-LPG-propane-or-butane'!X7,'BIFUbC-hydrogen'!X7)</f>
        <v>148549852296171.63</v>
      </c>
      <c r="Y8" s="16">
        <f>SUM('BIFUbC-electricity'!Y7,'BIFUbC-coal'!Y7,'BIFUbC-natural-gas'!Y7,'BIFUbC-biomass'!Y7,'BIFUbC-heat'!Y7,'BIFUbC-crude-oil'!Y7,'BIFUbC-petroleum-diesel'!Y7,'BIFUbC-heavy-or-residual-oil'!Y7,'BIFUbC-LPG-propane-or-butane'!Y7,'BIFUbC-hydrogen'!Y7)</f>
        <v>149854258652374.13</v>
      </c>
      <c r="Z8" s="16">
        <f>SUM('BIFUbC-electricity'!Z7,'BIFUbC-coal'!Z7,'BIFUbC-natural-gas'!Z7,'BIFUbC-biomass'!Z7,'BIFUbC-heat'!Z7,'BIFUbC-crude-oil'!Z7,'BIFUbC-petroleum-diesel'!Z7,'BIFUbC-heavy-or-residual-oil'!Z7,'BIFUbC-LPG-propane-or-butane'!Z7,'BIFUbC-hydrogen'!Z7)</f>
        <v>151158665008576.34</v>
      </c>
      <c r="AA8" s="16">
        <f>SUM('BIFUbC-electricity'!AA7,'BIFUbC-coal'!AA7,'BIFUbC-natural-gas'!AA7,'BIFUbC-biomass'!AA7,'BIFUbC-heat'!AA7,'BIFUbC-crude-oil'!AA7,'BIFUbC-petroleum-diesel'!AA7,'BIFUbC-heavy-or-residual-oil'!AA7,'BIFUbC-LPG-propane-or-butane'!AA7,'BIFUbC-hydrogen'!AA7)</f>
        <v>152463071364778.94</v>
      </c>
      <c r="AB8" s="16">
        <f>SUM('BIFUbC-electricity'!AB7,'BIFUbC-coal'!AB7,'BIFUbC-natural-gas'!AB7,'BIFUbC-biomass'!AB7,'BIFUbC-heat'!AB7,'BIFUbC-crude-oil'!AB7,'BIFUbC-petroleum-diesel'!AB7,'BIFUbC-heavy-or-residual-oil'!AB7,'BIFUbC-LPG-propane-or-butane'!AB7,'BIFUbC-hydrogen'!AB7)</f>
        <v>153767477720981.47</v>
      </c>
      <c r="AC8" s="16">
        <f>SUM('BIFUbC-electricity'!AC7,'BIFUbC-coal'!AC7,'BIFUbC-natural-gas'!AC7,'BIFUbC-biomass'!AC7,'BIFUbC-heat'!AC7,'BIFUbC-crude-oil'!AC7,'BIFUbC-petroleum-diesel'!AC7,'BIFUbC-heavy-or-residual-oil'!AC7,'BIFUbC-LPG-propane-or-butane'!AC7,'BIFUbC-hydrogen'!AC7)</f>
        <v>155071884077184.13</v>
      </c>
      <c r="AD8" s="16">
        <f>SUM('BIFUbC-electricity'!AD7,'BIFUbC-coal'!AD7,'BIFUbC-natural-gas'!AD7,'BIFUbC-biomass'!AD7,'BIFUbC-heat'!AD7,'BIFUbC-crude-oil'!AD7,'BIFUbC-petroleum-diesel'!AD7,'BIFUbC-heavy-or-residual-oil'!AD7,'BIFUbC-LPG-propane-or-butane'!AD7,'BIFUbC-hydrogen'!AD7)</f>
        <v>156376290433386.91</v>
      </c>
      <c r="AE8" s="16">
        <f>SUM('BIFUbC-electricity'!AE7,'BIFUbC-coal'!AE7,'BIFUbC-natural-gas'!AE7,'BIFUbC-biomass'!AE7,'BIFUbC-heat'!AE7,'BIFUbC-crude-oil'!AE7,'BIFUbC-petroleum-diesel'!AE7,'BIFUbC-heavy-or-residual-oil'!AE7,'BIFUbC-LPG-propane-or-butane'!AE7,'BIFUbC-hydrogen'!AE7)</f>
        <v>157680696789589.78</v>
      </c>
      <c r="AF8" s="16">
        <f>SUM('BIFUbC-electricity'!AF7,'BIFUbC-coal'!AF7,'BIFUbC-natural-gas'!AF7,'BIFUbC-biomass'!AF7,'BIFUbC-heat'!AF7,'BIFUbC-crude-oil'!AF7,'BIFUbC-petroleum-diesel'!AF7,'BIFUbC-heavy-or-residual-oil'!AF7,'BIFUbC-LPG-propane-or-butane'!AF7,'BIFUbC-hydrogen'!AF7)</f>
        <v>158985103145792.66</v>
      </c>
    </row>
    <row r="9" spans="1:32">
      <c r="A9" t="s">
        <v>8</v>
      </c>
      <c r="B9" s="16">
        <f>SUM('BIFUbC-electricity'!B8,'BIFUbC-coal'!B8,'BIFUbC-natural-gas'!B8,'BIFUbC-biomass'!B8,'BIFUbC-heat'!B8,'BIFUbC-crude-oil'!B8,'BIFUbC-petroleum-diesel'!B8,'BIFUbC-heavy-or-residual-oil'!B8,'BIFUbC-LPG-propane-or-butane'!B8,'BIFUbC-hydrogen'!B8)</f>
        <v>22747106806558.59</v>
      </c>
      <c r="C9" s="16">
        <f>SUM('BIFUbC-electricity'!C8,'BIFUbC-coal'!C8,'BIFUbC-natural-gas'!C8,'BIFUbC-biomass'!C8,'BIFUbC-heat'!C8,'BIFUbC-crude-oil'!C8,'BIFUbC-petroleum-diesel'!C8,'BIFUbC-heavy-or-residual-oil'!C8,'BIFUbC-LPG-propane-or-butane'!C8,'BIFUbC-hydrogen'!C8)</f>
        <v>23658109842233.695</v>
      </c>
      <c r="D9" s="16">
        <f>SUM('BIFUbC-electricity'!D8,'BIFUbC-coal'!D8,'BIFUbC-natural-gas'!D8,'BIFUbC-biomass'!D8,'BIFUbC-heat'!D8,'BIFUbC-crude-oil'!D8,'BIFUbC-petroleum-diesel'!D8,'BIFUbC-heavy-or-residual-oil'!D8,'BIFUbC-LPG-propane-or-butane'!D8,'BIFUbC-hydrogen'!D8)</f>
        <v>24569112877908.793</v>
      </c>
      <c r="E9" s="16">
        <f>SUM('BIFUbC-electricity'!E8,'BIFUbC-coal'!E8,'BIFUbC-natural-gas'!E8,'BIFUbC-biomass'!E8,'BIFUbC-heat'!E8,'BIFUbC-crude-oil'!E8,'BIFUbC-petroleum-diesel'!E8,'BIFUbC-heavy-or-residual-oil'!E8,'BIFUbC-LPG-propane-or-butane'!E8,'BIFUbC-hydrogen'!E8)</f>
        <v>25480115913583.895</v>
      </c>
      <c r="F9" s="16">
        <f>SUM('BIFUbC-electricity'!F8,'BIFUbC-coal'!F8,'BIFUbC-natural-gas'!F8,'BIFUbC-biomass'!F8,'BIFUbC-heat'!F8,'BIFUbC-crude-oil'!F8,'BIFUbC-petroleum-diesel'!F8,'BIFUbC-heavy-or-residual-oil'!F8,'BIFUbC-LPG-propane-or-butane'!F8,'BIFUbC-hydrogen'!F8)</f>
        <v>26391118949259</v>
      </c>
      <c r="G9" s="16">
        <f>SUM('BIFUbC-electricity'!G8,'BIFUbC-coal'!G8,'BIFUbC-natural-gas'!G8,'BIFUbC-biomass'!G8,'BIFUbC-heat'!G8,'BIFUbC-crude-oil'!G8,'BIFUbC-petroleum-diesel'!G8,'BIFUbC-heavy-or-residual-oil'!G8,'BIFUbC-LPG-propane-or-butane'!G8,'BIFUbC-hydrogen'!G8)</f>
        <v>27302121984934.109</v>
      </c>
      <c r="H9" s="16">
        <f>SUM('BIFUbC-electricity'!H8,'BIFUbC-coal'!H8,'BIFUbC-natural-gas'!H8,'BIFUbC-biomass'!H8,'BIFUbC-heat'!H8,'BIFUbC-crude-oil'!H8,'BIFUbC-petroleum-diesel'!H8,'BIFUbC-heavy-or-residual-oil'!H8,'BIFUbC-LPG-propane-or-butane'!H8,'BIFUbC-hydrogen'!H8)</f>
        <v>27814424347126.215</v>
      </c>
      <c r="I9" s="16">
        <f>SUM('BIFUbC-electricity'!I8,'BIFUbC-coal'!I8,'BIFUbC-natural-gas'!I8,'BIFUbC-biomass'!I8,'BIFUbC-heat'!I8,'BIFUbC-crude-oil'!I8,'BIFUbC-petroleum-diesel'!I8,'BIFUbC-heavy-or-residual-oil'!I8,'BIFUbC-LPG-propane-or-butane'!I8,'BIFUbC-hydrogen'!I8)</f>
        <v>28326726709318.328</v>
      </c>
      <c r="J9" s="16">
        <f>SUM('BIFUbC-electricity'!J8,'BIFUbC-coal'!J8,'BIFUbC-natural-gas'!J8,'BIFUbC-biomass'!J8,'BIFUbC-heat'!J8,'BIFUbC-crude-oil'!J8,'BIFUbC-petroleum-diesel'!J8,'BIFUbC-heavy-or-residual-oil'!J8,'BIFUbC-LPG-propane-or-butane'!J8,'BIFUbC-hydrogen'!J8)</f>
        <v>28839029071510.313</v>
      </c>
      <c r="K9" s="16">
        <f>SUM('BIFUbC-electricity'!K8,'BIFUbC-coal'!K8,'BIFUbC-natural-gas'!K8,'BIFUbC-biomass'!K8,'BIFUbC-heat'!K8,'BIFUbC-crude-oil'!K8,'BIFUbC-petroleum-diesel'!K8,'BIFUbC-heavy-or-residual-oil'!K8,'BIFUbC-LPG-propane-or-butane'!K8,'BIFUbC-hydrogen'!K8)</f>
        <v>29351331433702.418</v>
      </c>
      <c r="L9" s="16">
        <f>SUM('BIFUbC-electricity'!L8,'BIFUbC-coal'!L8,'BIFUbC-natural-gas'!L8,'BIFUbC-biomass'!L8,'BIFUbC-heat'!L8,'BIFUbC-crude-oil'!L8,'BIFUbC-petroleum-diesel'!L8,'BIFUbC-heavy-or-residual-oil'!L8,'BIFUbC-LPG-propane-or-butane'!L8,'BIFUbC-hydrogen'!L8)</f>
        <v>29863633795894.34</v>
      </c>
      <c r="M9" s="16">
        <f>SUM('BIFUbC-electricity'!M8,'BIFUbC-coal'!M8,'BIFUbC-natural-gas'!M8,'BIFUbC-biomass'!M8,'BIFUbC-heat'!M8,'BIFUbC-crude-oil'!M8,'BIFUbC-petroleum-diesel'!M8,'BIFUbC-heavy-or-residual-oil'!M8,'BIFUbC-LPG-propane-or-butane'!M8,'BIFUbC-hydrogen'!M8)</f>
        <v>30291350550630.027</v>
      </c>
      <c r="N9" s="16">
        <f>SUM('BIFUbC-electricity'!N8,'BIFUbC-coal'!N8,'BIFUbC-natural-gas'!N8,'BIFUbC-biomass'!N8,'BIFUbC-heat'!N8,'BIFUbC-crude-oil'!N8,'BIFUbC-petroleum-diesel'!N8,'BIFUbC-heavy-or-residual-oil'!N8,'BIFUbC-LPG-propane-or-butane'!N8,'BIFUbC-hydrogen'!N8)</f>
        <v>30719067305365.527</v>
      </c>
      <c r="O9" s="16">
        <f>SUM('BIFUbC-electricity'!O8,'BIFUbC-coal'!O8,'BIFUbC-natural-gas'!O8,'BIFUbC-biomass'!O8,'BIFUbC-heat'!O8,'BIFUbC-crude-oil'!O8,'BIFUbC-petroleum-diesel'!O8,'BIFUbC-heavy-or-residual-oil'!O8,'BIFUbC-LPG-propane-or-butane'!O8,'BIFUbC-hydrogen'!O8)</f>
        <v>31146784060101.148</v>
      </c>
      <c r="P9" s="16">
        <f>SUM('BIFUbC-electricity'!P8,'BIFUbC-coal'!P8,'BIFUbC-natural-gas'!P8,'BIFUbC-biomass'!P8,'BIFUbC-heat'!P8,'BIFUbC-crude-oil'!P8,'BIFUbC-petroleum-diesel'!P8,'BIFUbC-heavy-or-residual-oil'!P8,'BIFUbC-LPG-propane-or-butane'!P8,'BIFUbC-hydrogen'!P8)</f>
        <v>31574500814836.648</v>
      </c>
      <c r="Q9" s="16">
        <f>SUM('BIFUbC-electricity'!Q8,'BIFUbC-coal'!Q8,'BIFUbC-natural-gas'!Q8,'BIFUbC-biomass'!Q8,'BIFUbC-heat'!Q8,'BIFUbC-crude-oil'!Q8,'BIFUbC-petroleum-diesel'!Q8,'BIFUbC-heavy-or-residual-oil'!Q8,'BIFUbC-LPG-propane-or-butane'!Q8,'BIFUbC-hydrogen'!Q8)</f>
        <v>32002217569572.156</v>
      </c>
      <c r="R9" s="16">
        <f>SUM('BIFUbC-electricity'!R8,'BIFUbC-coal'!R8,'BIFUbC-natural-gas'!R8,'BIFUbC-biomass'!R8,'BIFUbC-heat'!R8,'BIFUbC-crude-oil'!R8,'BIFUbC-petroleum-diesel'!R8,'BIFUbC-heavy-or-residual-oil'!R8,'BIFUbC-LPG-propane-or-butane'!R8,'BIFUbC-hydrogen'!R8)</f>
        <v>32426547028226.02</v>
      </c>
      <c r="S9" s="16">
        <f>SUM('BIFUbC-electricity'!S8,'BIFUbC-coal'!S8,'BIFUbC-natural-gas'!S8,'BIFUbC-biomass'!S8,'BIFUbC-heat'!S8,'BIFUbC-crude-oil'!S8,'BIFUbC-petroleum-diesel'!S8,'BIFUbC-heavy-or-residual-oil'!S8,'BIFUbC-LPG-propane-or-butane'!S8,'BIFUbC-hydrogen'!S8)</f>
        <v>32850876486879.887</v>
      </c>
      <c r="T9" s="16">
        <f>SUM('BIFUbC-electricity'!T8,'BIFUbC-coal'!T8,'BIFUbC-natural-gas'!T8,'BIFUbC-biomass'!T8,'BIFUbC-heat'!T8,'BIFUbC-crude-oil'!T8,'BIFUbC-petroleum-diesel'!T8,'BIFUbC-heavy-or-residual-oil'!T8,'BIFUbC-LPG-propane-or-butane'!T8,'BIFUbC-hydrogen'!T8)</f>
        <v>33275205945533.629</v>
      </c>
      <c r="U9" s="16">
        <f>SUM('BIFUbC-electricity'!U8,'BIFUbC-coal'!U8,'BIFUbC-natural-gas'!U8,'BIFUbC-biomass'!U8,'BIFUbC-heat'!U8,'BIFUbC-crude-oil'!U8,'BIFUbC-petroleum-diesel'!U8,'BIFUbC-heavy-or-residual-oil'!U8,'BIFUbC-LPG-propane-or-butane'!U8,'BIFUbC-hydrogen'!U8)</f>
        <v>33699535404187.508</v>
      </c>
      <c r="V9" s="16">
        <f>SUM('BIFUbC-electricity'!V8,'BIFUbC-coal'!V8,'BIFUbC-natural-gas'!V8,'BIFUbC-biomass'!V8,'BIFUbC-heat'!V8,'BIFUbC-crude-oil'!V8,'BIFUbC-petroleum-diesel'!V8,'BIFUbC-heavy-or-residual-oil'!V8,'BIFUbC-LPG-propane-or-butane'!V8,'BIFUbC-hydrogen'!V8)</f>
        <v>34123864862841.184</v>
      </c>
      <c r="W9" s="16">
        <f>SUM('BIFUbC-electricity'!W8,'BIFUbC-coal'!W8,'BIFUbC-natural-gas'!W8,'BIFUbC-biomass'!W8,'BIFUbC-heat'!W8,'BIFUbC-crude-oil'!W8,'BIFUbC-petroleum-diesel'!W8,'BIFUbC-heavy-or-residual-oil'!W8,'BIFUbC-LPG-propane-or-butane'!W8,'BIFUbC-hydrogen'!W8)</f>
        <v>34552710716270.699</v>
      </c>
      <c r="X9" s="16">
        <f>SUM('BIFUbC-electricity'!X8,'BIFUbC-coal'!X8,'BIFUbC-natural-gas'!X8,'BIFUbC-biomass'!X8,'BIFUbC-heat'!X8,'BIFUbC-crude-oil'!X8,'BIFUbC-petroleum-diesel'!X8,'BIFUbC-heavy-or-residual-oil'!X8,'BIFUbC-LPG-propane-or-butane'!X8,'BIFUbC-hydrogen'!X8)</f>
        <v>34978477209625.906</v>
      </c>
      <c r="Y9" s="16">
        <f>SUM('BIFUbC-electricity'!Y8,'BIFUbC-coal'!Y8,'BIFUbC-natural-gas'!Y8,'BIFUbC-biomass'!Y8,'BIFUbC-heat'!Y8,'BIFUbC-crude-oil'!Y8,'BIFUbC-petroleum-diesel'!Y8,'BIFUbC-heavy-or-residual-oil'!Y8,'BIFUbC-LPG-propane-or-butane'!Y8,'BIFUbC-hydrogen'!Y8)</f>
        <v>35404243702981.125</v>
      </c>
      <c r="Z9" s="16">
        <f>SUM('BIFUbC-electricity'!Z8,'BIFUbC-coal'!Z8,'BIFUbC-natural-gas'!Z8,'BIFUbC-biomass'!Z8,'BIFUbC-heat'!Z8,'BIFUbC-crude-oil'!Z8,'BIFUbC-petroleum-diesel'!Z8,'BIFUbC-heavy-or-residual-oil'!Z8,'BIFUbC-LPG-propane-or-butane'!Z8,'BIFUbC-hydrogen'!Z8)</f>
        <v>35830010196336.219</v>
      </c>
      <c r="AA9" s="16">
        <f>SUM('BIFUbC-electricity'!AA8,'BIFUbC-coal'!AA8,'BIFUbC-natural-gas'!AA8,'BIFUbC-biomass'!AA8,'BIFUbC-heat'!AA8,'BIFUbC-crude-oil'!AA8,'BIFUbC-petroleum-diesel'!AA8,'BIFUbC-heavy-or-residual-oil'!AA8,'BIFUbC-LPG-propane-or-butane'!AA8,'BIFUbC-hydrogen'!AA8)</f>
        <v>36255776689691.453</v>
      </c>
      <c r="AB9" s="16">
        <f>SUM('BIFUbC-electricity'!AB8,'BIFUbC-coal'!AB8,'BIFUbC-natural-gas'!AB8,'BIFUbC-biomass'!AB8,'BIFUbC-heat'!AB8,'BIFUbC-crude-oil'!AB8,'BIFUbC-petroleum-diesel'!AB8,'BIFUbC-heavy-or-residual-oil'!AB8,'BIFUbC-LPG-propane-or-butane'!AB8,'BIFUbC-hydrogen'!AB8)</f>
        <v>36681543183046.664</v>
      </c>
      <c r="AC9" s="16">
        <f>SUM('BIFUbC-electricity'!AC8,'BIFUbC-coal'!AC8,'BIFUbC-natural-gas'!AC8,'BIFUbC-biomass'!AC8,'BIFUbC-heat'!AC8,'BIFUbC-crude-oil'!AC8,'BIFUbC-petroleum-diesel'!AC8,'BIFUbC-heavy-or-residual-oil'!AC8,'BIFUbC-LPG-propane-or-butane'!AC8,'BIFUbC-hydrogen'!AC8)</f>
        <v>37107309676401.773</v>
      </c>
      <c r="AD9" s="16">
        <f>SUM('BIFUbC-electricity'!AD8,'BIFUbC-coal'!AD8,'BIFUbC-natural-gas'!AD8,'BIFUbC-biomass'!AD8,'BIFUbC-heat'!AD8,'BIFUbC-crude-oil'!AD8,'BIFUbC-petroleum-diesel'!AD8,'BIFUbC-heavy-or-residual-oil'!AD8,'BIFUbC-LPG-propane-or-butane'!AD8,'BIFUbC-hydrogen'!AD8)</f>
        <v>37533076169757.008</v>
      </c>
      <c r="AE9" s="16">
        <f>SUM('BIFUbC-electricity'!AE8,'BIFUbC-coal'!AE8,'BIFUbC-natural-gas'!AE8,'BIFUbC-biomass'!AE8,'BIFUbC-heat'!AE8,'BIFUbC-crude-oil'!AE8,'BIFUbC-petroleum-diesel'!AE8,'BIFUbC-heavy-or-residual-oil'!AE8,'BIFUbC-LPG-propane-or-butane'!AE8,'BIFUbC-hydrogen'!AE8)</f>
        <v>37958842663112.242</v>
      </c>
      <c r="AF9" s="16">
        <f>SUM('BIFUbC-electricity'!AF8,'BIFUbC-coal'!AF8,'BIFUbC-natural-gas'!AF8,'BIFUbC-biomass'!AF8,'BIFUbC-heat'!AF8,'BIFUbC-crude-oil'!AF8,'BIFUbC-petroleum-diesel'!AF8,'BIFUbC-heavy-or-residual-oil'!AF8,'BIFUbC-LPG-propane-or-butane'!AF8,'BIFUbC-hydrogen'!AF8)</f>
        <v>38384609156467.352</v>
      </c>
    </row>
    <row r="10" spans="1:32">
      <c r="A10" t="s">
        <v>9</v>
      </c>
      <c r="B10" s="16">
        <f>SUM('BIFUbC-electricity'!B9,'BIFUbC-coal'!B9,'BIFUbC-natural-gas'!B9,'BIFUbC-biomass'!B9,'BIFUbC-heat'!B9,'BIFUbC-crude-oil'!B9,'BIFUbC-petroleum-diesel'!B9,'BIFUbC-heavy-or-residual-oil'!B9,'BIFUbC-LPG-propane-or-butane'!B9,'BIFUbC-hydrogen'!B9)</f>
        <v>174455294971569.66</v>
      </c>
      <c r="C10" s="16">
        <f>SUM('BIFUbC-electricity'!C9,'BIFUbC-coal'!C9,'BIFUbC-natural-gas'!C9,'BIFUbC-biomass'!C9,'BIFUbC-heat'!C9,'BIFUbC-crude-oil'!C9,'BIFUbC-petroleum-diesel'!C9,'BIFUbC-heavy-or-residual-oil'!C9,'BIFUbC-LPG-propane-or-butane'!C9,'BIFUbC-hydrogen'!C9)</f>
        <v>181494986562694.91</v>
      </c>
      <c r="D10" s="16">
        <f>SUM('BIFUbC-electricity'!D9,'BIFUbC-coal'!D9,'BIFUbC-natural-gas'!D9,'BIFUbC-biomass'!D9,'BIFUbC-heat'!D9,'BIFUbC-crude-oil'!D9,'BIFUbC-petroleum-diesel'!D9,'BIFUbC-heavy-or-residual-oil'!D9,'BIFUbC-LPG-propane-or-butane'!D9,'BIFUbC-hydrogen'!D9)</f>
        <v>188534678153820.06</v>
      </c>
      <c r="E10" s="16">
        <f>SUM('BIFUbC-electricity'!E9,'BIFUbC-coal'!E9,'BIFUbC-natural-gas'!E9,'BIFUbC-biomass'!E9,'BIFUbC-heat'!E9,'BIFUbC-crude-oil'!E9,'BIFUbC-petroleum-diesel'!E9,'BIFUbC-heavy-or-residual-oil'!E9,'BIFUbC-LPG-propane-or-butane'!E9,'BIFUbC-hydrogen'!E9)</f>
        <v>195574369744945.38</v>
      </c>
      <c r="F10" s="16">
        <f>SUM('BIFUbC-electricity'!F9,'BIFUbC-coal'!F9,'BIFUbC-natural-gas'!F9,'BIFUbC-biomass'!F9,'BIFUbC-heat'!F9,'BIFUbC-crude-oil'!F9,'BIFUbC-petroleum-diesel'!F9,'BIFUbC-heavy-or-residual-oil'!F9,'BIFUbC-LPG-propane-or-butane'!F9,'BIFUbC-hydrogen'!F9)</f>
        <v>202614061336070.75</v>
      </c>
      <c r="G10" s="16">
        <f>SUM('BIFUbC-electricity'!G9,'BIFUbC-coal'!G9,'BIFUbC-natural-gas'!G9,'BIFUbC-biomass'!G9,'BIFUbC-heat'!G9,'BIFUbC-crude-oil'!G9,'BIFUbC-petroleum-diesel'!G9,'BIFUbC-heavy-or-residual-oil'!G9,'BIFUbC-LPG-propane-or-butane'!G9,'BIFUbC-hydrogen'!G9)</f>
        <v>209653752927196.19</v>
      </c>
      <c r="H10" s="16">
        <f>SUM('BIFUbC-electricity'!H9,'BIFUbC-coal'!H9,'BIFUbC-natural-gas'!H9,'BIFUbC-biomass'!H9,'BIFUbC-heat'!H9,'BIFUbC-crude-oil'!H9,'BIFUbC-petroleum-diesel'!H9,'BIFUbC-heavy-or-residual-oil'!H9,'BIFUbC-LPG-propane-or-butane'!H9,'BIFUbC-hydrogen'!H9)</f>
        <v>213956423558383.56</v>
      </c>
      <c r="I10" s="16">
        <f>SUM('BIFUbC-electricity'!I9,'BIFUbC-coal'!I9,'BIFUbC-natural-gas'!I9,'BIFUbC-biomass'!I9,'BIFUbC-heat'!I9,'BIFUbC-crude-oil'!I9,'BIFUbC-petroleum-diesel'!I9,'BIFUbC-heavy-or-residual-oil'!I9,'BIFUbC-LPG-propane-or-butane'!I9,'BIFUbC-hydrogen'!I9)</f>
        <v>218259094189570.97</v>
      </c>
      <c r="J10" s="16">
        <f>SUM('BIFUbC-electricity'!J9,'BIFUbC-coal'!J9,'BIFUbC-natural-gas'!J9,'BIFUbC-biomass'!J9,'BIFUbC-heat'!J9,'BIFUbC-crude-oil'!J9,'BIFUbC-petroleum-diesel'!J9,'BIFUbC-heavy-or-residual-oil'!J9,'BIFUbC-LPG-propane-or-butane'!J9,'BIFUbC-hydrogen'!J9)</f>
        <v>222561764820757.34</v>
      </c>
      <c r="K10" s="16">
        <f>SUM('BIFUbC-electricity'!K9,'BIFUbC-coal'!K9,'BIFUbC-natural-gas'!K9,'BIFUbC-biomass'!K9,'BIFUbC-heat'!K9,'BIFUbC-crude-oil'!K9,'BIFUbC-petroleum-diesel'!K9,'BIFUbC-heavy-or-residual-oil'!K9,'BIFUbC-LPG-propane-or-butane'!K9,'BIFUbC-hydrogen'!K9)</f>
        <v>226864435451944.88</v>
      </c>
      <c r="L10" s="16">
        <f>SUM('BIFUbC-electricity'!L9,'BIFUbC-coal'!L9,'BIFUbC-natural-gas'!L9,'BIFUbC-biomass'!L9,'BIFUbC-heat'!L9,'BIFUbC-crude-oil'!L9,'BIFUbC-petroleum-diesel'!L9,'BIFUbC-heavy-or-residual-oil'!L9,'BIFUbC-LPG-propane-or-butane'!L9,'BIFUbC-hydrogen'!L9)</f>
        <v>231167106083130.78</v>
      </c>
      <c r="M10" s="16">
        <f>SUM('BIFUbC-electricity'!M9,'BIFUbC-coal'!M9,'BIFUbC-natural-gas'!M9,'BIFUbC-biomass'!M9,'BIFUbC-heat'!M9,'BIFUbC-crude-oil'!M9,'BIFUbC-petroleum-diesel'!M9,'BIFUbC-heavy-or-residual-oil'!M9,'BIFUbC-LPG-propane-or-butane'!M9,'BIFUbC-hydrogen'!M9)</f>
        <v>234852841522375.91</v>
      </c>
      <c r="N10" s="16">
        <f>SUM('BIFUbC-electricity'!N9,'BIFUbC-coal'!N9,'BIFUbC-natural-gas'!N9,'BIFUbC-biomass'!N9,'BIFUbC-heat'!N9,'BIFUbC-crude-oil'!N9,'BIFUbC-petroleum-diesel'!N9,'BIFUbC-heavy-or-residual-oil'!N9,'BIFUbC-LPG-propane-or-butane'!N9,'BIFUbC-hydrogen'!N9)</f>
        <v>238538576961619.41</v>
      </c>
      <c r="O10" s="16">
        <f>SUM('BIFUbC-electricity'!O9,'BIFUbC-coal'!O9,'BIFUbC-natural-gas'!O9,'BIFUbC-biomass'!O9,'BIFUbC-heat'!O9,'BIFUbC-crude-oil'!O9,'BIFUbC-petroleum-diesel'!O9,'BIFUbC-heavy-or-residual-oil'!O9,'BIFUbC-LPG-propane-or-butane'!O9,'BIFUbC-hydrogen'!O9)</f>
        <v>242224312400864.16</v>
      </c>
      <c r="P10" s="16">
        <f>SUM('BIFUbC-electricity'!P9,'BIFUbC-coal'!P9,'BIFUbC-natural-gas'!P9,'BIFUbC-biomass'!P9,'BIFUbC-heat'!P9,'BIFUbC-crude-oil'!P9,'BIFUbC-petroleum-diesel'!P9,'BIFUbC-heavy-or-residual-oil'!P9,'BIFUbC-LPG-propane-or-butane'!P9,'BIFUbC-hydrogen'!P9)</f>
        <v>245910047840107.84</v>
      </c>
      <c r="Q10" s="16">
        <f>SUM('BIFUbC-electricity'!Q9,'BIFUbC-coal'!Q9,'BIFUbC-natural-gas'!Q9,'BIFUbC-biomass'!Q9,'BIFUbC-heat'!Q9,'BIFUbC-crude-oil'!Q9,'BIFUbC-petroleum-diesel'!Q9,'BIFUbC-heavy-or-residual-oil'!Q9,'BIFUbC-LPG-propane-or-butane'!Q9,'BIFUbC-hydrogen'!Q9)</f>
        <v>249595783279351.56</v>
      </c>
      <c r="R10" s="16">
        <f>SUM('BIFUbC-electricity'!R9,'BIFUbC-coal'!R9,'BIFUbC-natural-gas'!R9,'BIFUbC-biomass'!R9,'BIFUbC-heat'!R9,'BIFUbC-crude-oil'!R9,'BIFUbC-petroleum-diesel'!R9,'BIFUbC-heavy-or-residual-oil'!R9,'BIFUbC-LPG-propane-or-butane'!R9,'BIFUbC-hydrogen'!R9)</f>
        <v>253298585322946.47</v>
      </c>
      <c r="S10" s="16">
        <f>SUM('BIFUbC-electricity'!S9,'BIFUbC-coal'!S9,'BIFUbC-natural-gas'!S9,'BIFUbC-biomass'!S9,'BIFUbC-heat'!S9,'BIFUbC-crude-oil'!S9,'BIFUbC-petroleum-diesel'!S9,'BIFUbC-heavy-or-residual-oil'!S9,'BIFUbC-LPG-propane-or-butane'!S9,'BIFUbC-hydrogen'!S9)</f>
        <v>257001387366541.5</v>
      </c>
      <c r="T10" s="16">
        <f>SUM('BIFUbC-electricity'!T9,'BIFUbC-coal'!T9,'BIFUbC-natural-gas'!T9,'BIFUbC-biomass'!T9,'BIFUbC-heat'!T9,'BIFUbC-crude-oil'!T9,'BIFUbC-petroleum-diesel'!T9,'BIFUbC-heavy-or-residual-oil'!T9,'BIFUbC-LPG-propane-or-butane'!T9,'BIFUbC-hydrogen'!T9)</f>
        <v>260704189410135.47</v>
      </c>
      <c r="U10" s="16">
        <f>SUM('BIFUbC-electricity'!U9,'BIFUbC-coal'!U9,'BIFUbC-natural-gas'!U9,'BIFUbC-biomass'!U9,'BIFUbC-heat'!U9,'BIFUbC-crude-oil'!U9,'BIFUbC-petroleum-diesel'!U9,'BIFUbC-heavy-or-residual-oil'!U9,'BIFUbC-LPG-propane-or-butane'!U9,'BIFUbC-hydrogen'!U9)</f>
        <v>264406991453730.59</v>
      </c>
      <c r="V10" s="16">
        <f>SUM('BIFUbC-electricity'!V9,'BIFUbC-coal'!V9,'BIFUbC-natural-gas'!V9,'BIFUbC-biomass'!V9,'BIFUbC-heat'!V9,'BIFUbC-crude-oil'!V9,'BIFUbC-petroleum-diesel'!V9,'BIFUbC-heavy-or-residual-oil'!V9,'BIFUbC-LPG-propane-or-butane'!V9,'BIFUbC-hydrogen'!V9)</f>
        <v>268109793497324.13</v>
      </c>
      <c r="W10" s="16">
        <f>SUM('BIFUbC-electricity'!W9,'BIFUbC-coal'!W9,'BIFUbC-natural-gas'!W9,'BIFUbC-biomass'!W9,'BIFUbC-heat'!W9,'BIFUbC-crude-oil'!W9,'BIFUbC-petroleum-diesel'!W9,'BIFUbC-heavy-or-residual-oil'!W9,'BIFUbC-LPG-propane-or-butane'!W9,'BIFUbC-hydrogen'!W9)</f>
        <v>271789840068452.25</v>
      </c>
      <c r="X10" s="16">
        <f>SUM('BIFUbC-electricity'!X9,'BIFUbC-coal'!X9,'BIFUbC-natural-gas'!X9,'BIFUbC-biomass'!X9,'BIFUbC-heat'!X9,'BIFUbC-crude-oil'!X9,'BIFUbC-petroleum-diesel'!X9,'BIFUbC-heavy-or-residual-oil'!X9,'BIFUbC-LPG-propane-or-butane'!X9,'BIFUbC-hydrogen'!X9)</f>
        <v>275485401734444.38</v>
      </c>
      <c r="Y10" s="16">
        <f>SUM('BIFUbC-electricity'!Y9,'BIFUbC-coal'!Y9,'BIFUbC-natural-gas'!Y9,'BIFUbC-biomass'!Y9,'BIFUbC-heat'!Y9,'BIFUbC-crude-oil'!Y9,'BIFUbC-petroleum-diesel'!Y9,'BIFUbC-heavy-or-residual-oil'!Y9,'BIFUbC-LPG-propane-or-butane'!Y9,'BIFUbC-hydrogen'!Y9)</f>
        <v>279180963400436.69</v>
      </c>
      <c r="Z10" s="16">
        <f>SUM('BIFUbC-electricity'!Z9,'BIFUbC-coal'!Z9,'BIFUbC-natural-gas'!Z9,'BIFUbC-biomass'!Z9,'BIFUbC-heat'!Z9,'BIFUbC-crude-oil'!Z9,'BIFUbC-petroleum-diesel'!Z9,'BIFUbC-heavy-or-residual-oil'!Z9,'BIFUbC-LPG-propane-or-butane'!Z9,'BIFUbC-hydrogen'!Z9)</f>
        <v>282876525066427.94</v>
      </c>
      <c r="AA10" s="16">
        <f>SUM('BIFUbC-electricity'!AA9,'BIFUbC-coal'!AA9,'BIFUbC-natural-gas'!AA9,'BIFUbC-biomass'!AA9,'BIFUbC-heat'!AA9,'BIFUbC-crude-oil'!AA9,'BIFUbC-petroleum-diesel'!AA9,'BIFUbC-heavy-or-residual-oil'!AA9,'BIFUbC-LPG-propane-or-butane'!AA9,'BIFUbC-hydrogen'!AA9)</f>
        <v>286572086732420.44</v>
      </c>
      <c r="AB10" s="16">
        <f>SUM('BIFUbC-electricity'!AB9,'BIFUbC-coal'!AB9,'BIFUbC-natural-gas'!AB9,'BIFUbC-biomass'!AB9,'BIFUbC-heat'!AB9,'BIFUbC-crude-oil'!AB9,'BIFUbC-petroleum-diesel'!AB9,'BIFUbC-heavy-or-residual-oil'!AB9,'BIFUbC-LPG-propane-or-butane'!AB9,'BIFUbC-hydrogen'!AB9)</f>
        <v>290267648398412.81</v>
      </c>
      <c r="AC10" s="16">
        <f>SUM('BIFUbC-electricity'!AC9,'BIFUbC-coal'!AC9,'BIFUbC-natural-gas'!AC9,'BIFUbC-biomass'!AC9,'BIFUbC-heat'!AC9,'BIFUbC-crude-oil'!AC9,'BIFUbC-petroleum-diesel'!AC9,'BIFUbC-heavy-or-residual-oil'!AC9,'BIFUbC-LPG-propane-or-butane'!AC9,'BIFUbC-hydrogen'!AC9)</f>
        <v>293963210064404.31</v>
      </c>
      <c r="AD10" s="16">
        <f>SUM('BIFUbC-electricity'!AD9,'BIFUbC-coal'!AD9,'BIFUbC-natural-gas'!AD9,'BIFUbC-biomass'!AD9,'BIFUbC-heat'!AD9,'BIFUbC-crude-oil'!AD9,'BIFUbC-petroleum-diesel'!AD9,'BIFUbC-heavy-or-residual-oil'!AD9,'BIFUbC-LPG-propane-or-butane'!AD9,'BIFUbC-hydrogen'!AD9)</f>
        <v>297658771730397.06</v>
      </c>
      <c r="AE10" s="16">
        <f>SUM('BIFUbC-electricity'!AE9,'BIFUbC-coal'!AE9,'BIFUbC-natural-gas'!AE9,'BIFUbC-biomass'!AE9,'BIFUbC-heat'!AE9,'BIFUbC-crude-oil'!AE9,'BIFUbC-petroleum-diesel'!AE9,'BIFUbC-heavy-or-residual-oil'!AE9,'BIFUbC-LPG-propane-or-butane'!AE9,'BIFUbC-hydrogen'!AE9)</f>
        <v>301354333396389.88</v>
      </c>
      <c r="AF10" s="16">
        <f>SUM('BIFUbC-electricity'!AF9,'BIFUbC-coal'!AF9,'BIFUbC-natural-gas'!AF9,'BIFUbC-biomass'!AF9,'BIFUbC-heat'!AF9,'BIFUbC-crude-oil'!AF9,'BIFUbC-petroleum-diesel'!AF9,'BIFUbC-heavy-or-residual-oil'!AF9,'BIFUbC-LPG-propane-or-butane'!AF9,'BIFUbC-hydrogen'!AF9)</f>
        <v>305049895062381.69</v>
      </c>
    </row>
    <row r="11" spans="1:32">
      <c r="A11" t="s">
        <v>648</v>
      </c>
      <c r="B11" s="16">
        <f>SUM('BIFUbC-electricity'!B10,'BIFUbC-coal'!B10,'BIFUbC-natural-gas'!B10,'BIFUbC-biomass'!B10,'BIFUbC-heat'!B10,'BIFUbC-crude-oil'!B10,'BIFUbC-petroleum-diesel'!B10,'BIFUbC-heavy-or-residual-oil'!B10,'BIFUbC-LPG-propane-or-butane'!B10,'BIFUbC-hydrogen'!B10)</f>
        <v>6223881563907680</v>
      </c>
      <c r="C11" s="16">
        <f>SUM('BIFUbC-electricity'!C10,'BIFUbC-coal'!C10,'BIFUbC-natural-gas'!C10,'BIFUbC-biomass'!C10,'BIFUbC-heat'!C10,'BIFUbC-crude-oil'!C10,'BIFUbC-petroleum-diesel'!C10,'BIFUbC-heavy-or-residual-oil'!C10,'BIFUbC-LPG-propane-or-butane'!C10,'BIFUbC-hydrogen'!C10)</f>
        <v>6258328198147919</v>
      </c>
      <c r="D11" s="16">
        <f>SUM('BIFUbC-electricity'!D10,'BIFUbC-coal'!D10,'BIFUbC-natural-gas'!D10,'BIFUbC-biomass'!D10,'BIFUbC-heat'!D10,'BIFUbC-crude-oil'!D10,'BIFUbC-petroleum-diesel'!D10,'BIFUbC-heavy-or-residual-oil'!D10,'BIFUbC-LPG-propane-or-butane'!D10,'BIFUbC-hydrogen'!D10)</f>
        <v>6292774832388178</v>
      </c>
      <c r="E11" s="16">
        <f>SUM('BIFUbC-electricity'!E10,'BIFUbC-coal'!E10,'BIFUbC-natural-gas'!E10,'BIFUbC-biomass'!E10,'BIFUbC-heat'!E10,'BIFUbC-crude-oil'!E10,'BIFUbC-petroleum-diesel'!E10,'BIFUbC-heavy-or-residual-oil'!E10,'BIFUbC-LPG-propane-or-butane'!E10,'BIFUbC-hydrogen'!E10)</f>
        <v>6284658319923451</v>
      </c>
      <c r="F11" s="16">
        <f>SUM('BIFUbC-electricity'!F10,'BIFUbC-coal'!F10,'BIFUbC-natural-gas'!F10,'BIFUbC-biomass'!F10,'BIFUbC-heat'!F10,'BIFUbC-crude-oil'!F10,'BIFUbC-petroleum-diesel'!F10,'BIFUbC-heavy-or-residual-oil'!F10,'BIFUbC-LPG-propane-or-butane'!F10,'BIFUbC-hydrogen'!F10)</f>
        <v>6276541807458727</v>
      </c>
      <c r="G11" s="16">
        <f>SUM('BIFUbC-electricity'!G10,'BIFUbC-coal'!G10,'BIFUbC-natural-gas'!G10,'BIFUbC-biomass'!G10,'BIFUbC-heat'!G10,'BIFUbC-crude-oil'!G10,'BIFUbC-petroleum-diesel'!G10,'BIFUbC-heavy-or-residual-oil'!G10,'BIFUbC-LPG-propane-or-butane'!G10,'BIFUbC-hydrogen'!G10)</f>
        <v>6268425294994000</v>
      </c>
      <c r="H11" s="16">
        <f>SUM('BIFUbC-electricity'!H10,'BIFUbC-coal'!H10,'BIFUbC-natural-gas'!H10,'BIFUbC-biomass'!H10,'BIFUbC-heat'!H10,'BIFUbC-crude-oil'!H10,'BIFUbC-petroleum-diesel'!H10,'BIFUbC-heavy-or-residual-oil'!H10,'BIFUbC-LPG-propane-or-butane'!H10,'BIFUbC-hydrogen'!H10)</f>
        <v>6260308782529276</v>
      </c>
      <c r="I11" s="16">
        <f>SUM('BIFUbC-electricity'!I10,'BIFUbC-coal'!I10,'BIFUbC-natural-gas'!I10,'BIFUbC-biomass'!I10,'BIFUbC-heat'!I10,'BIFUbC-crude-oil'!I10,'BIFUbC-petroleum-diesel'!I10,'BIFUbC-heavy-or-residual-oil'!I10,'BIFUbC-LPG-propane-or-butane'!I10,'BIFUbC-hydrogen'!I10)</f>
        <v>6252192270064549</v>
      </c>
      <c r="J11" s="16">
        <f>SUM('BIFUbC-electricity'!J10,'BIFUbC-coal'!J10,'BIFUbC-natural-gas'!J10,'BIFUbC-biomass'!J10,'BIFUbC-heat'!J10,'BIFUbC-crude-oil'!J10,'BIFUbC-petroleum-diesel'!J10,'BIFUbC-heavy-or-residual-oil'!J10,'BIFUbC-LPG-propane-or-butane'!J10,'BIFUbC-hydrogen'!J10)</f>
        <v>6244075757599825</v>
      </c>
      <c r="K11" s="16">
        <f>SUM('BIFUbC-electricity'!K10,'BIFUbC-coal'!K10,'BIFUbC-natural-gas'!K10,'BIFUbC-biomass'!K10,'BIFUbC-heat'!K10,'BIFUbC-crude-oil'!K10,'BIFUbC-petroleum-diesel'!K10,'BIFUbC-heavy-or-residual-oil'!K10,'BIFUbC-LPG-propane-or-butane'!K10,'BIFUbC-hydrogen'!K10)</f>
        <v>6235959245135098</v>
      </c>
      <c r="L11" s="16">
        <f>SUM('BIFUbC-electricity'!L10,'BIFUbC-coal'!L10,'BIFUbC-natural-gas'!L10,'BIFUbC-biomass'!L10,'BIFUbC-heat'!L10,'BIFUbC-crude-oil'!L10,'BIFUbC-petroleum-diesel'!L10,'BIFUbC-heavy-or-residual-oil'!L10,'BIFUbC-LPG-propane-or-butane'!L10,'BIFUbC-hydrogen'!L10)</f>
        <v>6227842732670374</v>
      </c>
      <c r="M11" s="16">
        <f>SUM('BIFUbC-electricity'!M10,'BIFUbC-coal'!M10,'BIFUbC-natural-gas'!M10,'BIFUbC-biomass'!M10,'BIFUbC-heat'!M10,'BIFUbC-crude-oil'!M10,'BIFUbC-petroleum-diesel'!M10,'BIFUbC-heavy-or-residual-oil'!M10,'BIFUbC-LPG-propane-or-butane'!M10,'BIFUbC-hydrogen'!M10)</f>
        <v>6195667168520738</v>
      </c>
      <c r="N11" s="16">
        <f>SUM('BIFUbC-electricity'!N10,'BIFUbC-coal'!N10,'BIFUbC-natural-gas'!N10,'BIFUbC-biomass'!N10,'BIFUbC-heat'!N10,'BIFUbC-crude-oil'!N10,'BIFUbC-petroleum-diesel'!N10,'BIFUbC-heavy-or-residual-oil'!N10,'BIFUbC-LPG-propane-or-butane'!N10,'BIFUbC-hydrogen'!N10)</f>
        <v>6163491604371099</v>
      </c>
      <c r="O11" s="16">
        <f>SUM('BIFUbC-electricity'!O10,'BIFUbC-coal'!O10,'BIFUbC-natural-gas'!O10,'BIFUbC-biomass'!O10,'BIFUbC-heat'!O10,'BIFUbC-crude-oil'!O10,'BIFUbC-petroleum-diesel'!O10,'BIFUbC-heavy-or-residual-oil'!O10,'BIFUbC-LPG-propane-or-butane'!O10,'BIFUbC-hydrogen'!O10)</f>
        <v>6131316040221461</v>
      </c>
      <c r="P11" s="16">
        <f>SUM('BIFUbC-electricity'!P10,'BIFUbC-coal'!P10,'BIFUbC-natural-gas'!P10,'BIFUbC-biomass'!P10,'BIFUbC-heat'!P10,'BIFUbC-crude-oil'!P10,'BIFUbC-petroleum-diesel'!P10,'BIFUbC-heavy-or-residual-oil'!P10,'BIFUbC-LPG-propane-or-butane'!P10,'BIFUbC-hydrogen'!P10)</f>
        <v>6099140476071822</v>
      </c>
      <c r="Q11" s="16">
        <f>SUM('BIFUbC-electricity'!Q10,'BIFUbC-coal'!Q10,'BIFUbC-natural-gas'!Q10,'BIFUbC-biomass'!Q10,'BIFUbC-heat'!Q10,'BIFUbC-crude-oil'!Q10,'BIFUbC-petroleum-diesel'!Q10,'BIFUbC-heavy-or-residual-oil'!Q10,'BIFUbC-LPG-propane-or-butane'!Q10,'BIFUbC-hydrogen'!Q10)</f>
        <v>6066964911922183</v>
      </c>
      <c r="R11" s="16">
        <f>SUM('BIFUbC-electricity'!R10,'BIFUbC-coal'!R10,'BIFUbC-natural-gas'!R10,'BIFUbC-biomass'!R10,'BIFUbC-heat'!R10,'BIFUbC-crude-oil'!R10,'BIFUbC-petroleum-diesel'!R10,'BIFUbC-heavy-or-residual-oil'!R10,'BIFUbC-LPG-propane-or-butane'!R10,'BIFUbC-hydrogen'!R10)</f>
        <v>6034789347772556</v>
      </c>
      <c r="S11" s="16">
        <f>SUM('BIFUbC-electricity'!S10,'BIFUbC-coal'!S10,'BIFUbC-natural-gas'!S10,'BIFUbC-biomass'!S10,'BIFUbC-heat'!S10,'BIFUbC-crude-oil'!S10,'BIFUbC-petroleum-diesel'!S10,'BIFUbC-heavy-or-residual-oil'!S10,'BIFUbC-LPG-propane-or-butane'!S10,'BIFUbC-hydrogen'!S10)</f>
        <v>6002613783622917</v>
      </c>
      <c r="T11" s="16">
        <f>SUM('BIFUbC-electricity'!T10,'BIFUbC-coal'!T10,'BIFUbC-natural-gas'!T10,'BIFUbC-biomass'!T10,'BIFUbC-heat'!T10,'BIFUbC-crude-oil'!T10,'BIFUbC-petroleum-diesel'!T10,'BIFUbC-heavy-or-residual-oil'!T10,'BIFUbC-LPG-propane-or-butane'!T10,'BIFUbC-hydrogen'!T10)</f>
        <v>5970438219473278</v>
      </c>
      <c r="U11" s="16">
        <f>SUM('BIFUbC-electricity'!U10,'BIFUbC-coal'!U10,'BIFUbC-natural-gas'!U10,'BIFUbC-biomass'!U10,'BIFUbC-heat'!U10,'BIFUbC-crude-oil'!U10,'BIFUbC-petroleum-diesel'!U10,'BIFUbC-heavy-or-residual-oil'!U10,'BIFUbC-LPG-propane-or-butane'!U10,'BIFUbC-hydrogen'!U10)</f>
        <v>5938262655323639</v>
      </c>
      <c r="V11" s="16">
        <f>SUM('BIFUbC-electricity'!V10,'BIFUbC-coal'!V10,'BIFUbC-natural-gas'!V10,'BIFUbC-biomass'!V10,'BIFUbC-heat'!V10,'BIFUbC-crude-oil'!V10,'BIFUbC-petroleum-diesel'!V10,'BIFUbC-heavy-or-residual-oil'!V10,'BIFUbC-LPG-propane-or-butane'!V10,'BIFUbC-hydrogen'!V10)</f>
        <v>5906087091174000</v>
      </c>
      <c r="W11" s="16">
        <f>SUM('BIFUbC-electricity'!W10,'BIFUbC-coal'!W10,'BIFUbC-natural-gas'!W10,'BIFUbC-biomass'!W10,'BIFUbC-heat'!W10,'BIFUbC-crude-oil'!W10,'BIFUbC-petroleum-diesel'!W10,'BIFUbC-heavy-or-residual-oil'!W10,'BIFUbC-LPG-propane-or-butane'!W10,'BIFUbC-hydrogen'!W10)</f>
        <v>5854409113916149</v>
      </c>
      <c r="X11" s="16">
        <f>SUM('BIFUbC-electricity'!X10,'BIFUbC-coal'!X10,'BIFUbC-natural-gas'!X10,'BIFUbC-biomass'!X10,'BIFUbC-heat'!X10,'BIFUbC-crude-oil'!X10,'BIFUbC-petroleum-diesel'!X10,'BIFUbC-heavy-or-residual-oil'!X10,'BIFUbC-LPG-propane-or-butane'!X10,'BIFUbC-hydrogen'!X10)</f>
        <v>5802731136658286</v>
      </c>
      <c r="Y11" s="16">
        <f>SUM('BIFUbC-electricity'!Y10,'BIFUbC-coal'!Y10,'BIFUbC-natural-gas'!Y10,'BIFUbC-biomass'!Y10,'BIFUbC-heat'!Y10,'BIFUbC-crude-oil'!Y10,'BIFUbC-petroleum-diesel'!Y10,'BIFUbC-heavy-or-residual-oil'!Y10,'BIFUbC-LPG-propane-or-butane'!Y10,'BIFUbC-hydrogen'!Y10)</f>
        <v>5751053159400423</v>
      </c>
      <c r="Z11" s="16">
        <f>SUM('BIFUbC-electricity'!Z10,'BIFUbC-coal'!Z10,'BIFUbC-natural-gas'!Z10,'BIFUbC-biomass'!Z10,'BIFUbC-heat'!Z10,'BIFUbC-crude-oil'!Z10,'BIFUbC-petroleum-diesel'!Z10,'BIFUbC-heavy-or-residual-oil'!Z10,'BIFUbC-LPG-propane-or-butane'!Z10,'BIFUbC-hydrogen'!Z10)</f>
        <v>5699375182142560</v>
      </c>
      <c r="AA11" s="16">
        <f>SUM('BIFUbC-electricity'!AA10,'BIFUbC-coal'!AA10,'BIFUbC-natural-gas'!AA10,'BIFUbC-biomass'!AA10,'BIFUbC-heat'!AA10,'BIFUbC-crude-oil'!AA10,'BIFUbC-petroleum-diesel'!AA10,'BIFUbC-heavy-or-residual-oil'!AA10,'BIFUbC-LPG-propane-or-butane'!AA10,'BIFUbC-hydrogen'!AA10)</f>
        <v>5647697204884697</v>
      </c>
      <c r="AB11" s="16">
        <f>SUM('BIFUbC-electricity'!AB10,'BIFUbC-coal'!AB10,'BIFUbC-natural-gas'!AB10,'BIFUbC-biomass'!AB10,'BIFUbC-heat'!AB10,'BIFUbC-crude-oil'!AB10,'BIFUbC-petroleum-diesel'!AB10,'BIFUbC-heavy-or-residual-oil'!AB10,'BIFUbC-LPG-propane-or-butane'!AB10,'BIFUbC-hydrogen'!AB10)</f>
        <v>5596019227626834</v>
      </c>
      <c r="AC11" s="16">
        <f>SUM('BIFUbC-electricity'!AC10,'BIFUbC-coal'!AC10,'BIFUbC-natural-gas'!AC10,'BIFUbC-biomass'!AC10,'BIFUbC-heat'!AC10,'BIFUbC-crude-oil'!AC10,'BIFUbC-petroleum-diesel'!AC10,'BIFUbC-heavy-or-residual-oil'!AC10,'BIFUbC-LPG-propane-or-butane'!AC10,'BIFUbC-hydrogen'!AC10)</f>
        <v>5544341250368971</v>
      </c>
      <c r="AD11" s="16">
        <f>SUM('BIFUbC-electricity'!AD10,'BIFUbC-coal'!AD10,'BIFUbC-natural-gas'!AD10,'BIFUbC-biomass'!AD10,'BIFUbC-heat'!AD10,'BIFUbC-crude-oil'!AD10,'BIFUbC-petroleum-diesel'!AD10,'BIFUbC-heavy-or-residual-oil'!AD10,'BIFUbC-LPG-propane-or-butane'!AD10,'BIFUbC-hydrogen'!AD10)</f>
        <v>5492663273111108</v>
      </c>
      <c r="AE11" s="16">
        <f>SUM('BIFUbC-electricity'!AE10,'BIFUbC-coal'!AE10,'BIFUbC-natural-gas'!AE10,'BIFUbC-biomass'!AE10,'BIFUbC-heat'!AE10,'BIFUbC-crude-oil'!AE10,'BIFUbC-petroleum-diesel'!AE10,'BIFUbC-heavy-or-residual-oil'!AE10,'BIFUbC-LPG-propane-or-butane'!AE10,'BIFUbC-hydrogen'!AE10)</f>
        <v>5440985295853245</v>
      </c>
      <c r="AF11" s="16">
        <f>SUM('BIFUbC-electricity'!AF10,'BIFUbC-coal'!AF10,'BIFUbC-natural-gas'!AF10,'BIFUbC-biomass'!AF10,'BIFUbC-heat'!AF10,'BIFUbC-crude-oil'!AF10,'BIFUbC-petroleum-diesel'!AF10,'BIFUbC-heavy-or-residual-oil'!AF10,'BIFUbC-LPG-propane-or-butane'!AF10,'BIFUbC-hydrogen'!AF10)</f>
        <v>5389307318595385</v>
      </c>
    </row>
    <row r="12" spans="1:32">
      <c r="A12" t="s">
        <v>124</v>
      </c>
      <c r="B12" s="16">
        <f>SUM('BIFUbC-electricity'!B11,'BIFUbC-coal'!B11,'BIFUbC-natural-gas'!B11,'BIFUbC-biomass'!B11,'BIFUbC-heat'!B11,'BIFUbC-crude-oil'!B11,'BIFUbC-petroleum-diesel'!B11,'BIFUbC-heavy-or-residual-oil'!B11,'BIFUbC-LPG-propane-or-butane'!B11,'BIFUbC-hydrogen'!B11)</f>
        <v>1828868811840539.5</v>
      </c>
      <c r="C12" s="16">
        <f>SUM('BIFUbC-electricity'!C11,'BIFUbC-coal'!C11,'BIFUbC-natural-gas'!C11,'BIFUbC-biomass'!C11,'BIFUbC-heat'!C11,'BIFUbC-crude-oil'!C11,'BIFUbC-petroleum-diesel'!C11,'BIFUbC-heavy-or-residual-oil'!C11,'BIFUbC-LPG-propane-or-butane'!C11,'BIFUbC-hydrogen'!C11)</f>
        <v>1993872345972072.8</v>
      </c>
      <c r="D12" s="16">
        <f>SUM('BIFUbC-electricity'!D11,'BIFUbC-coal'!D11,'BIFUbC-natural-gas'!D11,'BIFUbC-biomass'!D11,'BIFUbC-heat'!D11,'BIFUbC-crude-oil'!D11,'BIFUbC-petroleum-diesel'!D11,'BIFUbC-heavy-or-residual-oil'!D11,'BIFUbC-LPG-propane-or-butane'!D11,'BIFUbC-hydrogen'!D11)</f>
        <v>1892438137479563.5</v>
      </c>
      <c r="E12" s="16">
        <f>SUM('BIFUbC-electricity'!E11,'BIFUbC-coal'!E11,'BIFUbC-natural-gas'!E11,'BIFUbC-biomass'!E11,'BIFUbC-heat'!E11,'BIFUbC-crude-oil'!E11,'BIFUbC-petroleum-diesel'!E11,'BIFUbC-heavy-or-residual-oil'!E11,'BIFUbC-LPG-propane-or-butane'!E11,'BIFUbC-hydrogen'!E11)</f>
        <v>1773571291611045</v>
      </c>
      <c r="F12" s="16">
        <f>SUM('BIFUbC-electricity'!F11,'BIFUbC-coal'!F11,'BIFUbC-natural-gas'!F11,'BIFUbC-biomass'!F11,'BIFUbC-heat'!F11,'BIFUbC-crude-oil'!F11,'BIFUbC-petroleum-diesel'!F11,'BIFUbC-heavy-or-residual-oil'!F11,'BIFUbC-LPG-propane-or-butane'!F11,'BIFUbC-hydrogen'!F11)</f>
        <v>1725921454348916</v>
      </c>
      <c r="G12" s="16">
        <f>SUM('BIFUbC-electricity'!G11,'BIFUbC-coal'!G11,'BIFUbC-natural-gas'!G11,'BIFUbC-biomass'!G11,'BIFUbC-heat'!G11,'BIFUbC-crude-oil'!G11,'BIFUbC-petroleum-diesel'!G11,'BIFUbC-heavy-or-residual-oil'!G11,'BIFUbC-LPG-propane-or-butane'!G11,'BIFUbC-hydrogen'!G11)</f>
        <v>1701109489460102</v>
      </c>
      <c r="H12" s="16">
        <f>SUM('BIFUbC-electricity'!H11,'BIFUbC-coal'!H11,'BIFUbC-natural-gas'!H11,'BIFUbC-biomass'!H11,'BIFUbC-heat'!H11,'BIFUbC-crude-oil'!H11,'BIFUbC-petroleum-diesel'!H11,'BIFUbC-heavy-or-residual-oil'!H11,'BIFUbC-LPG-propane-or-butane'!H11,'BIFUbC-hydrogen'!H11)</f>
        <v>1675437171045737.3</v>
      </c>
      <c r="I12" s="16">
        <f>SUM('BIFUbC-electricity'!I11,'BIFUbC-coal'!I11,'BIFUbC-natural-gas'!I11,'BIFUbC-biomass'!I11,'BIFUbC-heat'!I11,'BIFUbC-crude-oil'!I11,'BIFUbC-petroleum-diesel'!I11,'BIFUbC-heavy-or-residual-oil'!I11,'BIFUbC-LPG-propane-or-butane'!I11,'BIFUbC-hydrogen'!I11)</f>
        <v>1647230748271391.5</v>
      </c>
      <c r="J12" s="16">
        <f>SUM('BIFUbC-electricity'!J11,'BIFUbC-coal'!J11,'BIFUbC-natural-gas'!J11,'BIFUbC-biomass'!J11,'BIFUbC-heat'!J11,'BIFUbC-crude-oil'!J11,'BIFUbC-petroleum-diesel'!J11,'BIFUbC-heavy-or-residual-oil'!J11,'BIFUbC-LPG-propane-or-butane'!J11,'BIFUbC-hydrogen'!J11)</f>
        <v>1617370647011852.3</v>
      </c>
      <c r="K12" s="16">
        <f>SUM('BIFUbC-electricity'!K11,'BIFUbC-coal'!K11,'BIFUbC-natural-gas'!K11,'BIFUbC-biomass'!K11,'BIFUbC-heat'!K11,'BIFUbC-crude-oil'!K11,'BIFUbC-petroleum-diesel'!K11,'BIFUbC-heavy-or-residual-oil'!K11,'BIFUbC-LPG-propane-or-butane'!K11,'BIFUbC-hydrogen'!K11)</f>
        <v>1574859871539356.8</v>
      </c>
      <c r="L12" s="16">
        <f>SUM('BIFUbC-electricity'!L11,'BIFUbC-coal'!L11,'BIFUbC-natural-gas'!L11,'BIFUbC-biomass'!L11,'BIFUbC-heat'!L11,'BIFUbC-crude-oil'!L11,'BIFUbC-petroleum-diesel'!L11,'BIFUbC-heavy-or-residual-oil'!L11,'BIFUbC-LPG-propane-or-butane'!L11,'BIFUbC-hydrogen'!L11)</f>
        <v>1563410142626294.5</v>
      </c>
      <c r="M12" s="16">
        <f>SUM('BIFUbC-electricity'!M11,'BIFUbC-coal'!M11,'BIFUbC-natural-gas'!M11,'BIFUbC-biomass'!M11,'BIFUbC-heat'!M11,'BIFUbC-crude-oil'!M11,'BIFUbC-petroleum-diesel'!M11,'BIFUbC-heavy-or-residual-oil'!M11,'BIFUbC-LPG-propane-or-butane'!M11,'BIFUbC-hydrogen'!M11)</f>
        <v>1552106396405234.5</v>
      </c>
      <c r="N12" s="16">
        <f>SUM('BIFUbC-electricity'!N11,'BIFUbC-coal'!N11,'BIFUbC-natural-gas'!N11,'BIFUbC-biomass'!N11,'BIFUbC-heat'!N11,'BIFUbC-crude-oil'!N11,'BIFUbC-petroleum-diesel'!N11,'BIFUbC-heavy-or-residual-oil'!N11,'BIFUbC-LPG-propane-or-butane'!N11,'BIFUbC-hydrogen'!N11)</f>
        <v>1540768813216168.3</v>
      </c>
      <c r="O12" s="16">
        <f>SUM('BIFUbC-electricity'!O11,'BIFUbC-coal'!O11,'BIFUbC-natural-gas'!O11,'BIFUbC-biomass'!O11,'BIFUbC-heat'!O11,'BIFUbC-crude-oil'!O11,'BIFUbC-petroleum-diesel'!O11,'BIFUbC-heavy-or-residual-oil'!O11,'BIFUbC-LPG-propane-or-butane'!O11,'BIFUbC-hydrogen'!O11)</f>
        <v>1529396814523900.3</v>
      </c>
      <c r="P12" s="16">
        <f>SUM('BIFUbC-electricity'!P11,'BIFUbC-coal'!P11,'BIFUbC-natural-gas'!P11,'BIFUbC-biomass'!P11,'BIFUbC-heat'!P11,'BIFUbC-crude-oil'!P11,'BIFUbC-petroleum-diesel'!P11,'BIFUbC-heavy-or-residual-oil'!P11,'BIFUbC-LPG-propane-or-butane'!P11,'BIFUbC-hydrogen'!P11)</f>
        <v>1517989804939415.5</v>
      </c>
      <c r="Q12" s="16">
        <f>SUM('BIFUbC-electricity'!Q11,'BIFUbC-coal'!Q11,'BIFUbC-natural-gas'!Q11,'BIFUbC-biomass'!Q11,'BIFUbC-heat'!Q11,'BIFUbC-crude-oil'!Q11,'BIFUbC-petroleum-diesel'!Q11,'BIFUbC-heavy-or-residual-oil'!Q11,'BIFUbC-LPG-propane-or-butane'!Q11,'BIFUbC-hydrogen'!Q11)</f>
        <v>1498285267142856.5</v>
      </c>
      <c r="R12" s="16">
        <f>SUM('BIFUbC-electricity'!R11,'BIFUbC-coal'!R11,'BIFUbC-natural-gas'!R11,'BIFUbC-biomass'!R11,'BIFUbC-heat'!R11,'BIFUbC-crude-oil'!R11,'BIFUbC-petroleum-diesel'!R11,'BIFUbC-heavy-or-residual-oil'!R11,'BIFUbC-LPG-propane-or-butane'!R11,'BIFUbC-hydrogen'!R11)</f>
        <v>1495634463019720</v>
      </c>
      <c r="S12" s="16">
        <f>SUM('BIFUbC-electricity'!S11,'BIFUbC-coal'!S11,'BIFUbC-natural-gas'!S11,'BIFUbC-biomass'!S11,'BIFUbC-heat'!S11,'BIFUbC-crude-oil'!S11,'BIFUbC-petroleum-diesel'!S11,'BIFUbC-heavy-or-residual-oil'!S11,'BIFUbC-LPG-propane-or-butane'!S11,'BIFUbC-hydrogen'!S11)</f>
        <v>1492983658896584.5</v>
      </c>
      <c r="T12" s="16">
        <f>SUM('BIFUbC-electricity'!T11,'BIFUbC-coal'!T11,'BIFUbC-natural-gas'!T11,'BIFUbC-biomass'!T11,'BIFUbC-heat'!T11,'BIFUbC-crude-oil'!T11,'BIFUbC-petroleum-diesel'!T11,'BIFUbC-heavy-or-residual-oil'!T11,'BIFUbC-LPG-propane-or-butane'!T11,'BIFUbC-hydrogen'!T11)</f>
        <v>1490332854773447.8</v>
      </c>
      <c r="U12" s="16">
        <f>SUM('BIFUbC-electricity'!U11,'BIFUbC-coal'!U11,'BIFUbC-natural-gas'!U11,'BIFUbC-biomass'!U11,'BIFUbC-heat'!U11,'BIFUbC-crude-oil'!U11,'BIFUbC-petroleum-diesel'!U11,'BIFUbC-heavy-or-residual-oil'!U11,'BIFUbC-LPG-propane-or-butane'!U11,'BIFUbC-hydrogen'!U11)</f>
        <v>1487682050650311.5</v>
      </c>
      <c r="V12" s="16">
        <f>SUM('BIFUbC-electricity'!V11,'BIFUbC-coal'!V11,'BIFUbC-natural-gas'!V11,'BIFUbC-biomass'!V11,'BIFUbC-heat'!V11,'BIFUbC-crude-oil'!V11,'BIFUbC-petroleum-diesel'!V11,'BIFUbC-heavy-or-residual-oil'!V11,'BIFUbC-LPG-propane-or-butane'!V11,'BIFUbC-hydrogen'!V11)</f>
        <v>1485031246527176</v>
      </c>
      <c r="W12" s="16">
        <f>SUM('BIFUbC-electricity'!W11,'BIFUbC-coal'!W11,'BIFUbC-natural-gas'!W11,'BIFUbC-biomass'!W11,'BIFUbC-heat'!W11,'BIFUbC-crude-oil'!W11,'BIFUbC-petroleum-diesel'!W11,'BIFUbC-heavy-or-residual-oil'!W11,'BIFUbC-LPG-propane-or-butane'!W11,'BIFUbC-hydrogen'!W11)</f>
        <v>1482716267707018.3</v>
      </c>
      <c r="X12" s="16">
        <f>SUM('BIFUbC-electricity'!X11,'BIFUbC-coal'!X11,'BIFUbC-natural-gas'!X11,'BIFUbC-biomass'!X11,'BIFUbC-heat'!X11,'BIFUbC-crude-oil'!X11,'BIFUbC-petroleum-diesel'!X11,'BIFUbC-heavy-or-residual-oil'!X11,'BIFUbC-LPG-propane-or-butane'!X11,'BIFUbC-hydrogen'!X11)</f>
        <v>1480401288886860.5</v>
      </c>
      <c r="Y12" s="16">
        <f>SUM('BIFUbC-electricity'!Y11,'BIFUbC-coal'!Y11,'BIFUbC-natural-gas'!Y11,'BIFUbC-biomass'!Y11,'BIFUbC-heat'!Y11,'BIFUbC-crude-oil'!Y11,'BIFUbC-petroleum-diesel'!Y11,'BIFUbC-heavy-or-residual-oil'!Y11,'BIFUbC-LPG-propane-or-butane'!Y11,'BIFUbC-hydrogen'!Y11)</f>
        <v>1478086310066703.5</v>
      </c>
      <c r="Z12" s="16">
        <f>SUM('BIFUbC-electricity'!Z11,'BIFUbC-coal'!Z11,'BIFUbC-natural-gas'!Z11,'BIFUbC-biomass'!Z11,'BIFUbC-heat'!Z11,'BIFUbC-crude-oil'!Z11,'BIFUbC-petroleum-diesel'!Z11,'BIFUbC-heavy-or-residual-oil'!Z11,'BIFUbC-LPG-propane-or-butane'!Z11,'BIFUbC-hydrogen'!Z11)</f>
        <v>1475771331246546</v>
      </c>
      <c r="AA12" s="16">
        <f>SUM('BIFUbC-electricity'!AA11,'BIFUbC-coal'!AA11,'BIFUbC-natural-gas'!AA11,'BIFUbC-biomass'!AA11,'BIFUbC-heat'!AA11,'BIFUbC-crude-oil'!AA11,'BIFUbC-petroleum-diesel'!AA11,'BIFUbC-heavy-or-residual-oil'!AA11,'BIFUbC-LPG-propane-or-butane'!AA11,'BIFUbC-hydrogen'!AA11)</f>
        <v>1473456352426389</v>
      </c>
      <c r="AB12" s="16">
        <f>SUM('BIFUbC-electricity'!AB11,'BIFUbC-coal'!AB11,'BIFUbC-natural-gas'!AB11,'BIFUbC-biomass'!AB11,'BIFUbC-heat'!AB11,'BIFUbC-crude-oil'!AB11,'BIFUbC-petroleum-diesel'!AB11,'BIFUbC-heavy-or-residual-oil'!AB11,'BIFUbC-LPG-propane-or-butane'!AB11,'BIFUbC-hydrogen'!AB11)</f>
        <v>1471141373606231.8</v>
      </c>
      <c r="AC12" s="16">
        <f>SUM('BIFUbC-electricity'!AC11,'BIFUbC-coal'!AC11,'BIFUbC-natural-gas'!AC11,'BIFUbC-biomass'!AC11,'BIFUbC-heat'!AC11,'BIFUbC-crude-oil'!AC11,'BIFUbC-petroleum-diesel'!AC11,'BIFUbC-heavy-or-residual-oil'!AC11,'BIFUbC-LPG-propane-or-butane'!AC11,'BIFUbC-hydrogen'!AC11)</f>
        <v>1468826394786075</v>
      </c>
      <c r="AD12" s="16">
        <f>SUM('BIFUbC-electricity'!AD11,'BIFUbC-coal'!AD11,'BIFUbC-natural-gas'!AD11,'BIFUbC-biomass'!AD11,'BIFUbC-heat'!AD11,'BIFUbC-crude-oil'!AD11,'BIFUbC-petroleum-diesel'!AD11,'BIFUbC-heavy-or-residual-oil'!AD11,'BIFUbC-LPG-propane-or-butane'!AD11,'BIFUbC-hydrogen'!AD11)</f>
        <v>1466511415965917.5</v>
      </c>
      <c r="AE12" s="16">
        <f>SUM('BIFUbC-electricity'!AE11,'BIFUbC-coal'!AE11,'BIFUbC-natural-gas'!AE11,'BIFUbC-biomass'!AE11,'BIFUbC-heat'!AE11,'BIFUbC-crude-oil'!AE11,'BIFUbC-petroleum-diesel'!AE11,'BIFUbC-heavy-or-residual-oil'!AE11,'BIFUbC-LPG-propane-or-butane'!AE11,'BIFUbC-hydrogen'!AE11)</f>
        <v>1464196437145760</v>
      </c>
      <c r="AF12" s="16">
        <f>SUM('BIFUbC-electricity'!AF11,'BIFUbC-coal'!AF11,'BIFUbC-natural-gas'!AF11,'BIFUbC-biomass'!AF11,'BIFUbC-heat'!AF11,'BIFUbC-crude-oil'!AF11,'BIFUbC-petroleum-diesel'!AF11,'BIFUbC-heavy-or-residual-oil'!AF11,'BIFUbC-LPG-propane-or-butane'!AF11,'BIFUbC-hydrogen'!AF11)</f>
        <v>1461881458325604</v>
      </c>
    </row>
    <row r="13" spans="1:32">
      <c r="A13" t="s">
        <v>12</v>
      </c>
      <c r="B13" s="16">
        <f>SUM('BIFUbC-electricity'!B12,'BIFUbC-coal'!B12,'BIFUbC-natural-gas'!B12,'BIFUbC-biomass'!B12,'BIFUbC-heat'!B12,'BIFUbC-crude-oil'!B12,'BIFUbC-petroleum-diesel'!B12,'BIFUbC-heavy-or-residual-oil'!B12,'BIFUbC-LPG-propane-or-butane'!B12,'BIFUbC-hydrogen'!B12)</f>
        <v>1071854503107422.3</v>
      </c>
      <c r="C13" s="16">
        <f>SUM('BIFUbC-electricity'!C12,'BIFUbC-coal'!C12,'BIFUbC-natural-gas'!C12,'BIFUbC-biomass'!C12,'BIFUbC-heat'!C12,'BIFUbC-crude-oil'!C12,'BIFUbC-petroleum-diesel'!C12,'BIFUbC-heavy-or-residual-oil'!C12,'BIFUbC-LPG-propane-or-butane'!C12,'BIFUbC-hydrogen'!C12)</f>
        <v>1153535857378615.8</v>
      </c>
      <c r="D13" s="16">
        <f>SUM('BIFUbC-electricity'!D12,'BIFUbC-coal'!D12,'BIFUbC-natural-gas'!D12,'BIFUbC-biomass'!D12,'BIFUbC-heat'!D12,'BIFUbC-crude-oil'!D12,'BIFUbC-petroleum-diesel'!D12,'BIFUbC-heavy-or-residual-oil'!D12,'BIFUbC-LPG-propane-or-butane'!D12,'BIFUbC-hydrogen'!D12)</f>
        <v>1100042652109625.5</v>
      </c>
      <c r="E13" s="16">
        <f>SUM('BIFUbC-electricity'!E12,'BIFUbC-coal'!E12,'BIFUbC-natural-gas'!E12,'BIFUbC-biomass'!E12,'BIFUbC-heat'!E12,'BIFUbC-crude-oil'!E12,'BIFUbC-petroleum-diesel'!E12,'BIFUbC-heavy-or-residual-oil'!E12,'BIFUbC-LPG-propane-or-butane'!E12,'BIFUbC-hydrogen'!E12)</f>
        <v>1037050550324047.8</v>
      </c>
      <c r="F13" s="16">
        <f>SUM('BIFUbC-electricity'!F12,'BIFUbC-coal'!F12,'BIFUbC-natural-gas'!F12,'BIFUbC-biomass'!F12,'BIFUbC-heat'!F12,'BIFUbC-crude-oil'!F12,'BIFUbC-petroleum-diesel'!F12,'BIFUbC-heavy-or-residual-oil'!F12,'BIFUbC-LPG-propane-or-butane'!F12,'BIFUbC-hydrogen'!F12)</f>
        <v>1012858436488701.5</v>
      </c>
      <c r="G13" s="16">
        <f>SUM('BIFUbC-electricity'!G12,'BIFUbC-coal'!G12,'BIFUbC-natural-gas'!G12,'BIFUbC-biomass'!G12,'BIFUbC-heat'!G12,'BIFUbC-crude-oil'!G12,'BIFUbC-petroleum-diesel'!G12,'BIFUbC-heavy-or-residual-oil'!G12,'BIFUbC-LPG-propane-or-butane'!G12,'BIFUbC-hydrogen'!G12)</f>
        <v>1000743652973075.5</v>
      </c>
      <c r="H13" s="16">
        <f>SUM('BIFUbC-electricity'!H12,'BIFUbC-coal'!H12,'BIFUbC-natural-gas'!H12,'BIFUbC-biomass'!H12,'BIFUbC-heat'!H12,'BIFUbC-crude-oil'!H12,'BIFUbC-petroleum-diesel'!H12,'BIFUbC-heavy-or-residual-oil'!H12,'BIFUbC-LPG-propane-or-butane'!H12,'BIFUbC-hydrogen'!H12)</f>
        <v>988990432815386</v>
      </c>
      <c r="I13" s="16">
        <f>SUM('BIFUbC-electricity'!I12,'BIFUbC-coal'!I12,'BIFUbC-natural-gas'!I12,'BIFUbC-biomass'!I12,'BIFUbC-heat'!I12,'BIFUbC-crude-oil'!I12,'BIFUbC-petroleum-diesel'!I12,'BIFUbC-heavy-or-residual-oil'!I12,'BIFUbC-LPG-propane-or-butane'!I12,'BIFUbC-hydrogen'!I12)</f>
        <v>975584516352253</v>
      </c>
      <c r="J13" s="16">
        <f>SUM('BIFUbC-electricity'!J12,'BIFUbC-coal'!J12,'BIFUbC-natural-gas'!J12,'BIFUbC-biomass'!J12,'BIFUbC-heat'!J12,'BIFUbC-crude-oil'!J12,'BIFUbC-petroleum-diesel'!J12,'BIFUbC-heavy-or-residual-oil'!J12,'BIFUbC-LPG-propane-or-butane'!J12,'BIFUbC-hydrogen'!J12)</f>
        <v>960449195365551.75</v>
      </c>
      <c r="K13" s="16">
        <f>SUM('BIFUbC-electricity'!K12,'BIFUbC-coal'!K12,'BIFUbC-natural-gas'!K12,'BIFUbC-biomass'!K12,'BIFUbC-heat'!K12,'BIFUbC-crude-oil'!K12,'BIFUbC-petroleum-diesel'!K12,'BIFUbC-heavy-or-residual-oil'!K12,'BIFUbC-LPG-propane-or-butane'!K12,'BIFUbC-hydrogen'!K12)</f>
        <v>938679836124104.75</v>
      </c>
      <c r="L13" s="16">
        <f>SUM('BIFUbC-electricity'!L12,'BIFUbC-coal'!L12,'BIFUbC-natural-gas'!L12,'BIFUbC-biomass'!L12,'BIFUbC-heat'!L12,'BIFUbC-crude-oil'!L12,'BIFUbC-petroleum-diesel'!L12,'BIFUbC-heavy-or-residual-oil'!L12,'BIFUbC-LPG-propane-or-butane'!L12,'BIFUbC-hydrogen'!L12)</f>
        <v>899660645214560.88</v>
      </c>
      <c r="M13" s="16">
        <f>SUM('BIFUbC-electricity'!M12,'BIFUbC-coal'!M12,'BIFUbC-natural-gas'!M12,'BIFUbC-biomass'!M12,'BIFUbC-heat'!M12,'BIFUbC-crude-oil'!M12,'BIFUbC-petroleum-diesel'!M12,'BIFUbC-heavy-or-residual-oil'!M12,'BIFUbC-LPG-propane-or-butane'!M12,'BIFUbC-hydrogen'!M12)</f>
        <v>893155931357775.25</v>
      </c>
      <c r="N13" s="16">
        <f>SUM('BIFUbC-electricity'!N12,'BIFUbC-coal'!N12,'BIFUbC-natural-gas'!N12,'BIFUbC-biomass'!N12,'BIFUbC-heat'!N12,'BIFUbC-crude-oil'!N12,'BIFUbC-petroleum-diesel'!N12,'BIFUbC-heavy-or-residual-oil'!N12,'BIFUbC-LPG-propane-or-butane'!N12,'BIFUbC-hydrogen'!N12)</f>
        <v>886631746098292</v>
      </c>
      <c r="O13" s="16">
        <f>SUM('BIFUbC-electricity'!O12,'BIFUbC-coal'!O12,'BIFUbC-natural-gas'!O12,'BIFUbC-biomass'!O12,'BIFUbC-heat'!O12,'BIFUbC-crude-oil'!O12,'BIFUbC-petroleum-diesel'!O12,'BIFUbC-heavy-or-residual-oil'!O12,'BIFUbC-LPG-propane-or-butane'!O12,'BIFUbC-hydrogen'!O12)</f>
        <v>880087756519410</v>
      </c>
      <c r="P13" s="16">
        <f>SUM('BIFUbC-electricity'!P12,'BIFUbC-coal'!P12,'BIFUbC-natural-gas'!P12,'BIFUbC-biomass'!P12,'BIFUbC-heat'!P12,'BIFUbC-crude-oil'!P12,'BIFUbC-petroleum-diesel'!P12,'BIFUbC-heavy-or-residual-oil'!P12,'BIFUbC-LPG-propane-or-butane'!P12,'BIFUbC-hydrogen'!P12)</f>
        <v>873523620005937.63</v>
      </c>
      <c r="Q13" s="16">
        <f>SUM('BIFUbC-electricity'!Q12,'BIFUbC-coal'!Q12,'BIFUbC-natural-gas'!Q12,'BIFUbC-biomass'!Q12,'BIFUbC-heat'!Q12,'BIFUbC-crude-oil'!Q12,'BIFUbC-petroleum-diesel'!Q12,'BIFUbC-heavy-or-residual-oil'!Q12,'BIFUbC-LPG-propane-or-butane'!Q12,'BIFUbC-hydrogen'!Q12)</f>
        <v>862434728791530.5</v>
      </c>
      <c r="R13" s="16">
        <f>SUM('BIFUbC-electricity'!R12,'BIFUbC-coal'!R12,'BIFUbC-natural-gas'!R12,'BIFUbC-biomass'!R12,'BIFUbC-heat'!R12,'BIFUbC-crude-oil'!R12,'BIFUbC-petroleum-diesel'!R12,'BIFUbC-heavy-or-residual-oil'!R12,'BIFUbC-LPG-propane-or-butane'!R12,'BIFUbC-hydrogen'!R12)</f>
        <v>860959002412940.38</v>
      </c>
      <c r="S13" s="16">
        <f>SUM('BIFUbC-electricity'!S12,'BIFUbC-coal'!S12,'BIFUbC-natural-gas'!S12,'BIFUbC-biomass'!S12,'BIFUbC-heat'!S12,'BIFUbC-crude-oil'!S12,'BIFUbC-petroleum-diesel'!S12,'BIFUbC-heavy-or-residual-oil'!S12,'BIFUbC-LPG-propane-or-butane'!S12,'BIFUbC-hydrogen'!S12)</f>
        <v>859483276034350.75</v>
      </c>
      <c r="T13" s="16">
        <f>SUM('BIFUbC-electricity'!T12,'BIFUbC-coal'!T12,'BIFUbC-natural-gas'!T12,'BIFUbC-biomass'!T12,'BIFUbC-heat'!T12,'BIFUbC-crude-oil'!T12,'BIFUbC-petroleum-diesel'!T12,'BIFUbC-heavy-or-residual-oil'!T12,'BIFUbC-LPG-propane-or-butane'!T12,'BIFUbC-hydrogen'!T12)</f>
        <v>858007549655760.63</v>
      </c>
      <c r="U13" s="16">
        <f>SUM('BIFUbC-electricity'!U12,'BIFUbC-coal'!U12,'BIFUbC-natural-gas'!U12,'BIFUbC-biomass'!U12,'BIFUbC-heat'!U12,'BIFUbC-crude-oil'!U12,'BIFUbC-petroleum-diesel'!U12,'BIFUbC-heavy-or-residual-oil'!U12,'BIFUbC-LPG-propane-or-butane'!U12,'BIFUbC-hydrogen'!U12)</f>
        <v>856531823277170.75</v>
      </c>
      <c r="V13" s="16">
        <f>SUM('BIFUbC-electricity'!V12,'BIFUbC-coal'!V12,'BIFUbC-natural-gas'!V12,'BIFUbC-biomass'!V12,'BIFUbC-heat'!V12,'BIFUbC-crude-oil'!V12,'BIFUbC-petroleum-diesel'!V12,'BIFUbC-heavy-or-residual-oil'!V12,'BIFUbC-LPG-propane-or-butane'!V12,'BIFUbC-hydrogen'!V12)</f>
        <v>855056096898581</v>
      </c>
      <c r="W13" s="16">
        <f>SUM('BIFUbC-electricity'!W12,'BIFUbC-coal'!W12,'BIFUbC-natural-gas'!W12,'BIFUbC-biomass'!W12,'BIFUbC-heat'!W12,'BIFUbC-crude-oil'!W12,'BIFUbC-petroleum-diesel'!W12,'BIFUbC-heavy-or-residual-oil'!W12,'BIFUbC-LPG-propane-or-butane'!W12,'BIFUbC-hydrogen'!W12)</f>
        <v>853748112817846.13</v>
      </c>
      <c r="X13" s="16">
        <f>SUM('BIFUbC-electricity'!X12,'BIFUbC-coal'!X12,'BIFUbC-natural-gas'!X12,'BIFUbC-biomass'!X12,'BIFUbC-heat'!X12,'BIFUbC-crude-oil'!X12,'BIFUbC-petroleum-diesel'!X12,'BIFUbC-heavy-or-residual-oil'!X12,'BIFUbC-LPG-propane-or-butane'!X12,'BIFUbC-hydrogen'!X12)</f>
        <v>852440128737111.5</v>
      </c>
      <c r="Y13" s="16">
        <f>SUM('BIFUbC-electricity'!Y12,'BIFUbC-coal'!Y12,'BIFUbC-natural-gas'!Y12,'BIFUbC-biomass'!Y12,'BIFUbC-heat'!Y12,'BIFUbC-crude-oil'!Y12,'BIFUbC-petroleum-diesel'!Y12,'BIFUbC-heavy-or-residual-oil'!Y12,'BIFUbC-LPG-propane-or-butane'!Y12,'BIFUbC-hydrogen'!Y12)</f>
        <v>851132144656377</v>
      </c>
      <c r="Z13" s="16">
        <f>SUM('BIFUbC-electricity'!Z12,'BIFUbC-coal'!Z12,'BIFUbC-natural-gas'!Z12,'BIFUbC-biomass'!Z12,'BIFUbC-heat'!Z12,'BIFUbC-crude-oil'!Z12,'BIFUbC-petroleum-diesel'!Z12,'BIFUbC-heavy-or-residual-oil'!Z12,'BIFUbC-LPG-propane-or-butane'!Z12,'BIFUbC-hydrogen'!Z12)</f>
        <v>849824160575642.25</v>
      </c>
      <c r="AA13" s="16">
        <f>SUM('BIFUbC-electricity'!AA12,'BIFUbC-coal'!AA12,'BIFUbC-natural-gas'!AA12,'BIFUbC-biomass'!AA12,'BIFUbC-heat'!AA12,'BIFUbC-crude-oil'!AA12,'BIFUbC-petroleum-diesel'!AA12,'BIFUbC-heavy-or-residual-oil'!AA12,'BIFUbC-LPG-propane-or-butane'!AA12,'BIFUbC-hydrogen'!AA12)</f>
        <v>848516176494908.13</v>
      </c>
      <c r="AB13" s="16">
        <f>SUM('BIFUbC-electricity'!AB12,'BIFUbC-coal'!AB12,'BIFUbC-natural-gas'!AB12,'BIFUbC-biomass'!AB12,'BIFUbC-heat'!AB12,'BIFUbC-crude-oil'!AB12,'BIFUbC-petroleum-diesel'!AB12,'BIFUbC-heavy-or-residual-oil'!AB12,'BIFUbC-LPG-propane-or-butane'!AB12,'BIFUbC-hydrogen'!AB12)</f>
        <v>847208192414173.5</v>
      </c>
      <c r="AC13" s="16">
        <f>SUM('BIFUbC-electricity'!AC12,'BIFUbC-coal'!AC12,'BIFUbC-natural-gas'!AC12,'BIFUbC-biomass'!AC12,'BIFUbC-heat'!AC12,'BIFUbC-crude-oil'!AC12,'BIFUbC-petroleum-diesel'!AC12,'BIFUbC-heavy-or-residual-oil'!AC12,'BIFUbC-LPG-propane-or-butane'!AC12,'BIFUbC-hydrogen'!AC12)</f>
        <v>845900208333439.25</v>
      </c>
      <c r="AD13" s="16">
        <f>SUM('BIFUbC-electricity'!AD12,'BIFUbC-coal'!AD12,'BIFUbC-natural-gas'!AD12,'BIFUbC-biomass'!AD12,'BIFUbC-heat'!AD12,'BIFUbC-crude-oil'!AD12,'BIFUbC-petroleum-diesel'!AD12,'BIFUbC-heavy-or-residual-oil'!AD12,'BIFUbC-LPG-propane-or-butane'!AD12,'BIFUbC-hydrogen'!AD12)</f>
        <v>844592224252704.75</v>
      </c>
      <c r="AE13" s="16">
        <f>SUM('BIFUbC-electricity'!AE12,'BIFUbC-coal'!AE12,'BIFUbC-natural-gas'!AE12,'BIFUbC-biomass'!AE12,'BIFUbC-heat'!AE12,'BIFUbC-crude-oil'!AE12,'BIFUbC-petroleum-diesel'!AE12,'BIFUbC-heavy-or-residual-oil'!AE12,'BIFUbC-LPG-propane-or-butane'!AE12,'BIFUbC-hydrogen'!AE12)</f>
        <v>843284240171970.25</v>
      </c>
      <c r="AF13" s="16">
        <f>SUM('BIFUbC-electricity'!AF12,'BIFUbC-coal'!AF12,'BIFUbC-natural-gas'!AF12,'BIFUbC-biomass'!AF12,'BIFUbC-heat'!AF12,'BIFUbC-crude-oil'!AF12,'BIFUbC-petroleum-diesel'!AF12,'BIFUbC-heavy-or-residual-oil'!AF12,'BIFUbC-LPG-propane-or-butane'!AF12,'BIFUbC-hydrogen'!AF12)</f>
        <v>841976256091236.25</v>
      </c>
    </row>
    <row r="14" spans="1:32">
      <c r="A14" t="s">
        <v>13</v>
      </c>
      <c r="B14" s="16">
        <f>SUM('BIFUbC-electricity'!B13,'BIFUbC-coal'!B13,'BIFUbC-natural-gas'!B13,'BIFUbC-biomass'!B13,'BIFUbC-heat'!B13,'BIFUbC-crude-oil'!B13,'BIFUbC-petroleum-diesel'!B13,'BIFUbC-heavy-or-residual-oil'!B13,'BIFUbC-LPG-propane-or-butane'!B13,'BIFUbC-hydrogen'!B13)</f>
        <v>39928887765003.773</v>
      </c>
      <c r="C14" s="16">
        <f>SUM('BIFUbC-electricity'!C13,'BIFUbC-coal'!C13,'BIFUbC-natural-gas'!C13,'BIFUbC-biomass'!C13,'BIFUbC-heat'!C13,'BIFUbC-crude-oil'!C13,'BIFUbC-petroleum-diesel'!C13,'BIFUbC-heavy-or-residual-oil'!C13,'BIFUbC-LPG-propane-or-butane'!C13,'BIFUbC-hydrogen'!C13)</f>
        <v>41045590993867.188</v>
      </c>
      <c r="D14" s="16">
        <f>SUM('BIFUbC-electricity'!D13,'BIFUbC-coal'!D13,'BIFUbC-natural-gas'!D13,'BIFUbC-biomass'!D13,'BIFUbC-heat'!D13,'BIFUbC-crude-oil'!D13,'BIFUbC-petroleum-diesel'!D13,'BIFUbC-heavy-or-residual-oil'!D13,'BIFUbC-LPG-propane-or-butane'!D13,'BIFUbC-hydrogen'!D13)</f>
        <v>42162294222730.672</v>
      </c>
      <c r="E14" s="16">
        <f>SUM('BIFUbC-electricity'!E13,'BIFUbC-coal'!E13,'BIFUbC-natural-gas'!E13,'BIFUbC-biomass'!E13,'BIFUbC-heat'!E13,'BIFUbC-crude-oil'!E13,'BIFUbC-petroleum-diesel'!E13,'BIFUbC-heavy-or-residual-oil'!E13,'BIFUbC-LPG-propane-or-butane'!E13,'BIFUbC-hydrogen'!E13)</f>
        <v>43278997451594.141</v>
      </c>
      <c r="F14" s="16">
        <f>SUM('BIFUbC-electricity'!F13,'BIFUbC-coal'!F13,'BIFUbC-natural-gas'!F13,'BIFUbC-biomass'!F13,'BIFUbC-heat'!F13,'BIFUbC-crude-oil'!F13,'BIFUbC-petroleum-diesel'!F13,'BIFUbC-heavy-or-residual-oil'!F13,'BIFUbC-LPG-propane-or-butane'!F13,'BIFUbC-hydrogen'!F13)</f>
        <v>44395700680457.625</v>
      </c>
      <c r="G14" s="16">
        <f>SUM('BIFUbC-electricity'!G13,'BIFUbC-coal'!G13,'BIFUbC-natural-gas'!G13,'BIFUbC-biomass'!G13,'BIFUbC-heat'!G13,'BIFUbC-crude-oil'!G13,'BIFUbC-petroleum-diesel'!G13,'BIFUbC-heavy-or-residual-oil'!G13,'BIFUbC-LPG-propane-or-butane'!G13,'BIFUbC-hydrogen'!G13)</f>
        <v>45512403909321.078</v>
      </c>
      <c r="H14" s="16">
        <f>SUM('BIFUbC-electricity'!H13,'BIFUbC-coal'!H13,'BIFUbC-natural-gas'!H13,'BIFUbC-biomass'!H13,'BIFUbC-heat'!H13,'BIFUbC-crude-oil'!H13,'BIFUbC-petroleum-diesel'!H13,'BIFUbC-heavy-or-residual-oil'!H13,'BIFUbC-LPG-propane-or-butane'!H13,'BIFUbC-hydrogen'!H13)</f>
        <v>45977863281239.055</v>
      </c>
      <c r="I14" s="16">
        <f>SUM('BIFUbC-electricity'!I13,'BIFUbC-coal'!I13,'BIFUbC-natural-gas'!I13,'BIFUbC-biomass'!I13,'BIFUbC-heat'!I13,'BIFUbC-crude-oil'!I13,'BIFUbC-petroleum-diesel'!I13,'BIFUbC-heavy-or-residual-oil'!I13,'BIFUbC-LPG-propane-or-butane'!I13,'BIFUbC-hydrogen'!I13)</f>
        <v>46443322653156.984</v>
      </c>
      <c r="J14" s="16">
        <f>SUM('BIFUbC-electricity'!J13,'BIFUbC-coal'!J13,'BIFUbC-natural-gas'!J13,'BIFUbC-biomass'!J13,'BIFUbC-heat'!J13,'BIFUbC-crude-oil'!J13,'BIFUbC-petroleum-diesel'!J13,'BIFUbC-heavy-or-residual-oil'!J13,'BIFUbC-LPG-propane-or-butane'!J13,'BIFUbC-hydrogen'!J13)</f>
        <v>46908782025074.914</v>
      </c>
      <c r="K14" s="16">
        <f>SUM('BIFUbC-electricity'!K13,'BIFUbC-coal'!K13,'BIFUbC-natural-gas'!K13,'BIFUbC-biomass'!K13,'BIFUbC-heat'!K13,'BIFUbC-crude-oil'!K13,'BIFUbC-petroleum-diesel'!K13,'BIFUbC-heavy-or-residual-oil'!K13,'BIFUbC-LPG-propane-or-butane'!K13,'BIFUbC-hydrogen'!K13)</f>
        <v>47374241396992.844</v>
      </c>
      <c r="L14" s="16">
        <f>SUM('BIFUbC-electricity'!L13,'BIFUbC-coal'!L13,'BIFUbC-natural-gas'!L13,'BIFUbC-biomass'!L13,'BIFUbC-heat'!L13,'BIFUbC-crude-oil'!L13,'BIFUbC-petroleum-diesel'!L13,'BIFUbC-heavy-or-residual-oil'!L13,'BIFUbC-LPG-propane-or-butane'!L13,'BIFUbC-hydrogen'!L13)</f>
        <v>47839700768910.805</v>
      </c>
      <c r="M14" s="16">
        <f>SUM('BIFUbC-electricity'!M13,'BIFUbC-coal'!M13,'BIFUbC-natural-gas'!M13,'BIFUbC-biomass'!M13,'BIFUbC-heat'!M13,'BIFUbC-crude-oil'!M13,'BIFUbC-petroleum-diesel'!M13,'BIFUbC-heavy-or-residual-oil'!M13,'BIFUbC-LPG-propane-or-butane'!M13,'BIFUbC-hydrogen'!M13)</f>
        <v>48191026351713.266</v>
      </c>
      <c r="N14" s="16">
        <f>SUM('BIFUbC-electricity'!N13,'BIFUbC-coal'!N13,'BIFUbC-natural-gas'!N13,'BIFUbC-biomass'!N13,'BIFUbC-heat'!N13,'BIFUbC-crude-oil'!N13,'BIFUbC-petroleum-diesel'!N13,'BIFUbC-heavy-or-residual-oil'!N13,'BIFUbC-LPG-propane-or-butane'!N13,'BIFUbC-hydrogen'!N13)</f>
        <v>48542351934515.766</v>
      </c>
      <c r="O14" s="16">
        <f>SUM('BIFUbC-electricity'!O13,'BIFUbC-coal'!O13,'BIFUbC-natural-gas'!O13,'BIFUbC-biomass'!O13,'BIFUbC-heat'!O13,'BIFUbC-crude-oil'!O13,'BIFUbC-petroleum-diesel'!O13,'BIFUbC-heavy-or-residual-oil'!O13,'BIFUbC-LPG-propane-or-butane'!O13,'BIFUbC-hydrogen'!O13)</f>
        <v>48893677517318.258</v>
      </c>
      <c r="P14" s="16">
        <f>SUM('BIFUbC-electricity'!P13,'BIFUbC-coal'!P13,'BIFUbC-natural-gas'!P13,'BIFUbC-biomass'!P13,'BIFUbC-heat'!P13,'BIFUbC-crude-oil'!P13,'BIFUbC-petroleum-diesel'!P13,'BIFUbC-heavy-or-residual-oil'!P13,'BIFUbC-LPG-propane-or-butane'!P13,'BIFUbC-hydrogen'!P13)</f>
        <v>49245003100120.75</v>
      </c>
      <c r="Q14" s="16">
        <f>SUM('BIFUbC-electricity'!Q13,'BIFUbC-coal'!Q13,'BIFUbC-natural-gas'!Q13,'BIFUbC-biomass'!Q13,'BIFUbC-heat'!Q13,'BIFUbC-crude-oil'!Q13,'BIFUbC-petroleum-diesel'!Q13,'BIFUbC-heavy-or-residual-oil'!Q13,'BIFUbC-LPG-propane-or-butane'!Q13,'BIFUbC-hydrogen'!Q13)</f>
        <v>49596328682923.234</v>
      </c>
      <c r="R14" s="16">
        <f>SUM('BIFUbC-electricity'!R13,'BIFUbC-coal'!R13,'BIFUbC-natural-gas'!R13,'BIFUbC-biomass'!R13,'BIFUbC-heat'!R13,'BIFUbC-crude-oil'!R13,'BIFUbC-petroleum-diesel'!R13,'BIFUbC-heavy-or-residual-oil'!R13,'BIFUbC-LPG-propane-or-butane'!R13,'BIFUbC-hydrogen'!R13)</f>
        <v>49922329022455.797</v>
      </c>
      <c r="S14" s="16">
        <f>SUM('BIFUbC-electricity'!S13,'BIFUbC-coal'!S13,'BIFUbC-natural-gas'!S13,'BIFUbC-biomass'!S13,'BIFUbC-heat'!S13,'BIFUbC-crude-oil'!S13,'BIFUbC-petroleum-diesel'!S13,'BIFUbC-heavy-or-residual-oil'!S13,'BIFUbC-LPG-propane-or-butane'!S13,'BIFUbC-hydrogen'!S13)</f>
        <v>50248329361988.297</v>
      </c>
      <c r="T14" s="16">
        <f>SUM('BIFUbC-electricity'!T13,'BIFUbC-coal'!T13,'BIFUbC-natural-gas'!T13,'BIFUbC-biomass'!T13,'BIFUbC-heat'!T13,'BIFUbC-crude-oil'!T13,'BIFUbC-petroleum-diesel'!T13,'BIFUbC-heavy-or-residual-oil'!T13,'BIFUbC-LPG-propane-or-butane'!T13,'BIFUbC-hydrogen'!T13)</f>
        <v>50574329701520.836</v>
      </c>
      <c r="U14" s="16">
        <f>SUM('BIFUbC-electricity'!U13,'BIFUbC-coal'!U13,'BIFUbC-natural-gas'!U13,'BIFUbC-biomass'!U13,'BIFUbC-heat'!U13,'BIFUbC-crude-oil'!U13,'BIFUbC-petroleum-diesel'!U13,'BIFUbC-heavy-or-residual-oil'!U13,'BIFUbC-LPG-propane-or-butane'!U13,'BIFUbC-hydrogen'!U13)</f>
        <v>50900330041053.359</v>
      </c>
      <c r="V14" s="16">
        <f>SUM('BIFUbC-electricity'!V13,'BIFUbC-coal'!V13,'BIFUbC-natural-gas'!V13,'BIFUbC-biomass'!V13,'BIFUbC-heat'!V13,'BIFUbC-crude-oil'!V13,'BIFUbC-petroleum-diesel'!V13,'BIFUbC-heavy-or-residual-oil'!V13,'BIFUbC-LPG-propane-or-butane'!V13,'BIFUbC-hydrogen'!V13)</f>
        <v>51226330380585.859</v>
      </c>
      <c r="W14" s="16">
        <f>SUM('BIFUbC-electricity'!W13,'BIFUbC-coal'!W13,'BIFUbC-natural-gas'!W13,'BIFUbC-biomass'!W13,'BIFUbC-heat'!W13,'BIFUbC-crude-oil'!W13,'BIFUbC-petroleum-diesel'!W13,'BIFUbC-heavy-or-residual-oil'!W13,'BIFUbC-LPG-propane-or-butane'!W13,'BIFUbC-hydrogen'!W13)</f>
        <v>51586097711145.023</v>
      </c>
      <c r="X14" s="16">
        <f>SUM('BIFUbC-electricity'!X13,'BIFUbC-coal'!X13,'BIFUbC-natural-gas'!X13,'BIFUbC-biomass'!X13,'BIFUbC-heat'!X13,'BIFUbC-crude-oil'!X13,'BIFUbC-petroleum-diesel'!X13,'BIFUbC-heavy-or-residual-oil'!X13,'BIFUbC-LPG-propane-or-butane'!X13,'BIFUbC-hydrogen'!X13)</f>
        <v>51922842093276.883</v>
      </c>
      <c r="Y14" s="16">
        <f>SUM('BIFUbC-electricity'!Y13,'BIFUbC-coal'!Y13,'BIFUbC-natural-gas'!Y13,'BIFUbC-biomass'!Y13,'BIFUbC-heat'!Y13,'BIFUbC-crude-oil'!Y13,'BIFUbC-petroleum-diesel'!Y13,'BIFUbC-heavy-or-residual-oil'!Y13,'BIFUbC-LPG-propane-or-butane'!Y13,'BIFUbC-hydrogen'!Y13)</f>
        <v>52259586475408.852</v>
      </c>
      <c r="Z14" s="16">
        <f>SUM('BIFUbC-electricity'!Z13,'BIFUbC-coal'!Z13,'BIFUbC-natural-gas'!Z13,'BIFUbC-biomass'!Z13,'BIFUbC-heat'!Z13,'BIFUbC-crude-oil'!Z13,'BIFUbC-petroleum-diesel'!Z13,'BIFUbC-heavy-or-residual-oil'!Z13,'BIFUbC-LPG-propane-or-butane'!Z13,'BIFUbC-hydrogen'!Z13)</f>
        <v>52596330857540.734</v>
      </c>
      <c r="AA14" s="16">
        <f>SUM('BIFUbC-electricity'!AA13,'BIFUbC-coal'!AA13,'BIFUbC-natural-gas'!AA13,'BIFUbC-biomass'!AA13,'BIFUbC-heat'!AA13,'BIFUbC-crude-oil'!AA13,'BIFUbC-petroleum-diesel'!AA13,'BIFUbC-heavy-or-residual-oil'!AA13,'BIFUbC-LPG-propane-or-butane'!AA13,'BIFUbC-hydrogen'!AA13)</f>
        <v>52933075239672.664</v>
      </c>
      <c r="AB14" s="16">
        <f>SUM('BIFUbC-electricity'!AB13,'BIFUbC-coal'!AB13,'BIFUbC-natural-gas'!AB13,'BIFUbC-biomass'!AB13,'BIFUbC-heat'!AB13,'BIFUbC-crude-oil'!AB13,'BIFUbC-petroleum-diesel'!AB13,'BIFUbC-heavy-or-residual-oil'!AB13,'BIFUbC-LPG-propane-or-butane'!AB13,'BIFUbC-hydrogen'!AB13)</f>
        <v>53269819621804.531</v>
      </c>
      <c r="AC14" s="16">
        <f>SUM('BIFUbC-electricity'!AC13,'BIFUbC-coal'!AC13,'BIFUbC-natural-gas'!AC13,'BIFUbC-biomass'!AC13,'BIFUbC-heat'!AC13,'BIFUbC-crude-oil'!AC13,'BIFUbC-petroleum-diesel'!AC13,'BIFUbC-heavy-or-residual-oil'!AC13,'BIFUbC-LPG-propane-or-butane'!AC13,'BIFUbC-hydrogen'!AC13)</f>
        <v>53606564003936.5</v>
      </c>
      <c r="AD14" s="16">
        <f>SUM('BIFUbC-electricity'!AD13,'BIFUbC-coal'!AD13,'BIFUbC-natural-gas'!AD13,'BIFUbC-biomass'!AD13,'BIFUbC-heat'!AD13,'BIFUbC-crude-oil'!AD13,'BIFUbC-petroleum-diesel'!AD13,'BIFUbC-heavy-or-residual-oil'!AD13,'BIFUbC-LPG-propane-or-butane'!AD13,'BIFUbC-hydrogen'!AD13)</f>
        <v>53943308386068.367</v>
      </c>
      <c r="AE14" s="16">
        <f>SUM('BIFUbC-electricity'!AE13,'BIFUbC-coal'!AE13,'BIFUbC-natural-gas'!AE13,'BIFUbC-biomass'!AE13,'BIFUbC-heat'!AE13,'BIFUbC-crude-oil'!AE13,'BIFUbC-petroleum-diesel'!AE13,'BIFUbC-heavy-or-residual-oil'!AE13,'BIFUbC-LPG-propane-or-butane'!AE13,'BIFUbC-hydrogen'!AE13)</f>
        <v>54280052768200.258</v>
      </c>
      <c r="AF14" s="16">
        <f>SUM('BIFUbC-electricity'!AF13,'BIFUbC-coal'!AF13,'BIFUbC-natural-gas'!AF13,'BIFUbC-biomass'!AF13,'BIFUbC-heat'!AF13,'BIFUbC-crude-oil'!AF13,'BIFUbC-petroleum-diesel'!AF13,'BIFUbC-heavy-or-residual-oil'!AF13,'BIFUbC-LPG-propane-or-butane'!AF13,'BIFUbC-hydrogen'!AF13)</f>
        <v>54616797150332.227</v>
      </c>
    </row>
    <row r="15" spans="1:32">
      <c r="A15" t="s">
        <v>14</v>
      </c>
      <c r="B15" s="16">
        <f>SUM('BIFUbC-electricity'!B14,'BIFUbC-coal'!B14,'BIFUbC-natural-gas'!B14,'BIFUbC-biomass'!B14,'BIFUbC-heat'!B14,'BIFUbC-crude-oil'!B14,'BIFUbC-petroleum-diesel'!B14,'BIFUbC-heavy-or-residual-oil'!B14,'BIFUbC-LPG-propane-or-butane'!B14,'BIFUbC-hydrogen'!B14)</f>
        <v>268689009623498.03</v>
      </c>
      <c r="C15" s="16">
        <f>SUM('BIFUbC-electricity'!C14,'BIFUbC-coal'!C14,'BIFUbC-natural-gas'!C14,'BIFUbC-biomass'!C14,'BIFUbC-heat'!C14,'BIFUbC-crude-oil'!C14,'BIFUbC-petroleum-diesel'!C14,'BIFUbC-heavy-or-residual-oil'!C14,'BIFUbC-LPG-propane-or-butane'!C14,'BIFUbC-hydrogen'!C14)</f>
        <v>283436154744026.81</v>
      </c>
      <c r="D15" s="16">
        <f>SUM('BIFUbC-electricity'!D14,'BIFUbC-coal'!D14,'BIFUbC-natural-gas'!D14,'BIFUbC-biomass'!D14,'BIFUbC-heat'!D14,'BIFUbC-crude-oil'!D14,'BIFUbC-petroleum-diesel'!D14,'BIFUbC-heavy-or-residual-oil'!D14,'BIFUbC-LPG-propane-or-butane'!D14,'BIFUbC-hydrogen'!D14)</f>
        <v>298183299864555.5</v>
      </c>
      <c r="E15" s="16">
        <f>SUM('BIFUbC-electricity'!E14,'BIFUbC-coal'!E14,'BIFUbC-natural-gas'!E14,'BIFUbC-biomass'!E14,'BIFUbC-heat'!E14,'BIFUbC-crude-oil'!E14,'BIFUbC-petroleum-diesel'!E14,'BIFUbC-heavy-or-residual-oil'!E14,'BIFUbC-LPG-propane-or-butane'!E14,'BIFUbC-hydrogen'!E14)</f>
        <v>312930444985084.19</v>
      </c>
      <c r="F15" s="16">
        <f>SUM('BIFUbC-electricity'!F14,'BIFUbC-coal'!F14,'BIFUbC-natural-gas'!F14,'BIFUbC-biomass'!F14,'BIFUbC-heat'!F14,'BIFUbC-crude-oil'!F14,'BIFUbC-petroleum-diesel'!F14,'BIFUbC-heavy-or-residual-oil'!F14,'BIFUbC-LPG-propane-or-butane'!F14,'BIFUbC-hydrogen'!F14)</f>
        <v>327677590105613</v>
      </c>
      <c r="G15" s="16">
        <f>SUM('BIFUbC-electricity'!G14,'BIFUbC-coal'!G14,'BIFUbC-natural-gas'!G14,'BIFUbC-biomass'!G14,'BIFUbC-heat'!G14,'BIFUbC-crude-oil'!G14,'BIFUbC-petroleum-diesel'!G14,'BIFUbC-heavy-or-residual-oil'!G14,'BIFUbC-LPG-propane-or-butane'!G14,'BIFUbC-hydrogen'!G14)</f>
        <v>342424735226141.75</v>
      </c>
      <c r="H15" s="16">
        <f>SUM('BIFUbC-electricity'!H14,'BIFUbC-coal'!H14,'BIFUbC-natural-gas'!H14,'BIFUbC-biomass'!H14,'BIFUbC-heat'!H14,'BIFUbC-crude-oil'!H14,'BIFUbC-petroleum-diesel'!H14,'BIFUbC-heavy-or-residual-oil'!H14,'BIFUbC-LPG-propane-or-butane'!H14,'BIFUbC-hydrogen'!H14)</f>
        <v>349891179164934.25</v>
      </c>
      <c r="I15" s="16">
        <f>SUM('BIFUbC-electricity'!I14,'BIFUbC-coal'!I14,'BIFUbC-natural-gas'!I14,'BIFUbC-biomass'!I14,'BIFUbC-heat'!I14,'BIFUbC-crude-oil'!I14,'BIFUbC-petroleum-diesel'!I14,'BIFUbC-heavy-or-residual-oil'!I14,'BIFUbC-LPG-propane-or-butane'!I14,'BIFUbC-hydrogen'!I14)</f>
        <v>357357623103726.88</v>
      </c>
      <c r="J15" s="16">
        <f>SUM('BIFUbC-electricity'!J14,'BIFUbC-coal'!J14,'BIFUbC-natural-gas'!J14,'BIFUbC-biomass'!J14,'BIFUbC-heat'!J14,'BIFUbC-crude-oil'!J14,'BIFUbC-petroleum-diesel'!J14,'BIFUbC-heavy-or-residual-oil'!J14,'BIFUbC-LPG-propane-or-butane'!J14,'BIFUbC-hydrogen'!J14)</f>
        <v>364824067042518.13</v>
      </c>
      <c r="K15" s="16">
        <f>SUM('BIFUbC-electricity'!K14,'BIFUbC-coal'!K14,'BIFUbC-natural-gas'!K14,'BIFUbC-biomass'!K14,'BIFUbC-heat'!K14,'BIFUbC-crude-oil'!K14,'BIFUbC-petroleum-diesel'!K14,'BIFUbC-heavy-or-residual-oil'!K14,'BIFUbC-LPG-propane-or-butane'!K14,'BIFUbC-hydrogen'!K14)</f>
        <v>372290510981310.75</v>
      </c>
      <c r="L15" s="16">
        <f>SUM('BIFUbC-electricity'!L14,'BIFUbC-coal'!L14,'BIFUbC-natural-gas'!L14,'BIFUbC-biomass'!L14,'BIFUbC-heat'!L14,'BIFUbC-crude-oil'!L14,'BIFUbC-petroleum-diesel'!L14,'BIFUbC-heavy-or-residual-oil'!L14,'BIFUbC-LPG-propane-or-butane'!L14,'BIFUbC-hydrogen'!L14)</f>
        <v>379756954920101.38</v>
      </c>
      <c r="M15" s="16">
        <f>SUM('BIFUbC-electricity'!M14,'BIFUbC-coal'!M14,'BIFUbC-natural-gas'!M14,'BIFUbC-biomass'!M14,'BIFUbC-heat'!M14,'BIFUbC-crude-oil'!M14,'BIFUbC-petroleum-diesel'!M14,'BIFUbC-heavy-or-residual-oil'!M14,'BIFUbC-LPG-propane-or-butane'!M14,'BIFUbC-hydrogen'!M14)</f>
        <v>385791817581867.5</v>
      </c>
      <c r="N15" s="16">
        <f>SUM('BIFUbC-electricity'!N14,'BIFUbC-coal'!N14,'BIFUbC-natural-gas'!N14,'BIFUbC-biomass'!N14,'BIFUbC-heat'!N14,'BIFUbC-crude-oil'!N14,'BIFUbC-petroleum-diesel'!N14,'BIFUbC-heavy-or-residual-oil'!N14,'BIFUbC-LPG-propane-or-butane'!N14,'BIFUbC-hydrogen'!N14)</f>
        <v>391826680243631.69</v>
      </c>
      <c r="O15" s="16">
        <f>SUM('BIFUbC-electricity'!O14,'BIFUbC-coal'!O14,'BIFUbC-natural-gas'!O14,'BIFUbC-biomass'!O14,'BIFUbC-heat'!O14,'BIFUbC-crude-oil'!O14,'BIFUbC-petroleum-diesel'!O14,'BIFUbC-heavy-or-residual-oil'!O14,'BIFUbC-LPG-propane-or-butane'!O14,'BIFUbC-hydrogen'!O14)</f>
        <v>397861542905397.13</v>
      </c>
      <c r="P15" s="16">
        <f>SUM('BIFUbC-electricity'!P14,'BIFUbC-coal'!P14,'BIFUbC-natural-gas'!P14,'BIFUbC-biomass'!P14,'BIFUbC-heat'!P14,'BIFUbC-crude-oil'!P14,'BIFUbC-petroleum-diesel'!P14,'BIFUbC-heavy-or-residual-oil'!P14,'BIFUbC-LPG-propane-or-butane'!P14,'BIFUbC-hydrogen'!P14)</f>
        <v>403896405567161.31</v>
      </c>
      <c r="Q15" s="16">
        <f>SUM('BIFUbC-electricity'!Q14,'BIFUbC-coal'!Q14,'BIFUbC-natural-gas'!Q14,'BIFUbC-biomass'!Q14,'BIFUbC-heat'!Q14,'BIFUbC-crude-oil'!Q14,'BIFUbC-petroleum-diesel'!Q14,'BIFUbC-heavy-or-residual-oil'!Q14,'BIFUbC-LPG-propane-or-butane'!Q14,'BIFUbC-hydrogen'!Q14)</f>
        <v>409931268228925.56</v>
      </c>
      <c r="R15" s="16">
        <f>SUM('BIFUbC-electricity'!R14,'BIFUbC-coal'!R14,'BIFUbC-natural-gas'!R14,'BIFUbC-biomass'!R14,'BIFUbC-heat'!R14,'BIFUbC-crude-oil'!R14,'BIFUbC-petroleum-diesel'!R14,'BIFUbC-heavy-or-residual-oil'!R14,'BIFUbC-LPG-propane-or-butane'!R14,'BIFUbC-hydrogen'!R14)</f>
        <v>415380978093960.56</v>
      </c>
      <c r="S15" s="16">
        <f>SUM('BIFUbC-electricity'!S14,'BIFUbC-coal'!S14,'BIFUbC-natural-gas'!S14,'BIFUbC-biomass'!S14,'BIFUbC-heat'!S14,'BIFUbC-crude-oil'!S14,'BIFUbC-petroleum-diesel'!S14,'BIFUbC-heavy-or-residual-oil'!S14,'BIFUbC-LPG-propane-or-butane'!S14,'BIFUbC-hydrogen'!S14)</f>
        <v>420830687958995.63</v>
      </c>
      <c r="T15" s="16">
        <f>SUM('BIFUbC-electricity'!T14,'BIFUbC-coal'!T14,'BIFUbC-natural-gas'!T14,'BIFUbC-biomass'!T14,'BIFUbC-heat'!T14,'BIFUbC-crude-oil'!T14,'BIFUbC-petroleum-diesel'!T14,'BIFUbC-heavy-or-residual-oil'!T14,'BIFUbC-LPG-propane-or-butane'!T14,'BIFUbC-hydrogen'!T14)</f>
        <v>426280397824029.25</v>
      </c>
      <c r="U15" s="16">
        <f>SUM('BIFUbC-electricity'!U14,'BIFUbC-coal'!U14,'BIFUbC-natural-gas'!U14,'BIFUbC-biomass'!U14,'BIFUbC-heat'!U14,'BIFUbC-crude-oil'!U14,'BIFUbC-petroleum-diesel'!U14,'BIFUbC-heavy-or-residual-oil'!U14,'BIFUbC-LPG-propane-or-butane'!U14,'BIFUbC-hydrogen'!U14)</f>
        <v>431730107689064.31</v>
      </c>
      <c r="V15" s="16">
        <f>SUM('BIFUbC-electricity'!V14,'BIFUbC-coal'!V14,'BIFUbC-natural-gas'!V14,'BIFUbC-biomass'!V14,'BIFUbC-heat'!V14,'BIFUbC-crude-oil'!V14,'BIFUbC-petroleum-diesel'!V14,'BIFUbC-heavy-or-residual-oil'!V14,'BIFUbC-LPG-propane-or-butane'!V14,'BIFUbC-hydrogen'!V14)</f>
        <v>437179817554097.19</v>
      </c>
      <c r="W15" s="16">
        <f>SUM('BIFUbC-electricity'!W14,'BIFUbC-coal'!W14,'BIFUbC-natural-gas'!W14,'BIFUbC-biomass'!W14,'BIFUbC-heat'!W14,'BIFUbC-crude-oil'!W14,'BIFUbC-petroleum-diesel'!W14,'BIFUbC-heavy-or-residual-oil'!W14,'BIFUbC-LPG-propane-or-butane'!W14,'BIFUbC-hydrogen'!W14)</f>
        <v>443409731148105.56</v>
      </c>
      <c r="X15" s="16">
        <f>SUM('BIFUbC-electricity'!X14,'BIFUbC-coal'!X14,'BIFUbC-natural-gas'!X14,'BIFUbC-biomass'!X14,'BIFUbC-heat'!X14,'BIFUbC-crude-oil'!X14,'BIFUbC-petroleum-diesel'!X14,'BIFUbC-heavy-or-residual-oil'!X14,'BIFUbC-LPG-propane-or-butane'!X14,'BIFUbC-hydrogen'!X14)</f>
        <v>449107687654177.38</v>
      </c>
      <c r="Y15" s="16">
        <f>SUM('BIFUbC-electricity'!Y14,'BIFUbC-coal'!Y14,'BIFUbC-natural-gas'!Y14,'BIFUbC-biomass'!Y14,'BIFUbC-heat'!Y14,'BIFUbC-crude-oil'!Y14,'BIFUbC-petroleum-diesel'!Y14,'BIFUbC-heavy-or-residual-oil'!Y14,'BIFUbC-LPG-propane-or-butane'!Y14,'BIFUbC-hydrogen'!Y14)</f>
        <v>454805644160249.69</v>
      </c>
      <c r="Z15" s="16">
        <f>SUM('BIFUbC-electricity'!Z14,'BIFUbC-coal'!Z14,'BIFUbC-natural-gas'!Z14,'BIFUbC-biomass'!Z14,'BIFUbC-heat'!Z14,'BIFUbC-crude-oil'!Z14,'BIFUbC-petroleum-diesel'!Z14,'BIFUbC-heavy-or-residual-oil'!Z14,'BIFUbC-LPG-propane-or-butane'!Z14,'BIFUbC-hydrogen'!Z14)</f>
        <v>460503600666320.25</v>
      </c>
      <c r="AA15" s="16">
        <f>SUM('BIFUbC-electricity'!AA14,'BIFUbC-coal'!AA14,'BIFUbC-natural-gas'!AA14,'BIFUbC-biomass'!AA14,'BIFUbC-heat'!AA14,'BIFUbC-crude-oil'!AA14,'BIFUbC-petroleum-diesel'!AA14,'BIFUbC-heavy-or-residual-oil'!AA14,'BIFUbC-LPG-propane-or-butane'!AA14,'BIFUbC-hydrogen'!AA14)</f>
        <v>466201557172392.06</v>
      </c>
      <c r="AB15" s="16">
        <f>SUM('BIFUbC-electricity'!AB14,'BIFUbC-coal'!AB14,'BIFUbC-natural-gas'!AB14,'BIFUbC-biomass'!AB14,'BIFUbC-heat'!AB14,'BIFUbC-crude-oil'!AB14,'BIFUbC-petroleum-diesel'!AB14,'BIFUbC-heavy-or-residual-oil'!AB14,'BIFUbC-LPG-propane-or-butane'!AB14,'BIFUbC-hydrogen'!AB14)</f>
        <v>471899513678463.75</v>
      </c>
      <c r="AC15" s="16">
        <f>SUM('BIFUbC-electricity'!AC14,'BIFUbC-coal'!AC14,'BIFUbC-natural-gas'!AC14,'BIFUbC-biomass'!AC14,'BIFUbC-heat'!AC14,'BIFUbC-crude-oil'!AC14,'BIFUbC-petroleum-diesel'!AC14,'BIFUbC-heavy-or-residual-oil'!AC14,'BIFUbC-LPG-propane-or-butane'!AC14,'BIFUbC-hydrogen'!AC14)</f>
        <v>477597470184534.75</v>
      </c>
      <c r="AD15" s="16">
        <f>SUM('BIFUbC-electricity'!AD14,'BIFUbC-coal'!AD14,'BIFUbC-natural-gas'!AD14,'BIFUbC-biomass'!AD14,'BIFUbC-heat'!AD14,'BIFUbC-crude-oil'!AD14,'BIFUbC-petroleum-diesel'!AD14,'BIFUbC-heavy-or-residual-oil'!AD14,'BIFUbC-LPG-propane-or-butane'!AD14,'BIFUbC-hydrogen'!AD14)</f>
        <v>483295426690606.69</v>
      </c>
      <c r="AE15" s="16">
        <f>SUM('BIFUbC-electricity'!AE14,'BIFUbC-coal'!AE14,'BIFUbC-natural-gas'!AE14,'BIFUbC-biomass'!AE14,'BIFUbC-heat'!AE14,'BIFUbC-crude-oil'!AE14,'BIFUbC-petroleum-diesel'!AE14,'BIFUbC-heavy-or-residual-oil'!AE14,'BIFUbC-LPG-propane-or-butane'!AE14,'BIFUbC-hydrogen'!AE14)</f>
        <v>488993383196678.44</v>
      </c>
      <c r="AF15" s="16">
        <f>SUM('BIFUbC-electricity'!AF14,'BIFUbC-coal'!AF14,'BIFUbC-natural-gas'!AF14,'BIFUbC-biomass'!AF14,'BIFUbC-heat'!AF14,'BIFUbC-crude-oil'!AF14,'BIFUbC-petroleum-diesel'!AF14,'BIFUbC-heavy-or-residual-oil'!AF14,'BIFUbC-LPG-propane-or-butane'!AF14,'BIFUbC-hydrogen'!AF14)</f>
        <v>494691339702749.38</v>
      </c>
    </row>
    <row r="16" spans="1:32">
      <c r="A16" t="s">
        <v>15</v>
      </c>
      <c r="B16" s="16">
        <f>SUM('BIFUbC-electricity'!B15,'BIFUbC-coal'!B15,'BIFUbC-natural-gas'!B15,'BIFUbC-biomass'!B15,'BIFUbC-heat'!B15,'BIFUbC-crude-oil'!B15,'BIFUbC-petroleum-diesel'!B15,'BIFUbC-heavy-or-residual-oil'!B15,'BIFUbC-LPG-propane-or-butane'!B15,'BIFUbC-hydrogen'!B15)</f>
        <v>971605595682778</v>
      </c>
      <c r="C16" s="16">
        <f>SUM('BIFUbC-electricity'!C15,'BIFUbC-coal'!C15,'BIFUbC-natural-gas'!C15,'BIFUbC-biomass'!C15,'BIFUbC-heat'!C15,'BIFUbC-crude-oil'!C15,'BIFUbC-petroleum-diesel'!C15,'BIFUbC-heavy-or-residual-oil'!C15,'BIFUbC-LPG-propane-or-butane'!C15,'BIFUbC-hydrogen'!C15)</f>
        <v>1008531729562385.6</v>
      </c>
      <c r="D16" s="16">
        <f>SUM('BIFUbC-electricity'!D15,'BIFUbC-coal'!D15,'BIFUbC-natural-gas'!D15,'BIFUbC-biomass'!D15,'BIFUbC-heat'!D15,'BIFUbC-crude-oil'!D15,'BIFUbC-petroleum-diesel'!D15,'BIFUbC-heavy-or-residual-oil'!D15,'BIFUbC-LPG-propane-or-butane'!D15,'BIFUbC-hydrogen'!D15)</f>
        <v>936228027904505.63</v>
      </c>
      <c r="E16" s="16">
        <f>SUM('BIFUbC-electricity'!E15,'BIFUbC-coal'!E15,'BIFUbC-natural-gas'!E15,'BIFUbC-biomass'!E15,'BIFUbC-heat'!E15,'BIFUbC-crude-oil'!E15,'BIFUbC-petroleum-diesel'!E15,'BIFUbC-heavy-or-residual-oil'!E15,'BIFUbC-LPG-propane-or-butane'!E15,'BIFUbC-hydrogen'!E15)</f>
        <v>935680170928067.25</v>
      </c>
      <c r="F16" s="16">
        <f>SUM('BIFUbC-electricity'!F15,'BIFUbC-coal'!F15,'BIFUbC-natural-gas'!F15,'BIFUbC-biomass'!F15,'BIFUbC-heat'!F15,'BIFUbC-crude-oil'!F15,'BIFUbC-petroleum-diesel'!F15,'BIFUbC-heavy-or-residual-oil'!F15,'BIFUbC-LPG-propane-or-butane'!F15,'BIFUbC-hydrogen'!F15)</f>
        <v>939325341588644.25</v>
      </c>
      <c r="G16" s="16">
        <f>SUM('BIFUbC-electricity'!G15,'BIFUbC-coal'!G15,'BIFUbC-natural-gas'!G15,'BIFUbC-biomass'!G15,'BIFUbC-heat'!G15,'BIFUbC-crude-oil'!G15,'BIFUbC-petroleum-diesel'!G15,'BIFUbC-heavy-or-residual-oil'!G15,'BIFUbC-LPG-propane-or-butane'!G15,'BIFUbC-hydrogen'!G15)</f>
        <v>941244562228693.38</v>
      </c>
      <c r="H16" s="16">
        <f>SUM('BIFUbC-electricity'!H15,'BIFUbC-coal'!H15,'BIFUbC-natural-gas'!H15,'BIFUbC-biomass'!H15,'BIFUbC-heat'!H15,'BIFUbC-crude-oil'!H15,'BIFUbC-petroleum-diesel'!H15,'BIFUbC-heavy-or-residual-oil'!H15,'BIFUbC-LPG-propane-or-butane'!H15,'BIFUbC-hydrogen'!H15)</f>
        <v>941244562228693.25</v>
      </c>
      <c r="I16" s="16">
        <f>SUM('BIFUbC-electricity'!I15,'BIFUbC-coal'!I15,'BIFUbC-natural-gas'!I15,'BIFUbC-biomass'!I15,'BIFUbC-heat'!I15,'BIFUbC-crude-oil'!I15,'BIFUbC-petroleum-diesel'!I15,'BIFUbC-heavy-or-residual-oil'!I15,'BIFUbC-LPG-propane-or-butane'!I15,'BIFUbC-hydrogen'!I15)</f>
        <v>851178446301520.25</v>
      </c>
      <c r="J16" s="16">
        <f>SUM('BIFUbC-electricity'!J15,'BIFUbC-coal'!J15,'BIFUbC-natural-gas'!J15,'BIFUbC-biomass'!J15,'BIFUbC-heat'!J15,'BIFUbC-crude-oil'!J15,'BIFUbC-petroleum-diesel'!J15,'BIFUbC-heavy-or-residual-oil'!J15,'BIFUbC-LPG-propane-or-butane'!J15,'BIFUbC-hydrogen'!J15)</f>
        <v>806792633235191.5</v>
      </c>
      <c r="K16" s="16">
        <f>SUM('BIFUbC-electricity'!K15,'BIFUbC-coal'!K15,'BIFUbC-natural-gas'!K15,'BIFUbC-biomass'!K15,'BIFUbC-heat'!K15,'BIFUbC-crude-oil'!K15,'BIFUbC-petroleum-diesel'!K15,'BIFUbC-heavy-or-residual-oil'!K15,'BIFUbC-LPG-propane-or-butane'!K15,'BIFUbC-hydrogen'!K15)</f>
        <v>794286606648735</v>
      </c>
      <c r="L16" s="16">
        <f>SUM('BIFUbC-electricity'!L15,'BIFUbC-coal'!L15,'BIFUbC-natural-gas'!L15,'BIFUbC-biomass'!L15,'BIFUbC-heat'!L15,'BIFUbC-crude-oil'!L15,'BIFUbC-petroleum-diesel'!L15,'BIFUbC-heavy-or-residual-oil'!L15,'BIFUbC-LPG-propane-or-butane'!L15,'BIFUbC-hydrogen'!L15)</f>
        <v>829449356308586.88</v>
      </c>
      <c r="M16" s="16">
        <f>SUM('BIFUbC-electricity'!M15,'BIFUbC-coal'!M15,'BIFUbC-natural-gas'!M15,'BIFUbC-biomass'!M15,'BIFUbC-heat'!M15,'BIFUbC-crude-oil'!M15,'BIFUbC-petroleum-diesel'!M15,'BIFUbC-heavy-or-residual-oil'!M15,'BIFUbC-LPG-propane-or-butane'!M15,'BIFUbC-hydrogen'!M15)</f>
        <v>766139565897941.13</v>
      </c>
      <c r="N16" s="16">
        <f>SUM('BIFUbC-electricity'!N15,'BIFUbC-coal'!N15,'BIFUbC-natural-gas'!N15,'BIFUbC-biomass'!N15,'BIFUbC-heat'!N15,'BIFUbC-crude-oil'!N15,'BIFUbC-petroleum-diesel'!N15,'BIFUbC-heavy-or-residual-oil'!N15,'BIFUbC-LPG-propane-or-butane'!N15,'BIFUbC-hydrogen'!N15)</f>
        <v>776443453881370.63</v>
      </c>
      <c r="O16" s="16">
        <f>SUM('BIFUbC-electricity'!O15,'BIFUbC-coal'!O15,'BIFUbC-natural-gas'!O15,'BIFUbC-biomass'!O15,'BIFUbC-heat'!O15,'BIFUbC-crude-oil'!O15,'BIFUbC-petroleum-diesel'!O15,'BIFUbC-heavy-or-residual-oil'!O15,'BIFUbC-LPG-propane-or-butane'!O15,'BIFUbC-hydrogen'!O15)</f>
        <v>802415827458746.13</v>
      </c>
      <c r="P16" s="16">
        <f>SUM('BIFUbC-electricity'!P15,'BIFUbC-coal'!P15,'BIFUbC-natural-gas'!P15,'BIFUbC-biomass'!P15,'BIFUbC-heat'!P15,'BIFUbC-crude-oil'!P15,'BIFUbC-petroleum-diesel'!P15,'BIFUbC-heavy-or-residual-oil'!P15,'BIFUbC-LPG-propane-or-butane'!P15,'BIFUbC-hydrogen'!P15)</f>
        <v>719021275674326.88</v>
      </c>
      <c r="Q16" s="16">
        <f>SUM('BIFUbC-electricity'!Q15,'BIFUbC-coal'!Q15,'BIFUbC-natural-gas'!Q15,'BIFUbC-biomass'!Q15,'BIFUbC-heat'!Q15,'BIFUbC-crude-oil'!Q15,'BIFUbC-petroleum-diesel'!Q15,'BIFUbC-heavy-or-residual-oil'!Q15,'BIFUbC-LPG-propane-or-butane'!Q15,'BIFUbC-hydrogen'!Q15)</f>
        <v>796934586378444.88</v>
      </c>
      <c r="R16" s="16">
        <f>SUM('BIFUbC-electricity'!R15,'BIFUbC-coal'!R15,'BIFUbC-natural-gas'!R15,'BIFUbC-biomass'!R15,'BIFUbC-heat'!R15,'BIFUbC-crude-oil'!R15,'BIFUbC-petroleum-diesel'!R15,'BIFUbC-heavy-or-residual-oil'!R15,'BIFUbC-LPG-propane-or-butane'!R15,'BIFUbC-hydrogen'!R15)</f>
        <v>796934586378444.75</v>
      </c>
      <c r="S16" s="16">
        <f>SUM('BIFUbC-electricity'!S15,'BIFUbC-coal'!S15,'BIFUbC-natural-gas'!S15,'BIFUbC-biomass'!S15,'BIFUbC-heat'!S15,'BIFUbC-crude-oil'!S15,'BIFUbC-petroleum-diesel'!S15,'BIFUbC-heavy-or-residual-oil'!S15,'BIFUbC-LPG-propane-or-butane'!S15,'BIFUbC-hydrogen'!S15)</f>
        <v>796934586378444.63</v>
      </c>
      <c r="T16" s="16">
        <f>SUM('BIFUbC-electricity'!T15,'BIFUbC-coal'!T15,'BIFUbC-natural-gas'!T15,'BIFUbC-biomass'!T15,'BIFUbC-heat'!T15,'BIFUbC-crude-oil'!T15,'BIFUbC-petroleum-diesel'!T15,'BIFUbC-heavy-or-residual-oil'!T15,'BIFUbC-LPG-propane-or-butane'!T15,'BIFUbC-hydrogen'!T15)</f>
        <v>749246099421622.25</v>
      </c>
      <c r="U16" s="16">
        <f>SUM('BIFUbC-electricity'!U15,'BIFUbC-coal'!U15,'BIFUbC-natural-gas'!U15,'BIFUbC-biomass'!U15,'BIFUbC-heat'!U15,'BIFUbC-crude-oil'!U15,'BIFUbC-petroleum-diesel'!U15,'BIFUbC-heavy-or-residual-oil'!U15,'BIFUbC-LPG-propane-or-butane'!U15,'BIFUbC-hydrogen'!U15)</f>
        <v>555091925397147.88</v>
      </c>
      <c r="V16" s="16">
        <f>SUM('BIFUbC-electricity'!V15,'BIFUbC-coal'!V15,'BIFUbC-natural-gas'!V15,'BIFUbC-biomass'!V15,'BIFUbC-heat'!V15,'BIFUbC-crude-oil'!V15,'BIFUbC-petroleum-diesel'!V15,'BIFUbC-heavy-or-residual-oil'!V15,'BIFUbC-LPG-propane-or-butane'!V15,'BIFUbC-hydrogen'!V15)</f>
        <v>598379214692774.25</v>
      </c>
      <c r="W16" s="16">
        <f>SUM('BIFUbC-electricity'!W15,'BIFUbC-coal'!W15,'BIFUbC-natural-gas'!W15,'BIFUbC-biomass'!W15,'BIFUbC-heat'!W15,'BIFUbC-crude-oil'!W15,'BIFUbC-petroleum-diesel'!W15,'BIFUbC-heavy-or-residual-oil'!W15,'BIFUbC-LPG-propane-or-butane'!W15,'BIFUbC-hydrogen'!W15)</f>
        <v>552552060490782.63</v>
      </c>
      <c r="X16" s="16">
        <f>SUM('BIFUbC-electricity'!X15,'BIFUbC-coal'!X15,'BIFUbC-natural-gas'!X15,'BIFUbC-biomass'!X15,'BIFUbC-heat'!X15,'BIFUbC-crude-oil'!X15,'BIFUbC-petroleum-diesel'!X15,'BIFUbC-heavy-or-residual-oil'!X15,'BIFUbC-LPG-propane-or-butane'!X15,'BIFUbC-hydrogen'!X15)</f>
        <v>477928180374460.13</v>
      </c>
      <c r="Y16" s="16">
        <f>SUM('BIFUbC-electricity'!Y15,'BIFUbC-coal'!Y15,'BIFUbC-natural-gas'!Y15,'BIFUbC-biomass'!Y15,'BIFUbC-heat'!Y15,'BIFUbC-crude-oil'!Y15,'BIFUbC-petroleum-diesel'!Y15,'BIFUbC-heavy-or-residual-oil'!Y15,'BIFUbC-LPG-propane-or-butane'!Y15,'BIFUbC-hydrogen'!Y15)</f>
        <v>413309341286759.31</v>
      </c>
      <c r="Z16" s="16">
        <f>SUM('BIFUbC-electricity'!Z15,'BIFUbC-coal'!Z15,'BIFUbC-natural-gas'!Z15,'BIFUbC-biomass'!Z15,'BIFUbC-heat'!Z15,'BIFUbC-crude-oil'!Z15,'BIFUbC-petroleum-diesel'!Z15,'BIFUbC-heavy-or-residual-oil'!Z15,'BIFUbC-LPG-propane-or-butane'!Z15,'BIFUbC-hydrogen'!Z15)</f>
        <v>413309341286759.19</v>
      </c>
      <c r="AA16" s="16">
        <f>SUM('BIFUbC-electricity'!AA15,'BIFUbC-coal'!AA15,'BIFUbC-natural-gas'!AA15,'BIFUbC-biomass'!AA15,'BIFUbC-heat'!AA15,'BIFUbC-crude-oil'!AA15,'BIFUbC-petroleum-diesel'!AA15,'BIFUbC-heavy-or-residual-oil'!AA15,'BIFUbC-LPG-propane-or-butane'!AA15,'BIFUbC-hydrogen'!AA15)</f>
        <v>430624257005009.81</v>
      </c>
      <c r="AB16" s="16">
        <f>SUM('BIFUbC-electricity'!AB15,'BIFUbC-coal'!AB15,'BIFUbC-natural-gas'!AB15,'BIFUbC-biomass'!AB15,'BIFUbC-heat'!AB15,'BIFUbC-crude-oil'!AB15,'BIFUbC-petroleum-diesel'!AB15,'BIFUbC-heavy-or-residual-oil'!AB15,'BIFUbC-LPG-propane-or-butane'!AB15,'BIFUbC-hydrogen'!AB15)</f>
        <v>430624257005009.69</v>
      </c>
      <c r="AC16" s="16">
        <f>SUM('BIFUbC-electricity'!AC15,'BIFUbC-coal'!AC15,'BIFUbC-natural-gas'!AC15,'BIFUbC-biomass'!AC15,'BIFUbC-heat'!AC15,'BIFUbC-crude-oil'!AC15,'BIFUbC-petroleum-diesel'!AC15,'BIFUbC-heavy-or-residual-oil'!AC15,'BIFUbC-LPG-propane-or-butane'!AC15,'BIFUbC-hydrogen'!AC15)</f>
        <v>456596630582385.63</v>
      </c>
      <c r="AD16" s="16">
        <f>SUM('BIFUbC-electricity'!AD15,'BIFUbC-coal'!AD15,'BIFUbC-natural-gas'!AD15,'BIFUbC-biomass'!AD15,'BIFUbC-heat'!AD15,'BIFUbC-crude-oil'!AD15,'BIFUbC-petroleum-diesel'!AD15,'BIFUbC-heavy-or-residual-oil'!AD15,'BIFUbC-LPG-propane-or-butane'!AD15,'BIFUbC-hydrogen'!AD15)</f>
        <v>456596630582385.5</v>
      </c>
      <c r="AE16" s="16">
        <f>SUM('BIFUbC-electricity'!AE15,'BIFUbC-coal'!AE15,'BIFUbC-natural-gas'!AE15,'BIFUbC-biomass'!AE15,'BIFUbC-heat'!AE15,'BIFUbC-crude-oil'!AE15,'BIFUbC-petroleum-diesel'!AE15,'BIFUbC-heavy-or-residual-oil'!AE15,'BIFUbC-LPG-propane-or-butane'!AE15,'BIFUbC-hydrogen'!AE15)</f>
        <v>456596630582385.44</v>
      </c>
      <c r="AF16" s="16">
        <f>SUM('BIFUbC-electricity'!AF15,'BIFUbC-coal'!AF15,'BIFUbC-natural-gas'!AF15,'BIFUbC-biomass'!AF15,'BIFUbC-heat'!AF15,'BIFUbC-crude-oil'!AF15,'BIFUbC-petroleum-diesel'!AF15,'BIFUbC-heavy-or-residual-oil'!AF15,'BIFUbC-LPG-propane-or-butane'!AF15,'BIFUbC-hydrogen'!AF15)</f>
        <v>456596630582385.38</v>
      </c>
    </row>
    <row r="17" spans="1:32">
      <c r="A17" t="s">
        <v>16</v>
      </c>
      <c r="B17" s="16">
        <f>SUM('BIFUbC-electricity'!B16,'BIFUbC-coal'!B16,'BIFUbC-natural-gas'!B16,'BIFUbC-biomass'!B16,'BIFUbC-heat'!B16,'BIFUbC-crude-oil'!B16,'BIFUbC-petroleum-diesel'!B16,'BIFUbC-heavy-or-residual-oil'!B16,'BIFUbC-LPG-propane-or-butane'!B16,'BIFUbC-hydrogen'!B16)</f>
        <v>114634687102643.31</v>
      </c>
      <c r="C17" s="16">
        <f>SUM('BIFUbC-electricity'!C16,'BIFUbC-coal'!C16,'BIFUbC-natural-gas'!C16,'BIFUbC-biomass'!C16,'BIFUbC-heat'!C16,'BIFUbC-crude-oil'!C16,'BIFUbC-petroleum-diesel'!C16,'BIFUbC-heavy-or-residual-oil'!C16,'BIFUbC-LPG-propane-or-butane'!C16,'BIFUbC-hydrogen'!C16)</f>
        <v>116225219689739.28</v>
      </c>
      <c r="D17" s="16">
        <f>SUM('BIFUbC-electricity'!D16,'BIFUbC-coal'!D16,'BIFUbC-natural-gas'!D16,'BIFUbC-biomass'!D16,'BIFUbC-heat'!D16,'BIFUbC-crude-oil'!D16,'BIFUbC-petroleum-diesel'!D16,'BIFUbC-heavy-or-residual-oil'!D16,'BIFUbC-LPG-propane-or-butane'!D16,'BIFUbC-hydrogen'!D16)</f>
        <v>122275710722854.08</v>
      </c>
      <c r="E17" s="16">
        <f>SUM('BIFUbC-electricity'!E16,'BIFUbC-coal'!E16,'BIFUbC-natural-gas'!E16,'BIFUbC-biomass'!E16,'BIFUbC-heat'!E16,'BIFUbC-crude-oil'!E16,'BIFUbC-petroleum-diesel'!E16,'BIFUbC-heavy-or-residual-oil'!E16,'BIFUbC-LPG-propane-or-butane'!E16,'BIFUbC-hydrogen'!E16)</f>
        <v>119406284863931.28</v>
      </c>
      <c r="F17" s="16">
        <f>SUM('BIFUbC-electricity'!F16,'BIFUbC-coal'!F16,'BIFUbC-natural-gas'!F16,'BIFUbC-biomass'!F16,'BIFUbC-heat'!F16,'BIFUbC-crude-oil'!F16,'BIFUbC-petroleum-diesel'!F16,'BIFUbC-heavy-or-residual-oil'!F16,'BIFUbC-LPG-propane-or-butane'!F16,'BIFUbC-hydrogen'!F16)</f>
        <v>120996817451027.3</v>
      </c>
      <c r="G17" s="16">
        <f>SUM('BIFUbC-electricity'!G16,'BIFUbC-coal'!G16,'BIFUbC-natural-gas'!G16,'BIFUbC-biomass'!G16,'BIFUbC-heat'!G16,'BIFUbC-crude-oil'!G16,'BIFUbC-petroleum-diesel'!G16,'BIFUbC-heavy-or-residual-oil'!G16,'BIFUbC-LPG-propane-or-butane'!G16,'BIFUbC-hydrogen'!G16)</f>
        <v>122587350038123.25</v>
      </c>
      <c r="H17" s="16">
        <f>SUM('BIFUbC-electricity'!H16,'BIFUbC-coal'!H16,'BIFUbC-natural-gas'!H16,'BIFUbC-biomass'!H16,'BIFUbC-heat'!H16,'BIFUbC-crude-oil'!H16,'BIFUbC-petroleum-diesel'!H16,'BIFUbC-heavy-or-residual-oil'!H16,'BIFUbC-LPG-propane-or-butane'!H16,'BIFUbC-hydrogen'!H16)</f>
        <v>122255129613930.08</v>
      </c>
      <c r="I17" s="16">
        <f>SUM('BIFUbC-electricity'!I16,'BIFUbC-coal'!I16,'BIFUbC-natural-gas'!I16,'BIFUbC-biomass'!I16,'BIFUbC-heat'!I16,'BIFUbC-crude-oil'!I16,'BIFUbC-petroleum-diesel'!I16,'BIFUbC-heavy-or-residual-oil'!I16,'BIFUbC-LPG-propane-or-butane'!I16,'BIFUbC-hydrogen'!I16)</f>
        <v>121922909189736.91</v>
      </c>
      <c r="J17" s="16">
        <f>SUM('BIFUbC-electricity'!J16,'BIFUbC-coal'!J16,'BIFUbC-natural-gas'!J16,'BIFUbC-biomass'!J16,'BIFUbC-heat'!J16,'BIFUbC-crude-oil'!J16,'BIFUbC-petroleum-diesel'!J16,'BIFUbC-heavy-or-residual-oil'!J16,'BIFUbC-LPG-propane-or-butane'!J16,'BIFUbC-hydrogen'!J16)</f>
        <v>121590688765543.72</v>
      </c>
      <c r="K17" s="16">
        <f>SUM('BIFUbC-electricity'!K16,'BIFUbC-coal'!K16,'BIFUbC-natural-gas'!K16,'BIFUbC-biomass'!K16,'BIFUbC-heat'!K16,'BIFUbC-crude-oil'!K16,'BIFUbC-petroleum-diesel'!K16,'BIFUbC-heavy-or-residual-oil'!K16,'BIFUbC-LPG-propane-or-butane'!K16,'BIFUbC-hydrogen'!K16)</f>
        <v>121258468341350.58</v>
      </c>
      <c r="L17" s="16">
        <f>SUM('BIFUbC-electricity'!L16,'BIFUbC-coal'!L16,'BIFUbC-natural-gas'!L16,'BIFUbC-biomass'!L16,'BIFUbC-heat'!L16,'BIFUbC-crude-oil'!L16,'BIFUbC-petroleum-diesel'!L16,'BIFUbC-heavy-or-residual-oil'!L16,'BIFUbC-LPG-propane-or-butane'!L16,'BIFUbC-hydrogen'!L16)</f>
        <v>120926247917157.38</v>
      </c>
      <c r="M17" s="16">
        <f>SUM('BIFUbC-electricity'!M16,'BIFUbC-coal'!M16,'BIFUbC-natural-gas'!M16,'BIFUbC-biomass'!M16,'BIFUbC-heat'!M16,'BIFUbC-crude-oil'!M16,'BIFUbC-petroleum-diesel'!M16,'BIFUbC-heavy-or-residual-oil'!M16,'BIFUbC-LPG-propane-or-butane'!M16,'BIFUbC-hydrogen'!M16)</f>
        <v>120468930252074.64</v>
      </c>
      <c r="N17" s="16">
        <f>SUM('BIFUbC-electricity'!N16,'BIFUbC-coal'!N16,'BIFUbC-natural-gas'!N16,'BIFUbC-biomass'!N16,'BIFUbC-heat'!N16,'BIFUbC-crude-oil'!N16,'BIFUbC-petroleum-diesel'!N16,'BIFUbC-heavy-or-residual-oil'!N16,'BIFUbC-LPG-propane-or-butane'!N16,'BIFUbC-hydrogen'!N16)</f>
        <v>120011612586991.94</v>
      </c>
      <c r="O17" s="16">
        <f>SUM('BIFUbC-electricity'!O16,'BIFUbC-coal'!O16,'BIFUbC-natural-gas'!O16,'BIFUbC-biomass'!O16,'BIFUbC-heat'!O16,'BIFUbC-crude-oil'!O16,'BIFUbC-petroleum-diesel'!O16,'BIFUbC-heavy-or-residual-oil'!O16,'BIFUbC-LPG-propane-or-butane'!O16,'BIFUbC-hydrogen'!O16)</f>
        <v>119554294921909.2</v>
      </c>
      <c r="P17" s="16">
        <f>SUM('BIFUbC-electricity'!P16,'BIFUbC-coal'!P16,'BIFUbC-natural-gas'!P16,'BIFUbC-biomass'!P16,'BIFUbC-heat'!P16,'BIFUbC-crude-oil'!P16,'BIFUbC-petroleum-diesel'!P16,'BIFUbC-heavy-or-residual-oil'!P16,'BIFUbC-LPG-propane-or-butane'!P16,'BIFUbC-hydrogen'!P16)</f>
        <v>119096977256826.44</v>
      </c>
      <c r="Q17" s="16">
        <f>SUM('BIFUbC-electricity'!Q16,'BIFUbC-coal'!Q16,'BIFUbC-natural-gas'!Q16,'BIFUbC-biomass'!Q16,'BIFUbC-heat'!Q16,'BIFUbC-crude-oil'!Q16,'BIFUbC-petroleum-diesel'!Q16,'BIFUbC-heavy-or-residual-oil'!Q16,'BIFUbC-LPG-propane-or-butane'!Q16,'BIFUbC-hydrogen'!Q16)</f>
        <v>118639659591743.72</v>
      </c>
      <c r="R17" s="16">
        <f>SUM('BIFUbC-electricity'!R16,'BIFUbC-coal'!R16,'BIFUbC-natural-gas'!R16,'BIFUbC-biomass'!R16,'BIFUbC-heat'!R16,'BIFUbC-crude-oil'!R16,'BIFUbC-petroleum-diesel'!R16,'BIFUbC-heavy-or-residual-oil'!R16,'BIFUbC-LPG-propane-or-butane'!R16,'BIFUbC-hydrogen'!R16)</f>
        <v>118284198768937.09</v>
      </c>
      <c r="S17" s="16">
        <f>SUM('BIFUbC-electricity'!S16,'BIFUbC-coal'!S16,'BIFUbC-natural-gas'!S16,'BIFUbC-biomass'!S16,'BIFUbC-heat'!S16,'BIFUbC-crude-oil'!S16,'BIFUbC-petroleum-diesel'!S16,'BIFUbC-heavy-or-residual-oil'!S16,'BIFUbC-LPG-propane-or-butane'!S16,'BIFUbC-hydrogen'!S16)</f>
        <v>117928737946130.45</v>
      </c>
      <c r="T17" s="16">
        <f>SUM('BIFUbC-electricity'!T16,'BIFUbC-coal'!T16,'BIFUbC-natural-gas'!T16,'BIFUbC-biomass'!T16,'BIFUbC-heat'!T16,'BIFUbC-crude-oil'!T16,'BIFUbC-petroleum-diesel'!T16,'BIFUbC-heavy-or-residual-oil'!T16,'BIFUbC-LPG-propane-or-butane'!T16,'BIFUbC-hydrogen'!T16)</f>
        <v>117573277123323.8</v>
      </c>
      <c r="U17" s="16">
        <f>SUM('BIFUbC-electricity'!U16,'BIFUbC-coal'!U16,'BIFUbC-natural-gas'!U16,'BIFUbC-biomass'!U16,'BIFUbC-heat'!U16,'BIFUbC-crude-oil'!U16,'BIFUbC-petroleum-diesel'!U16,'BIFUbC-heavy-or-residual-oil'!U16,'BIFUbC-LPG-propane-or-butane'!U16,'BIFUbC-hydrogen'!U16)</f>
        <v>117217816300517.19</v>
      </c>
      <c r="V17" s="16">
        <f>SUM('BIFUbC-electricity'!V16,'BIFUbC-coal'!V16,'BIFUbC-natural-gas'!V16,'BIFUbC-biomass'!V16,'BIFUbC-heat'!V16,'BIFUbC-crude-oil'!V16,'BIFUbC-petroleum-diesel'!V16,'BIFUbC-heavy-or-residual-oil'!V16,'BIFUbC-LPG-propane-or-butane'!V16,'BIFUbC-hydrogen'!V16)</f>
        <v>116862355477710.55</v>
      </c>
      <c r="W17" s="16">
        <f>SUM('BIFUbC-electricity'!W16,'BIFUbC-coal'!W16,'BIFUbC-natural-gas'!W16,'BIFUbC-biomass'!W16,'BIFUbC-heat'!W16,'BIFUbC-crude-oil'!W16,'BIFUbC-petroleum-diesel'!W16,'BIFUbC-heavy-or-residual-oil'!W16,'BIFUbC-LPG-propane-or-butane'!W16,'BIFUbC-hydrogen'!W16)</f>
        <v>116371085531869.13</v>
      </c>
      <c r="X17" s="16">
        <f>SUM('BIFUbC-electricity'!X16,'BIFUbC-coal'!X16,'BIFUbC-natural-gas'!X16,'BIFUbC-biomass'!X16,'BIFUbC-heat'!X16,'BIFUbC-crude-oil'!X16,'BIFUbC-petroleum-diesel'!X16,'BIFUbC-heavy-or-residual-oil'!X16,'BIFUbC-LPG-propane-or-butane'!X16,'BIFUbC-hydrogen'!X16)</f>
        <v>115972412715369.45</v>
      </c>
      <c r="Y17" s="16">
        <f>SUM('BIFUbC-electricity'!Y16,'BIFUbC-coal'!Y16,'BIFUbC-natural-gas'!Y16,'BIFUbC-biomass'!Y16,'BIFUbC-heat'!Y16,'BIFUbC-crude-oil'!Y16,'BIFUbC-petroleum-diesel'!Y16,'BIFUbC-heavy-or-residual-oil'!Y16,'BIFUbC-LPG-propane-or-butane'!Y16,'BIFUbC-hydrogen'!Y16)</f>
        <v>115573739898870.08</v>
      </c>
      <c r="Z17" s="16">
        <f>SUM('BIFUbC-electricity'!Z16,'BIFUbC-coal'!Z16,'BIFUbC-natural-gas'!Z16,'BIFUbC-biomass'!Z16,'BIFUbC-heat'!Z16,'BIFUbC-crude-oil'!Z16,'BIFUbC-petroleum-diesel'!Z16,'BIFUbC-heavy-or-residual-oil'!Z16,'BIFUbC-LPG-propane-or-butane'!Z16,'BIFUbC-hydrogen'!Z16)</f>
        <v>115175067082370.41</v>
      </c>
      <c r="AA17" s="16">
        <f>SUM('BIFUbC-electricity'!AA16,'BIFUbC-coal'!AA16,'BIFUbC-natural-gas'!AA16,'BIFUbC-biomass'!AA16,'BIFUbC-heat'!AA16,'BIFUbC-crude-oil'!AA16,'BIFUbC-petroleum-diesel'!AA16,'BIFUbC-heavy-or-residual-oil'!AA16,'BIFUbC-LPG-propane-or-butane'!AA16,'BIFUbC-hydrogen'!AA16)</f>
        <v>114776394265871</v>
      </c>
      <c r="AB17" s="16">
        <f>SUM('BIFUbC-electricity'!AB16,'BIFUbC-coal'!AB16,'BIFUbC-natural-gas'!AB16,'BIFUbC-biomass'!AB16,'BIFUbC-heat'!AB16,'BIFUbC-crude-oil'!AB16,'BIFUbC-petroleum-diesel'!AB16,'BIFUbC-heavy-or-residual-oil'!AB16,'BIFUbC-LPG-propane-or-butane'!AB16,'BIFUbC-hydrogen'!AB16)</f>
        <v>114377721449371.45</v>
      </c>
      <c r="AC17" s="16">
        <f>SUM('BIFUbC-electricity'!AC16,'BIFUbC-coal'!AC16,'BIFUbC-natural-gas'!AC16,'BIFUbC-biomass'!AC16,'BIFUbC-heat'!AC16,'BIFUbC-crude-oil'!AC16,'BIFUbC-petroleum-diesel'!AC16,'BIFUbC-heavy-or-residual-oil'!AC16,'BIFUbC-LPG-propane-or-butane'!AC16,'BIFUbC-hydrogen'!AC16)</f>
        <v>113979048632872.02</v>
      </c>
      <c r="AD17" s="16">
        <f>SUM('BIFUbC-electricity'!AD16,'BIFUbC-coal'!AD16,'BIFUbC-natural-gas'!AD16,'BIFUbC-biomass'!AD16,'BIFUbC-heat'!AD16,'BIFUbC-crude-oil'!AD16,'BIFUbC-petroleum-diesel'!AD16,'BIFUbC-heavy-or-residual-oil'!AD16,'BIFUbC-LPG-propane-or-butane'!AD16,'BIFUbC-hydrogen'!AD16)</f>
        <v>113580375816372.39</v>
      </c>
      <c r="AE17" s="16">
        <f>SUM('BIFUbC-electricity'!AE16,'BIFUbC-coal'!AE16,'BIFUbC-natural-gas'!AE16,'BIFUbC-biomass'!AE16,'BIFUbC-heat'!AE16,'BIFUbC-crude-oil'!AE16,'BIFUbC-petroleum-diesel'!AE16,'BIFUbC-heavy-or-residual-oil'!AE16,'BIFUbC-LPG-propane-or-butane'!AE16,'BIFUbC-hydrogen'!AE16)</f>
        <v>113181702999872.73</v>
      </c>
      <c r="AF17" s="16">
        <f>SUM('BIFUbC-electricity'!AF16,'BIFUbC-coal'!AF16,'BIFUbC-natural-gas'!AF16,'BIFUbC-biomass'!AF16,'BIFUbC-heat'!AF16,'BIFUbC-crude-oil'!AF16,'BIFUbC-petroleum-diesel'!AF16,'BIFUbC-heavy-or-residual-oil'!AF16,'BIFUbC-LPG-propane-or-butane'!AF16,'BIFUbC-hydrogen'!AF16)</f>
        <v>112783030183373.33</v>
      </c>
    </row>
    <row r="18" spans="1:32">
      <c r="A18" t="s">
        <v>17</v>
      </c>
      <c r="B18" s="16">
        <f>SUM('BIFUbC-electricity'!B17,'BIFUbC-coal'!B17,'BIFUbC-natural-gas'!B17,'BIFUbC-biomass'!B17,'BIFUbC-heat'!B17,'BIFUbC-crude-oil'!B17,'BIFUbC-petroleum-diesel'!B17,'BIFUbC-heavy-or-residual-oil'!B17,'BIFUbC-LPG-propane-or-butane'!B17,'BIFUbC-hydrogen'!B17)</f>
        <v>79793318470848.391</v>
      </c>
      <c r="C18" s="16">
        <f>SUM('BIFUbC-electricity'!C17,'BIFUbC-coal'!C17,'BIFUbC-natural-gas'!C17,'BIFUbC-biomass'!C17,'BIFUbC-heat'!C17,'BIFUbC-crude-oil'!C17,'BIFUbC-petroleum-diesel'!C17,'BIFUbC-heavy-or-residual-oil'!C17,'BIFUbC-LPG-propane-or-butane'!C17,'BIFUbC-hydrogen'!C17)</f>
        <v>81667830771217.219</v>
      </c>
      <c r="D18" s="16">
        <f>SUM('BIFUbC-electricity'!D17,'BIFUbC-coal'!D17,'BIFUbC-natural-gas'!D17,'BIFUbC-biomass'!D17,'BIFUbC-heat'!D17,'BIFUbC-crude-oil'!D17,'BIFUbC-petroleum-diesel'!D17,'BIFUbC-heavy-or-residual-oil'!D17,'BIFUbC-LPG-propane-or-butane'!D17,'BIFUbC-hydrogen'!D17)</f>
        <v>88716111256409.547</v>
      </c>
      <c r="E18" s="16">
        <f>SUM('BIFUbC-electricity'!E17,'BIFUbC-coal'!E17,'BIFUbC-natural-gas'!E17,'BIFUbC-biomass'!E17,'BIFUbC-heat'!E17,'BIFUbC-crude-oil'!E17,'BIFUbC-petroleum-diesel'!E17,'BIFUbC-heavy-or-residual-oil'!E17,'BIFUbC-LPG-propane-or-butane'!E17,'BIFUbC-hydrogen'!E17)</f>
        <v>85416855371954.781</v>
      </c>
      <c r="F18" s="16">
        <f>SUM('BIFUbC-electricity'!F17,'BIFUbC-coal'!F17,'BIFUbC-natural-gas'!F17,'BIFUbC-biomass'!F17,'BIFUbC-heat'!F17,'BIFUbC-crude-oil'!F17,'BIFUbC-petroleum-diesel'!F17,'BIFUbC-heavy-or-residual-oil'!F17,'BIFUbC-LPG-propane-or-butane'!F17,'BIFUbC-hydrogen'!F17)</f>
        <v>87291367672323.531</v>
      </c>
      <c r="G18" s="16">
        <f>SUM('BIFUbC-electricity'!G17,'BIFUbC-coal'!G17,'BIFUbC-natural-gas'!G17,'BIFUbC-biomass'!G17,'BIFUbC-heat'!G17,'BIFUbC-crude-oil'!G17,'BIFUbC-petroleum-diesel'!G17,'BIFUbC-heavy-or-residual-oil'!G17,'BIFUbC-LPG-propane-or-butane'!G17,'BIFUbC-hydrogen'!G17)</f>
        <v>89165879972692.375</v>
      </c>
      <c r="H18" s="16">
        <f>SUM('BIFUbC-electricity'!H17,'BIFUbC-coal'!H17,'BIFUbC-natural-gas'!H17,'BIFUbC-biomass'!H17,'BIFUbC-heat'!H17,'BIFUbC-crude-oil'!H17,'BIFUbC-petroleum-diesel'!H17,'BIFUbC-heavy-or-residual-oil'!H17,'BIFUbC-LPG-propane-or-butane'!H17,'BIFUbC-hydrogen'!H17)</f>
        <v>89687007050818.391</v>
      </c>
      <c r="I18" s="16">
        <f>SUM('BIFUbC-electricity'!I17,'BIFUbC-coal'!I17,'BIFUbC-natural-gas'!I17,'BIFUbC-biomass'!I17,'BIFUbC-heat'!I17,'BIFUbC-crude-oil'!I17,'BIFUbC-petroleum-diesel'!I17,'BIFUbC-heavy-or-residual-oil'!I17,'BIFUbC-LPG-propane-or-butane'!I17,'BIFUbC-hydrogen'!I17)</f>
        <v>90208134128944.375</v>
      </c>
      <c r="J18" s="16">
        <f>SUM('BIFUbC-electricity'!J17,'BIFUbC-coal'!J17,'BIFUbC-natural-gas'!J17,'BIFUbC-biomass'!J17,'BIFUbC-heat'!J17,'BIFUbC-crude-oil'!J17,'BIFUbC-petroleum-diesel'!J17,'BIFUbC-heavy-or-residual-oil'!J17,'BIFUbC-LPG-propane-or-butane'!J17,'BIFUbC-hydrogen'!J17)</f>
        <v>90729261207070.391</v>
      </c>
      <c r="K18" s="16">
        <f>SUM('BIFUbC-electricity'!K17,'BIFUbC-coal'!K17,'BIFUbC-natural-gas'!K17,'BIFUbC-biomass'!K17,'BIFUbC-heat'!K17,'BIFUbC-crude-oil'!K17,'BIFUbC-petroleum-diesel'!K17,'BIFUbC-heavy-or-residual-oil'!K17,'BIFUbC-LPG-propane-or-butane'!K17,'BIFUbC-hydrogen'!K17)</f>
        <v>91250388285196.375</v>
      </c>
      <c r="L18" s="16">
        <f>SUM('BIFUbC-electricity'!L17,'BIFUbC-coal'!L17,'BIFUbC-natural-gas'!L17,'BIFUbC-biomass'!L17,'BIFUbC-heat'!L17,'BIFUbC-crude-oil'!L17,'BIFUbC-petroleum-diesel'!L17,'BIFUbC-heavy-or-residual-oil'!L17,'BIFUbC-LPG-propane-or-butane'!L17,'BIFUbC-hydrogen'!L17)</f>
        <v>91771515363322.375</v>
      </c>
      <c r="M18" s="16">
        <f>SUM('BIFUbC-electricity'!M17,'BIFUbC-coal'!M17,'BIFUbC-natural-gas'!M17,'BIFUbC-biomass'!M17,'BIFUbC-heat'!M17,'BIFUbC-crude-oil'!M17,'BIFUbC-petroleum-diesel'!M17,'BIFUbC-heavy-or-residual-oil'!M17,'BIFUbC-LPG-propane-or-butane'!M17,'BIFUbC-hydrogen'!M17)</f>
        <v>92118053855475.969</v>
      </c>
      <c r="N18" s="16">
        <f>SUM('BIFUbC-electricity'!N17,'BIFUbC-coal'!N17,'BIFUbC-natural-gas'!N17,'BIFUbC-biomass'!N17,'BIFUbC-heat'!N17,'BIFUbC-crude-oil'!N17,'BIFUbC-petroleum-diesel'!N17,'BIFUbC-heavy-or-residual-oil'!N17,'BIFUbC-LPG-propane-or-butane'!N17,'BIFUbC-hydrogen'!N17)</f>
        <v>92464592347629.563</v>
      </c>
      <c r="O18" s="16">
        <f>SUM('BIFUbC-electricity'!O17,'BIFUbC-coal'!O17,'BIFUbC-natural-gas'!O17,'BIFUbC-biomass'!O17,'BIFUbC-heat'!O17,'BIFUbC-crude-oil'!O17,'BIFUbC-petroleum-diesel'!O17,'BIFUbC-heavy-or-residual-oil'!O17,'BIFUbC-LPG-propane-or-butane'!O17,'BIFUbC-hydrogen'!O17)</f>
        <v>92811130839783.156</v>
      </c>
      <c r="P18" s="16">
        <f>SUM('BIFUbC-electricity'!P17,'BIFUbC-coal'!P17,'BIFUbC-natural-gas'!P17,'BIFUbC-biomass'!P17,'BIFUbC-heat'!P17,'BIFUbC-crude-oil'!P17,'BIFUbC-petroleum-diesel'!P17,'BIFUbC-heavy-or-residual-oil'!P17,'BIFUbC-LPG-propane-or-butane'!P17,'BIFUbC-hydrogen'!P17)</f>
        <v>93157669331936.734</v>
      </c>
      <c r="Q18" s="16">
        <f>SUM('BIFUbC-electricity'!Q17,'BIFUbC-coal'!Q17,'BIFUbC-natural-gas'!Q17,'BIFUbC-biomass'!Q17,'BIFUbC-heat'!Q17,'BIFUbC-crude-oil'!Q17,'BIFUbC-petroleum-diesel'!Q17,'BIFUbC-heavy-or-residual-oil'!Q17,'BIFUbC-LPG-propane-or-butane'!Q17,'BIFUbC-hydrogen'!Q17)</f>
        <v>93504207824090.359</v>
      </c>
      <c r="R18" s="16">
        <f>SUM('BIFUbC-electricity'!R17,'BIFUbC-coal'!R17,'BIFUbC-natural-gas'!R17,'BIFUbC-biomass'!R17,'BIFUbC-heat'!R17,'BIFUbC-crude-oil'!R17,'BIFUbC-petroleum-diesel'!R17,'BIFUbC-heavy-or-residual-oil'!R17,'BIFUbC-LPG-propane-or-butane'!R17,'BIFUbC-hydrogen'!R17)</f>
        <v>93877134326365.078</v>
      </c>
      <c r="S18" s="16">
        <f>SUM('BIFUbC-electricity'!S17,'BIFUbC-coal'!S17,'BIFUbC-natural-gas'!S17,'BIFUbC-biomass'!S17,'BIFUbC-heat'!S17,'BIFUbC-crude-oil'!S17,'BIFUbC-petroleum-diesel'!S17,'BIFUbC-heavy-or-residual-oil'!S17,'BIFUbC-LPG-propane-or-butane'!S17,'BIFUbC-hydrogen'!S17)</f>
        <v>94250060828639.766</v>
      </c>
      <c r="T18" s="16">
        <f>SUM('BIFUbC-electricity'!T17,'BIFUbC-coal'!T17,'BIFUbC-natural-gas'!T17,'BIFUbC-biomass'!T17,'BIFUbC-heat'!T17,'BIFUbC-crude-oil'!T17,'BIFUbC-petroleum-diesel'!T17,'BIFUbC-heavy-or-residual-oil'!T17,'BIFUbC-LPG-propane-or-butane'!T17,'BIFUbC-hydrogen'!T17)</f>
        <v>94622987330914.531</v>
      </c>
      <c r="U18" s="16">
        <f>SUM('BIFUbC-electricity'!U17,'BIFUbC-coal'!U17,'BIFUbC-natural-gas'!U17,'BIFUbC-biomass'!U17,'BIFUbC-heat'!U17,'BIFUbC-crude-oil'!U17,'BIFUbC-petroleum-diesel'!U17,'BIFUbC-heavy-or-residual-oil'!U17,'BIFUbC-LPG-propane-or-butane'!U17,'BIFUbC-hydrogen'!U17)</f>
        <v>94995913833189.25</v>
      </c>
      <c r="V18" s="16">
        <f>SUM('BIFUbC-electricity'!V17,'BIFUbC-coal'!V17,'BIFUbC-natural-gas'!V17,'BIFUbC-biomass'!V17,'BIFUbC-heat'!V17,'BIFUbC-crude-oil'!V17,'BIFUbC-petroleum-diesel'!V17,'BIFUbC-heavy-or-residual-oil'!V17,'BIFUbC-LPG-propane-or-butane'!V17,'BIFUbC-hydrogen'!V17)</f>
        <v>95368840335463.984</v>
      </c>
      <c r="W18" s="16">
        <f>SUM('BIFUbC-electricity'!W17,'BIFUbC-coal'!W17,'BIFUbC-natural-gas'!W17,'BIFUbC-biomass'!W17,'BIFUbC-heat'!W17,'BIFUbC-crude-oil'!W17,'BIFUbC-petroleum-diesel'!W17,'BIFUbC-heavy-or-residual-oil'!W17,'BIFUbC-LPG-propane-or-butane'!W17,'BIFUbC-hydrogen'!W17)</f>
        <v>95706582824243.875</v>
      </c>
      <c r="X18" s="16">
        <f>SUM('BIFUbC-electricity'!X17,'BIFUbC-coal'!X17,'BIFUbC-natural-gas'!X17,'BIFUbC-biomass'!X17,'BIFUbC-heat'!X17,'BIFUbC-crude-oil'!X17,'BIFUbC-petroleum-diesel'!X17,'BIFUbC-heavy-or-residual-oil'!X17,'BIFUbC-LPG-propane-or-butane'!X17,'BIFUbC-hydrogen'!X17)</f>
        <v>96068314413133.828</v>
      </c>
      <c r="Y18" s="16">
        <f>SUM('BIFUbC-electricity'!Y17,'BIFUbC-coal'!Y17,'BIFUbC-natural-gas'!Y17,'BIFUbC-biomass'!Y17,'BIFUbC-heat'!Y17,'BIFUbC-crude-oil'!Y17,'BIFUbC-petroleum-diesel'!Y17,'BIFUbC-heavy-or-residual-oil'!Y17,'BIFUbC-LPG-propane-or-butane'!Y17,'BIFUbC-hydrogen'!Y17)</f>
        <v>96430046002023.844</v>
      </c>
      <c r="Z18" s="16">
        <f>SUM('BIFUbC-electricity'!Z17,'BIFUbC-coal'!Z17,'BIFUbC-natural-gas'!Z17,'BIFUbC-biomass'!Z17,'BIFUbC-heat'!Z17,'BIFUbC-crude-oil'!Z17,'BIFUbC-petroleum-diesel'!Z17,'BIFUbC-heavy-or-residual-oil'!Z17,'BIFUbC-LPG-propane-or-butane'!Z17,'BIFUbC-hydrogen'!Z17)</f>
        <v>96791777590913.797</v>
      </c>
      <c r="AA18" s="16">
        <f>SUM('BIFUbC-electricity'!AA17,'BIFUbC-coal'!AA17,'BIFUbC-natural-gas'!AA17,'BIFUbC-biomass'!AA17,'BIFUbC-heat'!AA17,'BIFUbC-crude-oil'!AA17,'BIFUbC-petroleum-diesel'!AA17,'BIFUbC-heavy-or-residual-oil'!AA17,'BIFUbC-LPG-propane-or-butane'!AA17,'BIFUbC-hydrogen'!AA17)</f>
        <v>97153509179803.781</v>
      </c>
      <c r="AB18" s="16">
        <f>SUM('BIFUbC-electricity'!AB17,'BIFUbC-coal'!AB17,'BIFUbC-natural-gas'!AB17,'BIFUbC-biomass'!AB17,'BIFUbC-heat'!AB17,'BIFUbC-crude-oil'!AB17,'BIFUbC-petroleum-diesel'!AB17,'BIFUbC-heavy-or-residual-oil'!AB17,'BIFUbC-LPG-propane-or-butane'!AB17,'BIFUbC-hydrogen'!AB17)</f>
        <v>97515240768693.906</v>
      </c>
      <c r="AC18" s="16">
        <f>SUM('BIFUbC-electricity'!AC17,'BIFUbC-coal'!AC17,'BIFUbC-natural-gas'!AC17,'BIFUbC-biomass'!AC17,'BIFUbC-heat'!AC17,'BIFUbC-crude-oil'!AC17,'BIFUbC-petroleum-diesel'!AC17,'BIFUbC-heavy-or-residual-oil'!AC17,'BIFUbC-LPG-propane-or-butane'!AC17,'BIFUbC-hydrogen'!AC17)</f>
        <v>97876972357583.875</v>
      </c>
      <c r="AD18" s="16">
        <f>SUM('BIFUbC-electricity'!AD17,'BIFUbC-coal'!AD17,'BIFUbC-natural-gas'!AD17,'BIFUbC-biomass'!AD17,'BIFUbC-heat'!AD17,'BIFUbC-crude-oil'!AD17,'BIFUbC-petroleum-diesel'!AD17,'BIFUbC-heavy-or-residual-oil'!AD17,'BIFUbC-LPG-propane-or-butane'!AD17,'BIFUbC-hydrogen'!AD17)</f>
        <v>98238703946473.859</v>
      </c>
      <c r="AE18" s="16">
        <f>SUM('BIFUbC-electricity'!AE17,'BIFUbC-coal'!AE17,'BIFUbC-natural-gas'!AE17,'BIFUbC-biomass'!AE17,'BIFUbC-heat'!AE17,'BIFUbC-crude-oil'!AE17,'BIFUbC-petroleum-diesel'!AE17,'BIFUbC-heavy-or-residual-oil'!AE17,'BIFUbC-LPG-propane-or-butane'!AE17,'BIFUbC-hydrogen'!AE17)</f>
        <v>98600435535363.828</v>
      </c>
      <c r="AF18" s="16">
        <f>SUM('BIFUbC-electricity'!AF17,'BIFUbC-coal'!AF17,'BIFUbC-natural-gas'!AF17,'BIFUbC-biomass'!AF17,'BIFUbC-heat'!AF17,'BIFUbC-crude-oil'!AF17,'BIFUbC-petroleum-diesel'!AF17,'BIFUbC-heavy-or-residual-oil'!AF17,'BIFUbC-LPG-propane-or-butane'!AF17,'BIFUbC-hydrogen'!AF17)</f>
        <v>98962167124253.813</v>
      </c>
    </row>
    <row r="19" spans="1:32">
      <c r="A19" t="s">
        <v>18</v>
      </c>
      <c r="B19" s="16">
        <f>SUM('BIFUbC-electricity'!B18,'BIFUbC-coal'!B18,'BIFUbC-natural-gas'!B18,'BIFUbC-biomass'!B18,'BIFUbC-heat'!B18,'BIFUbC-crude-oil'!B18,'BIFUbC-petroleum-diesel'!B18,'BIFUbC-heavy-or-residual-oil'!B18,'BIFUbC-LPG-propane-or-butane'!B18,'BIFUbC-hydrogen'!B18)</f>
        <v>370460303581490.06</v>
      </c>
      <c r="C19" s="16">
        <f>SUM('BIFUbC-electricity'!C18,'BIFUbC-coal'!C18,'BIFUbC-natural-gas'!C18,'BIFUbC-biomass'!C18,'BIFUbC-heat'!C18,'BIFUbC-crude-oil'!C18,'BIFUbC-petroleum-diesel'!C18,'BIFUbC-heavy-or-residual-oil'!C18,'BIFUbC-LPG-propane-or-butane'!C18,'BIFUbC-hydrogen'!C18)</f>
        <v>386440597366568.31</v>
      </c>
      <c r="D19" s="16">
        <f>SUM('BIFUbC-electricity'!D18,'BIFUbC-coal'!D18,'BIFUbC-natural-gas'!D18,'BIFUbC-biomass'!D18,'BIFUbC-heat'!D18,'BIFUbC-crude-oil'!D18,'BIFUbC-petroleum-diesel'!D18,'BIFUbC-heavy-or-residual-oil'!D18,'BIFUbC-LPG-propane-or-butane'!D18,'BIFUbC-hydrogen'!D18)</f>
        <v>447709494274541.88</v>
      </c>
      <c r="E19" s="16">
        <f>SUM('BIFUbC-electricity'!E18,'BIFUbC-coal'!E18,'BIFUbC-natural-gas'!E18,'BIFUbC-biomass'!E18,'BIFUbC-heat'!E18,'BIFUbC-crude-oil'!E18,'BIFUbC-petroleum-diesel'!E18,'BIFUbC-heavy-or-residual-oil'!E18,'BIFUbC-LPG-propane-or-butane'!E18,'BIFUbC-hydrogen'!E18)</f>
        <v>418401184936725</v>
      </c>
      <c r="F19" s="16">
        <f>SUM('BIFUbC-electricity'!F18,'BIFUbC-coal'!F18,'BIFUbC-natural-gas'!F18,'BIFUbC-biomass'!F18,'BIFUbC-heat'!F18,'BIFUbC-crude-oil'!F18,'BIFUbC-petroleum-diesel'!F18,'BIFUbC-heavy-or-residual-oil'!F18,'BIFUbC-LPG-propane-or-butane'!F18,'BIFUbC-hydrogen'!F18)</f>
        <v>434381478721803.38</v>
      </c>
      <c r="G19" s="16">
        <f>SUM('BIFUbC-electricity'!G18,'BIFUbC-coal'!G18,'BIFUbC-natural-gas'!G18,'BIFUbC-biomass'!G18,'BIFUbC-heat'!G18,'BIFUbC-crude-oil'!G18,'BIFUbC-petroleum-diesel'!G18,'BIFUbC-heavy-or-residual-oil'!G18,'BIFUbC-LPG-propane-or-butane'!G18,'BIFUbC-hydrogen'!G18)</f>
        <v>450361772506881.94</v>
      </c>
      <c r="H19" s="16">
        <f>SUM('BIFUbC-electricity'!H18,'BIFUbC-coal'!H18,'BIFUbC-natural-gas'!H18,'BIFUbC-biomass'!H18,'BIFUbC-heat'!H18,'BIFUbC-crude-oil'!H18,'BIFUbC-petroleum-diesel'!H18,'BIFUbC-heavy-or-residual-oil'!H18,'BIFUbC-LPG-propane-or-butane'!H18,'BIFUbC-hydrogen'!H18)</f>
        <v>458638339835754.88</v>
      </c>
      <c r="I19" s="16">
        <f>SUM('BIFUbC-electricity'!I18,'BIFUbC-coal'!I18,'BIFUbC-natural-gas'!I18,'BIFUbC-biomass'!I18,'BIFUbC-heat'!I18,'BIFUbC-crude-oil'!I18,'BIFUbC-petroleum-diesel'!I18,'BIFUbC-heavy-or-residual-oil'!I18,'BIFUbC-LPG-propane-or-butane'!I18,'BIFUbC-hydrogen'!I18)</f>
        <v>466914907164629.81</v>
      </c>
      <c r="J19" s="16">
        <f>SUM('BIFUbC-electricity'!J18,'BIFUbC-coal'!J18,'BIFUbC-natural-gas'!J18,'BIFUbC-biomass'!J18,'BIFUbC-heat'!J18,'BIFUbC-crude-oil'!J18,'BIFUbC-petroleum-diesel'!J18,'BIFUbC-heavy-or-residual-oil'!J18,'BIFUbC-LPG-propane-or-butane'!J18,'BIFUbC-hydrogen'!J18)</f>
        <v>475191474493504.69</v>
      </c>
      <c r="K19" s="16">
        <f>SUM('BIFUbC-electricity'!K18,'BIFUbC-coal'!K18,'BIFUbC-natural-gas'!K18,'BIFUbC-biomass'!K18,'BIFUbC-heat'!K18,'BIFUbC-crude-oil'!K18,'BIFUbC-petroleum-diesel'!K18,'BIFUbC-heavy-or-residual-oil'!K18,'BIFUbC-LPG-propane-or-butane'!K18,'BIFUbC-hydrogen'!K18)</f>
        <v>483468041822379.81</v>
      </c>
      <c r="L19" s="16">
        <f>SUM('BIFUbC-electricity'!L18,'BIFUbC-coal'!L18,'BIFUbC-natural-gas'!L18,'BIFUbC-biomass'!L18,'BIFUbC-heat'!L18,'BIFUbC-crude-oil'!L18,'BIFUbC-petroleum-diesel'!L18,'BIFUbC-heavy-or-residual-oil'!L18,'BIFUbC-LPG-propane-or-butane'!L18,'BIFUbC-hydrogen'!L18)</f>
        <v>491744609151256.75</v>
      </c>
      <c r="M19" s="16">
        <f>SUM('BIFUbC-electricity'!M18,'BIFUbC-coal'!M18,'BIFUbC-natural-gas'!M18,'BIFUbC-biomass'!M18,'BIFUbC-heat'!M18,'BIFUbC-crude-oil'!M18,'BIFUbC-petroleum-diesel'!M18,'BIFUbC-heavy-or-residual-oil'!M18,'BIFUbC-LPG-propane-or-butane'!M18,'BIFUbC-hydrogen'!M18)</f>
        <v>498727135538494.44</v>
      </c>
      <c r="N19" s="16">
        <f>SUM('BIFUbC-electricity'!N18,'BIFUbC-coal'!N18,'BIFUbC-natural-gas'!N18,'BIFUbC-biomass'!N18,'BIFUbC-heat'!N18,'BIFUbC-crude-oil'!N18,'BIFUbC-petroleum-diesel'!N18,'BIFUbC-heavy-or-residual-oil'!N18,'BIFUbC-LPG-propane-or-butane'!N18,'BIFUbC-hydrogen'!N18)</f>
        <v>505709661925732.19</v>
      </c>
      <c r="O19" s="16">
        <f>SUM('BIFUbC-electricity'!O18,'BIFUbC-coal'!O18,'BIFUbC-natural-gas'!O18,'BIFUbC-biomass'!O18,'BIFUbC-heat'!O18,'BIFUbC-crude-oil'!O18,'BIFUbC-petroleum-diesel'!O18,'BIFUbC-heavy-or-residual-oil'!O18,'BIFUbC-LPG-propane-or-butane'!O18,'BIFUbC-hydrogen'!O18)</f>
        <v>512692188312970</v>
      </c>
      <c r="P19" s="16">
        <f>SUM('BIFUbC-electricity'!P18,'BIFUbC-coal'!P18,'BIFUbC-natural-gas'!P18,'BIFUbC-biomass'!P18,'BIFUbC-heat'!P18,'BIFUbC-crude-oil'!P18,'BIFUbC-petroleum-diesel'!P18,'BIFUbC-heavy-or-residual-oil'!P18,'BIFUbC-LPG-propane-or-butane'!P18,'BIFUbC-hydrogen'!P18)</f>
        <v>519674714700207.81</v>
      </c>
      <c r="Q19" s="16">
        <f>SUM('BIFUbC-electricity'!Q18,'BIFUbC-coal'!Q18,'BIFUbC-natural-gas'!Q18,'BIFUbC-biomass'!Q18,'BIFUbC-heat'!Q18,'BIFUbC-crude-oil'!Q18,'BIFUbC-petroleum-diesel'!Q18,'BIFUbC-heavy-or-residual-oil'!Q18,'BIFUbC-LPG-propane-or-butane'!Q18,'BIFUbC-hydrogen'!Q18)</f>
        <v>526657241087445.69</v>
      </c>
      <c r="R19" s="16">
        <f>SUM('BIFUbC-electricity'!R18,'BIFUbC-coal'!R18,'BIFUbC-natural-gas'!R18,'BIFUbC-biomass'!R18,'BIFUbC-heat'!R18,'BIFUbC-crude-oil'!R18,'BIFUbC-petroleum-diesel'!R18,'BIFUbC-heavy-or-residual-oil'!R18,'BIFUbC-LPG-propane-or-butane'!R18,'BIFUbC-hydrogen'!R18)</f>
        <v>533862477680958.06</v>
      </c>
      <c r="S19" s="16">
        <f>SUM('BIFUbC-electricity'!S18,'BIFUbC-coal'!S18,'BIFUbC-natural-gas'!S18,'BIFUbC-biomass'!S18,'BIFUbC-heat'!S18,'BIFUbC-crude-oil'!S18,'BIFUbC-petroleum-diesel'!S18,'BIFUbC-heavy-or-residual-oil'!S18,'BIFUbC-LPG-propane-or-butane'!S18,'BIFUbC-hydrogen'!S18)</f>
        <v>541067714274470.5</v>
      </c>
      <c r="T19" s="16">
        <f>SUM('BIFUbC-electricity'!T18,'BIFUbC-coal'!T18,'BIFUbC-natural-gas'!T18,'BIFUbC-biomass'!T18,'BIFUbC-heat'!T18,'BIFUbC-crude-oil'!T18,'BIFUbC-petroleum-diesel'!T18,'BIFUbC-heavy-or-residual-oil'!T18,'BIFUbC-LPG-propane-or-butane'!T18,'BIFUbC-hydrogen'!T18)</f>
        <v>548272950867983.06</v>
      </c>
      <c r="U19" s="16">
        <f>SUM('BIFUbC-electricity'!U18,'BIFUbC-coal'!U18,'BIFUbC-natural-gas'!U18,'BIFUbC-biomass'!U18,'BIFUbC-heat'!U18,'BIFUbC-crude-oil'!U18,'BIFUbC-petroleum-diesel'!U18,'BIFUbC-heavy-or-residual-oil'!U18,'BIFUbC-LPG-propane-or-butane'!U18,'BIFUbC-hydrogen'!U18)</f>
        <v>555478187461495.5</v>
      </c>
      <c r="V19" s="16">
        <f>SUM('BIFUbC-electricity'!V18,'BIFUbC-coal'!V18,'BIFUbC-natural-gas'!V18,'BIFUbC-biomass'!V18,'BIFUbC-heat'!V18,'BIFUbC-crude-oil'!V18,'BIFUbC-petroleum-diesel'!V18,'BIFUbC-heavy-or-residual-oil'!V18,'BIFUbC-LPG-propane-or-butane'!V18,'BIFUbC-hydrogen'!V18)</f>
        <v>562683424055008</v>
      </c>
      <c r="W19" s="16">
        <f>SUM('BIFUbC-electricity'!W18,'BIFUbC-coal'!W18,'BIFUbC-natural-gas'!W18,'BIFUbC-biomass'!W18,'BIFUbC-heat'!W18,'BIFUbC-crude-oil'!W18,'BIFUbC-petroleum-diesel'!W18,'BIFUbC-heavy-or-residual-oil'!W18,'BIFUbC-LPG-propane-or-butane'!W18,'BIFUbC-hydrogen'!W18)</f>
        <v>569591713706821.5</v>
      </c>
      <c r="X19" s="16">
        <f>SUM('BIFUbC-electricity'!X18,'BIFUbC-coal'!X18,'BIFUbC-natural-gas'!X18,'BIFUbC-biomass'!X18,'BIFUbC-heat'!X18,'BIFUbC-crude-oil'!X18,'BIFUbC-petroleum-diesel'!X18,'BIFUbC-heavy-or-residual-oil'!X18,'BIFUbC-LPG-propane-or-butane'!X18,'BIFUbC-hydrogen'!X18)</f>
        <v>576702467182520.63</v>
      </c>
      <c r="Y19" s="16">
        <f>SUM('BIFUbC-electricity'!Y18,'BIFUbC-coal'!Y18,'BIFUbC-natural-gas'!Y18,'BIFUbC-biomass'!Y18,'BIFUbC-heat'!Y18,'BIFUbC-crude-oil'!Y18,'BIFUbC-petroleum-diesel'!Y18,'BIFUbC-heavy-or-residual-oil'!Y18,'BIFUbC-LPG-propane-or-butane'!Y18,'BIFUbC-hydrogen'!Y18)</f>
        <v>583813220658221.75</v>
      </c>
      <c r="Z19" s="16">
        <f>SUM('BIFUbC-electricity'!Z18,'BIFUbC-coal'!Z18,'BIFUbC-natural-gas'!Z18,'BIFUbC-biomass'!Z18,'BIFUbC-heat'!Z18,'BIFUbC-crude-oil'!Z18,'BIFUbC-petroleum-diesel'!Z18,'BIFUbC-heavy-or-residual-oil'!Z18,'BIFUbC-LPG-propane-or-butane'!Z18,'BIFUbC-hydrogen'!Z18)</f>
        <v>590923974133920.88</v>
      </c>
      <c r="AA19" s="16">
        <f>SUM('BIFUbC-electricity'!AA18,'BIFUbC-coal'!AA18,'BIFUbC-natural-gas'!AA18,'BIFUbC-biomass'!AA18,'BIFUbC-heat'!AA18,'BIFUbC-crude-oil'!AA18,'BIFUbC-petroleum-diesel'!AA18,'BIFUbC-heavy-or-residual-oil'!AA18,'BIFUbC-LPG-propane-or-butane'!AA18,'BIFUbC-hydrogen'!AA18)</f>
        <v>598034727609620.5</v>
      </c>
      <c r="AB19" s="16">
        <f>SUM('BIFUbC-electricity'!AB18,'BIFUbC-coal'!AB18,'BIFUbC-natural-gas'!AB18,'BIFUbC-biomass'!AB18,'BIFUbC-heat'!AB18,'BIFUbC-crude-oil'!AB18,'BIFUbC-petroleum-diesel'!AB18,'BIFUbC-heavy-or-residual-oil'!AB18,'BIFUbC-LPG-propane-or-butane'!AB18,'BIFUbC-hydrogen'!AB18)</f>
        <v>605145481085320</v>
      </c>
      <c r="AC19" s="16">
        <f>SUM('BIFUbC-electricity'!AC18,'BIFUbC-coal'!AC18,'BIFUbC-natural-gas'!AC18,'BIFUbC-biomass'!AC18,'BIFUbC-heat'!AC18,'BIFUbC-crude-oil'!AC18,'BIFUbC-petroleum-diesel'!AC18,'BIFUbC-heavy-or-residual-oil'!AC18,'BIFUbC-LPG-propane-or-butane'!AC18,'BIFUbC-hydrogen'!AC18)</f>
        <v>612256234561019.25</v>
      </c>
      <c r="AD19" s="16">
        <f>SUM('BIFUbC-electricity'!AD18,'BIFUbC-coal'!AD18,'BIFUbC-natural-gas'!AD18,'BIFUbC-biomass'!AD18,'BIFUbC-heat'!AD18,'BIFUbC-crude-oil'!AD18,'BIFUbC-petroleum-diesel'!AD18,'BIFUbC-heavy-or-residual-oil'!AD18,'BIFUbC-LPG-propane-or-butane'!AD18,'BIFUbC-hydrogen'!AD18)</f>
        <v>619366988036718.75</v>
      </c>
      <c r="AE19" s="16">
        <f>SUM('BIFUbC-electricity'!AE18,'BIFUbC-coal'!AE18,'BIFUbC-natural-gas'!AE18,'BIFUbC-biomass'!AE18,'BIFUbC-heat'!AE18,'BIFUbC-crude-oil'!AE18,'BIFUbC-petroleum-diesel'!AE18,'BIFUbC-heavy-or-residual-oil'!AE18,'BIFUbC-LPG-propane-or-butane'!AE18,'BIFUbC-hydrogen'!AE18)</f>
        <v>626477741512418.5</v>
      </c>
      <c r="AF19" s="16">
        <f>SUM('BIFUbC-electricity'!AF18,'BIFUbC-coal'!AF18,'BIFUbC-natural-gas'!AF18,'BIFUbC-biomass'!AF18,'BIFUbC-heat'!AF18,'BIFUbC-crude-oil'!AF18,'BIFUbC-petroleum-diesel'!AF18,'BIFUbC-heavy-or-residual-oil'!AF18,'BIFUbC-LPG-propane-or-butane'!AF18,'BIFUbC-hydrogen'!AF18)</f>
        <v>633588494988118</v>
      </c>
    </row>
    <row r="20" spans="1:32">
      <c r="A20" t="s">
        <v>19</v>
      </c>
      <c r="B20" s="16">
        <f>SUM('BIFUbC-electricity'!B19,'BIFUbC-coal'!B19,'BIFUbC-natural-gas'!B19,'BIFUbC-biomass'!B19,'BIFUbC-heat'!B19,'BIFUbC-crude-oil'!B19,'BIFUbC-petroleum-diesel'!B19,'BIFUbC-heavy-or-residual-oil'!B19,'BIFUbC-LPG-propane-or-butane'!B19,'BIFUbC-hydrogen'!B19)</f>
        <v>63471678190568</v>
      </c>
      <c r="C20" s="16">
        <f>SUM('BIFUbC-electricity'!C19,'BIFUbC-coal'!C19,'BIFUbC-natural-gas'!C19,'BIFUbC-biomass'!C19,'BIFUbC-heat'!C19,'BIFUbC-crude-oil'!C19,'BIFUbC-petroleum-diesel'!C19,'BIFUbC-heavy-or-residual-oil'!C19,'BIFUbC-LPG-propane-or-butane'!C19,'BIFUbC-hydrogen'!C19)</f>
        <v>66230610705794.133</v>
      </c>
      <c r="D20" s="16">
        <f>SUM('BIFUbC-electricity'!D19,'BIFUbC-coal'!D19,'BIFUbC-natural-gas'!D19,'BIFUbC-biomass'!D19,'BIFUbC-heat'!D19,'BIFUbC-crude-oil'!D19,'BIFUbC-petroleum-diesel'!D19,'BIFUbC-heavy-or-residual-oil'!D19,'BIFUbC-LPG-propane-or-butane'!D19,'BIFUbC-hydrogen'!D19)</f>
        <v>76876097013513.406</v>
      </c>
      <c r="E20" s="16">
        <f>SUM('BIFUbC-electricity'!E19,'BIFUbC-coal'!E19,'BIFUbC-natural-gas'!E19,'BIFUbC-biomass'!E19,'BIFUbC-heat'!E19,'BIFUbC-crude-oil'!E19,'BIFUbC-petroleum-diesel'!E19,'BIFUbC-heavy-or-residual-oil'!E19,'BIFUbC-LPG-propane-or-butane'!E19,'BIFUbC-hydrogen'!E19)</f>
        <v>71748475736246.469</v>
      </c>
      <c r="F20" s="16">
        <f>SUM('BIFUbC-electricity'!F19,'BIFUbC-coal'!F19,'BIFUbC-natural-gas'!F19,'BIFUbC-biomass'!F19,'BIFUbC-heat'!F19,'BIFUbC-crude-oil'!F19,'BIFUbC-petroleum-diesel'!F19,'BIFUbC-heavy-or-residual-oil'!F19,'BIFUbC-LPG-propane-or-butane'!F19,'BIFUbC-hydrogen'!F19)</f>
        <v>74507408251472.625</v>
      </c>
      <c r="G20" s="16">
        <f>SUM('BIFUbC-electricity'!G19,'BIFUbC-coal'!G19,'BIFUbC-natural-gas'!G19,'BIFUbC-biomass'!G19,'BIFUbC-heat'!G19,'BIFUbC-crude-oil'!G19,'BIFUbC-petroleum-diesel'!G19,'BIFUbC-heavy-or-residual-oil'!G19,'BIFUbC-LPG-propane-or-butane'!G19,'BIFUbC-hydrogen'!G19)</f>
        <v>77266340766698.781</v>
      </c>
      <c r="H20" s="16">
        <f>SUM('BIFUbC-electricity'!H19,'BIFUbC-coal'!H19,'BIFUbC-natural-gas'!H19,'BIFUbC-biomass'!H19,'BIFUbC-heat'!H19,'BIFUbC-crude-oil'!H19,'BIFUbC-petroleum-diesel'!H19,'BIFUbC-heavy-or-residual-oil'!H19,'BIFUbC-LPG-propane-or-butane'!H19,'BIFUbC-hydrogen'!H19)</f>
        <v>78683746961613.25</v>
      </c>
      <c r="I20" s="16">
        <f>SUM('BIFUbC-electricity'!I19,'BIFUbC-coal'!I19,'BIFUbC-natural-gas'!I19,'BIFUbC-biomass'!I19,'BIFUbC-heat'!I19,'BIFUbC-crude-oil'!I19,'BIFUbC-petroleum-diesel'!I19,'BIFUbC-heavy-or-residual-oil'!I19,'BIFUbC-LPG-propane-or-butane'!I19,'BIFUbC-hydrogen'!I19)</f>
        <v>80101153156528.016</v>
      </c>
      <c r="J20" s="16">
        <f>SUM('BIFUbC-electricity'!J19,'BIFUbC-coal'!J19,'BIFUbC-natural-gas'!J19,'BIFUbC-biomass'!J19,'BIFUbC-heat'!J19,'BIFUbC-crude-oil'!J19,'BIFUbC-petroleum-diesel'!J19,'BIFUbC-heavy-or-residual-oil'!J19,'BIFUbC-LPG-propane-or-butane'!J19,'BIFUbC-hydrogen'!J19)</f>
        <v>81518559351442.797</v>
      </c>
      <c r="K20" s="16">
        <f>SUM('BIFUbC-electricity'!K19,'BIFUbC-coal'!K19,'BIFUbC-natural-gas'!K19,'BIFUbC-biomass'!K19,'BIFUbC-heat'!K19,'BIFUbC-crude-oil'!K19,'BIFUbC-petroleum-diesel'!K19,'BIFUbC-heavy-or-residual-oil'!K19,'BIFUbC-LPG-propane-or-butane'!K19,'BIFUbC-hydrogen'!K19)</f>
        <v>82935965546357.578</v>
      </c>
      <c r="L20" s="16">
        <f>SUM('BIFUbC-electricity'!L19,'BIFUbC-coal'!L19,'BIFUbC-natural-gas'!L19,'BIFUbC-biomass'!L19,'BIFUbC-heat'!L19,'BIFUbC-crude-oil'!L19,'BIFUbC-petroleum-diesel'!L19,'BIFUbC-heavy-or-residual-oil'!L19,'BIFUbC-LPG-propane-or-butane'!L19,'BIFUbC-hydrogen'!L19)</f>
        <v>84353371741272.734</v>
      </c>
      <c r="M20" s="16">
        <f>SUM('BIFUbC-electricity'!M19,'BIFUbC-coal'!M19,'BIFUbC-natural-gas'!M19,'BIFUbC-biomass'!M19,'BIFUbC-heat'!M19,'BIFUbC-crude-oil'!M19,'BIFUbC-petroleum-diesel'!M19,'BIFUbC-heavy-or-residual-oil'!M19,'BIFUbC-LPG-propane-or-butane'!M19,'BIFUbC-hydrogen'!M19)</f>
        <v>85547414128934.75</v>
      </c>
      <c r="N20" s="16">
        <f>SUM('BIFUbC-electricity'!N19,'BIFUbC-coal'!N19,'BIFUbC-natural-gas'!N19,'BIFUbC-biomass'!N19,'BIFUbC-heat'!N19,'BIFUbC-crude-oil'!N19,'BIFUbC-petroleum-diesel'!N19,'BIFUbC-heavy-or-residual-oil'!N19,'BIFUbC-LPG-propane-or-butane'!N19,'BIFUbC-hydrogen'!N19)</f>
        <v>86741456516596.75</v>
      </c>
      <c r="O20" s="16">
        <f>SUM('BIFUbC-electricity'!O19,'BIFUbC-coal'!O19,'BIFUbC-natural-gas'!O19,'BIFUbC-biomass'!O19,'BIFUbC-heat'!O19,'BIFUbC-crude-oil'!O19,'BIFUbC-petroleum-diesel'!O19,'BIFUbC-heavy-or-residual-oil'!O19,'BIFUbC-LPG-propane-or-butane'!O19,'BIFUbC-hydrogen'!O19)</f>
        <v>87935498904258.813</v>
      </c>
      <c r="P20" s="16">
        <f>SUM('BIFUbC-electricity'!P19,'BIFUbC-coal'!P19,'BIFUbC-natural-gas'!P19,'BIFUbC-biomass'!P19,'BIFUbC-heat'!P19,'BIFUbC-crude-oil'!P19,'BIFUbC-petroleum-diesel'!P19,'BIFUbC-heavy-or-residual-oil'!P19,'BIFUbC-LPG-propane-or-butane'!P19,'BIFUbC-hydrogen'!P19)</f>
        <v>89129541291920.875</v>
      </c>
      <c r="Q20" s="16">
        <f>SUM('BIFUbC-electricity'!Q19,'BIFUbC-coal'!Q19,'BIFUbC-natural-gas'!Q19,'BIFUbC-biomass'!Q19,'BIFUbC-heat'!Q19,'BIFUbC-crude-oil'!Q19,'BIFUbC-petroleum-diesel'!Q19,'BIFUbC-heavy-or-residual-oil'!Q19,'BIFUbC-LPG-propane-or-butane'!Q19,'BIFUbC-hydrogen'!Q19)</f>
        <v>90323583679582.938</v>
      </c>
      <c r="R20" s="16">
        <f>SUM('BIFUbC-electricity'!R19,'BIFUbC-coal'!R19,'BIFUbC-natural-gas'!R19,'BIFUbC-biomass'!R19,'BIFUbC-heat'!R19,'BIFUbC-crude-oil'!R19,'BIFUbC-petroleum-diesel'!R19,'BIFUbC-heavy-or-residual-oil'!R19,'BIFUbC-LPG-propane-or-butane'!R19,'BIFUbC-hydrogen'!R19)</f>
        <v>91555308593561.578</v>
      </c>
      <c r="S20" s="16">
        <f>SUM('BIFUbC-electricity'!S19,'BIFUbC-coal'!S19,'BIFUbC-natural-gas'!S19,'BIFUbC-biomass'!S19,'BIFUbC-heat'!S19,'BIFUbC-crude-oil'!S19,'BIFUbC-petroleum-diesel'!S19,'BIFUbC-heavy-or-residual-oil'!S19,'BIFUbC-LPG-propane-or-butane'!S19,'BIFUbC-hydrogen'!S19)</f>
        <v>92787033507540.234</v>
      </c>
      <c r="T20" s="16">
        <f>SUM('BIFUbC-electricity'!T19,'BIFUbC-coal'!T19,'BIFUbC-natural-gas'!T19,'BIFUbC-biomass'!T19,'BIFUbC-heat'!T19,'BIFUbC-crude-oil'!T19,'BIFUbC-petroleum-diesel'!T19,'BIFUbC-heavy-or-residual-oil'!T19,'BIFUbC-LPG-propane-or-butane'!T19,'BIFUbC-hydrogen'!T19)</f>
        <v>94018758421518.922</v>
      </c>
      <c r="U20" s="16">
        <f>SUM('BIFUbC-electricity'!U19,'BIFUbC-coal'!U19,'BIFUbC-natural-gas'!U19,'BIFUbC-biomass'!U19,'BIFUbC-heat'!U19,'BIFUbC-crude-oil'!U19,'BIFUbC-petroleum-diesel'!U19,'BIFUbC-heavy-or-residual-oil'!U19,'BIFUbC-LPG-propane-or-butane'!U19,'BIFUbC-hydrogen'!U19)</f>
        <v>95250483335497.625</v>
      </c>
      <c r="V20" s="16">
        <f>SUM('BIFUbC-electricity'!V19,'BIFUbC-coal'!V19,'BIFUbC-natural-gas'!V19,'BIFUbC-biomass'!V19,'BIFUbC-heat'!V19,'BIFUbC-crude-oil'!V19,'BIFUbC-petroleum-diesel'!V19,'BIFUbC-heavy-or-residual-oil'!V19,'BIFUbC-LPG-propane-or-butane'!V19,'BIFUbC-hydrogen'!V19)</f>
        <v>96482208249476.313</v>
      </c>
      <c r="W20" s="16">
        <f>SUM('BIFUbC-electricity'!W19,'BIFUbC-coal'!W19,'BIFUbC-natural-gas'!W19,'BIFUbC-biomass'!W19,'BIFUbC-heat'!W19,'BIFUbC-crude-oil'!W19,'BIFUbC-petroleum-diesel'!W19,'BIFUbC-heavy-or-residual-oil'!W19,'BIFUbC-LPG-propane-or-butane'!W19,'BIFUbC-hydrogen'!W19)</f>
        <v>97663689795032.906</v>
      </c>
      <c r="X20" s="16">
        <f>SUM('BIFUbC-electricity'!X19,'BIFUbC-coal'!X19,'BIFUbC-natural-gas'!X19,'BIFUbC-biomass'!X19,'BIFUbC-heat'!X19,'BIFUbC-crude-oil'!X19,'BIFUbC-petroleum-diesel'!X19,'BIFUbC-heavy-or-residual-oil'!X19,'BIFUbC-LPG-propane-or-butane'!X19,'BIFUbC-hydrogen'!X19)</f>
        <v>98879428182695.469</v>
      </c>
      <c r="Y20" s="16">
        <f>SUM('BIFUbC-electricity'!Y19,'BIFUbC-coal'!Y19,'BIFUbC-natural-gas'!Y19,'BIFUbC-biomass'!Y19,'BIFUbC-heat'!Y19,'BIFUbC-crude-oil'!Y19,'BIFUbC-petroleum-diesel'!Y19,'BIFUbC-heavy-or-residual-oil'!Y19,'BIFUbC-LPG-propane-or-butane'!Y19,'BIFUbC-hydrogen'!Y19)</f>
        <v>100095166570358.39</v>
      </c>
      <c r="Z20" s="16">
        <f>SUM('BIFUbC-electricity'!Z19,'BIFUbC-coal'!Z19,'BIFUbC-natural-gas'!Z19,'BIFUbC-biomass'!Z19,'BIFUbC-heat'!Z19,'BIFUbC-crude-oil'!Z19,'BIFUbC-petroleum-diesel'!Z19,'BIFUbC-heavy-or-residual-oil'!Z19,'BIFUbC-LPG-propane-or-butane'!Z19,'BIFUbC-hydrogen'!Z19)</f>
        <v>101310904958020.98</v>
      </c>
      <c r="AA20" s="16">
        <f>SUM('BIFUbC-electricity'!AA19,'BIFUbC-coal'!AA19,'BIFUbC-natural-gas'!AA19,'BIFUbC-biomass'!AA19,'BIFUbC-heat'!AA19,'BIFUbC-crude-oil'!AA19,'BIFUbC-petroleum-diesel'!AA19,'BIFUbC-heavy-or-residual-oil'!AA19,'BIFUbC-LPG-propane-or-butane'!AA19,'BIFUbC-hydrogen'!AA19)</f>
        <v>102526643345683.61</v>
      </c>
      <c r="AB20" s="16">
        <f>SUM('BIFUbC-electricity'!AB19,'BIFUbC-coal'!AB19,'BIFUbC-natural-gas'!AB19,'BIFUbC-biomass'!AB19,'BIFUbC-heat'!AB19,'BIFUbC-crude-oil'!AB19,'BIFUbC-petroleum-diesel'!AB19,'BIFUbC-heavy-or-residual-oil'!AB19,'BIFUbC-LPG-propane-or-butane'!AB19,'BIFUbC-hydrogen'!AB19)</f>
        <v>103742381733346.23</v>
      </c>
      <c r="AC20" s="16">
        <f>SUM('BIFUbC-electricity'!AC19,'BIFUbC-coal'!AC19,'BIFUbC-natural-gas'!AC19,'BIFUbC-biomass'!AC19,'BIFUbC-heat'!AC19,'BIFUbC-crude-oil'!AC19,'BIFUbC-petroleum-diesel'!AC19,'BIFUbC-heavy-or-residual-oil'!AC19,'BIFUbC-LPG-propane-or-butane'!AC19,'BIFUbC-hydrogen'!AC19)</f>
        <v>104958120121008.86</v>
      </c>
      <c r="AD20" s="16">
        <f>SUM('BIFUbC-electricity'!AD19,'BIFUbC-coal'!AD19,'BIFUbC-natural-gas'!AD19,'BIFUbC-biomass'!AD19,'BIFUbC-heat'!AD19,'BIFUbC-crude-oil'!AD19,'BIFUbC-petroleum-diesel'!AD19,'BIFUbC-heavy-or-residual-oil'!AD19,'BIFUbC-LPG-propane-or-butane'!AD19,'BIFUbC-hydrogen'!AD19)</f>
        <v>106173858508671.5</v>
      </c>
      <c r="AE20" s="16">
        <f>SUM('BIFUbC-electricity'!AE19,'BIFUbC-coal'!AE19,'BIFUbC-natural-gas'!AE19,'BIFUbC-biomass'!AE19,'BIFUbC-heat'!AE19,'BIFUbC-crude-oil'!AE19,'BIFUbC-petroleum-diesel'!AE19,'BIFUbC-heavy-or-residual-oil'!AE19,'BIFUbC-LPG-propane-or-butane'!AE19,'BIFUbC-hydrogen'!AE19)</f>
        <v>107389596896334.17</v>
      </c>
      <c r="AF20" s="16">
        <f>SUM('BIFUbC-electricity'!AF19,'BIFUbC-coal'!AF19,'BIFUbC-natural-gas'!AF19,'BIFUbC-biomass'!AF19,'BIFUbC-heat'!AF19,'BIFUbC-crude-oil'!AF19,'BIFUbC-petroleum-diesel'!AF19,'BIFUbC-heavy-or-residual-oil'!AF19,'BIFUbC-LPG-propane-or-butane'!AF19,'BIFUbC-hydrogen'!AF19)</f>
        <v>108605335283996.81</v>
      </c>
    </row>
    <row r="21" spans="1:32">
      <c r="A21" t="s">
        <v>20</v>
      </c>
      <c r="B21" s="16">
        <f>SUM('BIFUbC-electricity'!B20,'BIFUbC-coal'!B20,'BIFUbC-natural-gas'!B20,'BIFUbC-biomass'!B20,'BIFUbC-heat'!B20,'BIFUbC-crude-oil'!B20,'BIFUbC-petroleum-diesel'!B20,'BIFUbC-heavy-or-residual-oil'!B20,'BIFUbC-LPG-propane-or-butane'!B20,'BIFUbC-hydrogen'!B20)</f>
        <v>94742869000528.922</v>
      </c>
      <c r="C21" s="16">
        <f>SUM('BIFUbC-electricity'!C20,'BIFUbC-coal'!C20,'BIFUbC-natural-gas'!C20,'BIFUbC-biomass'!C20,'BIFUbC-heat'!C20,'BIFUbC-crude-oil'!C20,'BIFUbC-petroleum-diesel'!C20,'BIFUbC-heavy-or-residual-oil'!C20,'BIFUbC-LPG-propane-or-butane'!C20,'BIFUbC-hydrogen'!C20)</f>
        <v>98950200203870.625</v>
      </c>
      <c r="D21" s="16">
        <f>SUM('BIFUbC-electricity'!D20,'BIFUbC-coal'!D20,'BIFUbC-natural-gas'!D20,'BIFUbC-biomass'!D20,'BIFUbC-heat'!D20,'BIFUbC-crude-oil'!D20,'BIFUbC-petroleum-diesel'!D20,'BIFUbC-heavy-or-residual-oil'!D20,'BIFUbC-LPG-propane-or-butane'!D20,'BIFUbC-hydrogen'!D20)</f>
        <v>115469422729515.92</v>
      </c>
      <c r="E21" s="16">
        <f>SUM('BIFUbC-electricity'!E20,'BIFUbC-coal'!E20,'BIFUbC-natural-gas'!E20,'BIFUbC-biomass'!E20,'BIFUbC-heat'!E20,'BIFUbC-crude-oil'!E20,'BIFUbC-petroleum-diesel'!E20,'BIFUbC-heavy-or-residual-oil'!E20,'BIFUbC-LPG-propane-or-butane'!E20,'BIFUbC-hydrogen'!E20)</f>
        <v>107364862610554.02</v>
      </c>
      <c r="F21" s="16">
        <f>SUM('BIFUbC-electricity'!F20,'BIFUbC-coal'!F20,'BIFUbC-natural-gas'!F20,'BIFUbC-biomass'!F20,'BIFUbC-heat'!F20,'BIFUbC-crude-oil'!F20,'BIFUbC-petroleum-diesel'!F20,'BIFUbC-heavy-or-residual-oil'!F20,'BIFUbC-LPG-propane-or-butane'!F20,'BIFUbC-hydrogen'!F20)</f>
        <v>111572193813895.72</v>
      </c>
      <c r="G21" s="16">
        <f>SUM('BIFUbC-electricity'!G20,'BIFUbC-coal'!G20,'BIFUbC-natural-gas'!G20,'BIFUbC-biomass'!G20,'BIFUbC-heat'!G20,'BIFUbC-crude-oil'!G20,'BIFUbC-petroleum-diesel'!G20,'BIFUbC-heavy-or-residual-oil'!G20,'BIFUbC-LPG-propane-or-butane'!G20,'BIFUbC-hydrogen'!G20)</f>
        <v>115779525017237.42</v>
      </c>
      <c r="H21" s="16">
        <f>SUM('BIFUbC-electricity'!H20,'BIFUbC-coal'!H20,'BIFUbC-natural-gas'!H20,'BIFUbC-biomass'!H20,'BIFUbC-heat'!H20,'BIFUbC-crude-oil'!H20,'BIFUbC-petroleum-diesel'!H20,'BIFUbC-heavy-or-residual-oil'!H20,'BIFUbC-LPG-propane-or-butane'!H20,'BIFUbC-hydrogen'!H20)</f>
        <v>117892566788684.3</v>
      </c>
      <c r="I21" s="16">
        <f>SUM('BIFUbC-electricity'!I20,'BIFUbC-coal'!I20,'BIFUbC-natural-gas'!I20,'BIFUbC-biomass'!I20,'BIFUbC-heat'!I20,'BIFUbC-crude-oil'!I20,'BIFUbC-petroleum-diesel'!I20,'BIFUbC-heavy-or-residual-oil'!I20,'BIFUbC-LPG-propane-or-butane'!I20,'BIFUbC-hydrogen'!I20)</f>
        <v>120005608560131.67</v>
      </c>
      <c r="J21" s="16">
        <f>SUM('BIFUbC-electricity'!J20,'BIFUbC-coal'!J20,'BIFUbC-natural-gas'!J20,'BIFUbC-biomass'!J20,'BIFUbC-heat'!J20,'BIFUbC-crude-oil'!J20,'BIFUbC-petroleum-diesel'!J20,'BIFUbC-heavy-or-residual-oil'!J20,'BIFUbC-LPG-propane-or-butane'!J20,'BIFUbC-hydrogen'!J20)</f>
        <v>122118650331579.08</v>
      </c>
      <c r="K21" s="16">
        <f>SUM('BIFUbC-electricity'!K20,'BIFUbC-coal'!K20,'BIFUbC-natural-gas'!K20,'BIFUbC-biomass'!K20,'BIFUbC-heat'!K20,'BIFUbC-crude-oil'!K20,'BIFUbC-petroleum-diesel'!K20,'BIFUbC-heavy-or-residual-oil'!K20,'BIFUbC-LPG-propane-or-butane'!K20,'BIFUbC-hydrogen'!K20)</f>
        <v>124231692103026.48</v>
      </c>
      <c r="L21" s="16">
        <f>SUM('BIFUbC-electricity'!L20,'BIFUbC-coal'!L20,'BIFUbC-natural-gas'!L20,'BIFUbC-biomass'!L20,'BIFUbC-heat'!L20,'BIFUbC-crude-oil'!L20,'BIFUbC-petroleum-diesel'!L20,'BIFUbC-heavy-or-residual-oil'!L20,'BIFUbC-LPG-propane-or-butane'!L20,'BIFUbC-hydrogen'!L20)</f>
        <v>126344733874474.38</v>
      </c>
      <c r="M21" s="16">
        <f>SUM('BIFUbC-electricity'!M20,'BIFUbC-coal'!M20,'BIFUbC-natural-gas'!M20,'BIFUbC-biomass'!M20,'BIFUbC-heat'!M20,'BIFUbC-crude-oil'!M20,'BIFUbC-petroleum-diesel'!M20,'BIFUbC-heavy-or-residual-oil'!M20,'BIFUbC-LPG-propane-or-butane'!M20,'BIFUbC-hydrogen'!M20)</f>
        <v>128117347472097.59</v>
      </c>
      <c r="N21" s="16">
        <f>SUM('BIFUbC-electricity'!N20,'BIFUbC-coal'!N20,'BIFUbC-natural-gas'!N20,'BIFUbC-biomass'!N20,'BIFUbC-heat'!N20,'BIFUbC-crude-oil'!N20,'BIFUbC-petroleum-diesel'!N20,'BIFUbC-heavy-or-residual-oil'!N20,'BIFUbC-LPG-propane-or-butane'!N20,'BIFUbC-hydrogen'!N20)</f>
        <v>129889961069720.8</v>
      </c>
      <c r="O21" s="16">
        <f>SUM('BIFUbC-electricity'!O20,'BIFUbC-coal'!O20,'BIFUbC-natural-gas'!O20,'BIFUbC-biomass'!O20,'BIFUbC-heat'!O20,'BIFUbC-crude-oil'!O20,'BIFUbC-petroleum-diesel'!O20,'BIFUbC-heavy-or-residual-oil'!O20,'BIFUbC-LPG-propane-or-butane'!O20,'BIFUbC-hydrogen'!O20)</f>
        <v>131662574667344.02</v>
      </c>
      <c r="P21" s="16">
        <f>SUM('BIFUbC-electricity'!P20,'BIFUbC-coal'!P20,'BIFUbC-natural-gas'!P20,'BIFUbC-biomass'!P20,'BIFUbC-heat'!P20,'BIFUbC-crude-oil'!P20,'BIFUbC-petroleum-diesel'!P20,'BIFUbC-heavy-or-residual-oil'!P20,'BIFUbC-LPG-propane-or-butane'!P20,'BIFUbC-hydrogen'!P20)</f>
        <v>133435188264967.22</v>
      </c>
      <c r="Q21" s="16">
        <f>SUM('BIFUbC-electricity'!Q20,'BIFUbC-coal'!Q20,'BIFUbC-natural-gas'!Q20,'BIFUbC-biomass'!Q20,'BIFUbC-heat'!Q20,'BIFUbC-crude-oil'!Q20,'BIFUbC-petroleum-diesel'!Q20,'BIFUbC-heavy-or-residual-oil'!Q20,'BIFUbC-LPG-propane-or-butane'!Q20,'BIFUbC-hydrogen'!Q20)</f>
        <v>135207801862590.42</v>
      </c>
      <c r="R21" s="16">
        <f>SUM('BIFUbC-electricity'!R20,'BIFUbC-coal'!R20,'BIFUbC-natural-gas'!R20,'BIFUbC-biomass'!R20,'BIFUbC-heat'!R20,'BIFUbC-crude-oil'!R20,'BIFUbC-petroleum-diesel'!R20,'BIFUbC-heavy-or-residual-oil'!R20,'BIFUbC-LPG-propane-or-butane'!R20,'BIFUbC-hydrogen'!R20)</f>
        <v>137034647843100.59</v>
      </c>
      <c r="S21" s="16">
        <f>SUM('BIFUbC-electricity'!S20,'BIFUbC-coal'!S20,'BIFUbC-natural-gas'!S20,'BIFUbC-biomass'!S20,'BIFUbC-heat'!S20,'BIFUbC-crude-oil'!S20,'BIFUbC-petroleum-diesel'!S20,'BIFUbC-heavy-or-residual-oil'!S20,'BIFUbC-LPG-propane-or-butane'!S20,'BIFUbC-hydrogen'!S20)</f>
        <v>138861493823610.78</v>
      </c>
      <c r="T21" s="16">
        <f>SUM('BIFUbC-electricity'!T20,'BIFUbC-coal'!T20,'BIFUbC-natural-gas'!T20,'BIFUbC-biomass'!T20,'BIFUbC-heat'!T20,'BIFUbC-crude-oil'!T20,'BIFUbC-petroleum-diesel'!T20,'BIFUbC-heavy-or-residual-oil'!T20,'BIFUbC-LPG-propane-or-butane'!T20,'BIFUbC-hydrogen'!T20)</f>
        <v>140688339804120.95</v>
      </c>
      <c r="U21" s="16">
        <f>SUM('BIFUbC-electricity'!U20,'BIFUbC-coal'!U20,'BIFUbC-natural-gas'!U20,'BIFUbC-biomass'!U20,'BIFUbC-heat'!U20,'BIFUbC-crude-oil'!U20,'BIFUbC-petroleum-diesel'!U20,'BIFUbC-heavy-or-residual-oil'!U20,'BIFUbC-LPG-propane-or-butane'!U20,'BIFUbC-hydrogen'!U20)</f>
        <v>142515185784631.13</v>
      </c>
      <c r="V21" s="16">
        <f>SUM('BIFUbC-electricity'!V20,'BIFUbC-coal'!V20,'BIFUbC-natural-gas'!V20,'BIFUbC-biomass'!V20,'BIFUbC-heat'!V20,'BIFUbC-crude-oil'!V20,'BIFUbC-petroleum-diesel'!V20,'BIFUbC-heavy-or-residual-oil'!V20,'BIFUbC-LPG-propane-or-butane'!V20,'BIFUbC-hydrogen'!V20)</f>
        <v>144342031765141.28</v>
      </c>
      <c r="W21" s="16">
        <f>SUM('BIFUbC-electricity'!W20,'BIFUbC-coal'!W20,'BIFUbC-natural-gas'!W20,'BIFUbC-biomass'!W20,'BIFUbC-heat'!W20,'BIFUbC-crude-oil'!W20,'BIFUbC-petroleum-diesel'!W20,'BIFUbC-heavy-or-residual-oil'!W20,'BIFUbC-LPG-propane-or-butane'!W20,'BIFUbC-hydrogen'!W20)</f>
        <v>146096567901802.19</v>
      </c>
      <c r="X21" s="16">
        <f>SUM('BIFUbC-electricity'!X20,'BIFUbC-coal'!X20,'BIFUbC-natural-gas'!X20,'BIFUbC-biomass'!X20,'BIFUbC-heat'!X20,'BIFUbC-crude-oil'!X20,'BIFUbC-petroleum-diesel'!X20,'BIFUbC-heavy-or-residual-oil'!X20,'BIFUbC-LPG-propane-or-butane'!X20,'BIFUbC-hydrogen'!X20)</f>
        <v>147900406204723.88</v>
      </c>
      <c r="Y21" s="16">
        <f>SUM('BIFUbC-electricity'!Y20,'BIFUbC-coal'!Y20,'BIFUbC-natural-gas'!Y20,'BIFUbC-biomass'!Y20,'BIFUbC-heat'!Y20,'BIFUbC-crude-oil'!Y20,'BIFUbC-petroleum-diesel'!Y20,'BIFUbC-heavy-or-residual-oil'!Y20,'BIFUbC-LPG-propane-or-butane'!Y20,'BIFUbC-hydrogen'!Y20)</f>
        <v>149704244507646.13</v>
      </c>
      <c r="Z21" s="16">
        <f>SUM('BIFUbC-electricity'!Z20,'BIFUbC-coal'!Z20,'BIFUbC-natural-gas'!Z20,'BIFUbC-biomass'!Z20,'BIFUbC-heat'!Z20,'BIFUbC-crude-oil'!Z20,'BIFUbC-petroleum-diesel'!Z20,'BIFUbC-heavy-or-residual-oil'!Z20,'BIFUbC-LPG-propane-or-butane'!Z20,'BIFUbC-hydrogen'!Z20)</f>
        <v>151508082810567.81</v>
      </c>
      <c r="AA21" s="16">
        <f>SUM('BIFUbC-electricity'!AA20,'BIFUbC-coal'!AA20,'BIFUbC-natural-gas'!AA20,'BIFUbC-biomass'!AA20,'BIFUbC-heat'!AA20,'BIFUbC-crude-oil'!AA20,'BIFUbC-petroleum-diesel'!AA20,'BIFUbC-heavy-or-residual-oil'!AA20,'BIFUbC-LPG-propane-or-butane'!AA20,'BIFUbC-hydrogen'!AA20)</f>
        <v>153311921113489.59</v>
      </c>
      <c r="AB21" s="16">
        <f>SUM('BIFUbC-electricity'!AB20,'BIFUbC-coal'!AB20,'BIFUbC-natural-gas'!AB20,'BIFUbC-biomass'!AB20,'BIFUbC-heat'!AB20,'BIFUbC-crude-oil'!AB20,'BIFUbC-petroleum-diesel'!AB20,'BIFUbC-heavy-or-residual-oil'!AB20,'BIFUbC-LPG-propane-or-butane'!AB20,'BIFUbC-hydrogen'!AB20)</f>
        <v>155115759416411.31</v>
      </c>
      <c r="AC21" s="16">
        <f>SUM('BIFUbC-electricity'!AC20,'BIFUbC-coal'!AC20,'BIFUbC-natural-gas'!AC20,'BIFUbC-biomass'!AC20,'BIFUbC-heat'!AC20,'BIFUbC-crude-oil'!AC20,'BIFUbC-petroleum-diesel'!AC20,'BIFUbC-heavy-or-residual-oil'!AC20,'BIFUbC-LPG-propane-or-butane'!AC20,'BIFUbC-hydrogen'!AC20)</f>
        <v>156919597719332.97</v>
      </c>
      <c r="AD21" s="16">
        <f>SUM('BIFUbC-electricity'!AD20,'BIFUbC-coal'!AD20,'BIFUbC-natural-gas'!AD20,'BIFUbC-biomass'!AD20,'BIFUbC-heat'!AD20,'BIFUbC-crude-oil'!AD20,'BIFUbC-petroleum-diesel'!AD20,'BIFUbC-heavy-or-residual-oil'!AD20,'BIFUbC-LPG-propane-or-butane'!AD20,'BIFUbC-hydrogen'!AD20)</f>
        <v>158723436022254.72</v>
      </c>
      <c r="AE21" s="16">
        <f>SUM('BIFUbC-electricity'!AE20,'BIFUbC-coal'!AE20,'BIFUbC-natural-gas'!AE20,'BIFUbC-biomass'!AE20,'BIFUbC-heat'!AE20,'BIFUbC-crude-oil'!AE20,'BIFUbC-petroleum-diesel'!AE20,'BIFUbC-heavy-or-residual-oil'!AE20,'BIFUbC-LPG-propane-or-butane'!AE20,'BIFUbC-hydrogen'!AE20)</f>
        <v>160527274325176.44</v>
      </c>
      <c r="AF21" s="16">
        <f>SUM('BIFUbC-electricity'!AF20,'BIFUbC-coal'!AF20,'BIFUbC-natural-gas'!AF20,'BIFUbC-biomass'!AF20,'BIFUbC-heat'!AF20,'BIFUbC-crude-oil'!AF20,'BIFUbC-petroleum-diesel'!AF20,'BIFUbC-heavy-or-residual-oil'!AF20,'BIFUbC-LPG-propane-or-butane'!AF20,'BIFUbC-hydrogen'!AF20)</f>
        <v>162331112628098.16</v>
      </c>
    </row>
    <row r="22" spans="1:32">
      <c r="A22" t="s">
        <v>21</v>
      </c>
      <c r="B22" s="16">
        <f>SUM('BIFUbC-electricity'!B21,'BIFUbC-coal'!B21,'BIFUbC-natural-gas'!B21,'BIFUbC-biomass'!B21,'BIFUbC-heat'!B21,'BIFUbC-crude-oil'!B21,'BIFUbC-petroleum-diesel'!B21,'BIFUbC-heavy-or-residual-oil'!B21,'BIFUbC-LPG-propane-or-butane'!B21,'BIFUbC-hydrogen'!B21)</f>
        <v>117879322475772.2</v>
      </c>
      <c r="C22" s="16">
        <f>SUM('BIFUbC-electricity'!C21,'BIFUbC-coal'!C21,'BIFUbC-natural-gas'!C21,'BIFUbC-biomass'!C21,'BIFUbC-heat'!C21,'BIFUbC-crude-oil'!C21,'BIFUbC-petroleum-diesel'!C21,'BIFUbC-heavy-or-residual-oil'!C21,'BIFUbC-LPG-propane-or-butane'!C21,'BIFUbC-hydrogen'!C21)</f>
        <v>122707265049061.2</v>
      </c>
      <c r="D22" s="16">
        <f>SUM('BIFUbC-electricity'!D21,'BIFUbC-coal'!D21,'BIFUbC-natural-gas'!D21,'BIFUbC-biomass'!D21,'BIFUbC-heat'!D21,'BIFUbC-crude-oil'!D21,'BIFUbC-petroleum-diesel'!D21,'BIFUbC-heavy-or-residual-oil'!D21,'BIFUbC-LPG-propane-or-butane'!D21,'BIFUbC-hydrogen'!D21)</f>
        <v>140389809289164.95</v>
      </c>
      <c r="E22" s="16">
        <f>SUM('BIFUbC-electricity'!E21,'BIFUbC-coal'!E21,'BIFUbC-natural-gas'!E21,'BIFUbC-biomass'!E21,'BIFUbC-heat'!E21,'BIFUbC-crude-oil'!E21,'BIFUbC-petroleum-diesel'!E21,'BIFUbC-heavy-or-residual-oil'!E21,'BIFUbC-LPG-propane-or-butane'!E21,'BIFUbC-hydrogen'!E21)</f>
        <v>132363150195638.98</v>
      </c>
      <c r="F22" s="16">
        <f>SUM('BIFUbC-electricity'!F21,'BIFUbC-coal'!F21,'BIFUbC-natural-gas'!F21,'BIFUbC-biomass'!F21,'BIFUbC-heat'!F21,'BIFUbC-crude-oil'!F21,'BIFUbC-petroleum-diesel'!F21,'BIFUbC-heavy-or-residual-oil'!F21,'BIFUbC-LPG-propane-or-butane'!F21,'BIFUbC-hydrogen'!F21)</f>
        <v>137191092768928</v>
      </c>
      <c r="G22" s="16">
        <f>SUM('BIFUbC-electricity'!G21,'BIFUbC-coal'!G21,'BIFUbC-natural-gas'!G21,'BIFUbC-biomass'!G21,'BIFUbC-heat'!G21,'BIFUbC-crude-oil'!G21,'BIFUbC-petroleum-diesel'!G21,'BIFUbC-heavy-or-residual-oil'!G21,'BIFUbC-LPG-propane-or-butane'!G21,'BIFUbC-hydrogen'!G21)</f>
        <v>142019035342216.81</v>
      </c>
      <c r="H22" s="16">
        <f>SUM('BIFUbC-electricity'!H21,'BIFUbC-coal'!H21,'BIFUbC-natural-gas'!H21,'BIFUbC-biomass'!H21,'BIFUbC-heat'!H21,'BIFUbC-crude-oil'!H21,'BIFUbC-petroleum-diesel'!H21,'BIFUbC-heavy-or-residual-oil'!H21,'BIFUbC-LPG-propane-or-butane'!H21,'BIFUbC-hydrogen'!H21)</f>
        <v>144660371835474.91</v>
      </c>
      <c r="I22" s="16">
        <f>SUM('BIFUbC-electricity'!I21,'BIFUbC-coal'!I21,'BIFUbC-natural-gas'!I21,'BIFUbC-biomass'!I21,'BIFUbC-heat'!I21,'BIFUbC-crude-oil'!I21,'BIFUbC-petroleum-diesel'!I21,'BIFUbC-heavy-or-residual-oil'!I21,'BIFUbC-LPG-propane-or-butane'!I21,'BIFUbC-hydrogen'!I21)</f>
        <v>147301708328733.56</v>
      </c>
      <c r="J22" s="16">
        <f>SUM('BIFUbC-electricity'!J21,'BIFUbC-coal'!J21,'BIFUbC-natural-gas'!J21,'BIFUbC-biomass'!J21,'BIFUbC-heat'!J21,'BIFUbC-crude-oil'!J21,'BIFUbC-petroleum-diesel'!J21,'BIFUbC-heavy-or-residual-oil'!J21,'BIFUbC-LPG-propane-or-butane'!J21,'BIFUbC-hydrogen'!J21)</f>
        <v>149943044821992.19</v>
      </c>
      <c r="K22" s="16">
        <f>SUM('BIFUbC-electricity'!K21,'BIFUbC-coal'!K21,'BIFUbC-natural-gas'!K21,'BIFUbC-biomass'!K21,'BIFUbC-heat'!K21,'BIFUbC-crude-oil'!K21,'BIFUbC-petroleum-diesel'!K21,'BIFUbC-heavy-or-residual-oil'!K21,'BIFUbC-LPG-propane-or-butane'!K21,'BIFUbC-hydrogen'!K21)</f>
        <v>152584381315250.81</v>
      </c>
      <c r="L22" s="16">
        <f>SUM('BIFUbC-electricity'!L21,'BIFUbC-coal'!L21,'BIFUbC-natural-gas'!L21,'BIFUbC-biomass'!L21,'BIFUbC-heat'!L21,'BIFUbC-crude-oil'!L21,'BIFUbC-petroleum-diesel'!L21,'BIFUbC-heavy-or-residual-oil'!L21,'BIFUbC-LPG-propane-or-butane'!L21,'BIFUbC-hydrogen'!L21)</f>
        <v>155225717808509.97</v>
      </c>
      <c r="M22" s="16">
        <f>SUM('BIFUbC-electricity'!M21,'BIFUbC-coal'!M21,'BIFUbC-natural-gas'!M21,'BIFUbC-biomass'!M21,'BIFUbC-heat'!M21,'BIFUbC-crude-oil'!M21,'BIFUbC-petroleum-diesel'!M21,'BIFUbC-heavy-or-residual-oil'!M21,'BIFUbC-LPG-propane-or-butane'!M21,'BIFUbC-hydrogen'!M21)</f>
        <v>157475524480490.88</v>
      </c>
      <c r="N22" s="16">
        <f>SUM('BIFUbC-electricity'!N21,'BIFUbC-coal'!N21,'BIFUbC-natural-gas'!N21,'BIFUbC-biomass'!N21,'BIFUbC-heat'!N21,'BIFUbC-crude-oil'!N21,'BIFUbC-petroleum-diesel'!N21,'BIFUbC-heavy-or-residual-oil'!N21,'BIFUbC-LPG-propane-or-butane'!N21,'BIFUbC-hydrogen'!N21)</f>
        <v>159725331152471.81</v>
      </c>
      <c r="O22" s="16">
        <f>SUM('BIFUbC-electricity'!O21,'BIFUbC-coal'!O21,'BIFUbC-natural-gas'!O21,'BIFUbC-biomass'!O21,'BIFUbC-heat'!O21,'BIFUbC-crude-oil'!O21,'BIFUbC-petroleum-diesel'!O21,'BIFUbC-heavy-or-residual-oil'!O21,'BIFUbC-LPG-propane-or-butane'!O21,'BIFUbC-hydrogen'!O21)</f>
        <v>161975137824452.72</v>
      </c>
      <c r="P22" s="16">
        <f>SUM('BIFUbC-electricity'!P21,'BIFUbC-coal'!P21,'BIFUbC-natural-gas'!P21,'BIFUbC-biomass'!P21,'BIFUbC-heat'!P21,'BIFUbC-crude-oil'!P21,'BIFUbC-petroleum-diesel'!P21,'BIFUbC-heavy-or-residual-oil'!P21,'BIFUbC-LPG-propane-or-butane'!P21,'BIFUbC-hydrogen'!P21)</f>
        <v>164224944496433.63</v>
      </c>
      <c r="Q22" s="16">
        <f>SUM('BIFUbC-electricity'!Q21,'BIFUbC-coal'!Q21,'BIFUbC-natural-gas'!Q21,'BIFUbC-biomass'!Q21,'BIFUbC-heat'!Q21,'BIFUbC-crude-oil'!Q21,'BIFUbC-petroleum-diesel'!Q21,'BIFUbC-heavy-or-residual-oil'!Q21,'BIFUbC-LPG-propane-or-butane'!Q21,'BIFUbC-hydrogen'!Q21)</f>
        <v>166474751168414.53</v>
      </c>
      <c r="R22" s="16">
        <f>SUM('BIFUbC-electricity'!R21,'BIFUbC-coal'!R21,'BIFUbC-natural-gas'!R21,'BIFUbC-biomass'!R21,'BIFUbC-heat'!R21,'BIFUbC-crude-oil'!R21,'BIFUbC-petroleum-diesel'!R21,'BIFUbC-heavy-or-residual-oil'!R21,'BIFUbC-LPG-propane-or-butane'!R21,'BIFUbC-hydrogen'!R21)</f>
        <v>168801233859307</v>
      </c>
      <c r="S22" s="16">
        <f>SUM('BIFUbC-electricity'!S21,'BIFUbC-coal'!S21,'BIFUbC-natural-gas'!S21,'BIFUbC-biomass'!S21,'BIFUbC-heat'!S21,'BIFUbC-crude-oil'!S21,'BIFUbC-petroleum-diesel'!S21,'BIFUbC-heavy-or-residual-oil'!S21,'BIFUbC-LPG-propane-or-butane'!S21,'BIFUbC-hydrogen'!S21)</f>
        <v>171127716550199.44</v>
      </c>
      <c r="T22" s="16">
        <f>SUM('BIFUbC-electricity'!T21,'BIFUbC-coal'!T21,'BIFUbC-natural-gas'!T21,'BIFUbC-biomass'!T21,'BIFUbC-heat'!T21,'BIFUbC-crude-oil'!T21,'BIFUbC-petroleum-diesel'!T21,'BIFUbC-heavy-or-residual-oil'!T21,'BIFUbC-LPG-propane-or-butane'!T21,'BIFUbC-hydrogen'!T21)</f>
        <v>173454199241091.94</v>
      </c>
      <c r="U22" s="16">
        <f>SUM('BIFUbC-electricity'!U21,'BIFUbC-coal'!U21,'BIFUbC-natural-gas'!U21,'BIFUbC-biomass'!U21,'BIFUbC-heat'!U21,'BIFUbC-crude-oil'!U21,'BIFUbC-petroleum-diesel'!U21,'BIFUbC-heavy-or-residual-oil'!U21,'BIFUbC-LPG-propane-or-butane'!U21,'BIFUbC-hydrogen'!U21)</f>
        <v>175780681931984.44</v>
      </c>
      <c r="V22" s="16">
        <f>SUM('BIFUbC-electricity'!V21,'BIFUbC-coal'!V21,'BIFUbC-natural-gas'!V21,'BIFUbC-biomass'!V21,'BIFUbC-heat'!V21,'BIFUbC-crude-oil'!V21,'BIFUbC-petroleum-diesel'!V21,'BIFUbC-heavy-or-residual-oil'!V21,'BIFUbC-LPG-propane-or-butane'!V21,'BIFUbC-hydrogen'!V21)</f>
        <v>178107164622876.91</v>
      </c>
      <c r="W22" s="16">
        <f>SUM('BIFUbC-electricity'!W21,'BIFUbC-coal'!W21,'BIFUbC-natural-gas'!W21,'BIFUbC-biomass'!W21,'BIFUbC-heat'!W21,'BIFUbC-crude-oil'!W21,'BIFUbC-petroleum-diesel'!W21,'BIFUbC-heavy-or-residual-oil'!W21,'BIFUbC-LPG-propane-or-butane'!W21,'BIFUbC-hydrogen'!W21)</f>
        <v>180331412621887.25</v>
      </c>
      <c r="X22" s="16">
        <f>SUM('BIFUbC-electricity'!X21,'BIFUbC-coal'!X21,'BIFUbC-natural-gas'!X21,'BIFUbC-biomass'!X21,'BIFUbC-heat'!X21,'BIFUbC-crude-oil'!X21,'BIFUbC-petroleum-diesel'!X21,'BIFUbC-heavy-or-residual-oil'!X21,'BIFUbC-LPG-propane-or-butane'!X21,'BIFUbC-hydrogen'!X21)</f>
        <v>182625366092635.38</v>
      </c>
      <c r="Y22" s="16">
        <f>SUM('BIFUbC-electricity'!Y21,'BIFUbC-coal'!Y21,'BIFUbC-natural-gas'!Y21,'BIFUbC-biomass'!Y21,'BIFUbC-heat'!Y21,'BIFUbC-crude-oil'!Y21,'BIFUbC-petroleum-diesel'!Y21,'BIFUbC-heavy-or-residual-oil'!Y21,'BIFUbC-LPG-propane-or-butane'!Y21,'BIFUbC-hydrogen'!Y21)</f>
        <v>184919319563384</v>
      </c>
      <c r="Z22" s="16">
        <f>SUM('BIFUbC-electricity'!Z21,'BIFUbC-coal'!Z21,'BIFUbC-natural-gas'!Z21,'BIFUbC-biomass'!Z21,'BIFUbC-heat'!Z21,'BIFUbC-crude-oil'!Z21,'BIFUbC-petroleum-diesel'!Z21,'BIFUbC-heavy-or-residual-oil'!Z21,'BIFUbC-LPG-propane-or-butane'!Z21,'BIFUbC-hydrogen'!Z21)</f>
        <v>187213273034132.16</v>
      </c>
      <c r="AA22" s="16">
        <f>SUM('BIFUbC-electricity'!AA21,'BIFUbC-coal'!AA21,'BIFUbC-natural-gas'!AA21,'BIFUbC-biomass'!AA21,'BIFUbC-heat'!AA21,'BIFUbC-crude-oil'!AA21,'BIFUbC-petroleum-diesel'!AA21,'BIFUbC-heavy-or-residual-oil'!AA21,'BIFUbC-LPG-propane-or-butane'!AA21,'BIFUbC-hydrogen'!AA21)</f>
        <v>189507226504880.44</v>
      </c>
      <c r="AB22" s="16">
        <f>SUM('BIFUbC-electricity'!AB21,'BIFUbC-coal'!AB21,'BIFUbC-natural-gas'!AB21,'BIFUbC-biomass'!AB21,'BIFUbC-heat'!AB21,'BIFUbC-crude-oil'!AB21,'BIFUbC-petroleum-diesel'!AB21,'BIFUbC-heavy-or-residual-oil'!AB21,'BIFUbC-LPG-propane-or-butane'!AB21,'BIFUbC-hydrogen'!AB21)</f>
        <v>191801179975628.53</v>
      </c>
      <c r="AC22" s="16">
        <f>SUM('BIFUbC-electricity'!AC21,'BIFUbC-coal'!AC21,'BIFUbC-natural-gas'!AC21,'BIFUbC-biomass'!AC21,'BIFUbC-heat'!AC21,'BIFUbC-crude-oil'!AC21,'BIFUbC-petroleum-diesel'!AC21,'BIFUbC-heavy-or-residual-oil'!AC21,'BIFUbC-LPG-propane-or-butane'!AC21,'BIFUbC-hydrogen'!AC21)</f>
        <v>194095133446376.66</v>
      </c>
      <c r="AD22" s="16">
        <f>SUM('BIFUbC-electricity'!AD21,'BIFUbC-coal'!AD21,'BIFUbC-natural-gas'!AD21,'BIFUbC-biomass'!AD21,'BIFUbC-heat'!AD21,'BIFUbC-crude-oil'!AD21,'BIFUbC-petroleum-diesel'!AD21,'BIFUbC-heavy-or-residual-oil'!AD21,'BIFUbC-LPG-propane-or-butane'!AD21,'BIFUbC-hydrogen'!AD21)</f>
        <v>196389086917124.78</v>
      </c>
      <c r="AE22" s="16">
        <f>SUM('BIFUbC-electricity'!AE21,'BIFUbC-coal'!AE21,'BIFUbC-natural-gas'!AE21,'BIFUbC-biomass'!AE21,'BIFUbC-heat'!AE21,'BIFUbC-crude-oil'!AE21,'BIFUbC-petroleum-diesel'!AE21,'BIFUbC-heavy-or-residual-oil'!AE21,'BIFUbC-LPG-propane-or-butane'!AE21,'BIFUbC-hydrogen'!AE21)</f>
        <v>198683040387872.88</v>
      </c>
      <c r="AF22" s="16">
        <f>SUM('BIFUbC-electricity'!AF21,'BIFUbC-coal'!AF21,'BIFUbC-natural-gas'!AF21,'BIFUbC-biomass'!AF21,'BIFUbC-heat'!AF21,'BIFUbC-crude-oil'!AF21,'BIFUbC-petroleum-diesel'!AF21,'BIFUbC-heavy-or-residual-oil'!AF21,'BIFUbC-LPG-propane-or-butane'!AF21,'BIFUbC-hydrogen'!AF21)</f>
        <v>200976993858621.03</v>
      </c>
    </row>
    <row r="23" spans="1:32">
      <c r="A23" t="s">
        <v>22</v>
      </c>
      <c r="B23" s="16">
        <f>SUM('BIFUbC-electricity'!B22,'BIFUbC-coal'!B22,'BIFUbC-natural-gas'!B22,'BIFUbC-biomass'!B22,'BIFUbC-heat'!B22,'BIFUbC-crude-oil'!B22,'BIFUbC-petroleum-diesel'!B22,'BIFUbC-heavy-or-residual-oil'!B22,'BIFUbC-LPG-propane-or-butane'!B22,'BIFUbC-hydrogen'!B22)</f>
        <v>26762406429646.824</v>
      </c>
      <c r="C23" s="16">
        <f>SUM('BIFUbC-electricity'!C22,'BIFUbC-coal'!C22,'BIFUbC-natural-gas'!C22,'BIFUbC-biomass'!C22,'BIFUbC-heat'!C22,'BIFUbC-crude-oil'!C22,'BIFUbC-petroleum-diesel'!C22,'BIFUbC-heavy-or-residual-oil'!C22,'BIFUbC-LPG-propane-or-butane'!C22,'BIFUbC-hydrogen'!C22)</f>
        <v>27920160840838.883</v>
      </c>
      <c r="D23" s="16">
        <f>SUM('BIFUbC-electricity'!D22,'BIFUbC-coal'!D22,'BIFUbC-natural-gas'!D22,'BIFUbC-biomass'!D22,'BIFUbC-heat'!D22,'BIFUbC-crude-oil'!D22,'BIFUbC-petroleum-diesel'!D22,'BIFUbC-heavy-or-residual-oil'!D22,'BIFUbC-LPG-propane-or-butane'!D22,'BIFUbC-hydrogen'!D22)</f>
        <v>32369730597929.695</v>
      </c>
      <c r="E23" s="16">
        <f>SUM('BIFUbC-electricity'!E22,'BIFUbC-coal'!E22,'BIFUbC-natural-gas'!E22,'BIFUbC-biomass'!E22,'BIFUbC-heat'!E22,'BIFUbC-crude-oil'!E22,'BIFUbC-petroleum-diesel'!E22,'BIFUbC-heavy-or-residual-oil'!E22,'BIFUbC-LPG-propane-or-butane'!E22,'BIFUbC-hydrogen'!E22)</f>
        <v>30235669663223.016</v>
      </c>
      <c r="F23" s="16">
        <f>SUM('BIFUbC-electricity'!F22,'BIFUbC-coal'!F22,'BIFUbC-natural-gas'!F22,'BIFUbC-biomass'!F22,'BIFUbC-heat'!F22,'BIFUbC-crude-oil'!F22,'BIFUbC-petroleum-diesel'!F22,'BIFUbC-heavy-or-residual-oil'!F22,'BIFUbC-LPG-propane-or-butane'!F22,'BIFUbC-hydrogen'!F22)</f>
        <v>31393424074415.09</v>
      </c>
      <c r="G23" s="16">
        <f>SUM('BIFUbC-electricity'!G22,'BIFUbC-coal'!G22,'BIFUbC-natural-gas'!G22,'BIFUbC-biomass'!G22,'BIFUbC-heat'!G22,'BIFUbC-crude-oil'!G22,'BIFUbC-petroleum-diesel'!G22,'BIFUbC-heavy-or-residual-oil'!G22,'BIFUbC-LPG-propane-or-butane'!G22,'BIFUbC-hydrogen'!G22)</f>
        <v>32551178485607.152</v>
      </c>
      <c r="H23" s="16">
        <f>SUM('BIFUbC-electricity'!H22,'BIFUbC-coal'!H22,'BIFUbC-natural-gas'!H22,'BIFUbC-biomass'!H22,'BIFUbC-heat'!H22,'BIFUbC-crude-oil'!H22,'BIFUbC-petroleum-diesel'!H22,'BIFUbC-heavy-or-residual-oil'!H22,'BIFUbC-LPG-propane-or-butane'!H22,'BIFUbC-hydrogen'!H22)</f>
        <v>33148985289222.785</v>
      </c>
      <c r="I23" s="16">
        <f>SUM('BIFUbC-electricity'!I22,'BIFUbC-coal'!I22,'BIFUbC-natural-gas'!I22,'BIFUbC-biomass'!I22,'BIFUbC-heat'!I22,'BIFUbC-crude-oil'!I22,'BIFUbC-petroleum-diesel'!I22,'BIFUbC-heavy-or-residual-oil'!I22,'BIFUbC-LPG-propane-or-butane'!I22,'BIFUbC-hydrogen'!I22)</f>
        <v>33746792092838.559</v>
      </c>
      <c r="J23" s="16">
        <f>SUM('BIFUbC-electricity'!J22,'BIFUbC-coal'!J22,'BIFUbC-natural-gas'!J22,'BIFUbC-biomass'!J22,'BIFUbC-heat'!J22,'BIFUbC-crude-oil'!J22,'BIFUbC-petroleum-diesel'!J22,'BIFUbC-heavy-or-residual-oil'!J22,'BIFUbC-LPG-propane-or-butane'!J22,'BIFUbC-hydrogen'!J22)</f>
        <v>34344598896454.328</v>
      </c>
      <c r="K23" s="16">
        <f>SUM('BIFUbC-electricity'!K22,'BIFUbC-coal'!K22,'BIFUbC-natural-gas'!K22,'BIFUbC-biomass'!K22,'BIFUbC-heat'!K22,'BIFUbC-crude-oil'!K22,'BIFUbC-petroleum-diesel'!K22,'BIFUbC-heavy-or-residual-oil'!K22,'BIFUbC-LPG-propane-or-butane'!K22,'BIFUbC-hydrogen'!K22)</f>
        <v>34942405700070.109</v>
      </c>
      <c r="L23" s="16">
        <f>SUM('BIFUbC-electricity'!L22,'BIFUbC-coal'!L22,'BIFUbC-natural-gas'!L22,'BIFUbC-biomass'!L22,'BIFUbC-heat'!L22,'BIFUbC-crude-oil'!L22,'BIFUbC-petroleum-diesel'!L22,'BIFUbC-heavy-or-residual-oil'!L22,'BIFUbC-LPG-propane-or-butane'!L22,'BIFUbC-hydrogen'!L22)</f>
        <v>35540212503686.023</v>
      </c>
      <c r="M23" s="16">
        <f>SUM('BIFUbC-electricity'!M22,'BIFUbC-coal'!M22,'BIFUbC-natural-gas'!M22,'BIFUbC-biomass'!M22,'BIFUbC-heat'!M22,'BIFUbC-crude-oil'!M22,'BIFUbC-petroleum-diesel'!M22,'BIFUbC-heavy-or-residual-oil'!M22,'BIFUbC-LPG-propane-or-butane'!M22,'BIFUbC-hydrogen'!M22)</f>
        <v>36044274938526.773</v>
      </c>
      <c r="N23" s="16">
        <f>SUM('BIFUbC-electricity'!N22,'BIFUbC-coal'!N22,'BIFUbC-natural-gas'!N22,'BIFUbC-biomass'!N22,'BIFUbC-heat'!N22,'BIFUbC-crude-oil'!N22,'BIFUbC-petroleum-diesel'!N22,'BIFUbC-heavy-or-residual-oil'!N22,'BIFUbC-LPG-propane-or-butane'!N22,'BIFUbC-hydrogen'!N22)</f>
        <v>36548337373367.531</v>
      </c>
      <c r="O23" s="16">
        <f>SUM('BIFUbC-electricity'!O22,'BIFUbC-coal'!O22,'BIFUbC-natural-gas'!O22,'BIFUbC-biomass'!O22,'BIFUbC-heat'!O22,'BIFUbC-crude-oil'!O22,'BIFUbC-petroleum-diesel'!O22,'BIFUbC-heavy-or-residual-oil'!O22,'BIFUbC-LPG-propane-or-butane'!O22,'BIFUbC-hydrogen'!O22)</f>
        <v>37052399808208.297</v>
      </c>
      <c r="P23" s="16">
        <f>SUM('BIFUbC-electricity'!P22,'BIFUbC-coal'!P22,'BIFUbC-natural-gas'!P22,'BIFUbC-biomass'!P22,'BIFUbC-heat'!P22,'BIFUbC-crude-oil'!P22,'BIFUbC-petroleum-diesel'!P22,'BIFUbC-heavy-or-residual-oil'!P22,'BIFUbC-LPG-propane-or-butane'!P22,'BIFUbC-hydrogen'!P22)</f>
        <v>37556462243049.047</v>
      </c>
      <c r="Q23" s="16">
        <f>SUM('BIFUbC-electricity'!Q22,'BIFUbC-coal'!Q22,'BIFUbC-natural-gas'!Q22,'BIFUbC-biomass'!Q22,'BIFUbC-heat'!Q22,'BIFUbC-crude-oil'!Q22,'BIFUbC-petroleum-diesel'!Q22,'BIFUbC-heavy-or-residual-oil'!Q22,'BIFUbC-LPG-propane-or-butane'!Q22,'BIFUbC-hydrogen'!Q22)</f>
        <v>38060524677889.797</v>
      </c>
      <c r="R23" s="16">
        <f>SUM('BIFUbC-electricity'!R22,'BIFUbC-coal'!R22,'BIFUbC-natural-gas'!R22,'BIFUbC-biomass'!R22,'BIFUbC-heat'!R22,'BIFUbC-crude-oil'!R22,'BIFUbC-petroleum-diesel'!R22,'BIFUbC-heavy-or-residual-oil'!R22,'BIFUbC-LPG-propane-or-butane'!R22,'BIFUbC-hydrogen'!R22)</f>
        <v>38580600771882.969</v>
      </c>
      <c r="S23" s="16">
        <f>SUM('BIFUbC-electricity'!S22,'BIFUbC-coal'!S22,'BIFUbC-natural-gas'!S22,'BIFUbC-biomass'!S22,'BIFUbC-heat'!S22,'BIFUbC-crude-oil'!S22,'BIFUbC-petroleum-diesel'!S22,'BIFUbC-heavy-or-residual-oil'!S22,'BIFUbC-LPG-propane-or-butane'!S22,'BIFUbC-hydrogen'!S22)</f>
        <v>39100676865876.156</v>
      </c>
      <c r="T23" s="16">
        <f>SUM('BIFUbC-electricity'!T22,'BIFUbC-coal'!T22,'BIFUbC-natural-gas'!T22,'BIFUbC-biomass'!T22,'BIFUbC-heat'!T22,'BIFUbC-crude-oil'!T22,'BIFUbC-petroleum-diesel'!T22,'BIFUbC-heavy-or-residual-oil'!T22,'BIFUbC-LPG-propane-or-butane'!T22,'BIFUbC-hydrogen'!T22)</f>
        <v>39620752959869.336</v>
      </c>
      <c r="U23" s="16">
        <f>SUM('BIFUbC-electricity'!U22,'BIFUbC-coal'!U22,'BIFUbC-natural-gas'!U22,'BIFUbC-biomass'!U22,'BIFUbC-heat'!U22,'BIFUbC-crude-oil'!U22,'BIFUbC-petroleum-diesel'!U22,'BIFUbC-heavy-or-residual-oil'!U22,'BIFUbC-LPG-propane-or-butane'!U22,'BIFUbC-hydrogen'!U22)</f>
        <v>40140829053862.508</v>
      </c>
      <c r="V23" s="16">
        <f>SUM('BIFUbC-electricity'!V22,'BIFUbC-coal'!V22,'BIFUbC-natural-gas'!V22,'BIFUbC-biomass'!V22,'BIFUbC-heat'!V22,'BIFUbC-crude-oil'!V22,'BIFUbC-petroleum-diesel'!V22,'BIFUbC-heavy-or-residual-oil'!V22,'BIFUbC-LPG-propane-or-butane'!V22,'BIFUbC-hydrogen'!V22)</f>
        <v>40660905147855.688</v>
      </c>
      <c r="W23" s="16">
        <f>SUM('BIFUbC-electricity'!W22,'BIFUbC-coal'!W22,'BIFUbC-natural-gas'!W22,'BIFUbC-biomass'!W22,'BIFUbC-heat'!W22,'BIFUbC-crude-oil'!W22,'BIFUbC-petroleum-diesel'!W22,'BIFUbC-heavy-or-residual-oil'!W22,'BIFUbC-LPG-propane-or-butane'!W22,'BIFUbC-hydrogen'!W22)</f>
        <v>41159629696312.305</v>
      </c>
      <c r="X23" s="16">
        <f>SUM('BIFUbC-electricity'!X22,'BIFUbC-coal'!X22,'BIFUbC-natural-gas'!X22,'BIFUbC-biomass'!X22,'BIFUbC-heat'!X22,'BIFUbC-crude-oil'!X22,'BIFUbC-petroleum-diesel'!X22,'BIFUbC-heavy-or-residual-oil'!X22,'BIFUbC-LPG-propane-or-butane'!X22,'BIFUbC-hydrogen'!X22)</f>
        <v>41672912116725.641</v>
      </c>
      <c r="Y23" s="16">
        <f>SUM('BIFUbC-electricity'!Y22,'BIFUbC-coal'!Y22,'BIFUbC-natural-gas'!Y22,'BIFUbC-biomass'!Y22,'BIFUbC-heat'!Y22,'BIFUbC-crude-oil'!Y22,'BIFUbC-petroleum-diesel'!Y22,'BIFUbC-heavy-or-residual-oil'!Y22,'BIFUbC-LPG-propane-or-butane'!Y22,'BIFUbC-hydrogen'!Y22)</f>
        <v>42186194537139.133</v>
      </c>
      <c r="Z23" s="16">
        <f>SUM('BIFUbC-electricity'!Z22,'BIFUbC-coal'!Z22,'BIFUbC-natural-gas'!Z22,'BIFUbC-biomass'!Z22,'BIFUbC-heat'!Z22,'BIFUbC-crude-oil'!Z22,'BIFUbC-petroleum-diesel'!Z22,'BIFUbC-heavy-or-residual-oil'!Z22,'BIFUbC-LPG-propane-or-butane'!Z22,'BIFUbC-hydrogen'!Z22)</f>
        <v>42699476957552.484</v>
      </c>
      <c r="AA23" s="16">
        <f>SUM('BIFUbC-electricity'!AA22,'BIFUbC-coal'!AA22,'BIFUbC-natural-gas'!AA22,'BIFUbC-biomass'!AA22,'BIFUbC-heat'!AA22,'BIFUbC-crude-oil'!AA22,'BIFUbC-petroleum-diesel'!AA22,'BIFUbC-heavy-or-residual-oil'!AA22,'BIFUbC-LPG-propane-or-butane'!AA22,'BIFUbC-hydrogen'!AA22)</f>
        <v>43212759377965.852</v>
      </c>
      <c r="AB23" s="16">
        <f>SUM('BIFUbC-electricity'!AB22,'BIFUbC-coal'!AB22,'BIFUbC-natural-gas'!AB22,'BIFUbC-biomass'!AB22,'BIFUbC-heat'!AB22,'BIFUbC-crude-oil'!AB22,'BIFUbC-petroleum-diesel'!AB22,'BIFUbC-heavy-or-residual-oil'!AB22,'BIFUbC-LPG-propane-or-butane'!AB22,'BIFUbC-hydrogen'!AB22)</f>
        <v>43726041798379.203</v>
      </c>
      <c r="AC23" s="16">
        <f>SUM('BIFUbC-electricity'!AC22,'BIFUbC-coal'!AC22,'BIFUbC-natural-gas'!AC22,'BIFUbC-biomass'!AC22,'BIFUbC-heat'!AC22,'BIFUbC-crude-oil'!AC22,'BIFUbC-petroleum-diesel'!AC22,'BIFUbC-heavy-or-residual-oil'!AC22,'BIFUbC-LPG-propane-or-butane'!AC22,'BIFUbC-hydrogen'!AC22)</f>
        <v>44239324218792.547</v>
      </c>
      <c r="AD23" s="16">
        <f>SUM('BIFUbC-electricity'!AD22,'BIFUbC-coal'!AD22,'BIFUbC-natural-gas'!AD22,'BIFUbC-biomass'!AD22,'BIFUbC-heat'!AD22,'BIFUbC-crude-oil'!AD22,'BIFUbC-petroleum-diesel'!AD22,'BIFUbC-heavy-or-residual-oil'!AD22,'BIFUbC-LPG-propane-or-butane'!AD22,'BIFUbC-hydrogen'!AD22)</f>
        <v>44752606639205.891</v>
      </c>
      <c r="AE23" s="16">
        <f>SUM('BIFUbC-electricity'!AE22,'BIFUbC-coal'!AE22,'BIFUbC-natural-gas'!AE22,'BIFUbC-biomass'!AE22,'BIFUbC-heat'!AE22,'BIFUbC-crude-oil'!AE22,'BIFUbC-petroleum-diesel'!AE22,'BIFUbC-heavy-or-residual-oil'!AE22,'BIFUbC-LPG-propane-or-butane'!AE22,'BIFUbC-hydrogen'!AE22)</f>
        <v>45265889059619.242</v>
      </c>
      <c r="AF23" s="16">
        <f>SUM('BIFUbC-electricity'!AF22,'BIFUbC-coal'!AF22,'BIFUbC-natural-gas'!AF22,'BIFUbC-biomass'!AF22,'BIFUbC-heat'!AF22,'BIFUbC-crude-oil'!AF22,'BIFUbC-petroleum-diesel'!AF22,'BIFUbC-heavy-or-residual-oil'!AF22,'BIFUbC-LPG-propane-or-butane'!AF22,'BIFUbC-hydrogen'!AF22)</f>
        <v>45779171480032.594</v>
      </c>
    </row>
    <row r="24" spans="1:32">
      <c r="A24" t="s">
        <v>23</v>
      </c>
      <c r="B24" s="16">
        <f>SUM('BIFUbC-electricity'!B23,'BIFUbC-coal'!B23,'BIFUbC-natural-gas'!B23,'BIFUbC-biomass'!B23,'BIFUbC-heat'!B23,'BIFUbC-crude-oil'!B23,'BIFUbC-petroleum-diesel'!B23,'BIFUbC-heavy-or-residual-oil'!B23,'BIFUbC-LPG-propane-or-butane'!B23,'BIFUbC-hydrogen'!B23)</f>
        <v>240391817578214.59</v>
      </c>
      <c r="C24" s="16">
        <f>SUM('BIFUbC-electricity'!C23,'BIFUbC-coal'!C23,'BIFUbC-natural-gas'!C23,'BIFUbC-biomass'!C23,'BIFUbC-heat'!C23,'BIFUbC-crude-oil'!C23,'BIFUbC-petroleum-diesel'!C23,'BIFUbC-heavy-or-residual-oil'!C23,'BIFUbC-LPG-propane-or-butane'!C23,'BIFUbC-hydrogen'!C23)</f>
        <v>252149984819155.03</v>
      </c>
      <c r="D24" s="16">
        <f>SUM('BIFUbC-electricity'!D23,'BIFUbC-coal'!D23,'BIFUbC-natural-gas'!D23,'BIFUbC-biomass'!D23,'BIFUbC-heat'!D23,'BIFUbC-crude-oil'!D23,'BIFUbC-petroleum-diesel'!D23,'BIFUbC-heavy-or-residual-oil'!D23,'BIFUbC-LPG-propane-or-butane'!D23,'BIFUbC-hydrogen'!D23)</f>
        <v>263908152060095.53</v>
      </c>
      <c r="E24" s="16">
        <f>SUM('BIFUbC-electricity'!E23,'BIFUbC-coal'!E23,'BIFUbC-natural-gas'!E23,'BIFUbC-biomass'!E23,'BIFUbC-heat'!E23,'BIFUbC-crude-oil'!E23,'BIFUbC-petroleum-diesel'!E23,'BIFUbC-heavy-or-residual-oil'!E23,'BIFUbC-LPG-propane-or-butane'!E23,'BIFUbC-hydrogen'!E23)</f>
        <v>275666319301035.97</v>
      </c>
      <c r="F24" s="16">
        <f>SUM('BIFUbC-electricity'!F23,'BIFUbC-coal'!F23,'BIFUbC-natural-gas'!F23,'BIFUbC-biomass'!F23,'BIFUbC-heat'!F23,'BIFUbC-crude-oil'!F23,'BIFUbC-petroleum-diesel'!F23,'BIFUbC-heavy-or-residual-oil'!F23,'BIFUbC-LPG-propane-or-butane'!F23,'BIFUbC-hydrogen'!F23)</f>
        <v>287424486541976.44</v>
      </c>
      <c r="G24" s="16">
        <f>SUM('BIFUbC-electricity'!G23,'BIFUbC-coal'!G23,'BIFUbC-natural-gas'!G23,'BIFUbC-biomass'!G23,'BIFUbC-heat'!G23,'BIFUbC-crude-oil'!G23,'BIFUbC-petroleum-diesel'!G23,'BIFUbC-heavy-or-residual-oil'!G23,'BIFUbC-LPG-propane-or-butane'!G23,'BIFUbC-hydrogen'!G23)</f>
        <v>299182653782917</v>
      </c>
      <c r="H24" s="16">
        <f>SUM('BIFUbC-electricity'!H23,'BIFUbC-coal'!H23,'BIFUbC-natural-gas'!H23,'BIFUbC-biomass'!H23,'BIFUbC-heat'!H23,'BIFUbC-crude-oil'!H23,'BIFUbC-petroleum-diesel'!H23,'BIFUbC-heavy-or-residual-oil'!H23,'BIFUbC-LPG-propane-or-butane'!H23,'BIFUbC-hydrogen'!H23)</f>
        <v>304810694332342.31</v>
      </c>
      <c r="I24" s="16">
        <f>SUM('BIFUbC-electricity'!I23,'BIFUbC-coal'!I23,'BIFUbC-natural-gas'!I23,'BIFUbC-biomass'!I23,'BIFUbC-heat'!I23,'BIFUbC-crude-oil'!I23,'BIFUbC-petroleum-diesel'!I23,'BIFUbC-heavy-or-residual-oil'!I23,'BIFUbC-LPG-propane-or-butane'!I23,'BIFUbC-hydrogen'!I23)</f>
        <v>310438734881767.38</v>
      </c>
      <c r="J24" s="16">
        <f>SUM('BIFUbC-electricity'!J23,'BIFUbC-coal'!J23,'BIFUbC-natural-gas'!J23,'BIFUbC-biomass'!J23,'BIFUbC-heat'!J23,'BIFUbC-crude-oil'!J23,'BIFUbC-petroleum-diesel'!J23,'BIFUbC-heavy-or-residual-oil'!J23,'BIFUbC-LPG-propane-or-butane'!J23,'BIFUbC-hydrogen'!J23)</f>
        <v>316066775431191.75</v>
      </c>
      <c r="K24" s="16">
        <f>SUM('BIFUbC-electricity'!K23,'BIFUbC-coal'!K23,'BIFUbC-natural-gas'!K23,'BIFUbC-biomass'!K23,'BIFUbC-heat'!K23,'BIFUbC-crude-oil'!K23,'BIFUbC-petroleum-diesel'!K23,'BIFUbC-heavy-or-residual-oil'!K23,'BIFUbC-LPG-propane-or-butane'!K23,'BIFUbC-hydrogen'!K23)</f>
        <v>321694815980616.88</v>
      </c>
      <c r="L24" s="16">
        <f>SUM('BIFUbC-electricity'!L23,'BIFUbC-coal'!L23,'BIFUbC-natural-gas'!L23,'BIFUbC-biomass'!L23,'BIFUbC-heat'!L23,'BIFUbC-crude-oil'!L23,'BIFUbC-petroleum-diesel'!L23,'BIFUbC-heavy-or-residual-oil'!L23,'BIFUbC-LPG-propane-or-butane'!L23,'BIFUbC-hydrogen'!L23)</f>
        <v>327322856530041.13</v>
      </c>
      <c r="M24" s="16">
        <f>SUM('BIFUbC-electricity'!M23,'BIFUbC-coal'!M23,'BIFUbC-natural-gas'!M23,'BIFUbC-biomass'!M23,'BIFUbC-heat'!M23,'BIFUbC-crude-oil'!M23,'BIFUbC-petroleum-diesel'!M23,'BIFUbC-heavy-or-residual-oil'!M23,'BIFUbC-LPG-propane-or-butane'!M23,'BIFUbC-hydrogen'!M23)</f>
        <v>331745455176148.06</v>
      </c>
      <c r="N24" s="16">
        <f>SUM('BIFUbC-electricity'!N23,'BIFUbC-coal'!N23,'BIFUbC-natural-gas'!N23,'BIFUbC-biomass'!N23,'BIFUbC-heat'!N23,'BIFUbC-crude-oil'!N23,'BIFUbC-petroleum-diesel'!N23,'BIFUbC-heavy-or-residual-oil'!N23,'BIFUbC-LPG-propane-or-butane'!N23,'BIFUbC-hydrogen'!N23)</f>
        <v>336168053822254.25</v>
      </c>
      <c r="O24" s="16">
        <f>SUM('BIFUbC-electricity'!O23,'BIFUbC-coal'!O23,'BIFUbC-natural-gas'!O23,'BIFUbC-biomass'!O23,'BIFUbC-heat'!O23,'BIFUbC-crude-oil'!O23,'BIFUbC-petroleum-diesel'!O23,'BIFUbC-heavy-or-residual-oil'!O23,'BIFUbC-LPG-propane-or-butane'!O23,'BIFUbC-hydrogen'!O23)</f>
        <v>340590652468361.06</v>
      </c>
      <c r="P24" s="16">
        <f>SUM('BIFUbC-electricity'!P23,'BIFUbC-coal'!P23,'BIFUbC-natural-gas'!P23,'BIFUbC-biomass'!P23,'BIFUbC-heat'!P23,'BIFUbC-crude-oil'!P23,'BIFUbC-petroleum-diesel'!P23,'BIFUbC-heavy-or-residual-oil'!P23,'BIFUbC-LPG-propane-or-butane'!P23,'BIFUbC-hydrogen'!P23)</f>
        <v>345013251114467.25</v>
      </c>
      <c r="Q24" s="16">
        <f>SUM('BIFUbC-electricity'!Q23,'BIFUbC-coal'!Q23,'BIFUbC-natural-gas'!Q23,'BIFUbC-biomass'!Q23,'BIFUbC-heat'!Q23,'BIFUbC-crude-oil'!Q23,'BIFUbC-petroleum-diesel'!Q23,'BIFUbC-heavy-or-residual-oil'!Q23,'BIFUbC-LPG-propane-or-butane'!Q23,'BIFUbC-hydrogen'!Q23)</f>
        <v>349435849760573.31</v>
      </c>
      <c r="R24" s="16">
        <f>SUM('BIFUbC-electricity'!R23,'BIFUbC-coal'!R23,'BIFUbC-natural-gas'!R23,'BIFUbC-biomass'!R23,'BIFUbC-heat'!R23,'BIFUbC-crude-oil'!R23,'BIFUbC-petroleum-diesel'!R23,'BIFUbC-heavy-or-residual-oil'!R23,'BIFUbC-LPG-propane-or-butane'!R23,'BIFUbC-hydrogen'!R23)</f>
        <v>353257982614884.88</v>
      </c>
      <c r="S24" s="16">
        <f>SUM('BIFUbC-electricity'!S23,'BIFUbC-coal'!S23,'BIFUbC-natural-gas'!S23,'BIFUbC-biomass'!S23,'BIFUbC-heat'!S23,'BIFUbC-crude-oil'!S23,'BIFUbC-petroleum-diesel'!S23,'BIFUbC-heavy-or-residual-oil'!S23,'BIFUbC-LPG-propane-or-butane'!S23,'BIFUbC-hydrogen'!S23)</f>
        <v>357080115469196.13</v>
      </c>
      <c r="T24" s="16">
        <f>SUM('BIFUbC-electricity'!T23,'BIFUbC-coal'!T23,'BIFUbC-natural-gas'!T23,'BIFUbC-biomass'!T23,'BIFUbC-heat'!T23,'BIFUbC-crude-oil'!T23,'BIFUbC-petroleum-diesel'!T23,'BIFUbC-heavy-or-residual-oil'!T23,'BIFUbC-LPG-propane-or-butane'!T23,'BIFUbC-hydrogen'!T23)</f>
        <v>360902248323506.81</v>
      </c>
      <c r="U24" s="16">
        <f>SUM('BIFUbC-electricity'!U23,'BIFUbC-coal'!U23,'BIFUbC-natural-gas'!U23,'BIFUbC-biomass'!U23,'BIFUbC-heat'!U23,'BIFUbC-crude-oil'!U23,'BIFUbC-petroleum-diesel'!U23,'BIFUbC-heavy-or-residual-oil'!U23,'BIFUbC-LPG-propane-or-butane'!U23,'BIFUbC-hydrogen'!U23)</f>
        <v>364724381177818.19</v>
      </c>
      <c r="V24" s="16">
        <f>SUM('BIFUbC-electricity'!V23,'BIFUbC-coal'!V23,'BIFUbC-natural-gas'!V23,'BIFUbC-biomass'!V23,'BIFUbC-heat'!V23,'BIFUbC-crude-oil'!V23,'BIFUbC-petroleum-diesel'!V23,'BIFUbC-heavy-or-residual-oil'!V23,'BIFUbC-LPG-propane-or-butane'!V23,'BIFUbC-hydrogen'!V23)</f>
        <v>368546514032128.38</v>
      </c>
      <c r="W24" s="16">
        <f>SUM('BIFUbC-electricity'!W23,'BIFUbC-coal'!W23,'BIFUbC-natural-gas'!W23,'BIFUbC-biomass'!W23,'BIFUbC-heat'!W23,'BIFUbC-crude-oil'!W23,'BIFUbC-petroleum-diesel'!W23,'BIFUbC-heavy-or-residual-oil'!W23,'BIFUbC-LPG-propane-or-butane'!W23,'BIFUbC-hydrogen'!W23)</f>
        <v>373169267942166.69</v>
      </c>
      <c r="X24" s="16">
        <f>SUM('BIFUbC-electricity'!X23,'BIFUbC-coal'!X23,'BIFUbC-natural-gas'!X23,'BIFUbC-biomass'!X23,'BIFUbC-heat'!X23,'BIFUbC-crude-oil'!X23,'BIFUbC-petroleum-diesel'!X23,'BIFUbC-heavy-or-residual-oil'!X23,'BIFUbC-LPG-propane-or-butane'!X23,'BIFUbC-hydrogen'!X23)</f>
        <v>377246143859663.69</v>
      </c>
      <c r="Y24" s="16">
        <f>SUM('BIFUbC-electricity'!Y23,'BIFUbC-coal'!Y23,'BIFUbC-natural-gas'!Y23,'BIFUbC-biomass'!Y23,'BIFUbC-heat'!Y23,'BIFUbC-crude-oil'!Y23,'BIFUbC-petroleum-diesel'!Y23,'BIFUbC-heavy-or-residual-oil'!Y23,'BIFUbC-LPG-propane-or-butane'!Y23,'BIFUbC-hydrogen'!Y23)</f>
        <v>381323019777161.44</v>
      </c>
      <c r="Z24" s="16">
        <f>SUM('BIFUbC-electricity'!Z23,'BIFUbC-coal'!Z23,'BIFUbC-natural-gas'!Z23,'BIFUbC-biomass'!Z23,'BIFUbC-heat'!Z23,'BIFUbC-crude-oil'!Z23,'BIFUbC-petroleum-diesel'!Z23,'BIFUbC-heavy-or-residual-oil'!Z23,'BIFUbC-LPG-propane-or-butane'!Z23,'BIFUbC-hydrogen'!Z23)</f>
        <v>385399895694657.75</v>
      </c>
      <c r="AA24" s="16">
        <f>SUM('BIFUbC-electricity'!AA23,'BIFUbC-coal'!AA23,'BIFUbC-natural-gas'!AA23,'BIFUbC-biomass'!AA23,'BIFUbC-heat'!AA23,'BIFUbC-crude-oil'!AA23,'BIFUbC-petroleum-diesel'!AA23,'BIFUbC-heavy-or-residual-oil'!AA23,'BIFUbC-LPG-propane-or-butane'!AA23,'BIFUbC-hydrogen'!AA23)</f>
        <v>389476771612154.75</v>
      </c>
      <c r="AB24" s="16">
        <f>SUM('BIFUbC-electricity'!AB23,'BIFUbC-coal'!AB23,'BIFUbC-natural-gas'!AB23,'BIFUbC-biomass'!AB23,'BIFUbC-heat'!AB23,'BIFUbC-crude-oil'!AB23,'BIFUbC-petroleum-diesel'!AB23,'BIFUbC-heavy-or-residual-oil'!AB23,'BIFUbC-LPG-propane-or-butane'!AB23,'BIFUbC-hydrogen'!AB23)</f>
        <v>393553647529651.81</v>
      </c>
      <c r="AC24" s="16">
        <f>SUM('BIFUbC-electricity'!AC23,'BIFUbC-coal'!AC23,'BIFUbC-natural-gas'!AC23,'BIFUbC-biomass'!AC23,'BIFUbC-heat'!AC23,'BIFUbC-crude-oil'!AC23,'BIFUbC-petroleum-diesel'!AC23,'BIFUbC-heavy-or-residual-oil'!AC23,'BIFUbC-LPG-propane-or-butane'!AC23,'BIFUbC-hydrogen'!AC23)</f>
        <v>397630523447148.75</v>
      </c>
      <c r="AD24" s="16">
        <f>SUM('BIFUbC-electricity'!AD23,'BIFUbC-coal'!AD23,'BIFUbC-natural-gas'!AD23,'BIFUbC-biomass'!AD23,'BIFUbC-heat'!AD23,'BIFUbC-crude-oil'!AD23,'BIFUbC-petroleum-diesel'!AD23,'BIFUbC-heavy-or-residual-oil'!AD23,'BIFUbC-LPG-propane-or-butane'!AD23,'BIFUbC-hydrogen'!AD23)</f>
        <v>401707399364645.75</v>
      </c>
      <c r="AE24" s="16">
        <f>SUM('BIFUbC-electricity'!AE23,'BIFUbC-coal'!AE23,'BIFUbC-natural-gas'!AE23,'BIFUbC-biomass'!AE23,'BIFUbC-heat'!AE23,'BIFUbC-crude-oil'!AE23,'BIFUbC-petroleum-diesel'!AE23,'BIFUbC-heavy-or-residual-oil'!AE23,'BIFUbC-LPG-propane-or-butane'!AE23,'BIFUbC-hydrogen'!AE23)</f>
        <v>405784275282142.81</v>
      </c>
      <c r="AF24" s="16">
        <f>SUM('BIFUbC-electricity'!AF23,'BIFUbC-coal'!AF23,'BIFUbC-natural-gas'!AF23,'BIFUbC-biomass'!AF23,'BIFUbC-heat'!AF23,'BIFUbC-crude-oil'!AF23,'BIFUbC-petroleum-diesel'!AF23,'BIFUbC-heavy-or-residual-oil'!AF23,'BIFUbC-LPG-propane-or-butane'!AF23,'BIFUbC-hydrogen'!AF23)</f>
        <v>409861151199639.81</v>
      </c>
    </row>
    <row r="25" spans="1:32">
      <c r="A25" t="s">
        <v>24</v>
      </c>
      <c r="B25" s="16">
        <f ca="1">SUM('BIFUbC-electricity'!B24,'BIFUbC-coal'!B24,'BIFUbC-natural-gas'!B24,'BIFUbC-biomass'!B24,'BIFUbC-heat'!B24,'BIFUbC-crude-oil'!B24,'BIFUbC-petroleum-diesel'!B24,'BIFUbC-heavy-or-residual-oil'!B24,'BIFUbC-LPG-propane-or-butane'!B24,'BIFUbC-hydrogen'!B24)</f>
        <v>8288799588953.833</v>
      </c>
      <c r="C25" s="16">
        <f ca="1">SUM('BIFUbC-electricity'!C24,'BIFUbC-coal'!C24,'BIFUbC-natural-gas'!C24,'BIFUbC-biomass'!C24,'BIFUbC-heat'!C24,'BIFUbC-crude-oil'!C24,'BIFUbC-petroleum-diesel'!C24,'BIFUbC-heavy-or-residual-oil'!C24,'BIFUbC-LPG-propane-or-butane'!C24,'BIFUbC-hydrogen'!C24)</f>
        <v>8347492176860.127</v>
      </c>
      <c r="D25" s="16">
        <f ca="1">SUM('BIFUbC-electricity'!D24,'BIFUbC-coal'!D24,'BIFUbC-natural-gas'!D24,'BIFUbC-biomass'!D24,'BIFUbC-heat'!D24,'BIFUbC-crude-oil'!D24,'BIFUbC-petroleum-diesel'!D24,'BIFUbC-heavy-or-residual-oil'!D24,'BIFUbC-LPG-propane-or-butane'!D24,'BIFUbC-hydrogen'!D24)</f>
        <v>8406184764766.4209</v>
      </c>
      <c r="E25" s="16">
        <f ca="1">SUM('BIFUbC-electricity'!E24,'BIFUbC-coal'!E24,'BIFUbC-natural-gas'!E24,'BIFUbC-biomass'!E24,'BIFUbC-heat'!E24,'BIFUbC-crude-oil'!E24,'BIFUbC-petroleum-diesel'!E24,'BIFUbC-heavy-or-residual-oil'!E24,'BIFUbC-LPG-propane-or-butane'!E24,'BIFUbC-hydrogen'!E24)</f>
        <v>8464877352672.7129</v>
      </c>
      <c r="F25" s="16">
        <f ca="1">SUM('BIFUbC-electricity'!F24,'BIFUbC-coal'!F24,'BIFUbC-natural-gas'!F24,'BIFUbC-biomass'!F24,'BIFUbC-heat'!F24,'BIFUbC-crude-oil'!F24,'BIFUbC-petroleum-diesel'!F24,'BIFUbC-heavy-or-residual-oil'!F24,'BIFUbC-LPG-propane-or-butane'!F24,'BIFUbC-hydrogen'!F24)</f>
        <v>8523569940579.0059</v>
      </c>
      <c r="G25" s="16">
        <f ca="1">SUM('BIFUbC-electricity'!G24,'BIFUbC-coal'!G24,'BIFUbC-natural-gas'!G24,'BIFUbC-biomass'!G24,'BIFUbC-heat'!G24,'BIFUbC-crude-oil'!G24,'BIFUbC-petroleum-diesel'!G24,'BIFUbC-heavy-or-residual-oil'!G24,'BIFUbC-LPG-propane-or-butane'!G24,'BIFUbC-hydrogen'!G24)</f>
        <v>8582262528485.2998</v>
      </c>
      <c r="H25" s="16">
        <f ca="1">SUM('BIFUbC-electricity'!H24,'BIFUbC-coal'!H24,'BIFUbC-natural-gas'!H24,'BIFUbC-biomass'!H24,'BIFUbC-heat'!H24,'BIFUbC-crude-oil'!H24,'BIFUbC-petroleum-diesel'!H24,'BIFUbC-heavy-or-residual-oil'!H24,'BIFUbC-LPG-propane-or-butane'!H24,'BIFUbC-hydrogen'!H24)</f>
        <v>8738286991336.1807</v>
      </c>
      <c r="I25" s="16">
        <f ca="1">SUM('BIFUbC-electricity'!I24,'BIFUbC-coal'!I24,'BIFUbC-natural-gas'!I24,'BIFUbC-biomass'!I24,'BIFUbC-heat'!I24,'BIFUbC-crude-oil'!I24,'BIFUbC-petroleum-diesel'!I24,'BIFUbC-heavy-or-residual-oil'!I24,'BIFUbC-LPG-propane-or-butane'!I24,'BIFUbC-hydrogen'!I24)</f>
        <v>8894311454187.0781</v>
      </c>
      <c r="J25" s="16">
        <f ca="1">SUM('BIFUbC-electricity'!J24,'BIFUbC-coal'!J24,'BIFUbC-natural-gas'!J24,'BIFUbC-biomass'!J24,'BIFUbC-heat'!J24,'BIFUbC-crude-oil'!J24,'BIFUbC-petroleum-diesel'!J24,'BIFUbC-heavy-or-residual-oil'!J24,'BIFUbC-LPG-propane-or-butane'!J24,'BIFUbC-hydrogen'!J24)</f>
        <v>9050335917037.9727</v>
      </c>
      <c r="K25" s="16">
        <f ca="1">SUM('BIFUbC-electricity'!K24,'BIFUbC-coal'!K24,'BIFUbC-natural-gas'!K24,'BIFUbC-biomass'!K24,'BIFUbC-heat'!K24,'BIFUbC-crude-oil'!K24,'BIFUbC-petroleum-diesel'!K24,'BIFUbC-heavy-or-residual-oil'!K24,'BIFUbC-LPG-propane-or-butane'!K24,'BIFUbC-hydrogen'!K24)</f>
        <v>9206360379888.8691</v>
      </c>
      <c r="L25" s="16">
        <f ca="1">SUM('BIFUbC-electricity'!L24,'BIFUbC-coal'!L24,'BIFUbC-natural-gas'!L24,'BIFUbC-biomass'!L24,'BIFUbC-heat'!L24,'BIFUbC-crude-oil'!L24,'BIFUbC-petroleum-diesel'!L24,'BIFUbC-heavy-or-residual-oil'!L24,'BIFUbC-LPG-propane-or-butane'!L24,'BIFUbC-hydrogen'!L24)</f>
        <v>9362384842739.7813</v>
      </c>
      <c r="M25" s="16">
        <f ca="1">SUM('BIFUbC-electricity'!M24,'BIFUbC-coal'!M24,'BIFUbC-natural-gas'!M24,'BIFUbC-biomass'!M24,'BIFUbC-heat'!M24,'BIFUbC-crude-oil'!M24,'BIFUbC-petroleum-diesel'!M24,'BIFUbC-heavy-or-residual-oil'!M24,'BIFUbC-LPG-propane-or-butane'!M24,'BIFUbC-hydrogen'!M24)</f>
        <v>9475734903133.7949</v>
      </c>
      <c r="N25" s="16">
        <f ca="1">SUM('BIFUbC-electricity'!N24,'BIFUbC-coal'!N24,'BIFUbC-natural-gas'!N24,'BIFUbC-biomass'!N24,'BIFUbC-heat'!N24,'BIFUbC-crude-oil'!N24,'BIFUbC-petroleum-diesel'!N24,'BIFUbC-heavy-or-residual-oil'!N24,'BIFUbC-LPG-propane-or-butane'!N24,'BIFUbC-hydrogen'!N24)</f>
        <v>9589084963527.8242</v>
      </c>
      <c r="O25" s="16">
        <f ca="1">SUM('BIFUbC-electricity'!O24,'BIFUbC-coal'!O24,'BIFUbC-natural-gas'!O24,'BIFUbC-biomass'!O24,'BIFUbC-heat'!O24,'BIFUbC-crude-oil'!O24,'BIFUbC-petroleum-diesel'!O24,'BIFUbC-heavy-or-residual-oil'!O24,'BIFUbC-LPG-propane-or-butane'!O24,'BIFUbC-hydrogen'!O24)</f>
        <v>9702435023921.8516</v>
      </c>
      <c r="P25" s="16">
        <f ca="1">SUM('BIFUbC-electricity'!P24,'BIFUbC-coal'!P24,'BIFUbC-natural-gas'!P24,'BIFUbC-biomass'!P24,'BIFUbC-heat'!P24,'BIFUbC-crude-oil'!P24,'BIFUbC-petroleum-diesel'!P24,'BIFUbC-heavy-or-residual-oil'!P24,'BIFUbC-LPG-propane-or-butane'!P24,'BIFUbC-hydrogen'!P24)</f>
        <v>9815785084315.8789</v>
      </c>
      <c r="Q25" s="16">
        <f ca="1">SUM('BIFUbC-electricity'!Q24,'BIFUbC-coal'!Q24,'BIFUbC-natural-gas'!Q24,'BIFUbC-biomass'!Q24,'BIFUbC-heat'!Q24,'BIFUbC-crude-oil'!Q24,'BIFUbC-petroleum-diesel'!Q24,'BIFUbC-heavy-or-residual-oil'!Q24,'BIFUbC-LPG-propane-or-butane'!Q24,'BIFUbC-hydrogen'!Q24)</f>
        <v>9929135144709.9219</v>
      </c>
      <c r="R25" s="16">
        <f ca="1">SUM('BIFUbC-electricity'!R24,'BIFUbC-coal'!R24,'BIFUbC-natural-gas'!R24,'BIFUbC-biomass'!R24,'BIFUbC-heat'!R24,'BIFUbC-crude-oil'!R24,'BIFUbC-petroleum-diesel'!R24,'BIFUbC-heavy-or-residual-oil'!R24,'BIFUbC-LPG-propane-or-butane'!R24,'BIFUbC-hydrogen'!R24)</f>
        <v>10117899066752.305</v>
      </c>
      <c r="S25" s="16">
        <f ca="1">SUM('BIFUbC-electricity'!S24,'BIFUbC-coal'!S24,'BIFUbC-natural-gas'!S24,'BIFUbC-biomass'!S24,'BIFUbC-heat'!S24,'BIFUbC-crude-oil'!S24,'BIFUbC-petroleum-diesel'!S24,'BIFUbC-heavy-or-residual-oil'!S24,'BIFUbC-LPG-propane-or-butane'!S24,'BIFUbC-hydrogen'!S24)</f>
        <v>10306662988794.672</v>
      </c>
      <c r="T25" s="16">
        <f ca="1">SUM('BIFUbC-electricity'!T24,'BIFUbC-coal'!T24,'BIFUbC-natural-gas'!T24,'BIFUbC-biomass'!T24,'BIFUbC-heat'!T24,'BIFUbC-crude-oil'!T24,'BIFUbC-petroleum-diesel'!T24,'BIFUbC-heavy-or-residual-oil'!T24,'BIFUbC-LPG-propane-or-butane'!T24,'BIFUbC-hydrogen'!T24)</f>
        <v>10495426910837.039</v>
      </c>
      <c r="U25" s="16">
        <f ca="1">SUM('BIFUbC-electricity'!U24,'BIFUbC-coal'!U24,'BIFUbC-natural-gas'!U24,'BIFUbC-biomass'!U24,'BIFUbC-heat'!U24,'BIFUbC-crude-oil'!U24,'BIFUbC-petroleum-diesel'!U24,'BIFUbC-heavy-or-residual-oil'!U24,'BIFUbC-LPG-propane-or-butane'!U24,'BIFUbC-hydrogen'!U24)</f>
        <v>10684190832879.406</v>
      </c>
      <c r="V25" s="16">
        <f ca="1">SUM('BIFUbC-electricity'!V24,'BIFUbC-coal'!V24,'BIFUbC-natural-gas'!V24,'BIFUbC-biomass'!V24,'BIFUbC-heat'!V24,'BIFUbC-crude-oil'!V24,'BIFUbC-petroleum-diesel'!V24,'BIFUbC-heavy-or-residual-oil'!V24,'BIFUbC-LPG-propane-or-butane'!V24,'BIFUbC-hydrogen'!V24)</f>
        <v>10872954754921.797</v>
      </c>
      <c r="W25" s="16">
        <f ca="1">SUM('BIFUbC-electricity'!W24,'BIFUbC-coal'!W24,'BIFUbC-natural-gas'!W24,'BIFUbC-biomass'!W24,'BIFUbC-heat'!W24,'BIFUbC-crude-oil'!W24,'BIFUbC-petroleum-diesel'!W24,'BIFUbC-heavy-or-residual-oil'!W24,'BIFUbC-LPG-propane-or-butane'!W24,'BIFUbC-hydrogen'!W24)</f>
        <v>10961166861433.002</v>
      </c>
      <c r="X25" s="16">
        <f ca="1">SUM('BIFUbC-electricity'!X24,'BIFUbC-coal'!X24,'BIFUbC-natural-gas'!X24,'BIFUbC-biomass'!X24,'BIFUbC-heat'!X24,'BIFUbC-crude-oil'!X24,'BIFUbC-petroleum-diesel'!X24,'BIFUbC-heavy-or-residual-oil'!X24,'BIFUbC-LPG-propane-or-butane'!X24,'BIFUbC-hydrogen'!X24)</f>
        <v>11117937023988.23</v>
      </c>
      <c r="Y25" s="16">
        <f ca="1">SUM('BIFUbC-electricity'!Y24,'BIFUbC-coal'!Y24,'BIFUbC-natural-gas'!Y24,'BIFUbC-biomass'!Y24,'BIFUbC-heat'!Y24,'BIFUbC-crude-oil'!Y24,'BIFUbC-petroleum-diesel'!Y24,'BIFUbC-heavy-or-residual-oil'!Y24,'BIFUbC-LPG-propane-or-butane'!Y24,'BIFUbC-hydrogen'!Y24)</f>
        <v>11274707186543.396</v>
      </c>
      <c r="Z25" s="16">
        <f ca="1">SUM('BIFUbC-electricity'!Z24,'BIFUbC-coal'!Z24,'BIFUbC-natural-gas'!Z24,'BIFUbC-biomass'!Z24,'BIFUbC-heat'!Z24,'BIFUbC-crude-oil'!Z24,'BIFUbC-petroleum-diesel'!Z24,'BIFUbC-heavy-or-residual-oil'!Z24,'BIFUbC-LPG-propane-or-butane'!Z24,'BIFUbC-hydrogen'!Z24)</f>
        <v>11431477349098.625</v>
      </c>
      <c r="AA25" s="16">
        <f ca="1">SUM('BIFUbC-electricity'!AA24,'BIFUbC-coal'!AA24,'BIFUbC-natural-gas'!AA24,'BIFUbC-biomass'!AA24,'BIFUbC-heat'!AA24,'BIFUbC-crude-oil'!AA24,'BIFUbC-petroleum-diesel'!AA24,'BIFUbC-heavy-or-residual-oil'!AA24,'BIFUbC-LPG-propane-or-butane'!AA24,'BIFUbC-hydrogen'!AA24)</f>
        <v>11588247511653.789</v>
      </c>
      <c r="AB25" s="16">
        <f ca="1">SUM('BIFUbC-electricity'!AB24,'BIFUbC-coal'!AB24,'BIFUbC-natural-gas'!AB24,'BIFUbC-biomass'!AB24,'BIFUbC-heat'!AB24,'BIFUbC-crude-oil'!AB24,'BIFUbC-petroleum-diesel'!AB24,'BIFUbC-heavy-or-residual-oil'!AB24,'BIFUbC-LPG-propane-or-butane'!AB24,'BIFUbC-hydrogen'!AB24)</f>
        <v>11745017674209.02</v>
      </c>
      <c r="AC25" s="16">
        <f ca="1">SUM('BIFUbC-electricity'!AC24,'BIFUbC-coal'!AC24,'BIFUbC-natural-gas'!AC24,'BIFUbC-biomass'!AC24,'BIFUbC-heat'!AC24,'BIFUbC-crude-oil'!AC24,'BIFUbC-petroleum-diesel'!AC24,'BIFUbC-heavy-or-residual-oil'!AC24,'BIFUbC-LPG-propane-or-butane'!AC24,'BIFUbC-hydrogen'!AC24)</f>
        <v>11901787836764.188</v>
      </c>
      <c r="AD25" s="16">
        <f ca="1">SUM('BIFUbC-electricity'!AD24,'BIFUbC-coal'!AD24,'BIFUbC-natural-gas'!AD24,'BIFUbC-biomass'!AD24,'BIFUbC-heat'!AD24,'BIFUbC-crude-oil'!AD24,'BIFUbC-petroleum-diesel'!AD24,'BIFUbC-heavy-or-residual-oil'!AD24,'BIFUbC-LPG-propane-or-butane'!AD24,'BIFUbC-hydrogen'!AD24)</f>
        <v>12058557999319.414</v>
      </c>
      <c r="AE25" s="16">
        <f ca="1">SUM('BIFUbC-electricity'!AE24,'BIFUbC-coal'!AE24,'BIFUbC-natural-gas'!AE24,'BIFUbC-biomass'!AE24,'BIFUbC-heat'!AE24,'BIFUbC-crude-oil'!AE24,'BIFUbC-petroleum-diesel'!AE24,'BIFUbC-heavy-or-residual-oil'!AE24,'BIFUbC-LPG-propane-or-butane'!AE24,'BIFUbC-hydrogen'!AE24)</f>
        <v>12215328161874.645</v>
      </c>
      <c r="AF25" s="16">
        <f ca="1">SUM('BIFUbC-electricity'!AF24,'BIFUbC-coal'!AF24,'BIFUbC-natural-gas'!AF24,'BIFUbC-biomass'!AF24,'BIFUbC-heat'!AF24,'BIFUbC-crude-oil'!AF24,'BIFUbC-petroleum-diesel'!AF24,'BIFUbC-heavy-or-residual-oil'!AF24,'BIFUbC-LPG-propane-or-butane'!AF24,'BIFUbC-hydrogen'!AF24)</f>
        <v>12372098324429.813</v>
      </c>
    </row>
    <row r="26" spans="1:32">
      <c r="A26" t="s">
        <v>25</v>
      </c>
      <c r="B26" s="16">
        <f ca="1">SUM('BIFUbC-electricity'!B25,'BIFUbC-coal'!B25,'BIFUbC-natural-gas'!B25,'BIFUbC-biomass'!B25,'BIFUbC-heat'!B25,'BIFUbC-crude-oil'!B25,'BIFUbC-petroleum-diesel'!B25,'BIFUbC-heavy-or-residual-oil'!B25,'BIFUbC-LPG-propane-or-butane'!B25,'BIFUbC-hydrogen'!B25)</f>
        <v>9941952530082.7344</v>
      </c>
      <c r="C26" s="16">
        <f ca="1">SUM('BIFUbC-electricity'!C25,'BIFUbC-coal'!C25,'BIFUbC-natural-gas'!C25,'BIFUbC-biomass'!C25,'BIFUbC-heat'!C25,'BIFUbC-crude-oil'!C25,'BIFUbC-petroleum-diesel'!C25,'BIFUbC-heavy-or-residual-oil'!C25,'BIFUbC-LPG-propane-or-butane'!C25,'BIFUbC-hydrogen'!C25)</f>
        <v>9951894482612.8145</v>
      </c>
      <c r="D26" s="16">
        <f ca="1">SUM('BIFUbC-electricity'!D25,'BIFUbC-coal'!D25,'BIFUbC-natural-gas'!D25,'BIFUbC-biomass'!D25,'BIFUbC-heat'!D25,'BIFUbC-crude-oil'!D25,'BIFUbC-petroleum-diesel'!D25,'BIFUbC-heavy-or-residual-oil'!D25,'BIFUbC-LPG-propane-or-butane'!D25,'BIFUbC-hydrogen'!D25)</f>
        <v>9961846377095.4258</v>
      </c>
      <c r="E26" s="16">
        <f ca="1">SUM('BIFUbC-electricity'!E25,'BIFUbC-coal'!E25,'BIFUbC-natural-gas'!E25,'BIFUbC-biomass'!E25,'BIFUbC-heat'!E25,'BIFUbC-crude-oil'!E25,'BIFUbC-petroleum-diesel'!E25,'BIFUbC-heavy-or-residual-oil'!E25,'BIFUbC-LPG-propane-or-butane'!E25,'BIFUbC-hydrogen'!E25)</f>
        <v>9971808223472.5195</v>
      </c>
      <c r="F26" s="16">
        <f ca="1">SUM('BIFUbC-electricity'!F25,'BIFUbC-coal'!F25,'BIFUbC-natural-gas'!F25,'BIFUbC-biomass'!F25,'BIFUbC-heat'!F25,'BIFUbC-crude-oil'!F25,'BIFUbC-petroleum-diesel'!F25,'BIFUbC-heavy-or-residual-oil'!F25,'BIFUbC-LPG-propane-or-butane'!F25,'BIFUbC-hydrogen'!F25)</f>
        <v>9981780031695.9922</v>
      </c>
      <c r="G26" s="16">
        <f ca="1">SUM('BIFUbC-electricity'!G25,'BIFUbC-coal'!G25,'BIFUbC-natural-gas'!G25,'BIFUbC-biomass'!G25,'BIFUbC-heat'!G25,'BIFUbC-crude-oil'!G25,'BIFUbC-petroleum-diesel'!G25,'BIFUbC-heavy-or-residual-oil'!G25,'BIFUbC-LPG-propane-or-butane'!G25,'BIFUbC-hydrogen'!G25)</f>
        <v>9991761811727.6875</v>
      </c>
      <c r="H26" s="16">
        <f ca="1">SUM('BIFUbC-electricity'!H25,'BIFUbC-coal'!H25,'BIFUbC-natural-gas'!H25,'BIFUbC-biomass'!H25,'BIFUbC-heat'!H25,'BIFUbC-crude-oil'!H25,'BIFUbC-petroleum-diesel'!H25,'BIFUbC-heavy-or-residual-oil'!H25,'BIFUbC-LPG-propane-or-butane'!H25,'BIFUbC-hydrogen'!H25)</f>
        <v>10001753573539.412</v>
      </c>
      <c r="I26" s="16">
        <f ca="1">SUM('BIFUbC-electricity'!I25,'BIFUbC-coal'!I25,'BIFUbC-natural-gas'!I25,'BIFUbC-biomass'!I25,'BIFUbC-heat'!I25,'BIFUbC-crude-oil'!I25,'BIFUbC-petroleum-diesel'!I25,'BIFUbC-heavy-or-residual-oil'!I25,'BIFUbC-LPG-propane-or-butane'!I25,'BIFUbC-hydrogen'!I25)</f>
        <v>10011755327112.953</v>
      </c>
      <c r="J26" s="16">
        <f ca="1">SUM('BIFUbC-electricity'!J25,'BIFUbC-coal'!J25,'BIFUbC-natural-gas'!J25,'BIFUbC-biomass'!J25,'BIFUbC-heat'!J25,'BIFUbC-crude-oil'!J25,'BIFUbC-petroleum-diesel'!J25,'BIFUbC-heavy-or-residual-oil'!J25,'BIFUbC-LPG-propane-or-butane'!J25,'BIFUbC-hydrogen'!J25)</f>
        <v>10021767082440.064</v>
      </c>
      <c r="K26" s="16">
        <f ca="1">SUM('BIFUbC-electricity'!K25,'BIFUbC-coal'!K25,'BIFUbC-natural-gas'!K25,'BIFUbC-biomass'!K25,'BIFUbC-heat'!K25,'BIFUbC-crude-oil'!K25,'BIFUbC-petroleum-diesel'!K25,'BIFUbC-heavy-or-residual-oil'!K25,'BIFUbC-LPG-propane-or-butane'!K25,'BIFUbC-hydrogen'!K25)</f>
        <v>10031788849522.504</v>
      </c>
      <c r="L26" s="16">
        <f ca="1">SUM('BIFUbC-electricity'!L25,'BIFUbC-coal'!L25,'BIFUbC-natural-gas'!L25,'BIFUbC-biomass'!L25,'BIFUbC-heat'!L25,'BIFUbC-crude-oil'!L25,'BIFUbC-petroleum-diesel'!L25,'BIFUbC-heavy-or-residual-oil'!L25,'BIFUbC-LPG-propane-or-butane'!L25,'BIFUbC-hydrogen'!L25)</f>
        <v>10041820638372.025</v>
      </c>
      <c r="M26" s="16">
        <f ca="1">SUM('BIFUbC-electricity'!M25,'BIFUbC-coal'!M25,'BIFUbC-natural-gas'!M25,'BIFUbC-biomass'!M25,'BIFUbC-heat'!M25,'BIFUbC-crude-oil'!M25,'BIFUbC-petroleum-diesel'!M25,'BIFUbC-heavy-or-residual-oil'!M25,'BIFUbC-LPG-propane-or-butane'!M25,'BIFUbC-hydrogen'!M25)</f>
        <v>10051862459010.395</v>
      </c>
      <c r="N26" s="16">
        <f ca="1">SUM('BIFUbC-electricity'!N25,'BIFUbC-coal'!N25,'BIFUbC-natural-gas'!N25,'BIFUbC-biomass'!N25,'BIFUbC-heat'!N25,'BIFUbC-crude-oil'!N25,'BIFUbC-petroleum-diesel'!N25,'BIFUbC-heavy-or-residual-oil'!N25,'BIFUbC-LPG-propane-or-butane'!N25,'BIFUbC-hydrogen'!N25)</f>
        <v>10061914321469.406</v>
      </c>
      <c r="O26" s="16">
        <f ca="1">SUM('BIFUbC-electricity'!O25,'BIFUbC-coal'!O25,'BIFUbC-natural-gas'!O25,'BIFUbC-biomass'!O25,'BIFUbC-heat'!O25,'BIFUbC-crude-oil'!O25,'BIFUbC-petroleum-diesel'!O25,'BIFUbC-heavy-or-residual-oil'!O25,'BIFUbC-LPG-propane-or-butane'!O25,'BIFUbC-hydrogen'!O25)</f>
        <v>10071976235790.873</v>
      </c>
      <c r="P26" s="16">
        <f ca="1">SUM('BIFUbC-electricity'!P25,'BIFUbC-coal'!P25,'BIFUbC-natural-gas'!P25,'BIFUbC-biomass'!P25,'BIFUbC-heat'!P25,'BIFUbC-crude-oil'!P25,'BIFUbC-petroleum-diesel'!P25,'BIFUbC-heavy-or-residual-oil'!P25,'BIFUbC-LPG-propane-or-butane'!P25,'BIFUbC-hydrogen'!P25)</f>
        <v>10082048212026.662</v>
      </c>
      <c r="Q26" s="16">
        <f ca="1">SUM('BIFUbC-electricity'!Q25,'BIFUbC-coal'!Q25,'BIFUbC-natural-gas'!Q25,'BIFUbC-biomass'!Q25,'BIFUbC-heat'!Q25,'BIFUbC-crude-oil'!Q25,'BIFUbC-petroleum-diesel'!Q25,'BIFUbC-heavy-or-residual-oil'!Q25,'BIFUbC-LPG-propane-or-butane'!Q25,'BIFUbC-hydrogen'!Q25)</f>
        <v>10092130260238.688</v>
      </c>
      <c r="R26" s="16">
        <f ca="1">SUM('BIFUbC-electricity'!R25,'BIFUbC-coal'!R25,'BIFUbC-natural-gas'!R25,'BIFUbC-biomass'!R25,'BIFUbC-heat'!R25,'BIFUbC-crude-oil'!R25,'BIFUbC-petroleum-diesel'!R25,'BIFUbC-heavy-or-residual-oil'!R25,'BIFUbC-LPG-propane-or-butane'!R25,'BIFUbC-hydrogen'!R25)</f>
        <v>10102222390498.924</v>
      </c>
      <c r="S26" s="16">
        <f ca="1">SUM('BIFUbC-electricity'!S25,'BIFUbC-coal'!S25,'BIFUbC-natural-gas'!S25,'BIFUbC-biomass'!S25,'BIFUbC-heat'!S25,'BIFUbC-crude-oil'!S25,'BIFUbC-petroleum-diesel'!S25,'BIFUbC-heavy-or-residual-oil'!S25,'BIFUbC-LPG-propane-or-butane'!S25,'BIFUbC-hydrogen'!S25)</f>
        <v>10112324612889.422</v>
      </c>
      <c r="T26" s="16">
        <f ca="1">SUM('BIFUbC-electricity'!T25,'BIFUbC-coal'!T25,'BIFUbC-natural-gas'!T25,'BIFUbC-biomass'!T25,'BIFUbC-heat'!T25,'BIFUbC-crude-oil'!T25,'BIFUbC-petroleum-diesel'!T25,'BIFUbC-heavy-or-residual-oil'!T25,'BIFUbC-LPG-propane-or-butane'!T25,'BIFUbC-hydrogen'!T25)</f>
        <v>10122436937502.311</v>
      </c>
      <c r="U26" s="16">
        <f ca="1">SUM('BIFUbC-electricity'!U25,'BIFUbC-coal'!U25,'BIFUbC-natural-gas'!U25,'BIFUbC-biomass'!U25,'BIFUbC-heat'!U25,'BIFUbC-crude-oil'!U25,'BIFUbC-petroleum-diesel'!U25,'BIFUbC-heavy-or-residual-oil'!U25,'BIFUbC-LPG-propane-or-butane'!U25,'BIFUbC-hydrogen'!U25)</f>
        <v>10132559374439.813</v>
      </c>
      <c r="V26" s="16">
        <f ca="1">SUM('BIFUbC-electricity'!V25,'BIFUbC-coal'!V25,'BIFUbC-natural-gas'!V25,'BIFUbC-biomass'!V25,'BIFUbC-heat'!V25,'BIFUbC-crude-oil'!V25,'BIFUbC-petroleum-diesel'!V25,'BIFUbC-heavy-or-residual-oil'!V25,'BIFUbC-LPG-propane-or-butane'!V25,'BIFUbC-hydrogen'!V25)</f>
        <v>10142691933814.252</v>
      </c>
      <c r="W26" s="16">
        <f ca="1">SUM('BIFUbC-electricity'!W25,'BIFUbC-coal'!W25,'BIFUbC-natural-gas'!W25,'BIFUbC-biomass'!W25,'BIFUbC-heat'!W25,'BIFUbC-crude-oil'!W25,'BIFUbC-petroleum-diesel'!W25,'BIFUbC-heavy-or-residual-oil'!W25,'BIFUbC-LPG-propane-or-butane'!W25,'BIFUbC-hydrogen'!W25)</f>
        <v>10091978474145.18</v>
      </c>
      <c r="X26" s="16">
        <f ca="1">SUM('BIFUbC-electricity'!X25,'BIFUbC-coal'!X25,'BIFUbC-natural-gas'!X25,'BIFUbC-biomass'!X25,'BIFUbC-heat'!X25,'BIFUbC-crude-oil'!X25,'BIFUbC-petroleum-diesel'!X25,'BIFUbC-heavy-or-residual-oil'!X25,'BIFUbC-LPG-propane-or-butane'!X25,'BIFUbC-hydrogen'!X25)</f>
        <v>10041518581774.453</v>
      </c>
      <c r="Y26" s="16">
        <f ca="1">SUM('BIFUbC-electricity'!Y25,'BIFUbC-coal'!Y25,'BIFUbC-natural-gas'!Y25,'BIFUbC-biomass'!Y25,'BIFUbC-heat'!Y25,'BIFUbC-crude-oil'!Y25,'BIFUbC-petroleum-diesel'!Y25,'BIFUbC-heavy-or-residual-oil'!Y25,'BIFUbC-LPG-propane-or-butane'!Y25,'BIFUbC-hydrogen'!Y25)</f>
        <v>9991310988865.582</v>
      </c>
      <c r="Z26" s="16">
        <f ca="1">SUM('BIFUbC-electricity'!Z25,'BIFUbC-coal'!Z25,'BIFUbC-natural-gas'!Z25,'BIFUbC-biomass'!Z25,'BIFUbC-heat'!Z25,'BIFUbC-crude-oil'!Z25,'BIFUbC-petroleum-diesel'!Z25,'BIFUbC-heavy-or-residual-oil'!Z25,'BIFUbC-LPG-propane-or-butane'!Z25,'BIFUbC-hydrogen'!Z25)</f>
        <v>9941354433921.2539</v>
      </c>
      <c r="AA26" s="16">
        <f ca="1">SUM('BIFUbC-electricity'!AA25,'BIFUbC-coal'!AA25,'BIFUbC-natural-gas'!AA25,'BIFUbC-biomass'!AA25,'BIFUbC-heat'!AA25,'BIFUbC-crude-oil'!AA25,'BIFUbC-petroleum-diesel'!AA25,'BIFUbC-heavy-or-residual-oil'!AA25,'BIFUbC-LPG-propane-or-butane'!AA25,'BIFUbC-hydrogen'!AA25)</f>
        <v>9891647661751.6484</v>
      </c>
      <c r="AB26" s="16">
        <f ca="1">SUM('BIFUbC-electricity'!AB25,'BIFUbC-coal'!AB25,'BIFUbC-natural-gas'!AB25,'BIFUbC-biomass'!AB25,'BIFUbC-heat'!AB25,'BIFUbC-crude-oil'!AB25,'BIFUbC-petroleum-diesel'!AB25,'BIFUbC-heavy-or-residual-oil'!AB25,'BIFUbC-LPG-propane-or-butane'!AB25,'BIFUbC-hydrogen'!AB25)</f>
        <v>9842189423442.8887</v>
      </c>
      <c r="AC26" s="16">
        <f ca="1">SUM('BIFUbC-electricity'!AC25,'BIFUbC-coal'!AC25,'BIFUbC-natural-gas'!AC25,'BIFUbC-biomass'!AC25,'BIFUbC-heat'!AC25,'BIFUbC-crude-oil'!AC25,'BIFUbC-petroleum-diesel'!AC25,'BIFUbC-heavy-or-residual-oil'!AC25,'BIFUbC-LPG-propane-or-butane'!AC25,'BIFUbC-hydrogen'!AC25)</f>
        <v>9792978476325.6758</v>
      </c>
      <c r="AD26" s="16">
        <f ca="1">SUM('BIFUbC-electricity'!AD25,'BIFUbC-coal'!AD25,'BIFUbC-natural-gas'!AD25,'BIFUbC-biomass'!AD25,'BIFUbC-heat'!AD25,'BIFUbC-crude-oil'!AD25,'BIFUbC-petroleum-diesel'!AD25,'BIFUbC-heavy-or-residual-oil'!AD25,'BIFUbC-LPG-propane-or-butane'!AD25,'BIFUbC-hydrogen'!AD25)</f>
        <v>9744013583944.0469</v>
      </c>
      <c r="AE26" s="16">
        <f ca="1">SUM('BIFUbC-electricity'!AE25,'BIFUbC-coal'!AE25,'BIFUbC-natural-gas'!AE25,'BIFUbC-biomass'!AE25,'BIFUbC-heat'!AE25,'BIFUbC-crude-oil'!AE25,'BIFUbC-petroleum-diesel'!AE25,'BIFUbC-heavy-or-residual-oil'!AE25,'BIFUbC-LPG-propane-or-butane'!AE25,'BIFUbC-hydrogen'!AE25)</f>
        <v>9695293516024.3281</v>
      </c>
      <c r="AF26" s="16">
        <f ca="1">SUM('BIFUbC-electricity'!AF25,'BIFUbC-coal'!AF25,'BIFUbC-natural-gas'!AF25,'BIFUbC-biomass'!AF25,'BIFUbC-heat'!AF25,'BIFUbC-crude-oil'!AF25,'BIFUbC-petroleum-diesel'!AF25,'BIFUbC-heavy-or-residual-oil'!AF25,'BIFUbC-LPG-propane-or-butane'!AF25,'BIFUbC-hydrogen'!AF25)</f>
        <v>9646817048444.2031</v>
      </c>
    </row>
    <row r="27" spans="1:32">
      <c r="A27" t="s">
        <v>26</v>
      </c>
      <c r="B27" s="16">
        <f>SUM('BIFUbC-electricity'!B26,'BIFUbC-coal'!B26,'BIFUbC-natural-gas'!B26,'BIFUbC-biomass'!B26,'BIFUbC-heat'!B26,'BIFUbC-crude-oil'!B26,'BIFUbC-petroleum-diesel'!B26,'BIFUbC-heavy-or-residual-oil'!B26,'BIFUbC-LPG-propane-or-butane'!B26,'BIFUbC-hydrogen'!B26)</f>
        <v>51462097664062.352</v>
      </c>
      <c r="C27" s="16">
        <f>SUM('BIFUbC-electricity'!C26,'BIFUbC-coal'!C26,'BIFUbC-natural-gas'!C26,'BIFUbC-biomass'!C26,'BIFUbC-heat'!C26,'BIFUbC-crude-oil'!C26,'BIFUbC-petroleum-diesel'!C26,'BIFUbC-heavy-or-residual-oil'!C26,'BIFUbC-LPG-propane-or-butane'!C26,'BIFUbC-hydrogen'!C26)</f>
        <v>52741457710283.594</v>
      </c>
      <c r="D27" s="16">
        <f>SUM('BIFUbC-electricity'!D26,'BIFUbC-coal'!D26,'BIFUbC-natural-gas'!D26,'BIFUbC-biomass'!D26,'BIFUbC-heat'!D26,'BIFUbC-crude-oil'!D26,'BIFUbC-petroleum-diesel'!D26,'BIFUbC-heavy-or-residual-oil'!D26,'BIFUbC-LPG-propane-or-butane'!D26,'BIFUbC-hydrogen'!D26)</f>
        <v>54020817756504.844</v>
      </c>
      <c r="E27" s="16">
        <f>SUM('BIFUbC-electricity'!E26,'BIFUbC-coal'!E26,'BIFUbC-natural-gas'!E26,'BIFUbC-biomass'!E26,'BIFUbC-heat'!E26,'BIFUbC-crude-oil'!E26,'BIFUbC-petroleum-diesel'!E26,'BIFUbC-heavy-or-residual-oil'!E26,'BIFUbC-LPG-propane-or-butane'!E26,'BIFUbC-hydrogen'!E26)</f>
        <v>55300177802726.063</v>
      </c>
      <c r="F27" s="16">
        <f>SUM('BIFUbC-electricity'!F26,'BIFUbC-coal'!F26,'BIFUbC-natural-gas'!F26,'BIFUbC-biomass'!F26,'BIFUbC-heat'!F26,'BIFUbC-crude-oil'!F26,'BIFUbC-petroleum-diesel'!F26,'BIFUbC-heavy-or-residual-oil'!F26,'BIFUbC-LPG-propane-or-butane'!F26,'BIFUbC-hydrogen'!F26)</f>
        <v>56579537848947.313</v>
      </c>
      <c r="G27" s="16">
        <f>SUM('BIFUbC-electricity'!G26,'BIFUbC-coal'!G26,'BIFUbC-natural-gas'!G26,'BIFUbC-biomass'!G26,'BIFUbC-heat'!G26,'BIFUbC-crude-oil'!G26,'BIFUbC-petroleum-diesel'!G26,'BIFUbC-heavy-or-residual-oil'!G26,'BIFUbC-LPG-propane-or-butane'!G26,'BIFUbC-hydrogen'!G26)</f>
        <v>57858897895168.547</v>
      </c>
      <c r="H27" s="16">
        <f>SUM('BIFUbC-electricity'!H26,'BIFUbC-coal'!H26,'BIFUbC-natural-gas'!H26,'BIFUbC-biomass'!H26,'BIFUbC-heat'!H26,'BIFUbC-crude-oil'!H26,'BIFUbC-petroleum-diesel'!H26,'BIFUbC-heavy-or-residual-oil'!H26,'BIFUbC-LPG-propane-or-butane'!H26,'BIFUbC-hydrogen'!H26)</f>
        <v>58524487515825.172</v>
      </c>
      <c r="I27" s="16">
        <f>SUM('BIFUbC-electricity'!I26,'BIFUbC-coal'!I26,'BIFUbC-natural-gas'!I26,'BIFUbC-biomass'!I26,'BIFUbC-heat'!I26,'BIFUbC-crude-oil'!I26,'BIFUbC-petroleum-diesel'!I26,'BIFUbC-heavy-or-residual-oil'!I26,'BIFUbC-LPG-propane-or-butane'!I26,'BIFUbC-hydrogen'!I26)</f>
        <v>59190077136481.633</v>
      </c>
      <c r="J27" s="16">
        <f>SUM('BIFUbC-electricity'!J26,'BIFUbC-coal'!J26,'BIFUbC-natural-gas'!J26,'BIFUbC-biomass'!J26,'BIFUbC-heat'!J26,'BIFUbC-crude-oil'!J26,'BIFUbC-petroleum-diesel'!J26,'BIFUbC-heavy-or-residual-oil'!J26,'BIFUbC-LPG-propane-or-butane'!J26,'BIFUbC-hydrogen'!J26)</f>
        <v>59855666757138.047</v>
      </c>
      <c r="K27" s="16">
        <f>SUM('BIFUbC-electricity'!K26,'BIFUbC-coal'!K26,'BIFUbC-natural-gas'!K26,'BIFUbC-biomass'!K26,'BIFUbC-heat'!K26,'BIFUbC-crude-oil'!K26,'BIFUbC-petroleum-diesel'!K26,'BIFUbC-heavy-or-residual-oil'!K26,'BIFUbC-LPG-propane-or-butane'!K26,'BIFUbC-hydrogen'!K26)</f>
        <v>60521256377794.523</v>
      </c>
      <c r="L27" s="16">
        <f>SUM('BIFUbC-electricity'!L26,'BIFUbC-coal'!L26,'BIFUbC-natural-gas'!L26,'BIFUbC-biomass'!L26,'BIFUbC-heat'!L26,'BIFUbC-crude-oil'!L26,'BIFUbC-petroleum-diesel'!L26,'BIFUbC-heavy-or-residual-oil'!L26,'BIFUbC-LPG-propane-or-butane'!L26,'BIFUbC-hydrogen'!L26)</f>
        <v>61186845998451</v>
      </c>
      <c r="M27" s="16">
        <f>SUM('BIFUbC-electricity'!M26,'BIFUbC-coal'!M26,'BIFUbC-natural-gas'!M26,'BIFUbC-biomass'!M26,'BIFUbC-heat'!M26,'BIFUbC-crude-oil'!M26,'BIFUbC-petroleum-diesel'!M26,'BIFUbC-heavy-or-residual-oil'!M26,'BIFUbC-LPG-propane-or-butane'!M26,'BIFUbC-hydrogen'!M26)</f>
        <v>61696513845749.406</v>
      </c>
      <c r="N27" s="16">
        <f>SUM('BIFUbC-electricity'!N26,'BIFUbC-coal'!N26,'BIFUbC-natural-gas'!N26,'BIFUbC-biomass'!N26,'BIFUbC-heat'!N26,'BIFUbC-crude-oil'!N26,'BIFUbC-petroleum-diesel'!N26,'BIFUbC-heavy-or-residual-oil'!N26,'BIFUbC-LPG-propane-or-butane'!N26,'BIFUbC-hydrogen'!N26)</f>
        <v>62206181693047.813</v>
      </c>
      <c r="O27" s="16">
        <f>SUM('BIFUbC-electricity'!O26,'BIFUbC-coal'!O26,'BIFUbC-natural-gas'!O26,'BIFUbC-biomass'!O26,'BIFUbC-heat'!O26,'BIFUbC-crude-oil'!O26,'BIFUbC-petroleum-diesel'!O26,'BIFUbC-heavy-or-residual-oil'!O26,'BIFUbC-LPG-propane-or-butane'!O26,'BIFUbC-hydrogen'!O26)</f>
        <v>62715849540346.266</v>
      </c>
      <c r="P27" s="16">
        <f>SUM('BIFUbC-electricity'!P26,'BIFUbC-coal'!P26,'BIFUbC-natural-gas'!P26,'BIFUbC-biomass'!P26,'BIFUbC-heat'!P26,'BIFUbC-crude-oil'!P26,'BIFUbC-petroleum-diesel'!P26,'BIFUbC-heavy-or-residual-oil'!P26,'BIFUbC-LPG-propane-or-butane'!P26,'BIFUbC-hydrogen'!P26)</f>
        <v>63225517387644.68</v>
      </c>
      <c r="Q27" s="16">
        <f>SUM('BIFUbC-electricity'!Q26,'BIFUbC-coal'!Q26,'BIFUbC-natural-gas'!Q26,'BIFUbC-biomass'!Q26,'BIFUbC-heat'!Q26,'BIFUbC-crude-oil'!Q26,'BIFUbC-petroleum-diesel'!Q26,'BIFUbC-heavy-or-residual-oil'!Q26,'BIFUbC-LPG-propane-or-butane'!Q26,'BIFUbC-hydrogen'!Q26)</f>
        <v>63735185234943.055</v>
      </c>
      <c r="R27" s="16">
        <f>SUM('BIFUbC-electricity'!R26,'BIFUbC-coal'!R26,'BIFUbC-natural-gas'!R26,'BIFUbC-biomass'!R26,'BIFUbC-heat'!R26,'BIFUbC-crude-oil'!R26,'BIFUbC-petroleum-diesel'!R26,'BIFUbC-heavy-or-residual-oil'!R26,'BIFUbC-LPG-propane-or-butane'!R26,'BIFUbC-hydrogen'!R26)</f>
        <v>64177503878880.727</v>
      </c>
      <c r="S27" s="16">
        <f>SUM('BIFUbC-electricity'!S26,'BIFUbC-coal'!S26,'BIFUbC-natural-gas'!S26,'BIFUbC-biomass'!S26,'BIFUbC-heat'!S26,'BIFUbC-crude-oil'!S26,'BIFUbC-petroleum-diesel'!S26,'BIFUbC-heavy-or-residual-oil'!S26,'BIFUbC-LPG-propane-or-butane'!S26,'BIFUbC-hydrogen'!S26)</f>
        <v>64619822522818.203</v>
      </c>
      <c r="T27" s="16">
        <f>SUM('BIFUbC-electricity'!T26,'BIFUbC-coal'!T26,'BIFUbC-natural-gas'!T26,'BIFUbC-biomass'!T26,'BIFUbC-heat'!T26,'BIFUbC-crude-oil'!T26,'BIFUbC-petroleum-diesel'!T26,'BIFUbC-heavy-or-residual-oil'!T26,'BIFUbC-LPG-propane-or-butane'!T26,'BIFUbC-hydrogen'!T26)</f>
        <v>65062141166755.695</v>
      </c>
      <c r="U27" s="16">
        <f>SUM('BIFUbC-electricity'!U26,'BIFUbC-coal'!U26,'BIFUbC-natural-gas'!U26,'BIFUbC-biomass'!U26,'BIFUbC-heat'!U26,'BIFUbC-crude-oil'!U26,'BIFUbC-petroleum-diesel'!U26,'BIFUbC-heavy-or-residual-oil'!U26,'BIFUbC-LPG-propane-or-butane'!U26,'BIFUbC-hydrogen'!U26)</f>
        <v>65504459810693.273</v>
      </c>
      <c r="V27" s="16">
        <f>SUM('BIFUbC-electricity'!V26,'BIFUbC-coal'!V26,'BIFUbC-natural-gas'!V26,'BIFUbC-biomass'!V26,'BIFUbC-heat'!V26,'BIFUbC-crude-oil'!V26,'BIFUbC-petroleum-diesel'!V26,'BIFUbC-heavy-or-residual-oil'!V26,'BIFUbC-LPG-propane-or-butane'!V26,'BIFUbC-hydrogen'!V26)</f>
        <v>65946778454630.641</v>
      </c>
      <c r="W27" s="16">
        <f>SUM('BIFUbC-electricity'!W26,'BIFUbC-coal'!W26,'BIFUbC-natural-gas'!W26,'BIFUbC-biomass'!W26,'BIFUbC-heat'!W26,'BIFUbC-crude-oil'!W26,'BIFUbC-petroleum-diesel'!W26,'BIFUbC-heavy-or-residual-oil'!W26,'BIFUbC-LPG-propane-or-butane'!W26,'BIFUbC-hydrogen'!W26)</f>
        <v>66478896036382.742</v>
      </c>
      <c r="X27" s="16">
        <f>SUM('BIFUbC-electricity'!X26,'BIFUbC-coal'!X26,'BIFUbC-natural-gas'!X26,'BIFUbC-biomass'!X26,'BIFUbC-heat'!X26,'BIFUbC-crude-oil'!X26,'BIFUbC-petroleum-diesel'!X26,'BIFUbC-heavy-or-residual-oil'!X26,'BIFUbC-LPG-propane-or-butane'!X26,'BIFUbC-hydrogen'!X26)</f>
        <v>66949787069624.891</v>
      </c>
      <c r="Y27" s="16">
        <f>SUM('BIFUbC-electricity'!Y26,'BIFUbC-coal'!Y26,'BIFUbC-natural-gas'!Y26,'BIFUbC-biomass'!Y26,'BIFUbC-heat'!Y26,'BIFUbC-crude-oil'!Y26,'BIFUbC-petroleum-diesel'!Y26,'BIFUbC-heavy-or-residual-oil'!Y26,'BIFUbC-LPG-propane-or-butane'!Y26,'BIFUbC-hydrogen'!Y26)</f>
        <v>67420678102867.125</v>
      </c>
      <c r="Z27" s="16">
        <f>SUM('BIFUbC-electricity'!Z26,'BIFUbC-coal'!Z26,'BIFUbC-natural-gas'!Z26,'BIFUbC-biomass'!Z26,'BIFUbC-heat'!Z26,'BIFUbC-crude-oil'!Z26,'BIFUbC-petroleum-diesel'!Z26,'BIFUbC-heavy-or-residual-oil'!Z26,'BIFUbC-LPG-propane-or-butane'!Z26,'BIFUbC-hydrogen'!Z26)</f>
        <v>67891569136109.211</v>
      </c>
      <c r="AA27" s="16">
        <f>SUM('BIFUbC-electricity'!AA26,'BIFUbC-coal'!AA26,'BIFUbC-natural-gas'!AA26,'BIFUbC-biomass'!AA26,'BIFUbC-heat'!AA26,'BIFUbC-crude-oil'!AA26,'BIFUbC-petroleum-diesel'!AA26,'BIFUbC-heavy-or-residual-oil'!AA26,'BIFUbC-LPG-propane-or-butane'!AA26,'BIFUbC-hydrogen'!AA26)</f>
        <v>68362460169351.352</v>
      </c>
      <c r="AB27" s="16">
        <f>SUM('BIFUbC-electricity'!AB26,'BIFUbC-coal'!AB26,'BIFUbC-natural-gas'!AB26,'BIFUbC-biomass'!AB26,'BIFUbC-heat'!AB26,'BIFUbC-crude-oil'!AB26,'BIFUbC-petroleum-diesel'!AB26,'BIFUbC-heavy-or-residual-oil'!AB26,'BIFUbC-LPG-propane-or-butane'!AB26,'BIFUbC-hydrogen'!AB26)</f>
        <v>68833351202593.516</v>
      </c>
      <c r="AC27" s="16">
        <f>SUM('BIFUbC-electricity'!AC26,'BIFUbC-coal'!AC26,'BIFUbC-natural-gas'!AC26,'BIFUbC-biomass'!AC26,'BIFUbC-heat'!AC26,'BIFUbC-crude-oil'!AC26,'BIFUbC-petroleum-diesel'!AC26,'BIFUbC-heavy-or-residual-oil'!AC26,'BIFUbC-LPG-propane-or-butane'!AC26,'BIFUbC-hydrogen'!AC26)</f>
        <v>69304242235835.688</v>
      </c>
      <c r="AD27" s="16">
        <f>SUM('BIFUbC-electricity'!AD26,'BIFUbC-coal'!AD26,'BIFUbC-natural-gas'!AD26,'BIFUbC-biomass'!AD26,'BIFUbC-heat'!AD26,'BIFUbC-crude-oil'!AD26,'BIFUbC-petroleum-diesel'!AD26,'BIFUbC-heavy-or-residual-oil'!AD26,'BIFUbC-LPG-propane-or-butane'!AD26,'BIFUbC-hydrogen'!AD26)</f>
        <v>69775133269077.844</v>
      </c>
      <c r="AE27" s="16">
        <f>SUM('BIFUbC-electricity'!AE26,'BIFUbC-coal'!AE26,'BIFUbC-natural-gas'!AE26,'BIFUbC-biomass'!AE26,'BIFUbC-heat'!AE26,'BIFUbC-crude-oil'!AE26,'BIFUbC-petroleum-diesel'!AE26,'BIFUbC-heavy-or-residual-oil'!AE26,'BIFUbC-LPG-propane-or-butane'!AE26,'BIFUbC-hydrogen'!AE26)</f>
        <v>70246024302319.984</v>
      </c>
      <c r="AF27" s="16">
        <f>SUM('BIFUbC-electricity'!AF26,'BIFUbC-coal'!AF26,'BIFUbC-natural-gas'!AF26,'BIFUbC-biomass'!AF26,'BIFUbC-heat'!AF26,'BIFUbC-crude-oil'!AF26,'BIFUbC-petroleum-diesel'!AF26,'BIFUbC-heavy-or-residual-oil'!AF26,'BIFUbC-LPG-propane-or-butane'!AF26,'BIFUbC-hydrogen'!AF26)</f>
        <v>70716915335562.172</v>
      </c>
    </row>
    <row r="29" spans="1:32" s="402" customFormat="1">
      <c r="A29" s="401" t="s">
        <v>789</v>
      </c>
    </row>
    <row r="30" spans="1:32">
      <c r="A30" t="s">
        <v>27</v>
      </c>
      <c r="B30">
        <v>2020</v>
      </c>
      <c r="C30">
        <v>2021</v>
      </c>
      <c r="D30">
        <v>2022</v>
      </c>
      <c r="E30">
        <v>2023</v>
      </c>
      <c r="F30">
        <v>2024</v>
      </c>
      <c r="G30">
        <v>2025</v>
      </c>
      <c r="H30">
        <v>2026</v>
      </c>
      <c r="I30">
        <v>2027</v>
      </c>
      <c r="J30">
        <v>2028</v>
      </c>
      <c r="K30">
        <v>2029</v>
      </c>
      <c r="L30">
        <v>2030</v>
      </c>
      <c r="M30">
        <v>2031</v>
      </c>
      <c r="N30">
        <v>2032</v>
      </c>
      <c r="O30">
        <v>2033</v>
      </c>
      <c r="P30">
        <v>2034</v>
      </c>
      <c r="Q30">
        <v>2035</v>
      </c>
      <c r="R30">
        <v>2036</v>
      </c>
      <c r="S30">
        <v>2037</v>
      </c>
      <c r="T30">
        <v>2038</v>
      </c>
      <c r="U30">
        <v>2039</v>
      </c>
      <c r="V30">
        <v>2040</v>
      </c>
      <c r="W30">
        <v>2041</v>
      </c>
      <c r="X30">
        <v>2042</v>
      </c>
      <c r="Y30">
        <v>2043</v>
      </c>
      <c r="Z30">
        <v>2044</v>
      </c>
      <c r="AA30">
        <v>2045</v>
      </c>
      <c r="AB30">
        <v>2046</v>
      </c>
      <c r="AC30">
        <v>2047</v>
      </c>
      <c r="AD30">
        <v>2048</v>
      </c>
      <c r="AE30">
        <v>2049</v>
      </c>
      <c r="AF30">
        <v>2050</v>
      </c>
    </row>
    <row r="31" spans="1:32">
      <c r="A31" t="s">
        <v>2</v>
      </c>
      <c r="B31">
        <v>170415395281227.72</v>
      </c>
      <c r="C31">
        <v>173145941284594.69</v>
      </c>
      <c r="D31">
        <v>175876487287961.28</v>
      </c>
      <c r="E31">
        <v>178607033291328.47</v>
      </c>
      <c r="F31">
        <v>181337579294695.06</v>
      </c>
      <c r="G31">
        <v>184068125298062.09</v>
      </c>
      <c r="H31">
        <v>186254627457290.09</v>
      </c>
      <c r="I31">
        <v>188441129616517.88</v>
      </c>
      <c r="J31">
        <v>190627631775745.34</v>
      </c>
      <c r="K31">
        <v>192814133934973.09</v>
      </c>
      <c r="L31">
        <v>195000636094200.63</v>
      </c>
      <c r="M31">
        <v>196606900596014.25</v>
      </c>
      <c r="N31">
        <v>198213165097827.69</v>
      </c>
      <c r="O31">
        <v>199819429599641.34</v>
      </c>
      <c r="P31">
        <v>201425694101454.75</v>
      </c>
      <c r="Q31">
        <v>203031958603268.16</v>
      </c>
      <c r="R31">
        <v>204437764897897.44</v>
      </c>
      <c r="S31">
        <v>205843571192526.31</v>
      </c>
      <c r="T31">
        <v>207249377487155.06</v>
      </c>
      <c r="U31">
        <v>208655183781784.22</v>
      </c>
      <c r="V31">
        <v>210060990076412.69</v>
      </c>
      <c r="W31">
        <v>211734073980621.19</v>
      </c>
      <c r="X31">
        <v>213224923151025.41</v>
      </c>
      <c r="Y31">
        <v>214715772321429.81</v>
      </c>
      <c r="Z31">
        <v>216206621491833.84</v>
      </c>
      <c r="AA31">
        <v>217697470662238.16</v>
      </c>
      <c r="AB31">
        <v>219188319832642.31</v>
      </c>
      <c r="AC31">
        <v>220679169003046.5</v>
      </c>
      <c r="AD31">
        <v>222170018173450.78</v>
      </c>
      <c r="AE31">
        <v>223660867343855</v>
      </c>
      <c r="AF31">
        <v>225151716514259.22</v>
      </c>
    </row>
    <row r="32" spans="1:32">
      <c r="A32" t="s">
        <v>3</v>
      </c>
      <c r="B32">
        <v>382955618411.43115</v>
      </c>
      <c r="C32">
        <v>387467651140.53052</v>
      </c>
      <c r="D32">
        <v>391979683869.62982</v>
      </c>
      <c r="E32">
        <v>396491716598.7309</v>
      </c>
      <c r="F32">
        <v>401003749327.83026</v>
      </c>
      <c r="G32">
        <v>405515782056.93091</v>
      </c>
      <c r="H32">
        <v>407102976955.73389</v>
      </c>
      <c r="I32">
        <v>408690171854.53735</v>
      </c>
      <c r="J32">
        <v>410277366753.34033</v>
      </c>
      <c r="K32">
        <v>411864561652.1438</v>
      </c>
      <c r="L32">
        <v>413451756550.94702</v>
      </c>
      <c r="M32">
        <v>411961226050.54834</v>
      </c>
      <c r="N32">
        <v>410470695550.14941</v>
      </c>
      <c r="O32">
        <v>408980165049.75098</v>
      </c>
      <c r="P32">
        <v>407489634549.35205</v>
      </c>
      <c r="Q32">
        <v>405999104048.95355</v>
      </c>
      <c r="R32">
        <v>397640222811.91522</v>
      </c>
      <c r="S32">
        <v>389281341574.88159</v>
      </c>
      <c r="T32">
        <v>380922460337.84442</v>
      </c>
      <c r="U32">
        <v>372563579100.80731</v>
      </c>
      <c r="V32">
        <v>364204697863.77344</v>
      </c>
      <c r="W32">
        <v>365003617608.91852</v>
      </c>
      <c r="X32">
        <v>359558582138.93958</v>
      </c>
      <c r="Y32">
        <v>354113546668.96234</v>
      </c>
      <c r="Z32">
        <v>348668511198.98334</v>
      </c>
      <c r="AA32">
        <v>343223475729.0061</v>
      </c>
      <c r="AB32">
        <v>337778440259.02893</v>
      </c>
      <c r="AC32">
        <v>332333404789.04993</v>
      </c>
      <c r="AD32">
        <v>326888369319.07269</v>
      </c>
      <c r="AE32">
        <v>321443333849.09546</v>
      </c>
      <c r="AF32">
        <v>315998298379.11646</v>
      </c>
    </row>
    <row r="33" spans="1:32">
      <c r="A33" t="s">
        <v>4</v>
      </c>
      <c r="B33">
        <v>139126610879.03522</v>
      </c>
      <c r="C33">
        <v>134180545787.83896</v>
      </c>
      <c r="D33">
        <v>129234480696.64418</v>
      </c>
      <c r="E33">
        <v>124288415605.44939</v>
      </c>
      <c r="F33">
        <v>119342350514.25461</v>
      </c>
      <c r="G33">
        <v>114396285423.05949</v>
      </c>
      <c r="H33">
        <v>114730348973.88715</v>
      </c>
      <c r="I33">
        <v>115064412524.71483</v>
      </c>
      <c r="J33">
        <v>115398476075.54242</v>
      </c>
      <c r="K33">
        <v>115732539626.3701</v>
      </c>
      <c r="L33">
        <v>116066603177.19768</v>
      </c>
      <c r="M33">
        <v>116006162251.38039</v>
      </c>
      <c r="N33">
        <v>115945721325.56308</v>
      </c>
      <c r="O33">
        <v>115885280399.74576</v>
      </c>
      <c r="P33">
        <v>115824839473.92844</v>
      </c>
      <c r="Q33">
        <v>115764398548.1111</v>
      </c>
      <c r="R33">
        <v>115508434868.29439</v>
      </c>
      <c r="S33">
        <v>115252471188.47769</v>
      </c>
      <c r="T33">
        <v>114996507508.661</v>
      </c>
      <c r="U33">
        <v>114740543828.84428</v>
      </c>
      <c r="V33">
        <v>114484580149.02759</v>
      </c>
      <c r="W33">
        <v>114489313474.5434</v>
      </c>
      <c r="X33">
        <v>114316298841.87793</v>
      </c>
      <c r="Y33">
        <v>114143284209.21246</v>
      </c>
      <c r="Z33">
        <v>113970269576.54706</v>
      </c>
      <c r="AA33">
        <v>113797254943.88159</v>
      </c>
      <c r="AB33">
        <v>113624240311.21613</v>
      </c>
      <c r="AC33">
        <v>113451225678.55066</v>
      </c>
      <c r="AD33">
        <v>113278211045.88521</v>
      </c>
      <c r="AE33">
        <v>113105196413.21974</v>
      </c>
      <c r="AF33">
        <v>112932181780.55429</v>
      </c>
    </row>
    <row r="34" spans="1:32">
      <c r="A34" t="s">
        <v>5</v>
      </c>
      <c r="B34">
        <v>7640037241367.7061</v>
      </c>
      <c r="C34">
        <v>7754715511535.8701</v>
      </c>
      <c r="D34">
        <v>7869393781704.0215</v>
      </c>
      <c r="E34">
        <v>7984072051872.2041</v>
      </c>
      <c r="F34">
        <v>8098750322040.3555</v>
      </c>
      <c r="G34">
        <v>8213428592208.541</v>
      </c>
      <c r="H34">
        <v>8282977687582.4541</v>
      </c>
      <c r="I34">
        <v>8352526782956.3594</v>
      </c>
      <c r="J34">
        <v>8422075878330.2646</v>
      </c>
      <c r="K34">
        <v>8491624973704.1689</v>
      </c>
      <c r="L34">
        <v>8561174069078.0781</v>
      </c>
      <c r="M34">
        <v>8602567618844.4844</v>
      </c>
      <c r="N34">
        <v>8643961168610.8955</v>
      </c>
      <c r="O34">
        <v>8685354718377.3047</v>
      </c>
      <c r="P34">
        <v>8726748268143.7148</v>
      </c>
      <c r="Q34">
        <v>8768141817910.124</v>
      </c>
      <c r="R34">
        <v>8799051853406.623</v>
      </c>
      <c r="S34">
        <v>8829961888903.1113</v>
      </c>
      <c r="T34">
        <v>8860871924399.6016</v>
      </c>
      <c r="U34">
        <v>8891781959896.0938</v>
      </c>
      <c r="V34">
        <v>8922691995392.5801</v>
      </c>
      <c r="W34">
        <v>8967580049915.6367</v>
      </c>
      <c r="X34">
        <v>9002937636920.5723</v>
      </c>
      <c r="Y34">
        <v>9038295223925.5195</v>
      </c>
      <c r="Z34">
        <v>9073652810930.4609</v>
      </c>
      <c r="AA34">
        <v>9109010397935.4043</v>
      </c>
      <c r="AB34">
        <v>9144367984940.3418</v>
      </c>
      <c r="AC34">
        <v>9179725571945.2871</v>
      </c>
      <c r="AD34">
        <v>9215083158950.2305</v>
      </c>
      <c r="AE34">
        <v>9250440745955.1699</v>
      </c>
      <c r="AF34">
        <v>9285798332960.1191</v>
      </c>
    </row>
    <row r="35" spans="1:32">
      <c r="A35" t="s">
        <v>6</v>
      </c>
      <c r="B35">
        <v>90913703670988.672</v>
      </c>
      <c r="C35">
        <v>92563423244487.813</v>
      </c>
      <c r="D35">
        <v>94213142817987.141</v>
      </c>
      <c r="E35">
        <v>95862862391486.734</v>
      </c>
      <c r="F35">
        <v>97512581964985.969</v>
      </c>
      <c r="G35">
        <v>99162301538485.516</v>
      </c>
      <c r="H35">
        <v>100461183485066.42</v>
      </c>
      <c r="I35">
        <v>101760065431647.3</v>
      </c>
      <c r="J35">
        <v>103058947378228.16</v>
      </c>
      <c r="K35">
        <v>104357829324809.09</v>
      </c>
      <c r="L35">
        <v>105656711271390</v>
      </c>
      <c r="M35">
        <v>106740035991830.28</v>
      </c>
      <c r="N35">
        <v>107823360712270.53</v>
      </c>
      <c r="O35">
        <v>108906685432710.92</v>
      </c>
      <c r="P35">
        <v>109990010153151.22</v>
      </c>
      <c r="Q35">
        <v>111073334873591.56</v>
      </c>
      <c r="R35">
        <v>112168872441359.73</v>
      </c>
      <c r="S35">
        <v>113264410009127.94</v>
      </c>
      <c r="T35">
        <v>114359947576896.09</v>
      </c>
      <c r="U35">
        <v>115455485144664.38</v>
      </c>
      <c r="V35">
        <v>116551022712432.53</v>
      </c>
      <c r="W35">
        <v>117630276483763.94</v>
      </c>
      <c r="X35">
        <v>118720632843574.97</v>
      </c>
      <c r="Y35">
        <v>119810989203386.3</v>
      </c>
      <c r="Z35">
        <v>120901345563197.44</v>
      </c>
      <c r="AA35">
        <v>121991701923008.84</v>
      </c>
      <c r="AB35">
        <v>123082058282820.05</v>
      </c>
      <c r="AC35">
        <v>124172414642631.47</v>
      </c>
      <c r="AD35">
        <v>125262771002442.84</v>
      </c>
      <c r="AE35">
        <v>126353127362254.25</v>
      </c>
      <c r="AF35">
        <v>127443483722065.8</v>
      </c>
    </row>
    <row r="36" spans="1:32">
      <c r="A36" t="s">
        <v>7</v>
      </c>
      <c r="B36">
        <v>84138099235179.219</v>
      </c>
      <c r="C36">
        <v>86441558238260.625</v>
      </c>
      <c r="D36">
        <v>88745017241341.781</v>
      </c>
      <c r="E36">
        <v>91048476244423.125</v>
      </c>
      <c r="F36">
        <v>93351935247504.328</v>
      </c>
      <c r="G36">
        <v>95655394250586</v>
      </c>
      <c r="H36">
        <v>97300891718177.594</v>
      </c>
      <c r="I36">
        <v>98946389185769.281</v>
      </c>
      <c r="J36">
        <v>100591886653360.81</v>
      </c>
      <c r="K36">
        <v>102237384120952.61</v>
      </c>
      <c r="L36">
        <v>103882881588544.19</v>
      </c>
      <c r="M36">
        <v>105166143013691.03</v>
      </c>
      <c r="N36">
        <v>106449404438837.63</v>
      </c>
      <c r="O36">
        <v>107732665863984.52</v>
      </c>
      <c r="P36">
        <v>109015927289131.23</v>
      </c>
      <c r="Q36">
        <v>110299188714278.05</v>
      </c>
      <c r="R36">
        <v>111448630358863.84</v>
      </c>
      <c r="S36">
        <v>112598072003449.69</v>
      </c>
      <c r="T36">
        <v>113747513648035.41</v>
      </c>
      <c r="U36">
        <v>114896955292621.42</v>
      </c>
      <c r="V36">
        <v>116046396937207.16</v>
      </c>
      <c r="W36">
        <v>117374264955874.92</v>
      </c>
      <c r="X36">
        <v>118580478628577.95</v>
      </c>
      <c r="Y36">
        <v>119786692301281.25</v>
      </c>
      <c r="Z36">
        <v>120992905973984.22</v>
      </c>
      <c r="AA36">
        <v>122199119646687.58</v>
      </c>
      <c r="AB36">
        <v>123405333319390.89</v>
      </c>
      <c r="AC36">
        <v>124611546992094.28</v>
      </c>
      <c r="AD36">
        <v>125817760664797.81</v>
      </c>
      <c r="AE36">
        <v>127023974337501.41</v>
      </c>
      <c r="AF36">
        <v>128230188010205.05</v>
      </c>
    </row>
    <row r="37" spans="1:32">
      <c r="A37" t="s">
        <v>8</v>
      </c>
      <c r="B37">
        <v>20032448561340.434</v>
      </c>
      <c r="C37">
        <v>20558750757653.535</v>
      </c>
      <c r="D37">
        <v>21085052953966.645</v>
      </c>
      <c r="E37">
        <v>21611355150279.785</v>
      </c>
      <c r="F37">
        <v>22137657346592.891</v>
      </c>
      <c r="G37">
        <v>22663959542905.898</v>
      </c>
      <c r="H37">
        <v>23138908522720.324</v>
      </c>
      <c r="I37">
        <v>23613857502534.75</v>
      </c>
      <c r="J37">
        <v>24088806482349.047</v>
      </c>
      <c r="K37">
        <v>24563755462163.473</v>
      </c>
      <c r="L37">
        <v>25038704441977.711</v>
      </c>
      <c r="M37">
        <v>25446687334325.18</v>
      </c>
      <c r="N37">
        <v>25854670226672.469</v>
      </c>
      <c r="O37">
        <v>26262653119019.875</v>
      </c>
      <c r="P37">
        <v>26670636011367.156</v>
      </c>
      <c r="Q37">
        <v>27078618903714.449</v>
      </c>
      <c r="R37">
        <v>27488852746376.727</v>
      </c>
      <c r="S37">
        <v>27899086589039.012</v>
      </c>
      <c r="T37">
        <v>28309320431701.168</v>
      </c>
      <c r="U37">
        <v>28719554274363.461</v>
      </c>
      <c r="V37">
        <v>29129788117025.555</v>
      </c>
      <c r="W37">
        <v>29537020692601.301</v>
      </c>
      <c r="X37">
        <v>29946299586645.141</v>
      </c>
      <c r="Y37">
        <v>30355578480688.992</v>
      </c>
      <c r="Z37">
        <v>30764857374732.715</v>
      </c>
      <c r="AA37">
        <v>31174136268776.574</v>
      </c>
      <c r="AB37">
        <v>31583415162820.418</v>
      </c>
      <c r="AC37">
        <v>31992694056864.156</v>
      </c>
      <c r="AD37">
        <v>32401972950908.02</v>
      </c>
      <c r="AE37">
        <v>32811251844951.883</v>
      </c>
      <c r="AF37">
        <v>33220530738995.629</v>
      </c>
    </row>
    <row r="38" spans="1:32">
      <c r="A38" t="s">
        <v>9</v>
      </c>
      <c r="B38">
        <v>161321820049733</v>
      </c>
      <c r="C38">
        <v>165692298267897.69</v>
      </c>
      <c r="D38">
        <v>170062776486062.5</v>
      </c>
      <c r="E38">
        <v>174433254704227.53</v>
      </c>
      <c r="F38">
        <v>178803732922392.41</v>
      </c>
      <c r="G38">
        <v>183174211140556.34</v>
      </c>
      <c r="H38">
        <v>187263629117938.41</v>
      </c>
      <c r="I38">
        <v>191353047095320.41</v>
      </c>
      <c r="J38">
        <v>195442465072701.41</v>
      </c>
      <c r="K38">
        <v>199531883050083.56</v>
      </c>
      <c r="L38">
        <v>203621301027464.06</v>
      </c>
      <c r="M38">
        <v>207194374687340.22</v>
      </c>
      <c r="N38">
        <v>210767448347214.69</v>
      </c>
      <c r="O38">
        <v>214340522007090.44</v>
      </c>
      <c r="P38">
        <v>217913595666965.03</v>
      </c>
      <c r="Q38">
        <v>221486669326839.75</v>
      </c>
      <c r="R38">
        <v>225108998670885.34</v>
      </c>
      <c r="S38">
        <v>228731328014930.97</v>
      </c>
      <c r="T38">
        <v>232353657358975.5</v>
      </c>
      <c r="U38">
        <v>235975986703021.25</v>
      </c>
      <c r="V38">
        <v>239598316047065.38</v>
      </c>
      <c r="W38">
        <v>243154971145551.19</v>
      </c>
      <c r="X38">
        <v>246756404138737.09</v>
      </c>
      <c r="Y38">
        <v>250357837131923.13</v>
      </c>
      <c r="Z38">
        <v>253959270125108.03</v>
      </c>
      <c r="AA38">
        <v>257560703118294.28</v>
      </c>
      <c r="AB38">
        <v>261162136111480.47</v>
      </c>
      <c r="AC38">
        <v>264763569104665.69</v>
      </c>
      <c r="AD38">
        <v>268365002097852.09</v>
      </c>
      <c r="AE38">
        <v>271966435091038.59</v>
      </c>
      <c r="AF38">
        <v>275567868084224.03</v>
      </c>
    </row>
    <row r="39" spans="1:32">
      <c r="A39" t="s">
        <v>10</v>
      </c>
      <c r="B39">
        <v>5976949475130753</v>
      </c>
      <c r="C39">
        <v>5764464020594013</v>
      </c>
      <c r="D39">
        <v>5551978566057336</v>
      </c>
      <c r="E39">
        <v>5339493111520659</v>
      </c>
      <c r="F39">
        <v>5127007656983982</v>
      </c>
      <c r="G39">
        <v>4914522202447291</v>
      </c>
      <c r="H39">
        <v>4928873741323744</v>
      </c>
      <c r="I39">
        <v>4943225280200198</v>
      </c>
      <c r="J39">
        <v>4957576819076649</v>
      </c>
      <c r="K39">
        <v>4971928357953103</v>
      </c>
      <c r="L39">
        <v>4986279896829553</v>
      </c>
      <c r="M39">
        <v>4983683324128201</v>
      </c>
      <c r="N39">
        <v>4981086751426848</v>
      </c>
      <c r="O39">
        <v>4978490178725495</v>
      </c>
      <c r="P39">
        <v>4975893606024142</v>
      </c>
      <c r="Q39">
        <v>4973297033322789</v>
      </c>
      <c r="R39">
        <v>4962300704352603</v>
      </c>
      <c r="S39">
        <v>4951304375382417</v>
      </c>
      <c r="T39">
        <v>4940308046412231</v>
      </c>
      <c r="U39">
        <v>4929311717442044</v>
      </c>
      <c r="V39">
        <v>4918315388471858</v>
      </c>
      <c r="W39">
        <v>4918518734526783</v>
      </c>
      <c r="X39">
        <v>4911085938519132</v>
      </c>
      <c r="Y39">
        <v>4903653142511481</v>
      </c>
      <c r="Z39">
        <v>4896220346503832</v>
      </c>
      <c r="AA39">
        <v>4888787550496181</v>
      </c>
      <c r="AB39">
        <v>4881354754488530</v>
      </c>
      <c r="AC39">
        <v>4873921958480879</v>
      </c>
      <c r="AD39">
        <v>4866489162473228</v>
      </c>
      <c r="AE39">
        <v>4859056366465576</v>
      </c>
      <c r="AF39">
        <v>4851623570457925</v>
      </c>
    </row>
    <row r="40" spans="1:32">
      <c r="A40" t="s">
        <v>11</v>
      </c>
      <c r="B40">
        <v>1886807368484010</v>
      </c>
      <c r="C40">
        <v>1920646677884143.8</v>
      </c>
      <c r="D40">
        <v>1954485987284288.5</v>
      </c>
      <c r="E40">
        <v>1988325296684422.5</v>
      </c>
      <c r="F40">
        <v>2022164606084556.8</v>
      </c>
      <c r="G40">
        <v>2056003915484689.5</v>
      </c>
      <c r="H40">
        <v>2071736023087537</v>
      </c>
      <c r="I40">
        <v>2087468130690383.5</v>
      </c>
      <c r="J40">
        <v>2103200238293232.5</v>
      </c>
      <c r="K40">
        <v>2118932345896078.8</v>
      </c>
      <c r="L40">
        <v>2134664453498927.3</v>
      </c>
      <c r="M40">
        <v>2142937899326929.5</v>
      </c>
      <c r="N40">
        <v>2151211345154933.3</v>
      </c>
      <c r="O40">
        <v>2159484790982936.8</v>
      </c>
      <c r="P40">
        <v>2167758236810940.5</v>
      </c>
      <c r="Q40">
        <v>2176031682638945.3</v>
      </c>
      <c r="R40">
        <v>2180852255653099.5</v>
      </c>
      <c r="S40">
        <v>2185672828667254.8</v>
      </c>
      <c r="T40">
        <v>2190493401681410</v>
      </c>
      <c r="U40">
        <v>2195313974695565.5</v>
      </c>
      <c r="V40">
        <v>2200134547709722</v>
      </c>
      <c r="W40">
        <v>2209558951142341</v>
      </c>
      <c r="X40">
        <v>2215844379289645</v>
      </c>
      <c r="Y40">
        <v>2222129807436948.8</v>
      </c>
      <c r="Z40">
        <v>2228415235584252</v>
      </c>
      <c r="AA40">
        <v>2234700663731555.3</v>
      </c>
      <c r="AB40">
        <v>2240986091878859</v>
      </c>
      <c r="AC40">
        <v>2247271520026163.5</v>
      </c>
      <c r="AD40">
        <v>2253556948173467</v>
      </c>
      <c r="AE40">
        <v>2259842376320771</v>
      </c>
      <c r="AF40">
        <v>2266127804468075.5</v>
      </c>
    </row>
    <row r="41" spans="1:32">
      <c r="A41" t="s">
        <v>12</v>
      </c>
      <c r="B41">
        <v>1057399995904378.9</v>
      </c>
      <c r="C41">
        <v>1077561738265816</v>
      </c>
      <c r="D41">
        <v>1097723480627258.8</v>
      </c>
      <c r="E41">
        <v>1117885222988696</v>
      </c>
      <c r="F41">
        <v>1138046965350133.3</v>
      </c>
      <c r="G41">
        <v>1158208707711570.5</v>
      </c>
      <c r="H41">
        <v>1168396198516154.3</v>
      </c>
      <c r="I41">
        <v>1178583689320738</v>
      </c>
      <c r="J41">
        <v>1188771180125322.8</v>
      </c>
      <c r="K41">
        <v>1198958670929906.3</v>
      </c>
      <c r="L41">
        <v>1209146161734491.3</v>
      </c>
      <c r="M41">
        <v>1214768412482327.5</v>
      </c>
      <c r="N41">
        <v>1220390663230164.5</v>
      </c>
      <c r="O41">
        <v>1226012913978001.3</v>
      </c>
      <c r="P41">
        <v>1231635164725838</v>
      </c>
      <c r="Q41">
        <v>1237257415473675.5</v>
      </c>
      <c r="R41">
        <v>1240677498134354.5</v>
      </c>
      <c r="S41">
        <v>1244097580795034</v>
      </c>
      <c r="T41">
        <v>1247517663455713.8</v>
      </c>
      <c r="U41">
        <v>1250937746116393.5</v>
      </c>
      <c r="V41">
        <v>1254357828777074</v>
      </c>
      <c r="W41">
        <v>1260714135553962.8</v>
      </c>
      <c r="X41">
        <v>1265068471342528</v>
      </c>
      <c r="Y41">
        <v>1269422807131092.8</v>
      </c>
      <c r="Z41">
        <v>1273777142919657.3</v>
      </c>
      <c r="AA41">
        <v>1278131478708222.3</v>
      </c>
      <c r="AB41">
        <v>1282485814496787</v>
      </c>
      <c r="AC41">
        <v>1286840150285352.8</v>
      </c>
      <c r="AD41">
        <v>1291194486073917.5</v>
      </c>
      <c r="AE41">
        <v>1295548821862482.3</v>
      </c>
      <c r="AF41">
        <v>1299903157651048</v>
      </c>
    </row>
    <row r="42" spans="1:32">
      <c r="A42" t="s">
        <v>13</v>
      </c>
      <c r="B42">
        <v>34255327561521.238</v>
      </c>
      <c r="C42">
        <v>34725571690229.254</v>
      </c>
      <c r="D42">
        <v>35195815818937.266</v>
      </c>
      <c r="E42">
        <v>35666059947645.383</v>
      </c>
      <c r="F42">
        <v>36136304076353.336</v>
      </c>
      <c r="G42">
        <v>36606548205061.469</v>
      </c>
      <c r="H42">
        <v>37000284381063.055</v>
      </c>
      <c r="I42">
        <v>37394020557064.594</v>
      </c>
      <c r="J42">
        <v>37787756733066.133</v>
      </c>
      <c r="K42">
        <v>38181492909067.68</v>
      </c>
      <c r="L42">
        <v>38575229085069.25</v>
      </c>
      <c r="M42">
        <v>38888663168142.297</v>
      </c>
      <c r="N42">
        <v>39202097251215.375</v>
      </c>
      <c r="O42">
        <v>39515531334288.445</v>
      </c>
      <c r="P42">
        <v>39828965417361.539</v>
      </c>
      <c r="Q42">
        <v>40142399500434.609</v>
      </c>
      <c r="R42">
        <v>40441334483017.594</v>
      </c>
      <c r="S42">
        <v>40740269465600.516</v>
      </c>
      <c r="T42">
        <v>41039204448183.469</v>
      </c>
      <c r="U42">
        <v>41338139430766.414</v>
      </c>
      <c r="V42">
        <v>41637074413349.328</v>
      </c>
      <c r="W42">
        <v>41955341529919.125</v>
      </c>
      <c r="X42">
        <v>42260427646043.305</v>
      </c>
      <c r="Y42">
        <v>42565513762167.586</v>
      </c>
      <c r="Z42">
        <v>42870599878291.766</v>
      </c>
      <c r="AA42">
        <v>43175685994416.008</v>
      </c>
      <c r="AB42">
        <v>43480772110540.18</v>
      </c>
      <c r="AC42">
        <v>43785858226664.453</v>
      </c>
      <c r="AD42">
        <v>44090944342788.641</v>
      </c>
      <c r="AE42">
        <v>44396030458912.828</v>
      </c>
      <c r="AF42">
        <v>44701116575037.109</v>
      </c>
    </row>
    <row r="43" spans="1:32">
      <c r="A43" t="s">
        <v>14</v>
      </c>
      <c r="B43">
        <v>273266169672035.59</v>
      </c>
      <c r="C43">
        <v>282609016720669.94</v>
      </c>
      <c r="D43">
        <v>291951863769302.38</v>
      </c>
      <c r="E43">
        <v>301294710817935</v>
      </c>
      <c r="F43">
        <v>310637557866567.31</v>
      </c>
      <c r="G43">
        <v>319980404915200.63</v>
      </c>
      <c r="H43">
        <v>327266093724608.56</v>
      </c>
      <c r="I43">
        <v>334551782534016.56</v>
      </c>
      <c r="J43">
        <v>341837471343423.25</v>
      </c>
      <c r="K43">
        <v>349123160152831.31</v>
      </c>
      <c r="L43">
        <v>356408848962237.25</v>
      </c>
      <c r="M43">
        <v>362348218348102.13</v>
      </c>
      <c r="N43">
        <v>368287587733965.06</v>
      </c>
      <c r="O43">
        <v>374226957119829.31</v>
      </c>
      <c r="P43">
        <v>380166326505692.19</v>
      </c>
      <c r="Q43">
        <v>386105695891555.13</v>
      </c>
      <c r="R43">
        <v>391487196273803.5</v>
      </c>
      <c r="S43">
        <v>396868696656051.88</v>
      </c>
      <c r="T43">
        <v>402250197038298.94</v>
      </c>
      <c r="U43">
        <v>407631697420547.25</v>
      </c>
      <c r="V43">
        <v>413013197802793.56</v>
      </c>
      <c r="W43">
        <v>419138523523195.75</v>
      </c>
      <c r="X43">
        <v>424756695603947.5</v>
      </c>
      <c r="Y43">
        <v>430374867684699.75</v>
      </c>
      <c r="Z43">
        <v>435993039765450</v>
      </c>
      <c r="AA43">
        <v>441611211846201.75</v>
      </c>
      <c r="AB43">
        <v>447229383926953.44</v>
      </c>
      <c r="AC43">
        <v>452847556007704.19</v>
      </c>
      <c r="AD43">
        <v>458465728088456.06</v>
      </c>
      <c r="AE43">
        <v>464083900169207.69</v>
      </c>
      <c r="AF43">
        <v>469702072249958.56</v>
      </c>
    </row>
    <row r="44" spans="1:32">
      <c r="A44" t="s">
        <v>15</v>
      </c>
      <c r="B44">
        <v>1245336403299067.8</v>
      </c>
      <c r="C44">
        <v>1267528665213320.3</v>
      </c>
      <c r="D44">
        <v>1289720927127573.8</v>
      </c>
      <c r="E44">
        <v>1311913189041818.5</v>
      </c>
      <c r="F44">
        <v>1334105450956071.3</v>
      </c>
      <c r="G44">
        <v>1356297712870316.3</v>
      </c>
      <c r="H44">
        <v>1365157012570768</v>
      </c>
      <c r="I44">
        <v>1374016312271222</v>
      </c>
      <c r="J44">
        <v>1382875611971676.3</v>
      </c>
      <c r="K44">
        <v>1391734911672130.3</v>
      </c>
      <c r="L44">
        <v>1400594211372586.3</v>
      </c>
      <c r="M44">
        <v>1398968287971876.8</v>
      </c>
      <c r="N44">
        <v>1397342364571166.8</v>
      </c>
      <c r="O44">
        <v>1395716441170457</v>
      </c>
      <c r="P44">
        <v>1394090517769746.8</v>
      </c>
      <c r="Q44">
        <v>1392464594369036.5</v>
      </c>
      <c r="R44">
        <v>1385040866061404.3</v>
      </c>
      <c r="S44">
        <v>1377617137753772.5</v>
      </c>
      <c r="T44">
        <v>1370193409446140.5</v>
      </c>
      <c r="U44">
        <v>1362769681138508.5</v>
      </c>
      <c r="V44">
        <v>1355345952830876.5</v>
      </c>
      <c r="W44">
        <v>1355652631065806</v>
      </c>
      <c r="X44">
        <v>1350688577567171.5</v>
      </c>
      <c r="Y44">
        <v>1345724524068536.8</v>
      </c>
      <c r="Z44">
        <v>1340760470569902.5</v>
      </c>
      <c r="AA44">
        <v>1335796417071268</v>
      </c>
      <c r="AB44">
        <v>1330832363572631.5</v>
      </c>
      <c r="AC44">
        <v>1325868310073997</v>
      </c>
      <c r="AD44">
        <v>1320904256575362.5</v>
      </c>
      <c r="AE44">
        <v>1315940203076728.5</v>
      </c>
      <c r="AF44">
        <v>1310976149578093.5</v>
      </c>
    </row>
    <row r="45" spans="1:32">
      <c r="A45" t="s">
        <v>16</v>
      </c>
      <c r="B45">
        <v>110124251473472.73</v>
      </c>
      <c r="C45">
        <v>110371412089739.89</v>
      </c>
      <c r="D45">
        <v>110618572706007.06</v>
      </c>
      <c r="E45">
        <v>110865733322274.25</v>
      </c>
      <c r="F45">
        <v>111112893938541.39</v>
      </c>
      <c r="G45">
        <v>111360054554808.58</v>
      </c>
      <c r="H45">
        <v>110942440699108.77</v>
      </c>
      <c r="I45">
        <v>110524826843408.95</v>
      </c>
      <c r="J45">
        <v>110107212987709.16</v>
      </c>
      <c r="K45">
        <v>109689599132009.36</v>
      </c>
      <c r="L45">
        <v>109271985276309.56</v>
      </c>
      <c r="M45">
        <v>108744800258175.97</v>
      </c>
      <c r="N45">
        <v>108217615240042.36</v>
      </c>
      <c r="O45">
        <v>107690430221908.77</v>
      </c>
      <c r="P45">
        <v>107163245203775.14</v>
      </c>
      <c r="Q45">
        <v>106636060185641.53</v>
      </c>
      <c r="R45">
        <v>106204909730363.13</v>
      </c>
      <c r="S45">
        <v>105773759275084.69</v>
      </c>
      <c r="T45">
        <v>105342608819806.28</v>
      </c>
      <c r="U45">
        <v>104911458364527.88</v>
      </c>
      <c r="V45">
        <v>104480307909249.44</v>
      </c>
      <c r="W45">
        <v>103921111370164.13</v>
      </c>
      <c r="X45">
        <v>103449218979128.83</v>
      </c>
      <c r="Y45">
        <v>102977326588093.81</v>
      </c>
      <c r="Z45">
        <v>102505434197058.52</v>
      </c>
      <c r="AA45">
        <v>102033541806023.47</v>
      </c>
      <c r="AB45">
        <v>101561649414988.23</v>
      </c>
      <c r="AC45">
        <v>101089757023953.19</v>
      </c>
      <c r="AD45">
        <v>100617864632917.92</v>
      </c>
      <c r="AE45">
        <v>100145972241882.64</v>
      </c>
      <c r="AF45">
        <v>99674079850847.594</v>
      </c>
    </row>
    <row r="46" spans="1:32">
      <c r="A46" t="s">
        <v>17</v>
      </c>
      <c r="B46">
        <v>63322685237811.195</v>
      </c>
      <c r="C46">
        <v>64100932759274.016</v>
      </c>
      <c r="D46">
        <v>64879180280736.852</v>
      </c>
      <c r="E46">
        <v>65657427802199.703</v>
      </c>
      <c r="F46">
        <v>66435675323662.523</v>
      </c>
      <c r="G46">
        <v>67213922845125.359</v>
      </c>
      <c r="H46">
        <v>67568086031529.156</v>
      </c>
      <c r="I46">
        <v>67922249217932.961</v>
      </c>
      <c r="J46">
        <v>68276412404336.758</v>
      </c>
      <c r="K46">
        <v>68630575590740.547</v>
      </c>
      <c r="L46">
        <v>68984738777144.344</v>
      </c>
      <c r="M46">
        <v>69194670448797.953</v>
      </c>
      <c r="N46">
        <v>69404602120451.563</v>
      </c>
      <c r="O46">
        <v>69614533792105.172</v>
      </c>
      <c r="P46">
        <v>69824465463758.781</v>
      </c>
      <c r="Q46">
        <v>70034397135412.391</v>
      </c>
      <c r="R46">
        <v>70259332915478.797</v>
      </c>
      <c r="S46">
        <v>70484268695545.219</v>
      </c>
      <c r="T46">
        <v>70709204475611.625</v>
      </c>
      <c r="U46">
        <v>70934140255678.047</v>
      </c>
      <c r="V46">
        <v>71159076035744.453</v>
      </c>
      <c r="W46">
        <v>71364006337927.156</v>
      </c>
      <c r="X46">
        <v>71582576738666.891</v>
      </c>
      <c r="Y46">
        <v>71801147139406.656</v>
      </c>
      <c r="Z46">
        <v>72019717540146.406</v>
      </c>
      <c r="AA46">
        <v>72238287940886.156</v>
      </c>
      <c r="AB46">
        <v>72456858341626</v>
      </c>
      <c r="AC46">
        <v>72675428742365.75</v>
      </c>
      <c r="AD46">
        <v>72893999143105.5</v>
      </c>
      <c r="AE46">
        <v>73112569543845.266</v>
      </c>
      <c r="AF46">
        <v>73331139944585.016</v>
      </c>
    </row>
    <row r="47" spans="1:32">
      <c r="A47" t="s">
        <v>18</v>
      </c>
      <c r="B47">
        <v>252597687257498.59</v>
      </c>
      <c r="C47">
        <v>257954829538738.31</v>
      </c>
      <c r="D47">
        <v>263311971819978.22</v>
      </c>
      <c r="E47">
        <v>268669114101220.25</v>
      </c>
      <c r="F47">
        <v>274026256382460.16</v>
      </c>
      <c r="G47">
        <v>279383398663699</v>
      </c>
      <c r="H47">
        <v>284557632048270.56</v>
      </c>
      <c r="I47">
        <v>289731865432843.31</v>
      </c>
      <c r="J47">
        <v>294906098817416.13</v>
      </c>
      <c r="K47">
        <v>300080332201989</v>
      </c>
      <c r="L47">
        <v>305254565586563</v>
      </c>
      <c r="M47">
        <v>309647040865429.63</v>
      </c>
      <c r="N47">
        <v>314039516144296.31</v>
      </c>
      <c r="O47">
        <v>318431991423163.06</v>
      </c>
      <c r="P47">
        <v>322824466702029.88</v>
      </c>
      <c r="Q47">
        <v>327216941980896.81</v>
      </c>
      <c r="R47">
        <v>331755762322793.81</v>
      </c>
      <c r="S47">
        <v>336294582664690.81</v>
      </c>
      <c r="T47">
        <v>340833403006587.94</v>
      </c>
      <c r="U47">
        <v>345372223348485.25</v>
      </c>
      <c r="V47">
        <v>349911043690382.44</v>
      </c>
      <c r="W47">
        <v>354254737281573.06</v>
      </c>
      <c r="X47">
        <v>358731471839154.63</v>
      </c>
      <c r="Y47">
        <v>363208206396737.31</v>
      </c>
      <c r="Z47">
        <v>367684940954319</v>
      </c>
      <c r="AA47">
        <v>372161675511901.06</v>
      </c>
      <c r="AB47">
        <v>376638410069483</v>
      </c>
      <c r="AC47">
        <v>381115144627064.88</v>
      </c>
      <c r="AD47">
        <v>385591879184646.94</v>
      </c>
      <c r="AE47">
        <v>390068613742229.13</v>
      </c>
      <c r="AF47">
        <v>394545348299811.25</v>
      </c>
    </row>
    <row r="48" spans="1:32">
      <c r="A48" t="s">
        <v>19</v>
      </c>
      <c r="B48">
        <v>42883211106618.438</v>
      </c>
      <c r="C48">
        <v>43805004918914.828</v>
      </c>
      <c r="D48">
        <v>44726798731211.258</v>
      </c>
      <c r="E48">
        <v>45648592543508.063</v>
      </c>
      <c r="F48">
        <v>46570386355804.484</v>
      </c>
      <c r="G48">
        <v>47492180168100.742</v>
      </c>
      <c r="H48">
        <v>48369346173499.57</v>
      </c>
      <c r="I48">
        <v>49246512178898.625</v>
      </c>
      <c r="J48">
        <v>50123678184297.68</v>
      </c>
      <c r="K48">
        <v>51000844189696.758</v>
      </c>
      <c r="L48">
        <v>51878010195096.039</v>
      </c>
      <c r="M48">
        <v>52621021286075.219</v>
      </c>
      <c r="N48">
        <v>53364032377054.398</v>
      </c>
      <c r="O48">
        <v>54107043468033.602</v>
      </c>
      <c r="P48">
        <v>54850054559012.82</v>
      </c>
      <c r="Q48">
        <v>55593065649992.055</v>
      </c>
      <c r="R48">
        <v>56360461047238.258</v>
      </c>
      <c r="S48">
        <v>57127856444484.484</v>
      </c>
      <c r="T48">
        <v>57895251841730.719</v>
      </c>
      <c r="U48">
        <v>58662647238976.984</v>
      </c>
      <c r="V48">
        <v>59430042636223.25</v>
      </c>
      <c r="W48">
        <v>60164925625113.57</v>
      </c>
      <c r="X48">
        <v>60921976165155.688</v>
      </c>
      <c r="Y48">
        <v>61679026705198.008</v>
      </c>
      <c r="Z48">
        <v>62436077245240.156</v>
      </c>
      <c r="AA48">
        <v>63193127785282.352</v>
      </c>
      <c r="AB48">
        <v>63950178325324.531</v>
      </c>
      <c r="AC48">
        <v>64707228865366.734</v>
      </c>
      <c r="AD48">
        <v>65464279405408.953</v>
      </c>
      <c r="AE48">
        <v>66221329945451.18</v>
      </c>
      <c r="AF48">
        <v>66978380485493.43</v>
      </c>
    </row>
    <row r="49" spans="1:32">
      <c r="A49" t="s">
        <v>20</v>
      </c>
      <c r="B49">
        <v>62334932867782.281</v>
      </c>
      <c r="C49">
        <v>63727617755167.266</v>
      </c>
      <c r="D49">
        <v>65120302642552.258</v>
      </c>
      <c r="E49">
        <v>66512987529937.852</v>
      </c>
      <c r="F49">
        <v>67905672417322.828</v>
      </c>
      <c r="G49">
        <v>69298357304707.508</v>
      </c>
      <c r="H49">
        <v>70568016950543.422</v>
      </c>
      <c r="I49">
        <v>71837676596379.641</v>
      </c>
      <c r="J49">
        <v>73107336242215.859</v>
      </c>
      <c r="K49">
        <v>74376995888052.094</v>
      </c>
      <c r="L49">
        <v>75646655533888.609</v>
      </c>
      <c r="M49">
        <v>76715153182540.031</v>
      </c>
      <c r="N49">
        <v>77783650831191.453</v>
      </c>
      <c r="O49">
        <v>78852148479842.875</v>
      </c>
      <c r="P49">
        <v>79920646128494.297</v>
      </c>
      <c r="Q49">
        <v>80989143777145.703</v>
      </c>
      <c r="R49">
        <v>82091113633284.422</v>
      </c>
      <c r="S49">
        <v>83193083489423.156</v>
      </c>
      <c r="T49">
        <v>84295053345561.875</v>
      </c>
      <c r="U49">
        <v>85397023201700.594</v>
      </c>
      <c r="V49">
        <v>86498993057839.328</v>
      </c>
      <c r="W49">
        <v>87556333303994.969</v>
      </c>
      <c r="X49">
        <v>88644102829684.516</v>
      </c>
      <c r="Y49">
        <v>89731872355374.344</v>
      </c>
      <c r="Z49">
        <v>90819641881063.875</v>
      </c>
      <c r="AA49">
        <v>91907411406753.453</v>
      </c>
      <c r="AB49">
        <v>92995180932442.984</v>
      </c>
      <c r="AC49">
        <v>94082950458132.531</v>
      </c>
      <c r="AD49">
        <v>95170719983822.063</v>
      </c>
      <c r="AE49">
        <v>96258489509511.609</v>
      </c>
      <c r="AF49">
        <v>97346259035201.141</v>
      </c>
    </row>
    <row r="50" spans="1:32">
      <c r="A50" t="s">
        <v>21</v>
      </c>
      <c r="B50">
        <v>85207156978849.828</v>
      </c>
      <c r="C50">
        <v>86863519492186.828</v>
      </c>
      <c r="D50">
        <v>88519882005523.891</v>
      </c>
      <c r="E50">
        <v>90176244518861.516</v>
      </c>
      <c r="F50">
        <v>91832607032198.516</v>
      </c>
      <c r="G50">
        <v>93488969545535.203</v>
      </c>
      <c r="H50">
        <v>95249747480093.172</v>
      </c>
      <c r="I50">
        <v>97010525414651.438</v>
      </c>
      <c r="J50">
        <v>98771303349209.734</v>
      </c>
      <c r="K50">
        <v>100532081283768.02</v>
      </c>
      <c r="L50">
        <v>102292859218326.61</v>
      </c>
      <c r="M50">
        <v>103807512385915.64</v>
      </c>
      <c r="N50">
        <v>105322165553504.66</v>
      </c>
      <c r="O50">
        <v>106836818721093.7</v>
      </c>
      <c r="P50">
        <v>108351471888682.73</v>
      </c>
      <c r="Q50">
        <v>109866125056271.77</v>
      </c>
      <c r="R50">
        <v>111435778955173.58</v>
      </c>
      <c r="S50">
        <v>113005432854075.39</v>
      </c>
      <c r="T50">
        <v>114575086752977.22</v>
      </c>
      <c r="U50">
        <v>116144740651879.03</v>
      </c>
      <c r="V50">
        <v>117714394550780.84</v>
      </c>
      <c r="W50">
        <v>119210714141265.59</v>
      </c>
      <c r="X50">
        <v>120757034396580.14</v>
      </c>
      <c r="Y50">
        <v>122303354651894.97</v>
      </c>
      <c r="Z50">
        <v>123849674907209.52</v>
      </c>
      <c r="AA50">
        <v>125395995162524.23</v>
      </c>
      <c r="AB50">
        <v>126942315417838.77</v>
      </c>
      <c r="AC50">
        <v>128488635673153.33</v>
      </c>
      <c r="AD50">
        <v>130034955928467.89</v>
      </c>
      <c r="AE50">
        <v>131581276183782.42</v>
      </c>
      <c r="AF50">
        <v>133127596439097</v>
      </c>
    </row>
    <row r="51" spans="1:32">
      <c r="A51" t="s">
        <v>22</v>
      </c>
      <c r="B51">
        <v>18185419326788.773</v>
      </c>
      <c r="C51">
        <v>18573048550109.348</v>
      </c>
      <c r="D51">
        <v>18960677773429.934</v>
      </c>
      <c r="E51">
        <v>19348306996750.672</v>
      </c>
      <c r="F51">
        <v>19735936220071.246</v>
      </c>
      <c r="G51">
        <v>20123565443391.738</v>
      </c>
      <c r="H51">
        <v>20495878198135.004</v>
      </c>
      <c r="I51">
        <v>20868190952878.348</v>
      </c>
      <c r="J51">
        <v>21240503707621.691</v>
      </c>
      <c r="K51">
        <v>21612816462365.039</v>
      </c>
      <c r="L51">
        <v>21985129217108.465</v>
      </c>
      <c r="M51">
        <v>22300933030634.18</v>
      </c>
      <c r="N51">
        <v>22616736844159.902</v>
      </c>
      <c r="O51">
        <v>22932540657685.625</v>
      </c>
      <c r="P51">
        <v>23248344471211.344</v>
      </c>
      <c r="Q51">
        <v>23564148284737.063</v>
      </c>
      <c r="R51">
        <v>23890415134673.734</v>
      </c>
      <c r="S51">
        <v>24216681984610.406</v>
      </c>
      <c r="T51">
        <v>24542948834547.078</v>
      </c>
      <c r="U51">
        <v>24869215684483.75</v>
      </c>
      <c r="V51">
        <v>25195482534420.422</v>
      </c>
      <c r="W51">
        <v>25507798669142.484</v>
      </c>
      <c r="X51">
        <v>25829626655147.227</v>
      </c>
      <c r="Y51">
        <v>26151454641152.047</v>
      </c>
      <c r="Z51">
        <v>26473282627156.793</v>
      </c>
      <c r="AA51">
        <v>26795110613161.555</v>
      </c>
      <c r="AB51">
        <v>27116938599166.297</v>
      </c>
      <c r="AC51">
        <v>27438766585171.039</v>
      </c>
      <c r="AD51">
        <v>27760594571175.781</v>
      </c>
      <c r="AE51">
        <v>28082422557180.523</v>
      </c>
      <c r="AF51">
        <v>28404250543185.266</v>
      </c>
    </row>
    <row r="52" spans="1:32">
      <c r="A52" t="s">
        <v>23</v>
      </c>
      <c r="B52">
        <v>251574362097839.81</v>
      </c>
      <c r="C52">
        <v>258759287761359.34</v>
      </c>
      <c r="D52">
        <v>265944213424876.94</v>
      </c>
      <c r="E52">
        <v>273129139088394.97</v>
      </c>
      <c r="F52">
        <v>280314064751912.5</v>
      </c>
      <c r="G52">
        <v>287498990415431.63</v>
      </c>
      <c r="H52">
        <v>293032936730169.63</v>
      </c>
      <c r="I52">
        <v>298566883044907.56</v>
      </c>
      <c r="J52">
        <v>304100829359644.69</v>
      </c>
      <c r="K52">
        <v>309634775674382.5</v>
      </c>
      <c r="L52">
        <v>315168721989119.5</v>
      </c>
      <c r="M52">
        <v>319541610473505</v>
      </c>
      <c r="N52">
        <v>323914498957889.56</v>
      </c>
      <c r="O52">
        <v>328287387442274.81</v>
      </c>
      <c r="P52">
        <v>332660275926659.38</v>
      </c>
      <c r="Q52">
        <v>337033164411043.94</v>
      </c>
      <c r="R52">
        <v>340819790006982.94</v>
      </c>
      <c r="S52">
        <v>344606415602921.69</v>
      </c>
      <c r="T52">
        <v>348393041198859.88</v>
      </c>
      <c r="U52">
        <v>352179666794798.63</v>
      </c>
      <c r="V52">
        <v>355966292390736.31</v>
      </c>
      <c r="W52">
        <v>360534601837936.75</v>
      </c>
      <c r="X52">
        <v>364569945022913.06</v>
      </c>
      <c r="Y52">
        <v>368605288207890.25</v>
      </c>
      <c r="Z52">
        <v>372640631392865.88</v>
      </c>
      <c r="AA52">
        <v>376675974577842.31</v>
      </c>
      <c r="AB52">
        <v>380711317762818.81</v>
      </c>
      <c r="AC52">
        <v>384746660947795.13</v>
      </c>
      <c r="AD52">
        <v>388782004132771.63</v>
      </c>
      <c r="AE52">
        <v>392817347317747.94</v>
      </c>
      <c r="AF52">
        <v>396852690502724.31</v>
      </c>
    </row>
    <row r="53" spans="1:32">
      <c r="A53" t="s">
        <v>24</v>
      </c>
      <c r="B53">
        <v>8288799588953.833</v>
      </c>
      <c r="C53">
        <v>8347492176860.127</v>
      </c>
      <c r="D53">
        <v>8406184764766.4209</v>
      </c>
      <c r="E53">
        <v>8464877352672.7129</v>
      </c>
      <c r="F53">
        <v>8523569940579.0059</v>
      </c>
      <c r="G53">
        <v>8582262528485.2998</v>
      </c>
      <c r="H53">
        <v>8738286991336.1807</v>
      </c>
      <c r="I53">
        <v>8894311454187.0781</v>
      </c>
      <c r="J53">
        <v>9050335917037.9727</v>
      </c>
      <c r="K53">
        <v>9206360379888.8691</v>
      </c>
      <c r="L53">
        <v>9362384842739.7813</v>
      </c>
      <c r="M53">
        <v>9475734903133.7949</v>
      </c>
      <c r="N53">
        <v>9589084963527.8242</v>
      </c>
      <c r="O53">
        <v>9702435023921.8516</v>
      </c>
      <c r="P53">
        <v>9815785084315.8789</v>
      </c>
      <c r="Q53">
        <v>9929135144709.9219</v>
      </c>
      <c r="R53">
        <v>10117899066752.305</v>
      </c>
      <c r="S53">
        <v>10306662988794.672</v>
      </c>
      <c r="T53">
        <v>10495426910837.039</v>
      </c>
      <c r="U53">
        <v>10684190832879.406</v>
      </c>
      <c r="V53">
        <v>10872954754921.797</v>
      </c>
      <c r="W53">
        <v>10961166861433.002</v>
      </c>
      <c r="X53">
        <v>11117937023988.23</v>
      </c>
      <c r="Y53">
        <v>11274707186543.396</v>
      </c>
      <c r="Z53">
        <v>11431477349098.625</v>
      </c>
      <c r="AA53">
        <v>11588247511653.789</v>
      </c>
      <c r="AB53">
        <v>11745017674209.02</v>
      </c>
      <c r="AC53">
        <v>11901787836764.188</v>
      </c>
      <c r="AD53">
        <v>12058557999319.414</v>
      </c>
      <c r="AE53">
        <v>12215328161874.645</v>
      </c>
      <c r="AF53">
        <v>12372098324429.813</v>
      </c>
    </row>
    <row r="54" spans="1:32">
      <c r="A54" t="s">
        <v>25</v>
      </c>
      <c r="B54">
        <v>9941952530082.7344</v>
      </c>
      <c r="C54">
        <v>9951894482612.8145</v>
      </c>
      <c r="D54">
        <v>9961846377095.4258</v>
      </c>
      <c r="E54">
        <v>9971808223472.5195</v>
      </c>
      <c r="F54">
        <v>9981780031695.9922</v>
      </c>
      <c r="G54">
        <v>9991761811727.6875</v>
      </c>
      <c r="H54">
        <v>10001753573539.412</v>
      </c>
      <c r="I54">
        <v>10011755327112.953</v>
      </c>
      <c r="J54">
        <v>10021767082440.064</v>
      </c>
      <c r="K54">
        <v>10031788849522.504</v>
      </c>
      <c r="L54">
        <v>10041820638372.025</v>
      </c>
      <c r="M54">
        <v>10051862459010.395</v>
      </c>
      <c r="N54">
        <v>10061914321469.406</v>
      </c>
      <c r="O54">
        <v>10071976235790.873</v>
      </c>
      <c r="P54">
        <v>10082048212026.662</v>
      </c>
      <c r="Q54">
        <v>10092130260238.688</v>
      </c>
      <c r="R54">
        <v>10102222390498.924</v>
      </c>
      <c r="S54">
        <v>10112324612889.422</v>
      </c>
      <c r="T54">
        <v>10122436937502.311</v>
      </c>
      <c r="U54">
        <v>10132559374439.813</v>
      </c>
      <c r="V54">
        <v>10142691933814.252</v>
      </c>
      <c r="W54">
        <v>10091978474145.18</v>
      </c>
      <c r="X54">
        <v>10041518581774.453</v>
      </c>
      <c r="Y54">
        <v>9991310988865.582</v>
      </c>
      <c r="Z54">
        <v>9941354433921.2539</v>
      </c>
      <c r="AA54">
        <v>9891647661751.6484</v>
      </c>
      <c r="AB54">
        <v>9842189423442.8887</v>
      </c>
      <c r="AC54">
        <v>9792978476325.6758</v>
      </c>
      <c r="AD54">
        <v>9744013583944.0469</v>
      </c>
      <c r="AE54">
        <v>9695293516024.3281</v>
      </c>
      <c r="AF54">
        <v>9646817048444.2031</v>
      </c>
    </row>
    <row r="55" spans="1:32">
      <c r="A55" t="s">
        <v>26</v>
      </c>
      <c r="B55">
        <v>54601446348199.141</v>
      </c>
      <c r="C55">
        <v>55247737920839.273</v>
      </c>
      <c r="D55">
        <v>55894029493479.195</v>
      </c>
      <c r="E55">
        <v>56540321066119.313</v>
      </c>
      <c r="F55">
        <v>57186612638759.242</v>
      </c>
      <c r="G55">
        <v>57832904211399.344</v>
      </c>
      <c r="H55">
        <v>58498284492253.547</v>
      </c>
      <c r="I55">
        <v>59163664773107.578</v>
      </c>
      <c r="J55">
        <v>59829045053961.57</v>
      </c>
      <c r="K55">
        <v>60494425334815.617</v>
      </c>
      <c r="L55">
        <v>61159805615669.672</v>
      </c>
      <c r="M55">
        <v>61669362868355.469</v>
      </c>
      <c r="N55">
        <v>62178920121041.266</v>
      </c>
      <c r="O55">
        <v>62688477373727.125</v>
      </c>
      <c r="P55">
        <v>63198034626412.93</v>
      </c>
      <c r="Q55">
        <v>63707591879098.695</v>
      </c>
      <c r="R55">
        <v>64149831526884.523</v>
      </c>
      <c r="S55">
        <v>64592071174670.141</v>
      </c>
      <c r="T55">
        <v>65034310822455.773</v>
      </c>
      <c r="U55">
        <v>65476550470241.492</v>
      </c>
      <c r="V55">
        <v>65918790118027</v>
      </c>
      <c r="W55">
        <v>66450786572346.25</v>
      </c>
      <c r="X55">
        <v>66921585204028.953</v>
      </c>
      <c r="Y55">
        <v>67392383835711.742</v>
      </c>
      <c r="Z55">
        <v>67863182467394.375</v>
      </c>
      <c r="AA55">
        <v>68333981099077.078</v>
      </c>
      <c r="AB55">
        <v>68804779730759.789</v>
      </c>
      <c r="AC55">
        <v>69275578362442.516</v>
      </c>
      <c r="AD55">
        <v>69746376994125.219</v>
      </c>
      <c r="AE55">
        <v>70217175625807.914</v>
      </c>
      <c r="AF55">
        <v>70687974257490.641</v>
      </c>
    </row>
    <row r="57" spans="1:32">
      <c r="A57" s="404" t="s">
        <v>791</v>
      </c>
      <c r="B57" s="405"/>
      <c r="C57" s="405"/>
      <c r="D57" s="405"/>
      <c r="E57" s="405"/>
      <c r="F57" s="405"/>
      <c r="G57" s="405"/>
      <c r="H57" s="405"/>
      <c r="I57" s="405"/>
      <c r="J57" s="405"/>
      <c r="K57" s="405"/>
      <c r="L57" s="405"/>
    </row>
    <row r="58" spans="1:32">
      <c r="A58" t="s">
        <v>27</v>
      </c>
      <c r="B58">
        <v>2020</v>
      </c>
      <c r="C58">
        <v>2021</v>
      </c>
      <c r="D58">
        <v>2022</v>
      </c>
      <c r="E58">
        <v>2023</v>
      </c>
      <c r="F58">
        <v>2024</v>
      </c>
      <c r="G58">
        <v>2025</v>
      </c>
      <c r="H58">
        <v>2026</v>
      </c>
      <c r="I58">
        <v>2027</v>
      </c>
      <c r="J58">
        <v>2028</v>
      </c>
      <c r="K58">
        <v>2029</v>
      </c>
      <c r="L58">
        <v>2030</v>
      </c>
      <c r="M58">
        <v>2031</v>
      </c>
      <c r="N58">
        <v>2032</v>
      </c>
      <c r="O58">
        <v>2033</v>
      </c>
      <c r="P58">
        <v>2034</v>
      </c>
      <c r="Q58">
        <v>2035</v>
      </c>
      <c r="R58">
        <v>2036</v>
      </c>
      <c r="S58">
        <v>2037</v>
      </c>
      <c r="T58">
        <v>2038</v>
      </c>
      <c r="U58">
        <v>2039</v>
      </c>
      <c r="V58">
        <v>2040</v>
      </c>
      <c r="W58">
        <v>2041</v>
      </c>
      <c r="X58">
        <v>2042</v>
      </c>
      <c r="Y58">
        <v>2043</v>
      </c>
      <c r="Z58">
        <v>2044</v>
      </c>
      <c r="AA58">
        <v>2045</v>
      </c>
      <c r="AB58">
        <v>2046</v>
      </c>
      <c r="AC58">
        <v>2047</v>
      </c>
      <c r="AD58">
        <v>2048</v>
      </c>
      <c r="AE58">
        <v>2049</v>
      </c>
      <c r="AF58">
        <v>2050</v>
      </c>
    </row>
    <row r="59" spans="1:32">
      <c r="A59" t="s">
        <v>2</v>
      </c>
      <c r="B59" s="403">
        <f>(B3-B31)/B31</f>
        <v>0.23953368733967256</v>
      </c>
      <c r="C59" s="403">
        <f t="shared" ref="C59:AF67" si="0">(C3-C31)/C31</f>
        <v>0.18192118708425142</v>
      </c>
      <c r="D59" s="403">
        <f t="shared" si="0"/>
        <v>0.20009676542826191</v>
      </c>
      <c r="E59" s="403">
        <f t="shared" si="0"/>
        <v>0.21771660694722292</v>
      </c>
      <c r="F59" s="403">
        <f t="shared" si="0"/>
        <v>0.23480581617224514</v>
      </c>
      <c r="G59" s="21">
        <f t="shared" si="0"/>
        <v>0.25138800798863353</v>
      </c>
      <c r="H59" s="21">
        <f t="shared" si="0"/>
        <v>0.25043766770884129</v>
      </c>
      <c r="I59" s="21">
        <f t="shared" si="0"/>
        <v>0.24950938122460853</v>
      </c>
      <c r="J59" s="21">
        <f t="shared" si="0"/>
        <v>0.24860238966371193</v>
      </c>
      <c r="K59" s="21">
        <f t="shared" si="0"/>
        <v>0.24771596857621145</v>
      </c>
      <c r="L59" s="21">
        <f t="shared" si="0"/>
        <v>0.24684942600460386</v>
      </c>
      <c r="M59" s="21">
        <f t="shared" si="0"/>
        <v>0.24583404428538894</v>
      </c>
      <c r="N59" s="21">
        <f t="shared" si="0"/>
        <v>0.24483511930970661</v>
      </c>
      <c r="O59" s="21">
        <f t="shared" si="0"/>
        <v>0.24385225421100026</v>
      </c>
      <c r="P59" s="21">
        <f t="shared" si="0"/>
        <v>0.24288506478192695</v>
      </c>
      <c r="Q59" s="21">
        <f t="shared" si="0"/>
        <v>0.24193317897359498</v>
      </c>
      <c r="R59" s="21">
        <f t="shared" si="0"/>
        <v>0.24095739740986194</v>
      </c>
      <c r="S59" s="21">
        <f t="shared" si="0"/>
        <v>0.23999494402399277</v>
      </c>
      <c r="T59" s="21">
        <f t="shared" si="0"/>
        <v>0.23904554759438176</v>
      </c>
      <c r="U59" s="21">
        <f t="shared" si="0"/>
        <v>0.2381089442088023</v>
      </c>
      <c r="V59" s="21">
        <f t="shared" si="0"/>
        <v>0.23718487701982591</v>
      </c>
      <c r="W59" s="21">
        <f t="shared" si="0"/>
        <v>0.23632905899025283</v>
      </c>
      <c r="X59" s="21">
        <f t="shared" si="0"/>
        <v>0.2354480980358005</v>
      </c>
      <c r="Y59" s="21">
        <f t="shared" si="0"/>
        <v>0.23457937074163243</v>
      </c>
      <c r="Z59" s="21">
        <f t="shared" si="0"/>
        <v>0.23372262403674401</v>
      </c>
      <c r="AA59" s="21">
        <f t="shared" si="0"/>
        <v>0.2328776117825162</v>
      </c>
      <c r="AB59" s="21">
        <f t="shared" si="0"/>
        <v>0.23204409453695624</v>
      </c>
      <c r="AC59" s="21">
        <f t="shared" si="0"/>
        <v>0.23122183932849502</v>
      </c>
      <c r="AD59" s="21">
        <f t="shared" si="0"/>
        <v>0.23041061943888946</v>
      </c>
      <c r="AE59" s="21">
        <f t="shared" si="0"/>
        <v>0.22961021419481237</v>
      </c>
      <c r="AF59" s="21">
        <f t="shared" si="0"/>
        <v>0.22882040876771703</v>
      </c>
    </row>
    <row r="60" spans="1:32">
      <c r="A60" t="s">
        <v>3</v>
      </c>
      <c r="B60" s="403">
        <f t="shared" ref="B60:Q83" si="1">(B4-B32)/B32</f>
        <v>33.936767788271048</v>
      </c>
      <c r="C60" s="403">
        <f t="shared" si="1"/>
        <v>-9.5171725650208441E-2</v>
      </c>
      <c r="D60" s="403">
        <f t="shared" si="1"/>
        <v>-0.20192831093251087</v>
      </c>
      <c r="E60" s="403">
        <f t="shared" si="1"/>
        <v>-0.22609256359111302</v>
      </c>
      <c r="F60" s="403">
        <f t="shared" si="1"/>
        <v>-0.24971303131476133</v>
      </c>
      <c r="G60" s="21">
        <f t="shared" si="1"/>
        <v>-0.27280786561963738</v>
      </c>
      <c r="H60" s="21">
        <f t="shared" si="1"/>
        <v>-0.29033216901623315</v>
      </c>
      <c r="I60" s="21">
        <f t="shared" si="1"/>
        <v>-0.30772035715060114</v>
      </c>
      <c r="J60" s="21">
        <f t="shared" si="1"/>
        <v>-0.32497400974514695</v>
      </c>
      <c r="K60" s="21">
        <f t="shared" si="1"/>
        <v>-0.34209468217129102</v>
      </c>
      <c r="L60" s="21">
        <f t="shared" si="1"/>
        <v>-0.35908390591686096</v>
      </c>
      <c r="M60" s="21">
        <f t="shared" si="1"/>
        <v>-0.37122788152442632</v>
      </c>
      <c r="N60" s="21">
        <f t="shared" si="1"/>
        <v>-0.38346005327479199</v>
      </c>
      <c r="O60" s="21">
        <f t="shared" si="1"/>
        <v>-0.39578138546196245</v>
      </c>
      <c r="P60" s="21">
        <f t="shared" si="1"/>
        <v>-0.40819285648885961</v>
      </c>
      <c r="Q60" s="21">
        <f t="shared" si="1"/>
        <v>-0.42069545912632905</v>
      </c>
      <c r="R60" s="21">
        <f t="shared" si="0"/>
        <v>-0.42350154901763631</v>
      </c>
      <c r="S60" s="21">
        <f t="shared" si="0"/>
        <v>-0.42642814698183218</v>
      </c>
      <c r="T60" s="21">
        <f t="shared" si="0"/>
        <v>-0.42948318622927217</v>
      </c>
      <c r="U60" s="21">
        <f t="shared" si="0"/>
        <v>-0.43267531193215464</v>
      </c>
      <c r="V60" s="21">
        <f t="shared" si="0"/>
        <v>-0.43601396292591149</v>
      </c>
      <c r="W60" s="21">
        <f t="shared" si="0"/>
        <v>-0.4529008043978866</v>
      </c>
      <c r="X60" s="21">
        <f t="shared" si="0"/>
        <v>-0.46050513998164422</v>
      </c>
      <c r="Y60" s="21">
        <f t="shared" si="0"/>
        <v>-0.46834333206352269</v>
      </c>
      <c r="Z60" s="21">
        <f t="shared" si="0"/>
        <v>-0.47642633681149571</v>
      </c>
      <c r="AA60" s="21">
        <f t="shared" si="0"/>
        <v>-0.48476580564581728</v>
      </c>
      <c r="AB60" s="21">
        <f t="shared" si="0"/>
        <v>-0.49337414127677581</v>
      </c>
      <c r="AC60" s="21">
        <f t="shared" si="0"/>
        <v>-0.50226455925138724</v>
      </c>
      <c r="AD60" s="21">
        <f t="shared" si="0"/>
        <v>-0.51145115565115973</v>
      </c>
      <c r="AE60" s="21">
        <f t="shared" si="0"/>
        <v>-0.52094898167044956</v>
      </c>
      <c r="AF60" s="21">
        <f t="shared" si="0"/>
        <v>-0.53077412590524287</v>
      </c>
    </row>
    <row r="61" spans="1:32">
      <c r="A61" t="s">
        <v>4</v>
      </c>
      <c r="B61" s="403">
        <f t="shared" si="1"/>
        <v>4.1314066616152181E-2</v>
      </c>
      <c r="C61" s="403">
        <f t="shared" si="0"/>
        <v>8.5673911015757637E-2</v>
      </c>
      <c r="D61" s="403">
        <f t="shared" si="0"/>
        <v>0.13342923743614357</v>
      </c>
      <c r="E61" s="403">
        <f t="shared" si="0"/>
        <v>0.17701403272971292</v>
      </c>
      <c r="F61" s="403">
        <f t="shared" si="0"/>
        <v>0.22421151427555586</v>
      </c>
      <c r="G61" s="21">
        <f t="shared" si="0"/>
        <v>0.27549027896801598</v>
      </c>
      <c r="H61" s="21">
        <f t="shared" si="0"/>
        <v>0.27012967080953332</v>
      </c>
      <c r="I61" s="21">
        <f t="shared" si="0"/>
        <v>0.26480018928276378</v>
      </c>
      <c r="J61" s="21">
        <f t="shared" si="0"/>
        <v>0.25950156406508118</v>
      </c>
      <c r="K61" s="21">
        <f t="shared" si="0"/>
        <v>0.2542335279550143</v>
      </c>
      <c r="L61" s="21">
        <f t="shared" si="0"/>
        <v>0.24899581682734098</v>
      </c>
      <c r="M61" s="21">
        <f t="shared" si="0"/>
        <v>0.24319038060159118</v>
      </c>
      <c r="N61" s="21">
        <f t="shared" si="0"/>
        <v>0.2373788917861247</v>
      </c>
      <c r="O61" s="21">
        <f t="shared" si="0"/>
        <v>0.23156134091060804</v>
      </c>
      <c r="P61" s="21">
        <f t="shared" si="0"/>
        <v>0.22573771848493826</v>
      </c>
      <c r="Q61" s="21">
        <f t="shared" si="0"/>
        <v>0.21990801499919432</v>
      </c>
      <c r="R61" s="21">
        <f t="shared" si="0"/>
        <v>0.21612729806543962</v>
      </c>
      <c r="S61" s="21">
        <f t="shared" si="0"/>
        <v>0.21232978797820409</v>
      </c>
      <c r="T61" s="21">
        <f t="shared" si="0"/>
        <v>0.20851537260093622</v>
      </c>
      <c r="U61" s="21">
        <f t="shared" si="0"/>
        <v>0.20468393879646338</v>
      </c>
      <c r="V61" s="21">
        <f t="shared" si="0"/>
        <v>0.20083537241580779</v>
      </c>
      <c r="W61" s="21">
        <f t="shared" si="0"/>
        <v>0.19027890913978829</v>
      </c>
      <c r="X61" s="21">
        <f t="shared" si="0"/>
        <v>0.18155764515251377</v>
      </c>
      <c r="Y61" s="21">
        <f t="shared" si="0"/>
        <v>0.17280994235553473</v>
      </c>
      <c r="Z61" s="21">
        <f t="shared" si="0"/>
        <v>0.16403568034110796</v>
      </c>
      <c r="AA61" s="21">
        <f t="shared" si="0"/>
        <v>0.15523473796923248</v>
      </c>
      <c r="AB61" s="21">
        <f t="shared" si="0"/>
        <v>0.14640699336206958</v>
      </c>
      <c r="AC61" s="21">
        <f t="shared" si="0"/>
        <v>0.13755232389832031</v>
      </c>
      <c r="AD61" s="21">
        <f t="shared" si="0"/>
        <v>0.12867060620754645</v>
      </c>
      <c r="AE61" s="21">
        <f t="shared" si="0"/>
        <v>0.11976171616444165</v>
      </c>
      <c r="AF61" s="21">
        <f t="shared" si="0"/>
        <v>0.11082552888304865</v>
      </c>
    </row>
    <row r="62" spans="1:32">
      <c r="A62" t="s">
        <v>5</v>
      </c>
      <c r="B62" s="403">
        <f t="shared" si="1"/>
        <v>0.36885486323029787</v>
      </c>
      <c r="C62" s="403">
        <f t="shared" si="0"/>
        <v>0.39365010336016304</v>
      </c>
      <c r="D62" s="403">
        <f t="shared" si="0"/>
        <v>0.41772267657937034</v>
      </c>
      <c r="E62" s="403">
        <f t="shared" si="0"/>
        <v>0.44110372270880116</v>
      </c>
      <c r="F62" s="403">
        <f t="shared" si="0"/>
        <v>0.46382261781043094</v>
      </c>
      <c r="G62" s="21">
        <f t="shared" si="0"/>
        <v>0.48590709731785059</v>
      </c>
      <c r="H62" s="21">
        <f t="shared" si="0"/>
        <v>0.48570750397711404</v>
      </c>
      <c r="I62" s="21">
        <f t="shared" si="0"/>
        <v>0.48551123454940465</v>
      </c>
      <c r="J62" s="21">
        <f t="shared" si="0"/>
        <v>0.4853182066885835</v>
      </c>
      <c r="K62" s="21">
        <f t="shared" si="0"/>
        <v>0.48512834074627392</v>
      </c>
      <c r="L62" s="21">
        <f t="shared" si="0"/>
        <v>0.48494155966228514</v>
      </c>
      <c r="M62" s="21">
        <f t="shared" si="0"/>
        <v>0.48458199133570617</v>
      </c>
      <c r="N62" s="21">
        <f t="shared" si="0"/>
        <v>0.48422586675653234</v>
      </c>
      <c r="O62" s="21">
        <f t="shared" si="0"/>
        <v>0.48387313668707477</v>
      </c>
      <c r="P62" s="21">
        <f t="shared" si="0"/>
        <v>0.48352375282384108</v>
      </c>
      <c r="Q62" s="21">
        <f t="shared" si="0"/>
        <v>0.48317766777548271</v>
      </c>
      <c r="R62" s="21">
        <f t="shared" si="0"/>
        <v>0.48285873628055376</v>
      </c>
      <c r="S62" s="21">
        <f t="shared" si="0"/>
        <v>0.48254203767948284</v>
      </c>
      <c r="T62" s="21">
        <f t="shared" si="0"/>
        <v>0.48222754860476119</v>
      </c>
      <c r="U62" s="21">
        <f t="shared" si="0"/>
        <v>0.48191524601380831</v>
      </c>
      <c r="V62" s="21">
        <f t="shared" si="0"/>
        <v>0.48160510718333882</v>
      </c>
      <c r="W62" s="21">
        <f t="shared" si="0"/>
        <v>0.48126823718360029</v>
      </c>
      <c r="X62" s="21">
        <f t="shared" si="0"/>
        <v>0.48095394773026107</v>
      </c>
      <c r="Y62" s="21">
        <f t="shared" si="0"/>
        <v>0.48064211726203221</v>
      </c>
      <c r="Z62" s="21">
        <f t="shared" si="0"/>
        <v>0.48033271703290181</v>
      </c>
      <c r="AA62" s="21">
        <f t="shared" si="0"/>
        <v>0.48002571874317879</v>
      </c>
      <c r="AB62" s="21">
        <f t="shared" si="0"/>
        <v>0.47972109453086742</v>
      </c>
      <c r="AC62" s="21">
        <f t="shared" si="0"/>
        <v>0.47941881696323718</v>
      </c>
      <c r="AD62" s="21">
        <f t="shared" si="0"/>
        <v>0.47911885902858486</v>
      </c>
      <c r="AE62" s="21">
        <f t="shared" si="0"/>
        <v>0.47882119412819246</v>
      </c>
      <c r="AF62" s="21">
        <f t="shared" si="0"/>
        <v>0.47852579606846002</v>
      </c>
    </row>
    <row r="63" spans="1:32">
      <c r="A63" t="s">
        <v>6</v>
      </c>
      <c r="B63" s="403">
        <f t="shared" si="1"/>
        <v>0.28658646231328255</v>
      </c>
      <c r="C63" s="403">
        <f t="shared" si="0"/>
        <v>0.30439204720780083</v>
      </c>
      <c r="D63" s="403">
        <f t="shared" si="0"/>
        <v>0.32157406258665217</v>
      </c>
      <c r="E63" s="403">
        <f t="shared" si="0"/>
        <v>0.33816470177715208</v>
      </c>
      <c r="F63" s="403">
        <f t="shared" si="0"/>
        <v>0.35419397951751636</v>
      </c>
      <c r="G63" s="21">
        <f t="shared" si="0"/>
        <v>0.36968991317797834</v>
      </c>
      <c r="H63" s="21">
        <f t="shared" si="0"/>
        <v>0.36784892027985899</v>
      </c>
      <c r="I63" s="21">
        <f t="shared" si="0"/>
        <v>0.36605492484442853</v>
      </c>
      <c r="J63" s="21">
        <f t="shared" si="0"/>
        <v>0.36430614990353211</v>
      </c>
      <c r="K63" s="21">
        <f t="shared" si="0"/>
        <v>0.36260090695662334</v>
      </c>
      <c r="L63" s="21">
        <f t="shared" si="0"/>
        <v>0.36093759053291635</v>
      </c>
      <c r="M63" s="21">
        <f t="shared" si="0"/>
        <v>0.35873561183024749</v>
      </c>
      <c r="N63" s="21">
        <f t="shared" si="0"/>
        <v>0.35657788064401053</v>
      </c>
      <c r="O63" s="21">
        <f t="shared" si="0"/>
        <v>0.35446307654759956</v>
      </c>
      <c r="P63" s="21">
        <f t="shared" si="0"/>
        <v>0.35238993113552503</v>
      </c>
      <c r="Q63" s="21">
        <f t="shared" si="0"/>
        <v>0.35035722548654075</v>
      </c>
      <c r="R63" s="21">
        <f t="shared" si="0"/>
        <v>0.34792856612271028</v>
      </c>
      <c r="S63" s="21">
        <f t="shared" si="0"/>
        <v>0.3455468886408708</v>
      </c>
      <c r="T63" s="21">
        <f t="shared" si="0"/>
        <v>0.34321084281960712</v>
      </c>
      <c r="U63" s="21">
        <f t="shared" si="0"/>
        <v>0.34091912968559501</v>
      </c>
      <c r="V63" s="21">
        <f t="shared" si="0"/>
        <v>0.33867049910503405</v>
      </c>
      <c r="W63" s="21">
        <f t="shared" si="0"/>
        <v>0.33701545341331479</v>
      </c>
      <c r="X63" s="21">
        <f t="shared" si="0"/>
        <v>0.33501789360384338</v>
      </c>
      <c r="Y63" s="21">
        <f t="shared" si="0"/>
        <v>0.33305669192907805</v>
      </c>
      <c r="Z63" s="21">
        <f t="shared" si="0"/>
        <v>0.33113086469467118</v>
      </c>
      <c r="AA63" s="21">
        <f t="shared" si="0"/>
        <v>0.32923946337513876</v>
      </c>
      <c r="AB63" s="21">
        <f t="shared" si="0"/>
        <v>0.32738157305609766</v>
      </c>
      <c r="AC63" s="21">
        <f t="shared" si="0"/>
        <v>0.32555631095856502</v>
      </c>
      <c r="AD63" s="21">
        <f t="shared" si="0"/>
        <v>0.32376282504034687</v>
      </c>
      <c r="AE63" s="21">
        <f t="shared" si="0"/>
        <v>0.32200029266982466</v>
      </c>
      <c r="AF63" s="21">
        <f t="shared" si="0"/>
        <v>0.32026791936783094</v>
      </c>
    </row>
    <row r="64" spans="1:32">
      <c r="A64" t="s">
        <v>7</v>
      </c>
      <c r="B64" s="403">
        <f t="shared" si="1"/>
        <v>0.19722959324473685</v>
      </c>
      <c r="C64" s="403">
        <f t="shared" si="0"/>
        <v>0.2174900400885845</v>
      </c>
      <c r="D64" s="403">
        <f t="shared" si="0"/>
        <v>0.23669872965885355</v>
      </c>
      <c r="E64" s="403">
        <f t="shared" si="0"/>
        <v>0.25493548799527421</v>
      </c>
      <c r="F64" s="403">
        <f t="shared" si="0"/>
        <v>0.27227226230746365</v>
      </c>
      <c r="G64" s="21">
        <f t="shared" si="0"/>
        <v>0.28877406961780294</v>
      </c>
      <c r="H64" s="21">
        <f t="shared" si="0"/>
        <v>0.28617679484688929</v>
      </c>
      <c r="I64" s="21">
        <f t="shared" si="0"/>
        <v>0.28366590643314032</v>
      </c>
      <c r="J64" s="21">
        <f t="shared" si="0"/>
        <v>0.28123716501282608</v>
      </c>
      <c r="K64" s="21">
        <f t="shared" si="0"/>
        <v>0.27888660415025768</v>
      </c>
      <c r="L64" s="21">
        <f t="shared" si="0"/>
        <v>0.27661050872198711</v>
      </c>
      <c r="M64" s="21">
        <f t="shared" si="0"/>
        <v>0.27435277033909466</v>
      </c>
      <c r="N64" s="21">
        <f t="shared" si="0"/>
        <v>0.27214946661631434</v>
      </c>
      <c r="O64" s="21">
        <f t="shared" si="0"/>
        <v>0.2699986523525596</v>
      </c>
      <c r="P64" s="21">
        <f t="shared" si="0"/>
        <v>0.26789847393708865</v>
      </c>
      <c r="Q64" s="21">
        <f t="shared" si="0"/>
        <v>0.26584716402152031</v>
      </c>
      <c r="R64" s="21">
        <f t="shared" si="0"/>
        <v>0.26385854659417629</v>
      </c>
      <c r="S64" s="21">
        <f t="shared" si="0"/>
        <v>0.26191053021168953</v>
      </c>
      <c r="T64" s="21">
        <f t="shared" si="0"/>
        <v>0.26000188402873625</v>
      </c>
      <c r="U64" s="21">
        <f t="shared" si="0"/>
        <v>0.25813142645403397</v>
      </c>
      <c r="V64" s="21">
        <f t="shared" si="0"/>
        <v>0.25629802271103275</v>
      </c>
      <c r="W64" s="21">
        <f t="shared" si="0"/>
        <v>0.25449514844948451</v>
      </c>
      <c r="X64" s="21">
        <f t="shared" si="0"/>
        <v>0.25273446366720126</v>
      </c>
      <c r="Y64" s="21">
        <f t="shared" si="0"/>
        <v>0.25100923794997609</v>
      </c>
      <c r="Z64" s="21">
        <f t="shared" si="0"/>
        <v>0.24931841079243389</v>
      </c>
      <c r="AA64" s="21">
        <f t="shared" si="0"/>
        <v>0.24766096356171022</v>
      </c>
      <c r="AB64" s="21">
        <f t="shared" si="0"/>
        <v>0.24603591745106304</v>
      </c>
      <c r="AC64" s="21">
        <f t="shared" si="0"/>
        <v>0.24444233155232667</v>
      </c>
      <c r="AD64" s="21">
        <f t="shared" si="0"/>
        <v>0.2428793010392449</v>
      </c>
      <c r="AE64" s="21">
        <f t="shared" si="0"/>
        <v>0.2413459554543127</v>
      </c>
      <c r="AF64" s="21">
        <f t="shared" si="0"/>
        <v>0.23984145709230353</v>
      </c>
    </row>
    <row r="65" spans="1:32">
      <c r="A65" t="s">
        <v>8</v>
      </c>
      <c r="B65" s="403">
        <f t="shared" si="1"/>
        <v>0.13551305208176259</v>
      </c>
      <c r="C65" s="403">
        <f t="shared" si="0"/>
        <v>0.15075619725708977</v>
      </c>
      <c r="D65" s="403">
        <f t="shared" si="0"/>
        <v>0.16523837675668282</v>
      </c>
      <c r="E65" s="403">
        <f t="shared" si="0"/>
        <v>0.17901518606314809</v>
      </c>
      <c r="F65" s="403">
        <f t="shared" si="0"/>
        <v>0.19213693373570717</v>
      </c>
      <c r="G65" s="21">
        <f t="shared" si="0"/>
        <v>0.20464925527454947</v>
      </c>
      <c r="H65" s="21">
        <f t="shared" si="0"/>
        <v>0.2020629374032468</v>
      </c>
      <c r="I65" s="21">
        <f t="shared" si="0"/>
        <v>0.19958065751339826</v>
      </c>
      <c r="J65" s="21">
        <f t="shared" si="0"/>
        <v>0.19719626178415969</v>
      </c>
      <c r="K65" s="21">
        <f t="shared" si="0"/>
        <v>0.19490407233997417</v>
      </c>
      <c r="L65" s="21">
        <f t="shared" si="0"/>
        <v>0.1926988421105196</v>
      </c>
      <c r="M65" s="21">
        <f t="shared" si="0"/>
        <v>0.19038482898203626</v>
      </c>
      <c r="N65" s="21">
        <f t="shared" si="0"/>
        <v>0.18814384542699747</v>
      </c>
      <c r="O65" s="21">
        <f t="shared" si="0"/>
        <v>0.18597248796406254</v>
      </c>
      <c r="P65" s="21">
        <f t="shared" si="0"/>
        <v>0.18386756136521981</v>
      </c>
      <c r="Q65" s="21">
        <f t="shared" si="0"/>
        <v>0.18182606296742568</v>
      </c>
      <c r="R65" s="21">
        <f t="shared" si="0"/>
        <v>0.17962533130816544</v>
      </c>
      <c r="S65" s="21">
        <f t="shared" si="0"/>
        <v>0.17748931966060613</v>
      </c>
      <c r="T65" s="21">
        <f t="shared" si="0"/>
        <v>0.17541521442781063</v>
      </c>
      <c r="U65" s="21">
        <f t="shared" si="0"/>
        <v>0.1734003627719749</v>
      </c>
      <c r="V65" s="21">
        <f t="shared" si="0"/>
        <v>0.17144226129460685</v>
      </c>
      <c r="W65" s="21">
        <f t="shared" si="0"/>
        <v>0.16981028912390522</v>
      </c>
      <c r="X65" s="21">
        <f t="shared" si="0"/>
        <v>0.16804004810079831</v>
      </c>
      <c r="Y65" s="21">
        <f t="shared" si="0"/>
        <v>0.16631754277072638</v>
      </c>
      <c r="Z65" s="21">
        <f t="shared" si="0"/>
        <v>0.16464086798476535</v>
      </c>
      <c r="AA65" s="21">
        <f t="shared" si="0"/>
        <v>0.16300821864323964</v>
      </c>
      <c r="AB65" s="21">
        <f t="shared" si="0"/>
        <v>0.16141788321320286</v>
      </c>
      <c r="AC65" s="21">
        <f t="shared" si="0"/>
        <v>0.15986823774349371</v>
      </c>
      <c r="AD65" s="21">
        <f t="shared" si="0"/>
        <v>0.15835774033337671</v>
      </c>
      <c r="AE65" s="21">
        <f t="shared" si="0"/>
        <v>0.15688492601516918</v>
      </c>
      <c r="AF65" s="21">
        <f t="shared" si="0"/>
        <v>0.15544840201514043</v>
      </c>
    </row>
    <row r="66" spans="1:32">
      <c r="A66" t="s">
        <v>9</v>
      </c>
      <c r="B66" s="403">
        <f t="shared" si="1"/>
        <v>8.1411646098387747E-2</v>
      </c>
      <c r="C66" s="403">
        <f t="shared" si="0"/>
        <v>9.5373704511279245E-2</v>
      </c>
      <c r="D66" s="403">
        <f t="shared" si="0"/>
        <v>0.10861813531117685</v>
      </c>
      <c r="E66" s="403">
        <f t="shared" si="0"/>
        <v>0.12119887963201247</v>
      </c>
      <c r="F66" s="403">
        <f t="shared" si="0"/>
        <v>0.13316460470102673</v>
      </c>
      <c r="G66" s="21">
        <f t="shared" si="0"/>
        <v>0.1445593330074238</v>
      </c>
      <c r="H66" s="21">
        <f t="shared" si="0"/>
        <v>0.14254126423895197</v>
      </c>
      <c r="I66" s="21">
        <f t="shared" si="0"/>
        <v>0.14060945201906094</v>
      </c>
      <c r="J66" s="21">
        <f t="shared" si="0"/>
        <v>0.13875848187837786</v>
      </c>
      <c r="K66" s="21">
        <f t="shared" si="0"/>
        <v>0.13698338322703393</v>
      </c>
      <c r="L66" s="21">
        <f t="shared" si="0"/>
        <v>0.13527958478151259</v>
      </c>
      <c r="M66" s="21">
        <f t="shared" si="0"/>
        <v>0.13349043320685119</v>
      </c>
      <c r="N66" s="21">
        <f t="shared" si="0"/>
        <v>0.13176194346982384</v>
      </c>
      <c r="O66" s="21">
        <f t="shared" si="0"/>
        <v>0.13009108185736021</v>
      </c>
      <c r="P66" s="21">
        <f t="shared" si="0"/>
        <v>0.12847501362847266</v>
      </c>
      <c r="Q66" s="21">
        <f t="shared" si="0"/>
        <v>0.12691108696493253</v>
      </c>
      <c r="R66" s="21">
        <f t="shared" si="0"/>
        <v>0.12522638729904781</v>
      </c>
      <c r="S66" s="21">
        <f t="shared" si="0"/>
        <v>0.12359504750379073</v>
      </c>
      <c r="T66" s="21">
        <f t="shared" si="0"/>
        <v>0.12201457198222504</v>
      </c>
      <c r="U66" s="21">
        <f t="shared" si="0"/>
        <v>0.12048261837120793</v>
      </c>
      <c r="V66" s="21">
        <f t="shared" si="0"/>
        <v>0.1189969859581906</v>
      </c>
      <c r="W66" s="21">
        <f t="shared" si="0"/>
        <v>0.11776386387659084</v>
      </c>
      <c r="X66" s="21">
        <f t="shared" si="0"/>
        <v>0.11642655312627509</v>
      </c>
      <c r="Y66" s="21">
        <f t="shared" si="0"/>
        <v>0.1151277171855641</v>
      </c>
      <c r="Z66" s="21">
        <f t="shared" si="0"/>
        <v>0.11386571920400618</v>
      </c>
      <c r="AA66" s="21">
        <f t="shared" si="0"/>
        <v>0.1126390138824928</v>
      </c>
      <c r="AB66" s="21">
        <f t="shared" si="0"/>
        <v>0.11144614116078556</v>
      </c>
      <c r="AC66" s="21">
        <f t="shared" si="0"/>
        <v>0.11028572042022705</v>
      </c>
      <c r="AD66" s="21">
        <f t="shared" si="0"/>
        <v>0.1091564451532461</v>
      </c>
      <c r="AE66" s="21">
        <f t="shared" si="0"/>
        <v>0.10805707805639295</v>
      </c>
      <c r="AF66" s="21">
        <f t="shared" si="0"/>
        <v>0.10698644650814959</v>
      </c>
    </row>
    <row r="67" spans="1:32">
      <c r="A67" t="s">
        <v>10</v>
      </c>
      <c r="B67" s="403">
        <f t="shared" si="1"/>
        <v>4.1314066616152056E-2</v>
      </c>
      <c r="C67" s="403">
        <f t="shared" si="0"/>
        <v>8.567391101575729E-2</v>
      </c>
      <c r="D67" s="403">
        <f t="shared" si="0"/>
        <v>0.13342923743614318</v>
      </c>
      <c r="E67" s="403">
        <f t="shared" si="0"/>
        <v>0.17701403272971244</v>
      </c>
      <c r="F67" s="403">
        <f t="shared" si="0"/>
        <v>0.22421151427555522</v>
      </c>
      <c r="G67" s="21">
        <f t="shared" si="0"/>
        <v>0.27549027896801526</v>
      </c>
      <c r="H67" s="21">
        <f t="shared" si="0"/>
        <v>0.27012967080953254</v>
      </c>
      <c r="I67" s="21">
        <f t="shared" si="0"/>
        <v>0.26480018928276289</v>
      </c>
      <c r="J67" s="21">
        <f t="shared" si="0"/>
        <v>0.25950156406508029</v>
      </c>
      <c r="K67" s="21">
        <f t="shared" si="0"/>
        <v>0.25423352795501358</v>
      </c>
      <c r="L67" s="21">
        <f t="shared" si="0"/>
        <v>0.24899581682734037</v>
      </c>
      <c r="M67" s="21">
        <f t="shared" si="0"/>
        <v>0.24319038060159051</v>
      </c>
      <c r="N67" s="21">
        <f t="shared" si="0"/>
        <v>0.23737889178612426</v>
      </c>
      <c r="O67" s="21">
        <f t="shared" si="0"/>
        <v>0.23156134091060757</v>
      </c>
      <c r="P67" s="21">
        <f t="shared" si="0"/>
        <v>0.22573771848493784</v>
      </c>
      <c r="Q67" s="21">
        <f t="shared" si="0"/>
        <v>0.21990801499919382</v>
      </c>
      <c r="R67" s="21">
        <f t="shared" si="0"/>
        <v>0.21612729806543901</v>
      </c>
      <c r="S67" s="21">
        <f t="shared" si="0"/>
        <v>0.21232978797820351</v>
      </c>
      <c r="T67" s="21">
        <f t="shared" si="0"/>
        <v>0.20851537260093569</v>
      </c>
      <c r="U67" s="21">
        <f t="shared" si="0"/>
        <v>0.20468393879646296</v>
      </c>
      <c r="V67" s="21">
        <f t="shared" si="0"/>
        <v>0.2008353724158074</v>
      </c>
      <c r="W67" s="21">
        <f t="shared" si="0"/>
        <v>0.19027890913978784</v>
      </c>
      <c r="X67" s="21">
        <f t="shared" si="0"/>
        <v>0.18155764515251324</v>
      </c>
      <c r="Y67" s="21">
        <f t="shared" si="0"/>
        <v>0.17280994235553396</v>
      </c>
      <c r="Z67" s="21">
        <f t="shared" si="0"/>
        <v>0.16403568034110727</v>
      </c>
      <c r="AA67" s="21">
        <f t="shared" si="0"/>
        <v>0.15523473796923154</v>
      </c>
      <c r="AB67" s="21">
        <f t="shared" si="0"/>
        <v>0.14640699336206855</v>
      </c>
      <c r="AC67" s="21">
        <f t="shared" si="0"/>
        <v>0.13755232389831917</v>
      </c>
      <c r="AD67" s="21">
        <f t="shared" si="0"/>
        <v>0.12867060620754536</v>
      </c>
      <c r="AE67" s="21">
        <f t="shared" si="0"/>
        <v>0.11976171616444073</v>
      </c>
      <c r="AF67" s="21">
        <f t="shared" si="0"/>
        <v>0.11082552888304775</v>
      </c>
    </row>
    <row r="68" spans="1:32">
      <c r="A68" t="s">
        <v>11</v>
      </c>
      <c r="B68" s="403">
        <f t="shared" si="1"/>
        <v>-3.0707192271579E-2</v>
      </c>
      <c r="C68" s="403">
        <f t="shared" ref="C68:AF76" si="2">(C12-C40)/C40</f>
        <v>3.8125527683518103E-2</v>
      </c>
      <c r="D68" s="403">
        <f t="shared" si="2"/>
        <v>-3.1746377415035346E-2</v>
      </c>
      <c r="E68" s="403">
        <f t="shared" si="2"/>
        <v>-0.10800748018017206</v>
      </c>
      <c r="F68" s="403">
        <f t="shared" si="2"/>
        <v>-0.14649804019132029</v>
      </c>
      <c r="G68" s="21">
        <f t="shared" si="2"/>
        <v>-0.17261369171124533</v>
      </c>
      <c r="H68" s="21">
        <f t="shared" si="2"/>
        <v>-0.19128829523907687</v>
      </c>
      <c r="I68" s="21">
        <f t="shared" si="2"/>
        <v>-0.21089537892652441</v>
      </c>
      <c r="J68" s="21">
        <f t="shared" si="2"/>
        <v>-0.23099540520955614</v>
      </c>
      <c r="K68" s="21">
        <f t="shared" si="2"/>
        <v>-0.25676727027669133</v>
      </c>
      <c r="L68" s="21">
        <f t="shared" si="2"/>
        <v>-0.2676084805442327</v>
      </c>
      <c r="M68" s="21">
        <f t="shared" si="2"/>
        <v>-0.27571097748902007</v>
      </c>
      <c r="N68" s="21">
        <f t="shared" si="2"/>
        <v>-0.2837668801411049</v>
      </c>
      <c r="O68" s="21">
        <f t="shared" si="2"/>
        <v>-0.29177699194271156</v>
      </c>
      <c r="P68" s="21">
        <f t="shared" si="2"/>
        <v>-0.29974211184519378</v>
      </c>
      <c r="Q68" s="21">
        <f t="shared" si="2"/>
        <v>-0.31145981049051791</v>
      </c>
      <c r="R68" s="21">
        <f t="shared" si="2"/>
        <v>-0.31419725515893665</v>
      </c>
      <c r="S68" s="21">
        <f t="shared" si="2"/>
        <v>-0.31692262477959582</v>
      </c>
      <c r="T68" s="21">
        <f t="shared" si="2"/>
        <v>-0.3196359990724113</v>
      </c>
      <c r="U68" s="21">
        <f t="shared" si="2"/>
        <v>-0.32233745705708661</v>
      </c>
      <c r="V68" s="21">
        <f t="shared" si="2"/>
        <v>-0.32502707706078626</v>
      </c>
      <c r="W68" s="21">
        <f t="shared" si="2"/>
        <v>-0.32895374122493787</v>
      </c>
      <c r="X68" s="21">
        <f t="shared" si="2"/>
        <v>-0.3319019590349358</v>
      </c>
      <c r="Y68" s="21">
        <f t="shared" si="2"/>
        <v>-0.33483349842124688</v>
      </c>
      <c r="Z68" s="21">
        <f t="shared" si="2"/>
        <v>-0.33774850051246208</v>
      </c>
      <c r="AA68" s="21">
        <f t="shared" si="2"/>
        <v>-0.34064710484939076</v>
      </c>
      <c r="AB68" s="21">
        <f t="shared" si="2"/>
        <v>-0.34352944940732938</v>
      </c>
      <c r="AC68" s="21">
        <f t="shared" si="2"/>
        <v>-0.34639567061795257</v>
      </c>
      <c r="AD68" s="21">
        <f t="shared" si="2"/>
        <v>-0.34924590339084116</v>
      </c>
      <c r="AE68" s="21">
        <f t="shared" si="2"/>
        <v>-0.35208028113464929</v>
      </c>
      <c r="AF68" s="21">
        <f t="shared" si="2"/>
        <v>-0.35489893577791876</v>
      </c>
    </row>
    <row r="69" spans="1:32">
      <c r="A69" t="s">
        <v>12</v>
      </c>
      <c r="B69" s="403">
        <f t="shared" si="1"/>
        <v>1.3669857441866778E-2</v>
      </c>
      <c r="C69" s="403">
        <f t="shared" si="2"/>
        <v>7.0505583499159322E-2</v>
      </c>
      <c r="D69" s="403">
        <f t="shared" si="2"/>
        <v>2.1127100980308212E-3</v>
      </c>
      <c r="E69" s="403">
        <f t="shared" si="2"/>
        <v>-7.2310350832382048E-2</v>
      </c>
      <c r="F69" s="403">
        <f t="shared" si="2"/>
        <v>-0.11000295477517139</v>
      </c>
      <c r="G69" s="21">
        <f t="shared" si="2"/>
        <v>-0.13595568198552055</v>
      </c>
      <c r="H69" s="21">
        <f t="shared" si="2"/>
        <v>-0.15354874136753516</v>
      </c>
      <c r="I69" s="21">
        <f t="shared" si="2"/>
        <v>-0.17223993069637766</v>
      </c>
      <c r="J69" s="21">
        <f t="shared" si="2"/>
        <v>-0.19206554514191773</v>
      </c>
      <c r="K69" s="21">
        <f t="shared" si="2"/>
        <v>-0.21708741186544034</v>
      </c>
      <c r="L69" s="21">
        <f t="shared" si="2"/>
        <v>-0.25595376829876448</v>
      </c>
      <c r="M69" s="21">
        <f t="shared" si="2"/>
        <v>-0.26475209416036005</v>
      </c>
      <c r="N69" s="21">
        <f t="shared" si="2"/>
        <v>-0.27348530858837444</v>
      </c>
      <c r="O69" s="21">
        <f t="shared" si="2"/>
        <v>-0.28215457889116352</v>
      </c>
      <c r="P69" s="21">
        <f t="shared" si="2"/>
        <v>-0.29076105893713744</v>
      </c>
      <c r="Q69" s="21">
        <f t="shared" si="2"/>
        <v>-0.30294640548882601</v>
      </c>
      <c r="R69" s="21">
        <f t="shared" si="2"/>
        <v>-0.30605737292117308</v>
      </c>
      <c r="S69" s="21">
        <f t="shared" si="2"/>
        <v>-0.30915123596245359</v>
      </c>
      <c r="T69" s="21">
        <f t="shared" si="2"/>
        <v>-0.31222813528826682</v>
      </c>
      <c r="U69" s="21">
        <f t="shared" si="2"/>
        <v>-0.31528821003577362</v>
      </c>
      <c r="V69" s="21">
        <f t="shared" si="2"/>
        <v>-0.31833159782467257</v>
      </c>
      <c r="W69" s="21">
        <f t="shared" si="2"/>
        <v>-0.3228059488341456</v>
      </c>
      <c r="X69" s="21">
        <f t="shared" si="2"/>
        <v>-0.32617075830490277</v>
      </c>
      <c r="Y69" s="21">
        <f t="shared" si="2"/>
        <v>-0.3295124840399366</v>
      </c>
      <c r="Z69" s="21">
        <f t="shared" si="2"/>
        <v>-0.33283136277061898</v>
      </c>
      <c r="AA69" s="21">
        <f t="shared" si="2"/>
        <v>-0.33612762800233692</v>
      </c>
      <c r="AB69" s="21">
        <f t="shared" si="2"/>
        <v>-0.33940151006925934</v>
      </c>
      <c r="AC69" s="21">
        <f t="shared" si="2"/>
        <v>-0.34265323618798843</v>
      </c>
      <c r="AD69" s="21">
        <f t="shared" si="2"/>
        <v>-0.34588303051012714</v>
      </c>
      <c r="AE69" s="21">
        <f t="shared" si="2"/>
        <v>-0.34909111417378774</v>
      </c>
      <c r="AF69" s="21">
        <f t="shared" si="2"/>
        <v>-0.35227770535406283</v>
      </c>
    </row>
    <row r="70" spans="1:32">
      <c r="A70" t="s">
        <v>13</v>
      </c>
      <c r="B70" s="403">
        <f t="shared" si="1"/>
        <v>0.16562562986131257</v>
      </c>
      <c r="C70" s="403">
        <f t="shared" si="2"/>
        <v>0.18199899946978265</v>
      </c>
      <c r="D70" s="403">
        <f t="shared" si="2"/>
        <v>0.19793484656335375</v>
      </c>
      <c r="E70" s="403">
        <f t="shared" si="2"/>
        <v>0.21345047687139751</v>
      </c>
      <c r="F70" s="403">
        <f t="shared" si="2"/>
        <v>0.22856229532087163</v>
      </c>
      <c r="G70" s="21">
        <f t="shared" si="2"/>
        <v>0.24328586389437903</v>
      </c>
      <c r="H70" s="21">
        <f t="shared" si="2"/>
        <v>0.24263540268276351</v>
      </c>
      <c r="I70" s="21">
        <f t="shared" si="2"/>
        <v>0.24199863938895891</v>
      </c>
      <c r="J70" s="21">
        <f t="shared" si="2"/>
        <v>0.24137514582937492</v>
      </c>
      <c r="K70" s="21">
        <f t="shared" si="2"/>
        <v>0.24076451148252478</v>
      </c>
      <c r="L70" s="21">
        <f t="shared" si="2"/>
        <v>0.24016634258764308</v>
      </c>
      <c r="M70" s="21">
        <f t="shared" si="2"/>
        <v>0.23920501312556022</v>
      </c>
      <c r="N70" s="21">
        <f t="shared" si="2"/>
        <v>0.23825905597463454</v>
      </c>
      <c r="O70" s="21">
        <f t="shared" si="2"/>
        <v>0.23732810533898099</v>
      </c>
      <c r="P70" s="21">
        <f t="shared" si="2"/>
        <v>0.23641180693723815</v>
      </c>
      <c r="Q70" s="21">
        <f t="shared" si="2"/>
        <v>0.23550981755304065</v>
      </c>
      <c r="R70" s="21">
        <f t="shared" si="2"/>
        <v>0.23443822170159909</v>
      </c>
      <c r="S70" s="21">
        <f t="shared" si="2"/>
        <v>0.23338235169053101</v>
      </c>
      <c r="T70" s="21">
        <f t="shared" si="2"/>
        <v>0.23234186387254452</v>
      </c>
      <c r="U70" s="21">
        <f t="shared" si="2"/>
        <v>0.23131642454063059</v>
      </c>
      <c r="V70" s="21">
        <f t="shared" si="2"/>
        <v>0.23030570957123023</v>
      </c>
      <c r="W70" s="21">
        <f t="shared" si="2"/>
        <v>0.2295477960621064</v>
      </c>
      <c r="X70" s="21">
        <f t="shared" si="2"/>
        <v>0.22863976976669889</v>
      </c>
      <c r="Y70" s="21">
        <f t="shared" si="2"/>
        <v>0.22774475993421228</v>
      </c>
      <c r="Z70" s="21">
        <f t="shared" si="2"/>
        <v>0.22686248867195705</v>
      </c>
      <c r="AA70" s="21">
        <f t="shared" si="2"/>
        <v>0.22599268594177283</v>
      </c>
      <c r="AB70" s="21">
        <f t="shared" si="2"/>
        <v>0.22513508928447448</v>
      </c>
      <c r="AC70" s="21">
        <f t="shared" si="2"/>
        <v>0.22428944355580752</v>
      </c>
      <c r="AD70" s="21">
        <f t="shared" si="2"/>
        <v>0.22345550067337455</v>
      </c>
      <c r="AE70" s="21">
        <f t="shared" si="2"/>
        <v>0.22263301937399091</v>
      </c>
      <c r="AF70" s="21">
        <f t="shared" si="2"/>
        <v>0.22182176498097655</v>
      </c>
    </row>
    <row r="71" spans="1:32">
      <c r="A71" t="s">
        <v>14</v>
      </c>
      <c r="B71" s="403">
        <f t="shared" si="1"/>
        <v>-1.6749823273151259E-2</v>
      </c>
      <c r="C71" s="403">
        <f t="shared" si="2"/>
        <v>2.9267927575517389E-3</v>
      </c>
      <c r="D71" s="403">
        <f t="shared" si="2"/>
        <v>2.134405314218904E-2</v>
      </c>
      <c r="E71" s="403">
        <f t="shared" si="2"/>
        <v>3.8619111950426423E-2</v>
      </c>
      <c r="F71" s="403">
        <f t="shared" si="2"/>
        <v>5.4855028979995848E-2</v>
      </c>
      <c r="G71" s="21">
        <f t="shared" si="2"/>
        <v>7.0142827392474835E-2</v>
      </c>
      <c r="H71" s="21">
        <f t="shared" si="2"/>
        <v>6.913360679326741E-2</v>
      </c>
      <c r="I71" s="21">
        <f t="shared" si="2"/>
        <v>6.8168342721029923E-2</v>
      </c>
      <c r="J71" s="21">
        <f t="shared" si="2"/>
        <v>6.7244224598191127E-2</v>
      </c>
      <c r="K71" s="21">
        <f t="shared" si="2"/>
        <v>6.6358676457722698E-2</v>
      </c>
      <c r="L71" s="21">
        <f t="shared" si="2"/>
        <v>6.5509332963665942E-2</v>
      </c>
      <c r="M71" s="21">
        <f t="shared" si="2"/>
        <v>6.4699087912289621E-2</v>
      </c>
      <c r="N71" s="21">
        <f t="shared" si="2"/>
        <v>6.391497648481774E-2</v>
      </c>
      <c r="O71" s="21">
        <f t="shared" si="2"/>
        <v>6.3155754378217868E-2</v>
      </c>
      <c r="P71" s="21">
        <f t="shared" si="2"/>
        <v>6.2420255048848509E-2</v>
      </c>
      <c r="Q71" s="21">
        <f t="shared" si="2"/>
        <v>6.1707383731687521E-2</v>
      </c>
      <c r="R71" s="21">
        <f t="shared" si="2"/>
        <v>6.1033367240562096E-2</v>
      </c>
      <c r="S71" s="21">
        <f t="shared" si="2"/>
        <v>6.037762994371542E-2</v>
      </c>
      <c r="T71" s="21">
        <f t="shared" si="2"/>
        <v>5.9739438197074037E-2</v>
      </c>
      <c r="U71" s="21">
        <f t="shared" si="2"/>
        <v>5.911809709845775E-2</v>
      </c>
      <c r="V71" s="21">
        <f t="shared" si="2"/>
        <v>5.8512947963572717E-2</v>
      </c>
      <c r="W71" s="21">
        <f t="shared" si="2"/>
        <v>5.7907365376226524E-2</v>
      </c>
      <c r="X71" s="21">
        <f t="shared" si="2"/>
        <v>5.7329271797837124E-2</v>
      </c>
      <c r="Y71" s="21">
        <f t="shared" si="2"/>
        <v>5.676627124390627E-2</v>
      </c>
      <c r="Z71" s="21">
        <f t="shared" si="2"/>
        <v>5.6217780251850188E-2</v>
      </c>
      <c r="AA71" s="21">
        <f t="shared" si="2"/>
        <v>5.5683245050296183E-2</v>
      </c>
      <c r="AB71" s="21">
        <f t="shared" si="2"/>
        <v>5.5162139694156849E-2</v>
      </c>
      <c r="AC71" s="21">
        <f t="shared" si="2"/>
        <v>5.4653964338519025E-2</v>
      </c>
      <c r="AD71" s="21">
        <f t="shared" si="2"/>
        <v>5.4158243639446046E-2</v>
      </c>
      <c r="AE71" s="21">
        <f t="shared" si="2"/>
        <v>5.3674525270944774E-2</v>
      </c>
      <c r="AF71" s="21">
        <f t="shared" si="2"/>
        <v>5.3202378548358679E-2</v>
      </c>
    </row>
    <row r="72" spans="1:32">
      <c r="A72" t="s">
        <v>15</v>
      </c>
      <c r="B72" s="403">
        <f t="shared" si="1"/>
        <v>-0.21980471051126355</v>
      </c>
      <c r="C72" s="403">
        <f t="shared" si="2"/>
        <v>-0.20433221177475022</v>
      </c>
      <c r="D72" s="403">
        <f t="shared" si="2"/>
        <v>-0.27408479756186982</v>
      </c>
      <c r="E72" s="403">
        <f t="shared" si="2"/>
        <v>-0.28678194659247264</v>
      </c>
      <c r="F72" s="403">
        <f t="shared" si="2"/>
        <v>-0.29591372187596743</v>
      </c>
      <c r="G72" s="21">
        <f t="shared" si="2"/>
        <v>-0.30601920706866853</v>
      </c>
      <c r="H72" s="21">
        <f t="shared" si="2"/>
        <v>-0.31052285300413357</v>
      </c>
      <c r="I72" s="21">
        <f t="shared" si="2"/>
        <v>-0.38051794676692086</v>
      </c>
      <c r="J72" s="21">
        <f t="shared" si="2"/>
        <v>-0.41658336711507787</v>
      </c>
      <c r="K72" s="21">
        <f t="shared" si="2"/>
        <v>-0.42928311994816454</v>
      </c>
      <c r="L72" s="21">
        <f t="shared" si="2"/>
        <v>-0.40778753076829855</v>
      </c>
      <c r="M72" s="21">
        <f t="shared" si="2"/>
        <v>-0.45235387214628364</v>
      </c>
      <c r="N72" s="21">
        <f t="shared" si="2"/>
        <v>-0.44434272260853197</v>
      </c>
      <c r="O72" s="21">
        <f t="shared" si="2"/>
        <v>-0.42508678425695484</v>
      </c>
      <c r="P72" s="21">
        <f t="shared" si="2"/>
        <v>-0.48423630567073184</v>
      </c>
      <c r="Q72" s="21">
        <f t="shared" si="2"/>
        <v>-0.42768053880784124</v>
      </c>
      <c r="R72" s="21">
        <f t="shared" si="2"/>
        <v>-0.42461294398867683</v>
      </c>
      <c r="S72" s="21">
        <f t="shared" si="2"/>
        <v>-0.42151228774791549</v>
      </c>
      <c r="T72" s="21">
        <f t="shared" si="2"/>
        <v>-0.45318223379538625</v>
      </c>
      <c r="U72" s="21">
        <f t="shared" si="2"/>
        <v>-0.59267370482339798</v>
      </c>
      <c r="V72" s="21">
        <f t="shared" si="2"/>
        <v>-0.55850444423952805</v>
      </c>
      <c r="W72" s="21">
        <f t="shared" si="2"/>
        <v>-0.59240881636738352</v>
      </c>
      <c r="X72" s="21">
        <f t="shared" si="2"/>
        <v>-0.64615960458087751</v>
      </c>
      <c r="Y72" s="21">
        <f t="shared" si="2"/>
        <v>-0.69287225290566989</v>
      </c>
      <c r="Z72" s="21">
        <f t="shared" si="2"/>
        <v>-0.69173513811077803</v>
      </c>
      <c r="AA72" s="21">
        <f t="shared" si="2"/>
        <v>-0.67762733040626588</v>
      </c>
      <c r="AB72" s="21">
        <f t="shared" si="2"/>
        <v>-0.67642486853190509</v>
      </c>
      <c r="AC72" s="21">
        <f t="shared" si="2"/>
        <v>-0.65562444843643419</v>
      </c>
      <c r="AD72" s="21">
        <f t="shared" si="2"/>
        <v>-0.65433026026717556</v>
      </c>
      <c r="AE72" s="21">
        <f t="shared" si="2"/>
        <v>-0.65302630809907503</v>
      </c>
      <c r="AF72" s="21">
        <f t="shared" si="2"/>
        <v>-0.65171248101704204</v>
      </c>
    </row>
    <row r="73" spans="1:32">
      <c r="A73" t="s">
        <v>16</v>
      </c>
      <c r="B73" s="403">
        <f t="shared" si="1"/>
        <v>4.0957696137050012E-2</v>
      </c>
      <c r="C73" s="403">
        <f t="shared" si="2"/>
        <v>5.3037353506357465E-2</v>
      </c>
      <c r="D73" s="403">
        <f t="shared" si="2"/>
        <v>0.10538138154998979</v>
      </c>
      <c r="E73" s="403">
        <f t="shared" si="2"/>
        <v>7.7035088171298213E-2</v>
      </c>
      <c r="F73" s="403">
        <f t="shared" si="2"/>
        <v>8.89538843075484E-2</v>
      </c>
      <c r="G73" s="21">
        <f t="shared" si="2"/>
        <v>0.10081977355523729</v>
      </c>
      <c r="H73" s="21">
        <f t="shared" si="2"/>
        <v>0.10196899260133359</v>
      </c>
      <c r="I73" s="21">
        <f t="shared" si="2"/>
        <v>0.10312689620836685</v>
      </c>
      <c r="J73" s="21">
        <f t="shared" si="2"/>
        <v>0.10429358319255995</v>
      </c>
      <c r="K73" s="21">
        <f t="shared" si="2"/>
        <v>0.10546915387500234</v>
      </c>
      <c r="L73" s="21">
        <f t="shared" si="2"/>
        <v>0.10665371011040362</v>
      </c>
      <c r="M73" s="21">
        <f t="shared" si="2"/>
        <v>0.10781324685009198</v>
      </c>
      <c r="N73" s="21">
        <f t="shared" si="2"/>
        <v>0.10898408101849946</v>
      </c>
      <c r="O73" s="21">
        <f t="shared" si="2"/>
        <v>0.11016637853106866</v>
      </c>
      <c r="P73" s="21">
        <f t="shared" si="2"/>
        <v>0.11136030856809939</v>
      </c>
      <c r="Q73" s="21">
        <f t="shared" si="2"/>
        <v>0.11256604365545064</v>
      </c>
      <c r="R73" s="21">
        <f t="shared" si="2"/>
        <v>0.11373569328613249</v>
      </c>
      <c r="S73" s="21">
        <f t="shared" si="2"/>
        <v>0.11491487826800637</v>
      </c>
      <c r="T73" s="21">
        <f t="shared" si="2"/>
        <v>0.11610371568107522</v>
      </c>
      <c r="U73" s="21">
        <f t="shared" si="2"/>
        <v>0.1173023245299798</v>
      </c>
      <c r="V73" s="21">
        <f t="shared" si="2"/>
        <v>0.11851082578370685</v>
      </c>
      <c r="W73" s="21">
        <f t="shared" si="2"/>
        <v>0.11980216529207946</v>
      </c>
      <c r="X73" s="21">
        <f t="shared" si="2"/>
        <v>0.12105643580322452</v>
      </c>
      <c r="Y73" s="21">
        <f t="shared" si="2"/>
        <v>0.12232220167417569</v>
      </c>
      <c r="Z73" s="21">
        <f t="shared" si="2"/>
        <v>0.12359962166450154</v>
      </c>
      <c r="AA73" s="21">
        <f t="shared" si="2"/>
        <v>0.1248888574707427</v>
      </c>
      <c r="AB73" s="21">
        <f t="shared" si="2"/>
        <v>0.12619007379464489</v>
      </c>
      <c r="AC73" s="21">
        <f t="shared" si="2"/>
        <v>0.12750343841329753</v>
      </c>
      <c r="AD73" s="21">
        <f t="shared" si="2"/>
        <v>0.12882912225125559</v>
      </c>
      <c r="AE73" s="21">
        <f t="shared" si="2"/>
        <v>0.13016729945468883</v>
      </c>
      <c r="AF73" s="21">
        <f t="shared" si="2"/>
        <v>0.13151814746764637</v>
      </c>
    </row>
    <row r="74" spans="1:32">
      <c r="A74" t="s">
        <v>17</v>
      </c>
      <c r="B74" s="403">
        <f t="shared" si="1"/>
        <v>0.26010636111183522</v>
      </c>
      <c r="C74" s="403">
        <f t="shared" si="2"/>
        <v>0.27405058328736492</v>
      </c>
      <c r="D74" s="403">
        <f t="shared" si="2"/>
        <v>0.36740493441083244</v>
      </c>
      <c r="E74" s="403">
        <f t="shared" si="2"/>
        <v>0.30094732966516063</v>
      </c>
      <c r="F74" s="403">
        <f t="shared" si="2"/>
        <v>0.31392308796525165</v>
      </c>
      <c r="G74" s="21">
        <f t="shared" si="2"/>
        <v>0.32659836233854139</v>
      </c>
      <c r="H74" s="21">
        <f t="shared" si="2"/>
        <v>0.32735751918395212</v>
      </c>
      <c r="I74" s="21">
        <f t="shared" si="2"/>
        <v>0.32810875917117677</v>
      </c>
      <c r="J74" s="21">
        <f t="shared" si="2"/>
        <v>0.32885220549912025</v>
      </c>
      <c r="K74" s="21">
        <f t="shared" si="2"/>
        <v>0.32958797882364887</v>
      </c>
      <c r="L74" s="21">
        <f t="shared" si="2"/>
        <v>0.3303161973228726</v>
      </c>
      <c r="M74" s="21">
        <f t="shared" si="2"/>
        <v>0.33128828070133892</v>
      </c>
      <c r="N74" s="21">
        <f t="shared" si="2"/>
        <v>0.33225448345856701</v>
      </c>
      <c r="O74" s="21">
        <f t="shared" si="2"/>
        <v>0.33321485879588925</v>
      </c>
      <c r="P74" s="21">
        <f t="shared" si="2"/>
        <v>0.33416945927482483</v>
      </c>
      <c r="Q74" s="21">
        <f t="shared" si="2"/>
        <v>0.33511833682667097</v>
      </c>
      <c r="R74" s="21">
        <f t="shared" si="2"/>
        <v>0.33615180262668071</v>
      </c>
      <c r="S74" s="21">
        <f t="shared" si="2"/>
        <v>0.33717867224742309</v>
      </c>
      <c r="T74" s="21">
        <f t="shared" si="2"/>
        <v>0.33819900863898178</v>
      </c>
      <c r="U74" s="21">
        <f t="shared" si="2"/>
        <v>0.33921287395296423</v>
      </c>
      <c r="V74" s="21">
        <f t="shared" si="2"/>
        <v>0.34022032955512999</v>
      </c>
      <c r="W74" s="21">
        <f t="shared" si="2"/>
        <v>0.34110439891852873</v>
      </c>
      <c r="X74" s="21">
        <f t="shared" si="2"/>
        <v>0.3420628145848853</v>
      </c>
      <c r="Y74" s="21">
        <f t="shared" si="2"/>
        <v>0.34301539521086699</v>
      </c>
      <c r="Z74" s="21">
        <f t="shared" si="2"/>
        <v>0.3439621939222206</v>
      </c>
      <c r="AA74" s="21">
        <f t="shared" si="2"/>
        <v>0.34490326320172737</v>
      </c>
      <c r="AB74" s="21">
        <f t="shared" si="2"/>
        <v>0.34583865489889765</v>
      </c>
      <c r="AC74" s="21">
        <f t="shared" si="2"/>
        <v>0.3467684202394945</v>
      </c>
      <c r="AD74" s="21">
        <f t="shared" si="2"/>
        <v>0.34769260983488687</v>
      </c>
      <c r="AE74" s="21">
        <f t="shared" si="2"/>
        <v>0.34861127369123046</v>
      </c>
      <c r="AF74" s="21">
        <f t="shared" si="2"/>
        <v>0.3495244612184904</v>
      </c>
    </row>
    <row r="75" spans="1:32">
      <c r="A75" t="s">
        <v>18</v>
      </c>
      <c r="B75" s="403">
        <f t="shared" si="1"/>
        <v>0.46660211977254595</v>
      </c>
      <c r="C75" s="403">
        <f t="shared" si="2"/>
        <v>0.49809405800845719</v>
      </c>
      <c r="D75" s="403">
        <f t="shared" si="2"/>
        <v>0.70030056430792675</v>
      </c>
      <c r="E75" s="403">
        <f t="shared" si="2"/>
        <v>0.5573103232814981</v>
      </c>
      <c r="F75" s="403">
        <f t="shared" si="2"/>
        <v>0.58518196196328875</v>
      </c>
      <c r="G75" s="21">
        <f t="shared" si="2"/>
        <v>0.61198473016284693</v>
      </c>
      <c r="H75" s="21">
        <f t="shared" si="2"/>
        <v>0.6117590539899993</v>
      </c>
      <c r="I75" s="21">
        <f t="shared" si="2"/>
        <v>0.61154143838160457</v>
      </c>
      <c r="J75" s="21">
        <f t="shared" si="2"/>
        <v>0.61133145906116992</v>
      </c>
      <c r="K75" s="21">
        <f t="shared" si="2"/>
        <v>0.61112872101510984</v>
      </c>
      <c r="L75" s="21">
        <f t="shared" si="2"/>
        <v>0.61093285601263048</v>
      </c>
      <c r="M75" s="21">
        <f t="shared" si="2"/>
        <v>0.6106310402470071</v>
      </c>
      <c r="N75" s="21">
        <f t="shared" si="2"/>
        <v>0.61033766748438878</v>
      </c>
      <c r="O75" s="21">
        <f t="shared" si="2"/>
        <v>0.61005238833448516</v>
      </c>
      <c r="P75" s="21">
        <f t="shared" si="2"/>
        <v>0.60977487242276662</v>
      </c>
      <c r="Q75" s="21">
        <f t="shared" si="2"/>
        <v>0.60950480711415111</v>
      </c>
      <c r="R75" s="21">
        <f t="shared" si="2"/>
        <v>0.60920333061620546</v>
      </c>
      <c r="S75" s="21">
        <f t="shared" si="2"/>
        <v>0.60890999191013673</v>
      </c>
      <c r="T75" s="21">
        <f t="shared" si="2"/>
        <v>0.60862446588718166</v>
      </c>
      <c r="U75" s="21">
        <f t="shared" si="2"/>
        <v>0.60834644452866293</v>
      </c>
      <c r="V75" s="21">
        <f t="shared" si="2"/>
        <v>0.60807563579758417</v>
      </c>
      <c r="W75" s="21">
        <f t="shared" si="2"/>
        <v>0.60785913006462267</v>
      </c>
      <c r="X75" s="21">
        <f t="shared" si="2"/>
        <v>0.60761603721543067</v>
      </c>
      <c r="Y75" s="21">
        <f t="shared" si="2"/>
        <v>0.6073789368638729</v>
      </c>
      <c r="Z75" s="21">
        <f t="shared" si="2"/>
        <v>0.60714761012564011</v>
      </c>
      <c r="AA75" s="21">
        <f t="shared" si="2"/>
        <v>0.60692184864826693</v>
      </c>
      <c r="AB75" s="21">
        <f t="shared" si="2"/>
        <v>0.60670145398522035</v>
      </c>
      <c r="AC75" s="21">
        <f t="shared" si="2"/>
        <v>0.60648623701410342</v>
      </c>
      <c r="AD75" s="21">
        <f t="shared" si="2"/>
        <v>0.60627601739538917</v>
      </c>
      <c r="AE75" s="21">
        <f t="shared" si="2"/>
        <v>0.60607062306842441</v>
      </c>
      <c r="AF75" s="21">
        <f t="shared" si="2"/>
        <v>0.60586988978174483</v>
      </c>
    </row>
    <row r="76" spans="1:32">
      <c r="A76" t="s">
        <v>19</v>
      </c>
      <c r="B76" s="403">
        <f t="shared" si="1"/>
        <v>0.4801055367043634</v>
      </c>
      <c r="C76" s="403">
        <f t="shared" si="2"/>
        <v>0.51194163380166668</v>
      </c>
      <c r="D76" s="403">
        <f t="shared" si="2"/>
        <v>0.71879274158442563</v>
      </c>
      <c r="E76" s="403">
        <f t="shared" si="2"/>
        <v>0.57175658083789516</v>
      </c>
      <c r="F76" s="403">
        <f t="shared" si="2"/>
        <v>0.59988812809550807</v>
      </c>
      <c r="G76" s="21">
        <f t="shared" si="2"/>
        <v>0.62692764352386088</v>
      </c>
      <c r="H76" s="21">
        <f t="shared" si="2"/>
        <v>0.62672752861650693</v>
      </c>
      <c r="I76" s="21">
        <f t="shared" si="2"/>
        <v>0.62653454249801943</v>
      </c>
      <c r="J76" s="21">
        <f t="shared" si="2"/>
        <v>0.62634831090628618</v>
      </c>
      <c r="K76" s="21">
        <f t="shared" si="2"/>
        <v>0.62616848532700142</v>
      </c>
      <c r="L76" s="21">
        <f t="shared" si="2"/>
        <v>0.6259947408169203</v>
      </c>
      <c r="M76" s="21">
        <f t="shared" si="2"/>
        <v>0.62572698207156696</v>
      </c>
      <c r="N76" s="21">
        <f t="shared" si="2"/>
        <v>0.62546667957375091</v>
      </c>
      <c r="O76" s="21">
        <f t="shared" si="2"/>
        <v>0.62521352615045467</v>
      </c>
      <c r="P76" s="21">
        <f t="shared" si="2"/>
        <v>0.62496723127279619</v>
      </c>
      <c r="Q76" s="21">
        <f t="shared" si="2"/>
        <v>0.62472751994377285</v>
      </c>
      <c r="R76" s="21">
        <f t="shared" ref="C76:AF83" si="3">(R20-R48)/R48</f>
        <v>0.62445989426567894</v>
      </c>
      <c r="S76" s="21">
        <f t="shared" si="3"/>
        <v>0.62419945859002257</v>
      </c>
      <c r="T76" s="21">
        <f t="shared" si="3"/>
        <v>0.62394592700865481</v>
      </c>
      <c r="U76" s="21">
        <f t="shared" si="3"/>
        <v>0.62369902857385429</v>
      </c>
      <c r="V76" s="21">
        <f t="shared" si="3"/>
        <v>0.62345850633244149</v>
      </c>
      <c r="W76" s="21">
        <f t="shared" si="3"/>
        <v>0.62326619338937395</v>
      </c>
      <c r="X76" s="21">
        <f t="shared" si="3"/>
        <v>0.62305024240578621</v>
      </c>
      <c r="Y76" s="21">
        <f t="shared" si="3"/>
        <v>0.62283959260211308</v>
      </c>
      <c r="Z76" s="21">
        <f t="shared" si="3"/>
        <v>0.62263405114459636</v>
      </c>
      <c r="AA76" s="21">
        <f t="shared" si="3"/>
        <v>0.62243343444003441</v>
      </c>
      <c r="AB76" s="21">
        <f t="shared" si="3"/>
        <v>0.62223756758882764</v>
      </c>
      <c r="AC76" s="21">
        <f t="shared" si="3"/>
        <v>0.62204628387641581</v>
      </c>
      <c r="AD76" s="21">
        <f t="shared" si="3"/>
        <v>0.62185942430000896</v>
      </c>
      <c r="AE76" s="21">
        <f t="shared" si="3"/>
        <v>0.62167683712777633</v>
      </c>
      <c r="AF76" s="21">
        <f t="shared" si="3"/>
        <v>0.6214983774879298</v>
      </c>
    </row>
    <row r="77" spans="1:32">
      <c r="A77" t="s">
        <v>20</v>
      </c>
      <c r="B77" s="403">
        <f t="shared" si="1"/>
        <v>0.51990007274872085</v>
      </c>
      <c r="C77" s="403">
        <f t="shared" si="3"/>
        <v>0.55270514871627041</v>
      </c>
      <c r="D77" s="403">
        <f t="shared" si="3"/>
        <v>0.77317085522977125</v>
      </c>
      <c r="E77" s="403">
        <f t="shared" si="3"/>
        <v>0.61419395816837297</v>
      </c>
      <c r="F77" s="403">
        <f t="shared" si="3"/>
        <v>0.64304674178343757</v>
      </c>
      <c r="G77" s="21">
        <f t="shared" si="3"/>
        <v>0.67073982011074884</v>
      </c>
      <c r="H77" s="21">
        <f t="shared" si="3"/>
        <v>0.67062320698777189</v>
      </c>
      <c r="I77" s="21">
        <f t="shared" si="3"/>
        <v>0.67051071590725031</v>
      </c>
      <c r="J77" s="21">
        <f t="shared" si="3"/>
        <v>0.67040213210588318</v>
      </c>
      <c r="K77" s="21">
        <f t="shared" si="3"/>
        <v>0.67029725548491859</v>
      </c>
      <c r="L77" s="21">
        <f t="shared" si="3"/>
        <v>0.67019589937950075</v>
      </c>
      <c r="M77" s="21">
        <f t="shared" si="3"/>
        <v>0.67003964871514377</v>
      </c>
      <c r="N77" s="21">
        <f t="shared" si="3"/>
        <v>0.66988769081580024</v>
      </c>
      <c r="O77" s="21">
        <f t="shared" si="3"/>
        <v>0.66973985117223755</v>
      </c>
      <c r="P77" s="21">
        <f t="shared" si="3"/>
        <v>0.66959596460761417</v>
      </c>
      <c r="Q77" s="21">
        <f t="shared" si="3"/>
        <v>0.66945587466186629</v>
      </c>
      <c r="R77" s="21">
        <f t="shared" si="3"/>
        <v>0.66929941351823652</v>
      </c>
      <c r="S77" s="21">
        <f t="shared" si="3"/>
        <v>0.66914709732167932</v>
      </c>
      <c r="T77" s="21">
        <f t="shared" si="3"/>
        <v>0.66899876351437382</v>
      </c>
      <c r="U77" s="21">
        <f t="shared" si="3"/>
        <v>0.66885425792913444</v>
      </c>
      <c r="V77" s="21">
        <f t="shared" si="3"/>
        <v>0.66871343425494001</v>
      </c>
      <c r="W77" s="21">
        <f t="shared" si="3"/>
        <v>0.6686008012071033</v>
      </c>
      <c r="X77" s="21">
        <f t="shared" si="3"/>
        <v>0.66847428631423889</v>
      </c>
      <c r="Y77" s="21">
        <f t="shared" si="3"/>
        <v>0.66835083876058043</v>
      </c>
      <c r="Z77" s="21">
        <f t="shared" si="3"/>
        <v>0.66823034833126371</v>
      </c>
      <c r="AA77" s="21">
        <f t="shared" si="3"/>
        <v>0.66811271002921613</v>
      </c>
      <c r="AB77" s="21">
        <f t="shared" si="3"/>
        <v>0.6679978237699894</v>
      </c>
      <c r="AC77" s="21">
        <f t="shared" si="3"/>
        <v>0.66788559409776505</v>
      </c>
      <c r="AD77" s="21">
        <f t="shared" si="3"/>
        <v>0.66777592992084012</v>
      </c>
      <c r="AE77" s="21">
        <f t="shared" si="3"/>
        <v>0.66766874426503675</v>
      </c>
      <c r="AF77" s="21">
        <f t="shared" si="3"/>
        <v>0.66756395404365776</v>
      </c>
    </row>
    <row r="78" spans="1:32">
      <c r="A78" t="s">
        <v>21</v>
      </c>
      <c r="B78" s="403">
        <f t="shared" si="1"/>
        <v>0.38344391076247597</v>
      </c>
      <c r="C78" s="403">
        <f t="shared" si="3"/>
        <v>0.41264440776082573</v>
      </c>
      <c r="D78" s="403">
        <f t="shared" si="3"/>
        <v>0.58596923209188456</v>
      </c>
      <c r="E78" s="403">
        <f t="shared" si="3"/>
        <v>0.46782726317631845</v>
      </c>
      <c r="F78" s="403">
        <f t="shared" si="3"/>
        <v>0.49392571116733963</v>
      </c>
      <c r="G78" s="21">
        <f t="shared" si="3"/>
        <v>0.519099376456859</v>
      </c>
      <c r="H78" s="21">
        <f t="shared" si="3"/>
        <v>0.5187480876598477</v>
      </c>
      <c r="I78" s="21">
        <f t="shared" si="3"/>
        <v>0.51840955091339691</v>
      </c>
      <c r="J78" s="21">
        <f t="shared" si="3"/>
        <v>0.51808308423209515</v>
      </c>
      <c r="K78" s="21">
        <f t="shared" si="3"/>
        <v>0.51776805340930709</v>
      </c>
      <c r="L78" s="21">
        <f t="shared" si="3"/>
        <v>0.51746386790506294</v>
      </c>
      <c r="M78" s="21">
        <f t="shared" si="3"/>
        <v>0.51699545496339994</v>
      </c>
      <c r="N78" s="21">
        <f t="shared" si="3"/>
        <v>0.51654051464912043</v>
      </c>
      <c r="O78" s="21">
        <f t="shared" si="3"/>
        <v>0.51609847394747055</v>
      </c>
      <c r="P78" s="21">
        <f t="shared" si="3"/>
        <v>0.51566879188456005</v>
      </c>
      <c r="Q78" s="21">
        <f t="shared" si="3"/>
        <v>0.51525095731872483</v>
      </c>
      <c r="R78" s="21">
        <f t="shared" si="3"/>
        <v>0.51478488724173033</v>
      </c>
      <c r="S78" s="21">
        <f t="shared" si="3"/>
        <v>0.51433176466106467</v>
      </c>
      <c r="T78" s="21">
        <f t="shared" si="3"/>
        <v>0.51389105744303309</v>
      </c>
      <c r="U78" s="21">
        <f t="shared" si="3"/>
        <v>0.51346226222031344</v>
      </c>
      <c r="V78" s="21">
        <f t="shared" si="3"/>
        <v>0.51304490247404033</v>
      </c>
      <c r="W78" s="21">
        <f t="shared" si="3"/>
        <v>0.51271145316848932</v>
      </c>
      <c r="X78" s="21">
        <f t="shared" si="3"/>
        <v>0.51233728954350133</v>
      </c>
      <c r="Y78" s="21">
        <f t="shared" si="3"/>
        <v>0.51197258725820938</v>
      </c>
      <c r="Z78" s="21">
        <f t="shared" si="3"/>
        <v>0.51161699192505616</v>
      </c>
      <c r="AA78" s="21">
        <f t="shared" si="3"/>
        <v>0.51127016663699998</v>
      </c>
      <c r="AB78" s="21">
        <f t="shared" si="3"/>
        <v>0.51093179090284169</v>
      </c>
      <c r="AC78" s="21">
        <f t="shared" si="3"/>
        <v>0.51060155965942189</v>
      </c>
      <c r="AD78" s="21">
        <f t="shared" si="3"/>
        <v>0.51027918235430658</v>
      </c>
      <c r="AE78" s="21">
        <f t="shared" si="3"/>
        <v>0.50996438209314798</v>
      </c>
      <c r="AF78" s="21">
        <f t="shared" si="3"/>
        <v>0.50965689484646903</v>
      </c>
    </row>
    <row r="79" spans="1:32">
      <c r="A79" t="s">
        <v>22</v>
      </c>
      <c r="B79" s="403">
        <f t="shared" si="1"/>
        <v>0.47164087606291105</v>
      </c>
      <c r="C79" s="403">
        <f t="shared" si="3"/>
        <v>0.50326214705740946</v>
      </c>
      <c r="D79" s="403">
        <f t="shared" si="3"/>
        <v>0.70720324372002141</v>
      </c>
      <c r="E79" s="403">
        <f t="shared" si="3"/>
        <v>0.56270363439554438</v>
      </c>
      <c r="F79" s="403">
        <f t="shared" si="3"/>
        <v>0.59067316211167609</v>
      </c>
      <c r="G79" s="21">
        <f t="shared" si="3"/>
        <v>0.61756516643010928</v>
      </c>
      <c r="H79" s="21">
        <f t="shared" si="3"/>
        <v>0.61734886247709719</v>
      </c>
      <c r="I79" s="21">
        <f t="shared" si="3"/>
        <v>0.61714027675139072</v>
      </c>
      <c r="J79" s="21">
        <f t="shared" si="3"/>
        <v>0.61693900338768892</v>
      </c>
      <c r="K79" s="21">
        <f t="shared" si="3"/>
        <v>0.61674466448721443</v>
      </c>
      <c r="L79" s="21">
        <f t="shared" si="3"/>
        <v>0.61655690774968097</v>
      </c>
      <c r="M79" s="21">
        <f t="shared" si="3"/>
        <v>0.61626757450075031</v>
      </c>
      <c r="N79" s="21">
        <f t="shared" si="3"/>
        <v>0.61598632133375375</v>
      </c>
      <c r="O79" s="21">
        <f t="shared" si="3"/>
        <v>0.61571281443648218</v>
      </c>
      <c r="P79" s="21">
        <f t="shared" si="3"/>
        <v>0.61544673813464812</v>
      </c>
      <c r="Q79" s="21">
        <f t="shared" si="3"/>
        <v>0.61518779367647702</v>
      </c>
      <c r="R79" s="21">
        <f t="shared" si="3"/>
        <v>0.61489871793346951</v>
      </c>
      <c r="S79" s="21">
        <f t="shared" si="3"/>
        <v>0.61461743151784631</v>
      </c>
      <c r="T79" s="21">
        <f t="shared" si="3"/>
        <v>0.61434362378242346</v>
      </c>
      <c r="U79" s="21">
        <f t="shared" si="3"/>
        <v>0.61407700038191915</v>
      </c>
      <c r="V79" s="21">
        <f t="shared" si="3"/>
        <v>0.61381728221745369</v>
      </c>
      <c r="W79" s="21">
        <f t="shared" si="3"/>
        <v>0.61360963484882325</v>
      </c>
      <c r="X79" s="21">
        <f t="shared" si="3"/>
        <v>0.61337647938559059</v>
      </c>
      <c r="Y79" s="21">
        <f t="shared" si="3"/>
        <v>0.61314906249057166</v>
      </c>
      <c r="Z79" s="21">
        <f t="shared" si="3"/>
        <v>0.61292717487745763</v>
      </c>
      <c r="AA79" s="21">
        <f t="shared" si="3"/>
        <v>0.61271061731464072</v>
      </c>
      <c r="AB79" s="21">
        <f t="shared" si="3"/>
        <v>0.61249920002855884</v>
      </c>
      <c r="AC79" s="21">
        <f t="shared" si="3"/>
        <v>0.6122927421490284</v>
      </c>
      <c r="AD79" s="21">
        <f t="shared" si="3"/>
        <v>0.61209107119316375</v>
      </c>
      <c r="AE79" s="21">
        <f t="shared" si="3"/>
        <v>0.61189402258477876</v>
      </c>
      <c r="AF79" s="21">
        <f t="shared" si="3"/>
        <v>0.61170143920646103</v>
      </c>
    </row>
    <row r="80" spans="1:32">
      <c r="A80" t="s">
        <v>23</v>
      </c>
      <c r="B80" s="403">
        <f t="shared" si="1"/>
        <v>-4.4450254892333639E-2</v>
      </c>
      <c r="C80" s="403">
        <f t="shared" si="3"/>
        <v>-2.5542282943287972E-2</v>
      </c>
      <c r="D80" s="403">
        <f t="shared" si="3"/>
        <v>-7.6559716737606186E-3</v>
      </c>
      <c r="E80" s="403">
        <f t="shared" si="3"/>
        <v>9.2893062274833748E-3</v>
      </c>
      <c r="F80" s="403">
        <f t="shared" si="3"/>
        <v>2.5365911611880419E-2</v>
      </c>
      <c r="G80" s="21">
        <f t="shared" si="3"/>
        <v>4.0638971812049361E-2</v>
      </c>
      <c r="H80" s="21">
        <f t="shared" si="3"/>
        <v>4.0192606788833005E-2</v>
      </c>
      <c r="I80" s="21">
        <f t="shared" si="3"/>
        <v>3.9762788544348247E-2</v>
      </c>
      <c r="J80" s="21">
        <f t="shared" si="3"/>
        <v>3.9348613736911391E-2</v>
      </c>
      <c r="K80" s="21">
        <f t="shared" si="3"/>
        <v>3.8949243604720067E-2</v>
      </c>
      <c r="L80" s="21">
        <f t="shared" si="3"/>
        <v>3.8563898296167916E-2</v>
      </c>
      <c r="M80" s="21">
        <f t="shared" si="3"/>
        <v>3.819172308908092E-2</v>
      </c>
      <c r="N80" s="21">
        <f t="shared" si="3"/>
        <v>3.7829596710821235E-2</v>
      </c>
      <c r="O80" s="21">
        <f t="shared" si="3"/>
        <v>3.7477117600960605E-2</v>
      </c>
      <c r="P80" s="21">
        <f t="shared" si="3"/>
        <v>3.7133905313453473E-2</v>
      </c>
      <c r="Q80" s="21">
        <f t="shared" si="3"/>
        <v>3.6799599146875417E-2</v>
      </c>
      <c r="R80" s="21">
        <f t="shared" si="3"/>
        <v>3.649492480365385E-2</v>
      </c>
      <c r="S80" s="21">
        <f t="shared" si="3"/>
        <v>3.6196946143473602E-2</v>
      </c>
      <c r="T80" s="21">
        <f t="shared" si="3"/>
        <v>3.5905444843563297E-2</v>
      </c>
      <c r="U80" s="21">
        <f t="shared" si="3"/>
        <v>3.5620211970752075E-2</v>
      </c>
      <c r="V80" s="21">
        <f t="shared" si="3"/>
        <v>3.5341047482054938E-2</v>
      </c>
      <c r="W80" s="21">
        <f t="shared" si="3"/>
        <v>3.5044253838108233E-2</v>
      </c>
      <c r="X80" s="21">
        <f t="shared" si="3"/>
        <v>3.4770279365606872E-2</v>
      </c>
      <c r="Y80" s="21">
        <f t="shared" si="3"/>
        <v>3.4502303618874006E-2</v>
      </c>
      <c r="Z80" s="21">
        <f t="shared" si="3"/>
        <v>3.4240131716447464E-2</v>
      </c>
      <c r="AA80" s="21">
        <f t="shared" si="3"/>
        <v>3.3983577127951595E-2</v>
      </c>
      <c r="AB80" s="21">
        <f t="shared" si="3"/>
        <v>3.3732461231514278E-2</v>
      </c>
      <c r="AC80" s="21">
        <f t="shared" si="3"/>
        <v>3.3486612899031216E-2</v>
      </c>
      <c r="AD80" s="21">
        <f t="shared" si="3"/>
        <v>3.3245868107259456E-2</v>
      </c>
      <c r="AE80" s="21">
        <f t="shared" si="3"/>
        <v>3.3010069572884708E-2</v>
      </c>
      <c r="AF80" s="21">
        <f t="shared" si="3"/>
        <v>3.277906640984761E-2</v>
      </c>
    </row>
    <row r="81" spans="1:32">
      <c r="A81" t="s">
        <v>24</v>
      </c>
      <c r="B81" s="403">
        <f t="shared" ca="1" si="1"/>
        <v>0</v>
      </c>
      <c r="C81" s="403">
        <f t="shared" ca="1" si="3"/>
        <v>0</v>
      </c>
      <c r="D81" s="403">
        <f t="shared" ca="1" si="3"/>
        <v>0</v>
      </c>
      <c r="E81" s="403">
        <f t="shared" ca="1" si="3"/>
        <v>0</v>
      </c>
      <c r="F81" s="403">
        <f t="shared" ca="1" si="3"/>
        <v>0</v>
      </c>
      <c r="G81" s="21">
        <f t="shared" ca="1" si="3"/>
        <v>0</v>
      </c>
      <c r="H81" s="21">
        <f t="shared" ca="1" si="3"/>
        <v>0</v>
      </c>
      <c r="I81" s="21">
        <f t="shared" ca="1" si="3"/>
        <v>0</v>
      </c>
      <c r="J81" s="21">
        <f t="shared" ca="1" si="3"/>
        <v>0</v>
      </c>
      <c r="K81" s="21">
        <f t="shared" ca="1" si="3"/>
        <v>0</v>
      </c>
      <c r="L81" s="21">
        <f t="shared" ca="1" si="3"/>
        <v>0</v>
      </c>
      <c r="M81" s="21">
        <f t="shared" ca="1" si="3"/>
        <v>0</v>
      </c>
      <c r="N81" s="21">
        <f t="shared" ca="1" si="3"/>
        <v>0</v>
      </c>
      <c r="O81" s="21">
        <f t="shared" ca="1" si="3"/>
        <v>0</v>
      </c>
      <c r="P81" s="21">
        <f t="shared" ca="1" si="3"/>
        <v>0</v>
      </c>
      <c r="Q81" s="21">
        <f t="shared" ca="1" si="3"/>
        <v>0</v>
      </c>
      <c r="R81" s="21">
        <f t="shared" ca="1" si="3"/>
        <v>0</v>
      </c>
      <c r="S81" s="21">
        <f t="shared" ca="1" si="3"/>
        <v>0</v>
      </c>
      <c r="T81" s="21">
        <f t="shared" ca="1" si="3"/>
        <v>0</v>
      </c>
      <c r="U81" s="21">
        <f t="shared" ca="1" si="3"/>
        <v>0</v>
      </c>
      <c r="V81" s="21">
        <f t="shared" ca="1" si="3"/>
        <v>0</v>
      </c>
      <c r="W81" s="21">
        <f t="shared" ca="1" si="3"/>
        <v>0</v>
      </c>
      <c r="X81" s="21">
        <f t="shared" ca="1" si="3"/>
        <v>0</v>
      </c>
      <c r="Y81" s="21">
        <f t="shared" ca="1" si="3"/>
        <v>0</v>
      </c>
      <c r="Z81" s="21">
        <f t="shared" ca="1" si="3"/>
        <v>0</v>
      </c>
      <c r="AA81" s="21">
        <f t="shared" ca="1" si="3"/>
        <v>0</v>
      </c>
      <c r="AB81" s="21">
        <f t="shared" ca="1" si="3"/>
        <v>0</v>
      </c>
      <c r="AC81" s="21">
        <f t="shared" ca="1" si="3"/>
        <v>0</v>
      </c>
      <c r="AD81" s="21">
        <f t="shared" ca="1" si="3"/>
        <v>0</v>
      </c>
      <c r="AE81" s="21">
        <f t="shared" ca="1" si="3"/>
        <v>0</v>
      </c>
      <c r="AF81" s="21">
        <f t="shared" ca="1" si="3"/>
        <v>0</v>
      </c>
    </row>
    <row r="82" spans="1:32">
      <c r="A82" t="s">
        <v>25</v>
      </c>
      <c r="B82" s="403">
        <f t="shared" ca="1" si="1"/>
        <v>0</v>
      </c>
      <c r="C82" s="403">
        <f t="shared" ca="1" si="3"/>
        <v>0</v>
      </c>
      <c r="D82" s="403">
        <f t="shared" ca="1" si="3"/>
        <v>0</v>
      </c>
      <c r="E82" s="403">
        <f t="shared" ca="1" si="3"/>
        <v>0</v>
      </c>
      <c r="F82" s="403">
        <f t="shared" ca="1" si="3"/>
        <v>0</v>
      </c>
      <c r="G82" s="21">
        <f t="shared" ca="1" si="3"/>
        <v>0</v>
      </c>
      <c r="H82" s="21">
        <f t="shared" ca="1" si="3"/>
        <v>0</v>
      </c>
      <c r="I82" s="21">
        <f t="shared" ca="1" si="3"/>
        <v>0</v>
      </c>
      <c r="J82" s="21">
        <f t="shared" ca="1" si="3"/>
        <v>0</v>
      </c>
      <c r="K82" s="21">
        <f t="shared" ca="1" si="3"/>
        <v>0</v>
      </c>
      <c r="L82" s="21">
        <f t="shared" ca="1" si="3"/>
        <v>0</v>
      </c>
      <c r="M82" s="21">
        <f t="shared" ca="1" si="3"/>
        <v>0</v>
      </c>
      <c r="N82" s="21">
        <f t="shared" ca="1" si="3"/>
        <v>0</v>
      </c>
      <c r="O82" s="21">
        <f t="shared" ca="1" si="3"/>
        <v>0</v>
      </c>
      <c r="P82" s="21">
        <f t="shared" ca="1" si="3"/>
        <v>0</v>
      </c>
      <c r="Q82" s="21">
        <f t="shared" ca="1" si="3"/>
        <v>0</v>
      </c>
      <c r="R82" s="21">
        <f t="shared" ca="1" si="3"/>
        <v>0</v>
      </c>
      <c r="S82" s="21">
        <f t="shared" ca="1" si="3"/>
        <v>0</v>
      </c>
      <c r="T82" s="21">
        <f t="shared" ca="1" si="3"/>
        <v>0</v>
      </c>
      <c r="U82" s="21">
        <f t="shared" ca="1" si="3"/>
        <v>0</v>
      </c>
      <c r="V82" s="21">
        <f t="shared" ca="1" si="3"/>
        <v>0</v>
      </c>
      <c r="W82" s="21">
        <f t="shared" ca="1" si="3"/>
        <v>0</v>
      </c>
      <c r="X82" s="21">
        <f t="shared" ca="1" si="3"/>
        <v>0</v>
      </c>
      <c r="Y82" s="21">
        <f t="shared" ca="1" si="3"/>
        <v>0</v>
      </c>
      <c r="Z82" s="21">
        <f t="shared" ca="1" si="3"/>
        <v>0</v>
      </c>
      <c r="AA82" s="21">
        <f t="shared" ca="1" si="3"/>
        <v>0</v>
      </c>
      <c r="AB82" s="21">
        <f t="shared" ca="1" si="3"/>
        <v>0</v>
      </c>
      <c r="AC82" s="21">
        <f t="shared" ca="1" si="3"/>
        <v>0</v>
      </c>
      <c r="AD82" s="21">
        <f t="shared" ca="1" si="3"/>
        <v>0</v>
      </c>
      <c r="AE82" s="21">
        <f t="shared" ca="1" si="3"/>
        <v>0</v>
      </c>
      <c r="AF82" s="21">
        <f t="shared" ca="1" si="3"/>
        <v>0</v>
      </c>
    </row>
    <row r="83" spans="1:32">
      <c r="A83" t="s">
        <v>26</v>
      </c>
      <c r="B83" s="403">
        <f t="shared" si="1"/>
        <v>-5.7495705592061311E-2</v>
      </c>
      <c r="C83" s="403">
        <f t="shared" si="3"/>
        <v>-4.5364395084315633E-2</v>
      </c>
      <c r="D83" s="403">
        <f t="shared" si="3"/>
        <v>-3.35136284492226E-2</v>
      </c>
      <c r="E83" s="403">
        <f t="shared" si="3"/>
        <v>-2.193378530594128E-2</v>
      </c>
      <c r="F83" s="403">
        <f t="shared" si="3"/>
        <v>-1.0615680170580238E-2</v>
      </c>
      <c r="G83" s="21">
        <f t="shared" si="3"/>
        <v>4.4946184397358271E-4</v>
      </c>
      <c r="H83" s="21">
        <f t="shared" si="3"/>
        <v>4.479280683024962E-4</v>
      </c>
      <c r="I83" s="21">
        <f t="shared" si="3"/>
        <v>4.4642879164679869E-4</v>
      </c>
      <c r="J83" s="21">
        <f t="shared" si="3"/>
        <v>4.4496286297843575E-4</v>
      </c>
      <c r="K83" s="21">
        <f t="shared" si="3"/>
        <v>4.4352918191065957E-4</v>
      </c>
      <c r="L83" s="21">
        <f t="shared" si="3"/>
        <v>4.4212669594227987E-4</v>
      </c>
      <c r="M83" s="21">
        <f t="shared" si="3"/>
        <v>4.4026687047012673E-4</v>
      </c>
      <c r="N83" s="21">
        <f t="shared" si="3"/>
        <v>4.3843752759742117E-4</v>
      </c>
      <c r="O83" s="21">
        <f t="shared" si="3"/>
        <v>4.3663792399928922E-4</v>
      </c>
      <c r="P83" s="21">
        <f t="shared" si="3"/>
        <v>4.3486734032491383E-4</v>
      </c>
      <c r="Q83" s="21">
        <f t="shared" si="3"/>
        <v>4.3312508023729356E-4</v>
      </c>
      <c r="R83" s="21">
        <f t="shared" si="3"/>
        <v>4.313706106087891E-4</v>
      </c>
      <c r="S83" s="21">
        <f t="shared" si="3"/>
        <v>4.2964016547816206E-4</v>
      </c>
      <c r="T83" s="21">
        <f t="shared" si="3"/>
        <v>4.2793325473839425E-4</v>
      </c>
      <c r="U83" s="21">
        <f t="shared" si="3"/>
        <v>4.2624940152376835E-4</v>
      </c>
      <c r="V83" s="21">
        <f t="shared" si="3"/>
        <v>4.2458814176546264E-4</v>
      </c>
      <c r="W83" s="21">
        <f t="shared" si="3"/>
        <v>4.2301175782003534E-4</v>
      </c>
      <c r="X83" s="21">
        <f t="shared" si="3"/>
        <v>4.2141658046437956E-4</v>
      </c>
      <c r="Y83" s="21">
        <f t="shared" si="3"/>
        <v>4.198436907107812E-4</v>
      </c>
      <c r="Z83" s="21">
        <f t="shared" si="3"/>
        <v>4.1829262470080341E-4</v>
      </c>
      <c r="AA83" s="21">
        <f t="shared" si="3"/>
        <v>4.1676293135887668E-4</v>
      </c>
      <c r="AB83" s="21">
        <f t="shared" si="3"/>
        <v>4.1525417195621705E-4</v>
      </c>
      <c r="AC83" s="21">
        <f t="shared" si="3"/>
        <v>4.1376591968969953E-4</v>
      </c>
      <c r="AD83" s="21">
        <f t="shared" si="3"/>
        <v>4.1229775928070298E-4</v>
      </c>
      <c r="AE83" s="21">
        <f t="shared" si="3"/>
        <v>4.1084928658775545E-4</v>
      </c>
      <c r="AF83" s="21">
        <f t="shared" si="3"/>
        <v>4.0942010823664861E-4</v>
      </c>
    </row>
  </sheetData>
  <phoneticPr fontId="37" type="noConversion"/>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I79"/>
  <sheetViews>
    <sheetView zoomScale="55" zoomScaleNormal="55" workbookViewId="0">
      <pane xSplit="1" ySplit="1" topLeftCell="D13" activePane="bottomRight" state="frozen"/>
      <selection pane="topRight" activeCell="B1" sqref="B1"/>
      <selection pane="bottomLeft" activeCell="A2" sqref="A2"/>
      <selection pane="bottomRight" activeCell="AM66" sqref="AM66"/>
    </sheetView>
  </sheetViews>
  <sheetFormatPr defaultColWidth="9.125" defaultRowHeight="16.5"/>
  <cols>
    <col min="1" max="1" width="39.875" customWidth="1"/>
    <col min="2" max="33" width="11" customWidth="1"/>
    <col min="34" max="35" width="9.5" bestFit="1" customWidth="1"/>
  </cols>
  <sheetData>
    <row r="1" spans="1:35">
      <c r="A1" s="24" t="s">
        <v>27</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c r="A2" t="s">
        <v>2</v>
      </c>
      <c r="B2" s="16">
        <f>'BIFUbC-coal pre-CHP'!B2+CHP!B39</f>
        <v>27717358243796.008</v>
      </c>
      <c r="C2" s="16">
        <f>'BIFUbC-coal pre-CHP'!C2+CHP!C39</f>
        <v>15343504605384.717</v>
      </c>
      <c r="D2" s="16">
        <f>'BIFUbC-coal pre-CHP'!D2+CHP!D39</f>
        <v>15984364844712.246</v>
      </c>
      <c r="E2" s="16">
        <f>'BIFUbC-coal pre-CHP'!E2+CHP!E39</f>
        <v>16625225084039.777</v>
      </c>
      <c r="F2" s="16">
        <f>'BIFUbC-coal pre-CHP'!F2+CHP!F39</f>
        <v>17266085323367.307</v>
      </c>
      <c r="G2" s="16">
        <f>'BIFUbC-coal pre-CHP'!G2+CHP!G39</f>
        <v>17906945562694.836</v>
      </c>
      <c r="H2" s="16">
        <f>'BIFUbC-coal pre-CHP'!H2+CHP!H39</f>
        <v>18089615925528.289</v>
      </c>
      <c r="I2" s="16">
        <f>'BIFUbC-coal pre-CHP'!I2+CHP!I39</f>
        <v>18272286288361.75</v>
      </c>
      <c r="J2" s="16">
        <f>'BIFUbC-coal pre-CHP'!J2+CHP!J39</f>
        <v>18454956651195.207</v>
      </c>
      <c r="K2" s="16">
        <f>'BIFUbC-coal pre-CHP'!K2+CHP!K39</f>
        <v>18637627014028.664</v>
      </c>
      <c r="L2" s="16">
        <f>'BIFUbC-coal pre-CHP'!L2+CHP!L39</f>
        <v>18820297376862.125</v>
      </c>
      <c r="M2" s="16">
        <f>'BIFUbC-coal pre-CHP'!M2+CHP!M39</f>
        <v>18926604970381.32</v>
      </c>
      <c r="N2" s="16">
        <f>'BIFUbC-coal pre-CHP'!N2+CHP!N39</f>
        <v>19032912563900.516</v>
      </c>
      <c r="O2" s="16">
        <f>'BIFUbC-coal pre-CHP'!O2+CHP!O39</f>
        <v>19139220157419.711</v>
      </c>
      <c r="P2" s="16">
        <f>'BIFUbC-coal pre-CHP'!P2+CHP!P39</f>
        <v>19245527750938.906</v>
      </c>
      <c r="Q2" s="16">
        <f>'BIFUbC-coal pre-CHP'!Q2+CHP!Q39</f>
        <v>19351835344458.105</v>
      </c>
      <c r="R2" s="16">
        <f>'BIFUbC-coal pre-CHP'!R2+CHP!R39</f>
        <v>19424966222590.953</v>
      </c>
      <c r="S2" s="16">
        <f>'BIFUbC-coal pre-CHP'!S2+CHP!S39</f>
        <v>19498097100723.797</v>
      </c>
      <c r="T2" s="16">
        <f>'BIFUbC-coal pre-CHP'!T2+CHP!T39</f>
        <v>19571227978856.645</v>
      </c>
      <c r="U2" s="16">
        <f>'BIFUbC-coal pre-CHP'!U2+CHP!U39</f>
        <v>19644358856989.492</v>
      </c>
      <c r="V2" s="16">
        <f>'BIFUbC-coal pre-CHP'!V2+CHP!V39</f>
        <v>19717489735122.336</v>
      </c>
      <c r="W2" s="16">
        <f>'BIFUbC-coal pre-CHP'!W2+CHP!W39</f>
        <v>19834856233770.328</v>
      </c>
      <c r="X2" s="16">
        <f>'BIFUbC-coal pre-CHP'!X2+CHP!X39</f>
        <v>19922062082067.066</v>
      </c>
      <c r="Y2" s="16">
        <f>'BIFUbC-coal pre-CHP'!Y2+CHP!Y39</f>
        <v>20009267930363.832</v>
      </c>
      <c r="Z2" s="16">
        <f>'BIFUbC-coal pre-CHP'!Z2+CHP!Z39</f>
        <v>20096473778660.582</v>
      </c>
      <c r="AA2" s="16">
        <f>'BIFUbC-coal pre-CHP'!AA2+CHP!AA39</f>
        <v>20183679626957.336</v>
      </c>
      <c r="AB2" s="16">
        <f>'BIFUbC-coal pre-CHP'!AB2+CHP!AB39</f>
        <v>20270885475254.074</v>
      </c>
      <c r="AC2" s="16">
        <f>'BIFUbC-coal pre-CHP'!AC2+CHP!AC39</f>
        <v>20358091323550.84</v>
      </c>
      <c r="AD2" s="16">
        <f>'BIFUbC-coal pre-CHP'!AD2+CHP!AD39</f>
        <v>20445297171847.594</v>
      </c>
      <c r="AE2" s="16">
        <f>'BIFUbC-coal pre-CHP'!AE2+CHP!AE39</f>
        <v>20532503020144.348</v>
      </c>
      <c r="AF2" s="16">
        <f>'BIFUbC-coal pre-CHP'!AF2+CHP!AF39</f>
        <v>20619708868441.109</v>
      </c>
    </row>
    <row r="3" spans="1:35">
      <c r="A3" t="s">
        <v>3</v>
      </c>
      <c r="B3" s="16">
        <f>'BIFUbC-coal pre-CHP'!B3+CHP!B40</f>
        <v>13014713877738.818</v>
      </c>
      <c r="C3" s="16">
        <f>'BIFUbC-coal pre-CHP'!C3+CHP!C40</f>
        <v>0</v>
      </c>
      <c r="D3" s="16">
        <f>'BIFUbC-coal pre-CHP'!D3+CHP!D40</f>
        <v>0</v>
      </c>
      <c r="E3" s="16">
        <f>'BIFUbC-coal pre-CHP'!E3+CHP!E40</f>
        <v>0</v>
      </c>
      <c r="F3" s="16">
        <f>'BIFUbC-coal pre-CHP'!F3+CHP!F40</f>
        <v>0</v>
      </c>
      <c r="G3" s="16">
        <f>'BIFUbC-coal pre-CHP'!G3+CHP!G40</f>
        <v>0</v>
      </c>
      <c r="H3" s="16">
        <f>'BIFUbC-coal pre-CHP'!H3+CHP!H40</f>
        <v>0</v>
      </c>
      <c r="I3" s="16">
        <f>'BIFUbC-coal pre-CHP'!I3+CHP!I40</f>
        <v>0</v>
      </c>
      <c r="J3" s="16">
        <f>'BIFUbC-coal pre-CHP'!J3+CHP!J40</f>
        <v>0</v>
      </c>
      <c r="K3" s="16">
        <f>'BIFUbC-coal pre-CHP'!K3+CHP!K40</f>
        <v>0</v>
      </c>
      <c r="L3" s="16">
        <f>'BIFUbC-coal pre-CHP'!L3+CHP!L40</f>
        <v>0</v>
      </c>
      <c r="M3" s="16">
        <f>'BIFUbC-coal pre-CHP'!M3+CHP!M40</f>
        <v>0</v>
      </c>
      <c r="N3" s="16">
        <f>'BIFUbC-coal pre-CHP'!N3+CHP!N40</f>
        <v>0</v>
      </c>
      <c r="O3" s="16">
        <f>'BIFUbC-coal pre-CHP'!O3+CHP!O40</f>
        <v>0</v>
      </c>
      <c r="P3" s="16">
        <f>'BIFUbC-coal pre-CHP'!P3+CHP!P40</f>
        <v>0</v>
      </c>
      <c r="Q3" s="16">
        <f>'BIFUbC-coal pre-CHP'!Q3+CHP!Q40</f>
        <v>0</v>
      </c>
      <c r="R3" s="16">
        <f>'BIFUbC-coal pre-CHP'!R3+CHP!R40</f>
        <v>0</v>
      </c>
      <c r="S3" s="16">
        <f>'BIFUbC-coal pre-CHP'!S3+CHP!S40</f>
        <v>0</v>
      </c>
      <c r="T3" s="16">
        <f>'BIFUbC-coal pre-CHP'!T3+CHP!T40</f>
        <v>0</v>
      </c>
      <c r="U3" s="16">
        <f>'BIFUbC-coal pre-CHP'!U3+CHP!U40</f>
        <v>0</v>
      </c>
      <c r="V3" s="16">
        <f>'BIFUbC-coal pre-CHP'!V3+CHP!V40</f>
        <v>0</v>
      </c>
      <c r="W3" s="16">
        <f>'BIFUbC-coal pre-CHP'!W3+CHP!W40</f>
        <v>0</v>
      </c>
      <c r="X3" s="16">
        <f>'BIFUbC-coal pre-CHP'!X3+CHP!X40</f>
        <v>0</v>
      </c>
      <c r="Y3" s="16">
        <f>'BIFUbC-coal pre-CHP'!Y3+CHP!Y40</f>
        <v>0</v>
      </c>
      <c r="Z3" s="16">
        <f>'BIFUbC-coal pre-CHP'!Z3+CHP!Z40</f>
        <v>0</v>
      </c>
      <c r="AA3" s="16">
        <f>'BIFUbC-coal pre-CHP'!AA3+CHP!AA40</f>
        <v>0</v>
      </c>
      <c r="AB3" s="16">
        <f>'BIFUbC-coal pre-CHP'!AB3+CHP!AB40</f>
        <v>0</v>
      </c>
      <c r="AC3" s="16">
        <f>'BIFUbC-coal pre-CHP'!AC3+CHP!AC40</f>
        <v>0</v>
      </c>
      <c r="AD3" s="16">
        <f>'BIFUbC-coal pre-CHP'!AD3+CHP!AD40</f>
        <v>0</v>
      </c>
      <c r="AE3" s="16">
        <f>'BIFUbC-coal pre-CHP'!AE3+CHP!AE40</f>
        <v>0</v>
      </c>
      <c r="AF3" s="16">
        <f>'BIFUbC-coal pre-CHP'!AF3+CHP!AF40</f>
        <v>0</v>
      </c>
    </row>
    <row r="4" spans="1:35">
      <c r="A4" t="s">
        <v>4</v>
      </c>
      <c r="B4" s="16">
        <f>'BIFUbC-coal pre-CHP'!B4+CHP!B41</f>
        <v>0</v>
      </c>
      <c r="C4" s="16">
        <f>'BIFUbC-coal pre-CHP'!C4+CHP!C41</f>
        <v>0</v>
      </c>
      <c r="D4" s="16">
        <f>'BIFUbC-coal pre-CHP'!D4+CHP!D41</f>
        <v>0</v>
      </c>
      <c r="E4" s="16">
        <f>'BIFUbC-coal pre-CHP'!E4+CHP!E41</f>
        <v>0</v>
      </c>
      <c r="F4" s="16">
        <f>'BIFUbC-coal pre-CHP'!F4+CHP!F41</f>
        <v>0</v>
      </c>
      <c r="G4" s="16">
        <f>'BIFUbC-coal pre-CHP'!G4+CHP!G41</f>
        <v>0</v>
      </c>
      <c r="H4" s="16">
        <f>'BIFUbC-coal pre-CHP'!H4+CHP!H41</f>
        <v>0</v>
      </c>
      <c r="I4" s="16">
        <f>'BIFUbC-coal pre-CHP'!I4+CHP!I41</f>
        <v>0</v>
      </c>
      <c r="J4" s="16">
        <f>'BIFUbC-coal pre-CHP'!J4+CHP!J41</f>
        <v>0</v>
      </c>
      <c r="K4" s="16">
        <f>'BIFUbC-coal pre-CHP'!K4+CHP!K41</f>
        <v>0</v>
      </c>
      <c r="L4" s="16">
        <f>'BIFUbC-coal pre-CHP'!L4+CHP!L41</f>
        <v>0</v>
      </c>
      <c r="M4" s="16">
        <f>'BIFUbC-coal pre-CHP'!M4+CHP!M41</f>
        <v>0</v>
      </c>
      <c r="N4" s="16">
        <f>'BIFUbC-coal pre-CHP'!N4+CHP!N41</f>
        <v>0</v>
      </c>
      <c r="O4" s="16">
        <f>'BIFUbC-coal pre-CHP'!O4+CHP!O41</f>
        <v>0</v>
      </c>
      <c r="P4" s="16">
        <f>'BIFUbC-coal pre-CHP'!P4+CHP!P41</f>
        <v>0</v>
      </c>
      <c r="Q4" s="16">
        <f>'BIFUbC-coal pre-CHP'!Q4+CHP!Q41</f>
        <v>0</v>
      </c>
      <c r="R4" s="16">
        <f>'BIFUbC-coal pre-CHP'!R4+CHP!R41</f>
        <v>0</v>
      </c>
      <c r="S4" s="16">
        <f>'BIFUbC-coal pre-CHP'!S4+CHP!S41</f>
        <v>0</v>
      </c>
      <c r="T4" s="16">
        <f>'BIFUbC-coal pre-CHP'!T4+CHP!T41</f>
        <v>0</v>
      </c>
      <c r="U4" s="16">
        <f>'BIFUbC-coal pre-CHP'!U4+CHP!U41</f>
        <v>0</v>
      </c>
      <c r="V4" s="16">
        <f>'BIFUbC-coal pre-CHP'!V4+CHP!V41</f>
        <v>0</v>
      </c>
      <c r="W4" s="16">
        <f>'BIFUbC-coal pre-CHP'!W4+CHP!W41</f>
        <v>0</v>
      </c>
      <c r="X4" s="16">
        <f>'BIFUbC-coal pre-CHP'!X4+CHP!X41</f>
        <v>0</v>
      </c>
      <c r="Y4" s="16">
        <f>'BIFUbC-coal pre-CHP'!Y4+CHP!Y41</f>
        <v>0</v>
      </c>
      <c r="Z4" s="16">
        <f>'BIFUbC-coal pre-CHP'!Z4+CHP!Z41</f>
        <v>0</v>
      </c>
      <c r="AA4" s="16">
        <f>'BIFUbC-coal pre-CHP'!AA4+CHP!AA41</f>
        <v>0</v>
      </c>
      <c r="AB4" s="16">
        <f>'BIFUbC-coal pre-CHP'!AB4+CHP!AB41</f>
        <v>0</v>
      </c>
      <c r="AC4" s="16">
        <f>'BIFUbC-coal pre-CHP'!AC4+CHP!AC41</f>
        <v>0</v>
      </c>
      <c r="AD4" s="16">
        <f>'BIFUbC-coal pre-CHP'!AD4+CHP!AD41</f>
        <v>0</v>
      </c>
      <c r="AE4" s="16">
        <f>'BIFUbC-coal pre-CHP'!AE4+CHP!AE41</f>
        <v>0</v>
      </c>
      <c r="AF4" s="16">
        <f>'BIFUbC-coal pre-CHP'!AF4+CHP!AF41</f>
        <v>0</v>
      </c>
    </row>
    <row r="5" spans="1:35">
      <c r="A5" t="s">
        <v>5</v>
      </c>
      <c r="B5" s="16">
        <f>'BIFUbC-coal pre-CHP'!B5+CHP!B42</f>
        <v>1122507386093.0371</v>
      </c>
      <c r="C5" s="16">
        <f>'BIFUbC-coal pre-CHP'!C5+CHP!C42</f>
        <v>1163757596687.0708</v>
      </c>
      <c r="D5" s="16">
        <f>'BIFUbC-coal pre-CHP'!D5+CHP!D42</f>
        <v>1205007807281.1045</v>
      </c>
      <c r="E5" s="16">
        <f>'BIFUbC-coal pre-CHP'!E5+CHP!E42</f>
        <v>1246258017875.1384</v>
      </c>
      <c r="F5" s="16">
        <f>'BIFUbC-coal pre-CHP'!F5+CHP!F42</f>
        <v>1287508228469.1724</v>
      </c>
      <c r="G5" s="16">
        <f>'BIFUbC-coal pre-CHP'!G5+CHP!G42</f>
        <v>1328758439063.2058</v>
      </c>
      <c r="H5" s="16">
        <f>'BIFUbC-coal pre-CHP'!H5+CHP!H42</f>
        <v>1339459578292.8596</v>
      </c>
      <c r="I5" s="16">
        <f>'BIFUbC-coal pre-CHP'!I5+CHP!I42</f>
        <v>1350160717522.5129</v>
      </c>
      <c r="J5" s="16">
        <f>'BIFUbC-coal pre-CHP'!J5+CHP!J42</f>
        <v>1360861856752.1667</v>
      </c>
      <c r="K5" s="16">
        <f>'BIFUbC-coal pre-CHP'!K5+CHP!K42</f>
        <v>1371562995981.8201</v>
      </c>
      <c r="L5" s="16">
        <f>'BIFUbC-coal pre-CHP'!L5+CHP!L42</f>
        <v>1382264135211.4739</v>
      </c>
      <c r="M5" s="16">
        <f>'BIFUbC-coal pre-CHP'!M5+CHP!M42</f>
        <v>1387917567257.3286</v>
      </c>
      <c r="N5" s="16">
        <f>'BIFUbC-coal pre-CHP'!N5+CHP!N42</f>
        <v>1393570999303.1831</v>
      </c>
      <c r="O5" s="16">
        <f>'BIFUbC-coal pre-CHP'!O5+CHP!O42</f>
        <v>1399224431349.0381</v>
      </c>
      <c r="P5" s="16">
        <f>'BIFUbC-coal pre-CHP'!P5+CHP!P42</f>
        <v>1404877863394.8926</v>
      </c>
      <c r="Q5" s="16">
        <f>'BIFUbC-coal pre-CHP'!Q5+CHP!Q42</f>
        <v>1410531295440.7473</v>
      </c>
      <c r="R5" s="16">
        <f>'BIFUbC-coal pre-CHP'!R5+CHP!R42</f>
        <v>1414569461187.7861</v>
      </c>
      <c r="S5" s="16">
        <f>'BIFUbC-coal pre-CHP'!S5+CHP!S42</f>
        <v>1418607626934.8254</v>
      </c>
      <c r="T5" s="16">
        <f>'BIFUbC-coal pre-CHP'!T5+CHP!T42</f>
        <v>1422645792681.8645</v>
      </c>
      <c r="U5" s="16">
        <f>'BIFUbC-coal pre-CHP'!U5+CHP!U42</f>
        <v>1426683958428.9033</v>
      </c>
      <c r="V5" s="16">
        <f>'BIFUbC-coal pre-CHP'!V5+CHP!V42</f>
        <v>1430722124175.9421</v>
      </c>
      <c r="W5" s="16">
        <f>'BIFUbC-coal pre-CHP'!W5+CHP!W42</f>
        <v>1436913978321.4031</v>
      </c>
      <c r="X5" s="16">
        <f>'BIFUbC-coal pre-CHP'!X5+CHP!X42</f>
        <v>1441637408558.8481</v>
      </c>
      <c r="Y5" s="16">
        <f>'BIFUbC-coal pre-CHP'!Y5+CHP!Y42</f>
        <v>1446360838796.2939</v>
      </c>
      <c r="Z5" s="16">
        <f>'BIFUbC-coal pre-CHP'!Z5+CHP!Z42</f>
        <v>1451084269033.7397</v>
      </c>
      <c r="AA5" s="16">
        <f>'BIFUbC-coal pre-CHP'!AA5+CHP!AA42</f>
        <v>1455807699271.186</v>
      </c>
      <c r="AB5" s="16">
        <f>'BIFUbC-coal pre-CHP'!AB5+CHP!AB42</f>
        <v>1460531129508.6304</v>
      </c>
      <c r="AC5" s="16">
        <f>'BIFUbC-coal pre-CHP'!AC5+CHP!AC42</f>
        <v>1465254559746.0767</v>
      </c>
      <c r="AD5" s="16">
        <f>'BIFUbC-coal pre-CHP'!AD5+CHP!AD42</f>
        <v>1469977989983.5225</v>
      </c>
      <c r="AE5" s="16">
        <f>'BIFUbC-coal pre-CHP'!AE5+CHP!AE42</f>
        <v>1474701420220.9683</v>
      </c>
      <c r="AF5" s="16">
        <f>'BIFUbC-coal pre-CHP'!AF5+CHP!AF42</f>
        <v>1479424850458.4143</v>
      </c>
    </row>
    <row r="6" spans="1:35">
      <c r="A6" t="s">
        <v>6</v>
      </c>
      <c r="B6" s="16">
        <f>'BIFUbC-coal pre-CHP'!B6+CHP!B43</f>
        <v>10310878715299.299</v>
      </c>
      <c r="C6" s="16">
        <f>'BIFUbC-coal pre-CHP'!C6+CHP!C43</f>
        <v>10689785726233.107</v>
      </c>
      <c r="D6" s="16">
        <f>'BIFUbC-coal pre-CHP'!D6+CHP!D43</f>
        <v>11068692737166.918</v>
      </c>
      <c r="E6" s="16">
        <f>'BIFUbC-coal pre-CHP'!E6+CHP!E43</f>
        <v>11447599748100.729</v>
      </c>
      <c r="F6" s="16">
        <f>'BIFUbC-coal pre-CHP'!F6+CHP!F43</f>
        <v>11826506759034.537</v>
      </c>
      <c r="G6" s="16">
        <f>'BIFUbC-coal pre-CHP'!G6+CHP!G43</f>
        <v>12205413769968.348</v>
      </c>
      <c r="H6" s="16">
        <f>'BIFUbC-coal pre-CHP'!H6+CHP!H43</f>
        <v>12303709914901.992</v>
      </c>
      <c r="I6" s="16">
        <f>'BIFUbC-coal pre-CHP'!I6+CHP!I43</f>
        <v>12402006059835.639</v>
      </c>
      <c r="J6" s="16">
        <f>'BIFUbC-coal pre-CHP'!J6+CHP!J43</f>
        <v>12500302204769.285</v>
      </c>
      <c r="K6" s="16">
        <f>'BIFUbC-coal pre-CHP'!K6+CHP!K43</f>
        <v>12598598349702.93</v>
      </c>
      <c r="L6" s="16">
        <f>'BIFUbC-coal pre-CHP'!L6+CHP!L43</f>
        <v>12696894494636.576</v>
      </c>
      <c r="M6" s="16">
        <f>'BIFUbC-coal pre-CHP'!M6+CHP!M43</f>
        <v>12748824533469.445</v>
      </c>
      <c r="N6" s="16">
        <f>'BIFUbC-coal pre-CHP'!N6+CHP!N43</f>
        <v>12800754572302.314</v>
      </c>
      <c r="O6" s="16">
        <f>'BIFUbC-coal pre-CHP'!O6+CHP!O43</f>
        <v>12852684611135.184</v>
      </c>
      <c r="P6" s="16">
        <f>'BIFUbC-coal pre-CHP'!P6+CHP!P43</f>
        <v>12904614649968.055</v>
      </c>
      <c r="Q6" s="16">
        <f>'BIFUbC-coal pre-CHP'!Q6+CHP!Q43</f>
        <v>12956544688800.926</v>
      </c>
      <c r="R6" s="16">
        <f>'BIFUbC-coal pre-CHP'!R6+CHP!R43</f>
        <v>12993637573681.545</v>
      </c>
      <c r="S6" s="16">
        <f>'BIFUbC-coal pre-CHP'!S6+CHP!S43</f>
        <v>13030730458562.166</v>
      </c>
      <c r="T6" s="16">
        <f>'BIFUbC-coal pre-CHP'!T6+CHP!T43</f>
        <v>13067823343442.785</v>
      </c>
      <c r="U6" s="16">
        <f>'BIFUbC-coal pre-CHP'!U6+CHP!U43</f>
        <v>13104916228323.406</v>
      </c>
      <c r="V6" s="16">
        <f>'BIFUbC-coal pre-CHP'!V6+CHP!V43</f>
        <v>13142009113204.025</v>
      </c>
      <c r="W6" s="16">
        <f>'BIFUbC-coal pre-CHP'!W6+CHP!W43</f>
        <v>13198884870020.99</v>
      </c>
      <c r="X6" s="16">
        <f>'BIFUbC-coal pre-CHP'!X6+CHP!X43</f>
        <v>13242272305063.16</v>
      </c>
      <c r="Y6" s="16">
        <f>'BIFUbC-coal pre-CHP'!Y6+CHP!Y43</f>
        <v>13285659740105.344</v>
      </c>
      <c r="Z6" s="16">
        <f>'BIFUbC-coal pre-CHP'!Z6+CHP!Z43</f>
        <v>13329047175147.527</v>
      </c>
      <c r="AA6" s="16">
        <f>'BIFUbC-coal pre-CHP'!AA6+CHP!AA43</f>
        <v>13372434610189.711</v>
      </c>
      <c r="AB6" s="16">
        <f>'BIFUbC-coal pre-CHP'!AB6+CHP!AB43</f>
        <v>13415822045231.881</v>
      </c>
      <c r="AC6" s="16">
        <f>'BIFUbC-coal pre-CHP'!AC6+CHP!AC43</f>
        <v>13459209480274.066</v>
      </c>
      <c r="AD6" s="16">
        <f>'BIFUbC-coal pre-CHP'!AD6+CHP!AD43</f>
        <v>13502596915316.248</v>
      </c>
      <c r="AE6" s="16">
        <f>'BIFUbC-coal pre-CHP'!AE6+CHP!AE43</f>
        <v>13545984350358.432</v>
      </c>
      <c r="AF6" s="16">
        <f>'BIFUbC-coal pre-CHP'!AF6+CHP!AF43</f>
        <v>13589371785400.615</v>
      </c>
    </row>
    <row r="7" spans="1:35">
      <c r="A7" t="s">
        <v>7</v>
      </c>
      <c r="B7" s="16">
        <f>'BIFUbC-coal pre-CHP'!B7+CHP!B44</f>
        <v>21987527939570.906</v>
      </c>
      <c r="C7" s="16">
        <f>'BIFUbC-coal pre-CHP'!C7+CHP!C44</f>
        <v>23642627281034.305</v>
      </c>
      <c r="D7" s="16">
        <f>'BIFUbC-coal pre-CHP'!D7+CHP!D44</f>
        <v>25297726622497.699</v>
      </c>
      <c r="E7" s="16">
        <f>'BIFUbC-coal pre-CHP'!E7+CHP!E44</f>
        <v>26952825963961.094</v>
      </c>
      <c r="F7" s="16">
        <f>'BIFUbC-coal pre-CHP'!F7+CHP!F44</f>
        <v>28607925305424.484</v>
      </c>
      <c r="G7" s="16">
        <f>'BIFUbC-coal pre-CHP'!G7+CHP!G44</f>
        <v>30263024646887.887</v>
      </c>
      <c r="H7" s="16">
        <f>'BIFUbC-coal pre-CHP'!H7+CHP!H44</f>
        <v>30830689984392.703</v>
      </c>
      <c r="I7" s="16">
        <f>'BIFUbC-coal pre-CHP'!I7+CHP!I44</f>
        <v>31398355321897.535</v>
      </c>
      <c r="J7" s="16">
        <f>'BIFUbC-coal pre-CHP'!J7+CHP!J44</f>
        <v>31966020659402.367</v>
      </c>
      <c r="K7" s="16">
        <f>'BIFUbC-coal pre-CHP'!K7+CHP!K44</f>
        <v>32533685996907.203</v>
      </c>
      <c r="L7" s="16">
        <f>'BIFUbC-coal pre-CHP'!L7+CHP!L44</f>
        <v>33101351334412.039</v>
      </c>
      <c r="M7" s="16">
        <f>'BIFUbC-coal pre-CHP'!M7+CHP!M44</f>
        <v>33483821299141.563</v>
      </c>
      <c r="N7" s="16">
        <f>'BIFUbC-coal pre-CHP'!N7+CHP!N44</f>
        <v>33866291263871.09</v>
      </c>
      <c r="O7" s="16">
        <f>'BIFUbC-coal pre-CHP'!O7+CHP!O44</f>
        <v>34248761228600.609</v>
      </c>
      <c r="P7" s="16">
        <f>'BIFUbC-coal pre-CHP'!P7+CHP!P44</f>
        <v>34631231193330.141</v>
      </c>
      <c r="Q7" s="16">
        <f>'BIFUbC-coal pre-CHP'!Q7+CHP!Q44</f>
        <v>35013701158059.672</v>
      </c>
      <c r="R7" s="16">
        <f>'BIFUbC-coal pre-CHP'!R7+CHP!R44</f>
        <v>35263281940721.367</v>
      </c>
      <c r="S7" s="16">
        <f>'BIFUbC-coal pre-CHP'!S7+CHP!S44</f>
        <v>35512862723383.07</v>
      </c>
      <c r="T7" s="16">
        <f>'BIFUbC-coal pre-CHP'!T7+CHP!T44</f>
        <v>35762443506044.766</v>
      </c>
      <c r="U7" s="16">
        <f>'BIFUbC-coal pre-CHP'!U7+CHP!U44</f>
        <v>36012024288706.477</v>
      </c>
      <c r="V7" s="16">
        <f>'BIFUbC-coal pre-CHP'!V7+CHP!V44</f>
        <v>36261605071368.172</v>
      </c>
      <c r="W7" s="16">
        <f>'BIFUbC-coal pre-CHP'!W7+CHP!W44</f>
        <v>36688371430120.313</v>
      </c>
      <c r="X7" s="16">
        <f>'BIFUbC-coal pre-CHP'!X7+CHP!X44</f>
        <v>36994329441538.031</v>
      </c>
      <c r="Y7" s="16">
        <f>'BIFUbC-coal pre-CHP'!Y7+CHP!Y44</f>
        <v>37300287452955.852</v>
      </c>
      <c r="Z7" s="16">
        <f>'BIFUbC-coal pre-CHP'!Z7+CHP!Z44</f>
        <v>37606245464373.578</v>
      </c>
      <c r="AA7" s="16">
        <f>'BIFUbC-coal pre-CHP'!AA7+CHP!AA44</f>
        <v>37912203475791.305</v>
      </c>
      <c r="AB7" s="16">
        <f>'BIFUbC-coal pre-CHP'!AB7+CHP!AB44</f>
        <v>38218161487209.016</v>
      </c>
      <c r="AC7" s="16">
        <f>'BIFUbC-coal pre-CHP'!AC7+CHP!AC44</f>
        <v>38524119498626.844</v>
      </c>
      <c r="AD7" s="16">
        <f>'BIFUbC-coal pre-CHP'!AD7+CHP!AD44</f>
        <v>38830077510044.563</v>
      </c>
      <c r="AE7" s="16">
        <f>'BIFUbC-coal pre-CHP'!AE7+CHP!AE44</f>
        <v>39136035521462.289</v>
      </c>
      <c r="AF7" s="16">
        <f>'BIFUbC-coal pre-CHP'!AF7+CHP!AF44</f>
        <v>39441993532880.109</v>
      </c>
    </row>
    <row r="8" spans="1:35">
      <c r="A8" t="s">
        <v>8</v>
      </c>
      <c r="B8" s="16">
        <f>'BIFUbC-coal pre-CHP'!B8+CHP!B45</f>
        <v>1304540101677.2446</v>
      </c>
      <c r="C8" s="16">
        <f>'BIFUbC-coal pre-CHP'!C8+CHP!C45</f>
        <v>1352479700640.4612</v>
      </c>
      <c r="D8" s="16">
        <f>'BIFUbC-coal pre-CHP'!D8+CHP!D45</f>
        <v>1400419299603.6775</v>
      </c>
      <c r="E8" s="16">
        <f>'BIFUbC-coal pre-CHP'!E8+CHP!E45</f>
        <v>1448358898566.8938</v>
      </c>
      <c r="F8" s="16">
        <f>'BIFUbC-coal pre-CHP'!F8+CHP!F45</f>
        <v>1496298497530.1104</v>
      </c>
      <c r="G8" s="16">
        <f>'BIFUbC-coal pre-CHP'!G8+CHP!G45</f>
        <v>1544238096493.3269</v>
      </c>
      <c r="H8" s="16">
        <f>'BIFUbC-coal pre-CHP'!H8+CHP!H45</f>
        <v>1556674598410.0791</v>
      </c>
      <c r="I8" s="16">
        <f>'BIFUbC-coal pre-CHP'!I8+CHP!I45</f>
        <v>1569111100326.8315</v>
      </c>
      <c r="J8" s="16">
        <f>'BIFUbC-coal pre-CHP'!J8+CHP!J45</f>
        <v>1581547602243.5837</v>
      </c>
      <c r="K8" s="16">
        <f>'BIFUbC-coal pre-CHP'!K8+CHP!K45</f>
        <v>1593984104160.3357</v>
      </c>
      <c r="L8" s="16">
        <f>'BIFUbC-coal pre-CHP'!L8+CHP!L45</f>
        <v>1606420606077.0881</v>
      </c>
      <c r="M8" s="16">
        <f>'BIFUbC-coal pre-CHP'!M8+CHP!M45</f>
        <v>1612990833504.8062</v>
      </c>
      <c r="N8" s="16">
        <f>'BIFUbC-coal pre-CHP'!N8+CHP!N45</f>
        <v>1619561060932.5244</v>
      </c>
      <c r="O8" s="16">
        <f>'BIFUbC-coal pre-CHP'!O8+CHP!O45</f>
        <v>1626131288360.2424</v>
      </c>
      <c r="P8" s="16">
        <f>'BIFUbC-coal pre-CHP'!P8+CHP!P45</f>
        <v>1632701515787.9607</v>
      </c>
      <c r="Q8" s="16">
        <f>'BIFUbC-coal pre-CHP'!Q8+CHP!Q45</f>
        <v>1639271743215.679</v>
      </c>
      <c r="R8" s="16">
        <f>'BIFUbC-coal pre-CHP'!R8+CHP!R45</f>
        <v>1643964762806.906</v>
      </c>
      <c r="S8" s="16">
        <f>'BIFUbC-coal pre-CHP'!S8+CHP!S45</f>
        <v>1648657782398.1333</v>
      </c>
      <c r="T8" s="16">
        <f>'BIFUbC-coal pre-CHP'!T8+CHP!T45</f>
        <v>1653350801989.3606</v>
      </c>
      <c r="U8" s="16">
        <f>'BIFUbC-coal pre-CHP'!U8+CHP!U45</f>
        <v>1658043821580.5876</v>
      </c>
      <c r="V8" s="16">
        <f>'BIFUbC-coal pre-CHP'!V8+CHP!V45</f>
        <v>1662736841171.8147</v>
      </c>
      <c r="W8" s="16">
        <f>'BIFUbC-coal pre-CHP'!W8+CHP!W45</f>
        <v>1669932804545.0313</v>
      </c>
      <c r="X8" s="16">
        <f>'BIFUbC-coal pre-CHP'!X8+CHP!X45</f>
        <v>1675422215339.6169</v>
      </c>
      <c r="Y8" s="16">
        <f>'BIFUbC-coal pre-CHP'!Y8+CHP!Y45</f>
        <v>1680911626134.2043</v>
      </c>
      <c r="Z8" s="16">
        <f>'BIFUbC-coal pre-CHP'!Z8+CHP!Z45</f>
        <v>1686401036928.7917</v>
      </c>
      <c r="AA8" s="16">
        <f>'BIFUbC-coal pre-CHP'!AA8+CHP!AA45</f>
        <v>1691890447723.3792</v>
      </c>
      <c r="AB8" s="16">
        <f>'BIFUbC-coal pre-CHP'!AB8+CHP!AB45</f>
        <v>1697379858517.9648</v>
      </c>
      <c r="AC8" s="16">
        <f>'BIFUbC-coal pre-CHP'!AC8+CHP!AC45</f>
        <v>1702869269312.5522</v>
      </c>
      <c r="AD8" s="16">
        <f>'BIFUbC-coal pre-CHP'!AD8+CHP!AD45</f>
        <v>1708358680107.1396</v>
      </c>
      <c r="AE8" s="16">
        <f>'BIFUbC-coal pre-CHP'!AE8+CHP!AE45</f>
        <v>1713848090901.7268</v>
      </c>
      <c r="AF8" s="16">
        <f>'BIFUbC-coal pre-CHP'!AF8+CHP!AF45</f>
        <v>1719337501696.3142</v>
      </c>
    </row>
    <row r="9" spans="1:35">
      <c r="A9" t="s">
        <v>9</v>
      </c>
      <c r="B9" s="16">
        <f>'BIFUbC-coal pre-CHP'!B9+CHP!B46</f>
        <v>7447696057752.4131</v>
      </c>
      <c r="C9" s="16">
        <f>'BIFUbC-coal pre-CHP'!C9+CHP!C46</f>
        <v>7721386043786.2158</v>
      </c>
      <c r="D9" s="16">
        <f>'BIFUbC-coal pre-CHP'!D9+CHP!D46</f>
        <v>7995076029820.0156</v>
      </c>
      <c r="E9" s="16">
        <f>'BIFUbC-coal pre-CHP'!E9+CHP!E46</f>
        <v>8268766015853.8174</v>
      </c>
      <c r="F9" s="16">
        <f>'BIFUbC-coal pre-CHP'!F9+CHP!F46</f>
        <v>8542456001887.6191</v>
      </c>
      <c r="G9" s="16">
        <f>'BIFUbC-coal pre-CHP'!G9+CHP!G46</f>
        <v>8816145987921.418</v>
      </c>
      <c r="H9" s="16">
        <f>'BIFUbC-coal pre-CHP'!H9+CHP!H46</f>
        <v>8887146707775.5215</v>
      </c>
      <c r="I9" s="16">
        <f>'BIFUbC-coal pre-CHP'!I9+CHP!I46</f>
        <v>8958147427629.6211</v>
      </c>
      <c r="J9" s="16">
        <f>'BIFUbC-coal pre-CHP'!J9+CHP!J46</f>
        <v>9029148147483.7227</v>
      </c>
      <c r="K9" s="16">
        <f>'BIFUbC-coal pre-CHP'!K9+CHP!K46</f>
        <v>9100148867337.8223</v>
      </c>
      <c r="L9" s="16">
        <f>'BIFUbC-coal pre-CHP'!L9+CHP!L46</f>
        <v>9171149587191.9238</v>
      </c>
      <c r="M9" s="16">
        <f>'BIFUbC-coal pre-CHP'!M9+CHP!M46</f>
        <v>9208659401454.4668</v>
      </c>
      <c r="N9" s="16">
        <f>'BIFUbC-coal pre-CHP'!N9+CHP!N46</f>
        <v>9246169215717.0117</v>
      </c>
      <c r="O9" s="16">
        <f>'BIFUbC-coal pre-CHP'!O9+CHP!O46</f>
        <v>9283679029979.5547</v>
      </c>
      <c r="P9" s="16">
        <f>'BIFUbC-coal pre-CHP'!P9+CHP!P46</f>
        <v>9321188844242.0977</v>
      </c>
      <c r="Q9" s="16">
        <f>'BIFUbC-coal pre-CHP'!Q9+CHP!Q46</f>
        <v>9358698658504.6426</v>
      </c>
      <c r="R9" s="16">
        <f>'BIFUbC-coal pre-CHP'!R9+CHP!R46</f>
        <v>9385491382977.8848</v>
      </c>
      <c r="S9" s="16">
        <f>'BIFUbC-coal pre-CHP'!S9+CHP!S46</f>
        <v>9412284107451.1328</v>
      </c>
      <c r="T9" s="16">
        <f>'BIFUbC-coal pre-CHP'!T9+CHP!T46</f>
        <v>9439076831924.3789</v>
      </c>
      <c r="U9" s="16">
        <f>'BIFUbC-coal pre-CHP'!U9+CHP!U46</f>
        <v>9465869556397.623</v>
      </c>
      <c r="V9" s="16">
        <f>'BIFUbC-coal pre-CHP'!V9+CHP!V46</f>
        <v>9492662280870.8652</v>
      </c>
      <c r="W9" s="16">
        <f>'BIFUbC-coal pre-CHP'!W9+CHP!W46</f>
        <v>9533744458396.5176</v>
      </c>
      <c r="X9" s="16">
        <f>'BIFUbC-coal pre-CHP'!X9+CHP!X46</f>
        <v>9565083827022.791</v>
      </c>
      <c r="Y9" s="16">
        <f>'BIFUbC-coal pre-CHP'!Y9+CHP!Y46</f>
        <v>9596423195649.0762</v>
      </c>
      <c r="Z9" s="16">
        <f>'BIFUbC-coal pre-CHP'!Z9+CHP!Z46</f>
        <v>9627762564275.3574</v>
      </c>
      <c r="AA9" s="16">
        <f>'BIFUbC-coal pre-CHP'!AA9+CHP!AA46</f>
        <v>9659101932901.6406</v>
      </c>
      <c r="AB9" s="16">
        <f>'BIFUbC-coal pre-CHP'!AB9+CHP!AB46</f>
        <v>9690441301527.916</v>
      </c>
      <c r="AC9" s="16">
        <f>'BIFUbC-coal pre-CHP'!AC9+CHP!AC46</f>
        <v>9721780670154.1973</v>
      </c>
      <c r="AD9" s="16">
        <f>'BIFUbC-coal pre-CHP'!AD9+CHP!AD46</f>
        <v>9753120038780.4805</v>
      </c>
      <c r="AE9" s="16">
        <f>'BIFUbC-coal pre-CHP'!AE9+CHP!AE46</f>
        <v>9784459407406.7617</v>
      </c>
      <c r="AF9" s="16">
        <f>'BIFUbC-coal pre-CHP'!AF9+CHP!AF46</f>
        <v>9815798776033.0469</v>
      </c>
    </row>
    <row r="10" spans="1:35">
      <c r="A10" t="s">
        <v>10</v>
      </c>
      <c r="B10" s="16">
        <f>'BIFUbC-coal pre-CHP'!B10+CHP!B47</f>
        <v>0</v>
      </c>
      <c r="C10" s="16">
        <f>'BIFUbC-coal pre-CHP'!C10+CHP!C47</f>
        <v>0</v>
      </c>
      <c r="D10" s="16">
        <f>'BIFUbC-coal pre-CHP'!D10+CHP!D47</f>
        <v>0</v>
      </c>
      <c r="E10" s="16">
        <f>'BIFUbC-coal pre-CHP'!E10+CHP!E47</f>
        <v>0</v>
      </c>
      <c r="F10" s="16">
        <f>'BIFUbC-coal pre-CHP'!F10+CHP!F47</f>
        <v>0</v>
      </c>
      <c r="G10" s="16">
        <f>'BIFUbC-coal pre-CHP'!G10+CHP!G47</f>
        <v>0</v>
      </c>
      <c r="H10" s="16">
        <f>'BIFUbC-coal pre-CHP'!H10+CHP!H47</f>
        <v>0</v>
      </c>
      <c r="I10" s="16">
        <f>'BIFUbC-coal pre-CHP'!I10+CHP!I47</f>
        <v>0</v>
      </c>
      <c r="J10" s="16">
        <f>'BIFUbC-coal pre-CHP'!J10+CHP!J47</f>
        <v>0</v>
      </c>
      <c r="K10" s="16">
        <f>'BIFUbC-coal pre-CHP'!K10+CHP!K47</f>
        <v>0</v>
      </c>
      <c r="L10" s="16">
        <f>'BIFUbC-coal pre-CHP'!L10+CHP!L47</f>
        <v>0</v>
      </c>
      <c r="M10" s="16">
        <f>'BIFUbC-coal pre-CHP'!M10+CHP!M47</f>
        <v>0</v>
      </c>
      <c r="N10" s="16">
        <f>'BIFUbC-coal pre-CHP'!N10+CHP!N47</f>
        <v>0</v>
      </c>
      <c r="O10" s="16">
        <f>'BIFUbC-coal pre-CHP'!O10+CHP!O47</f>
        <v>0</v>
      </c>
      <c r="P10" s="16">
        <f>'BIFUbC-coal pre-CHP'!P10+CHP!P47</f>
        <v>0</v>
      </c>
      <c r="Q10" s="16">
        <f>'BIFUbC-coal pre-CHP'!Q10+CHP!Q47</f>
        <v>0</v>
      </c>
      <c r="R10" s="16">
        <f>'BIFUbC-coal pre-CHP'!R10+CHP!R47</f>
        <v>0</v>
      </c>
      <c r="S10" s="16">
        <f>'BIFUbC-coal pre-CHP'!S10+CHP!S47</f>
        <v>0</v>
      </c>
      <c r="T10" s="16">
        <f>'BIFUbC-coal pre-CHP'!T10+CHP!T47</f>
        <v>0</v>
      </c>
      <c r="U10" s="16">
        <f>'BIFUbC-coal pre-CHP'!U10+CHP!U47</f>
        <v>0</v>
      </c>
      <c r="V10" s="16">
        <f>'BIFUbC-coal pre-CHP'!V10+CHP!V47</f>
        <v>0</v>
      </c>
      <c r="W10" s="16">
        <f>'BIFUbC-coal pre-CHP'!W10+CHP!W47</f>
        <v>0</v>
      </c>
      <c r="X10" s="16">
        <f>'BIFUbC-coal pre-CHP'!X10+CHP!X47</f>
        <v>0</v>
      </c>
      <c r="Y10" s="16">
        <f>'BIFUbC-coal pre-CHP'!Y10+CHP!Y47</f>
        <v>0</v>
      </c>
      <c r="Z10" s="16">
        <f>'BIFUbC-coal pre-CHP'!Z10+CHP!Z47</f>
        <v>0</v>
      </c>
      <c r="AA10" s="16">
        <f>'BIFUbC-coal pre-CHP'!AA10+CHP!AA47</f>
        <v>0</v>
      </c>
      <c r="AB10" s="16">
        <f>'BIFUbC-coal pre-CHP'!AB10+CHP!AB47</f>
        <v>0</v>
      </c>
      <c r="AC10" s="16">
        <f>'BIFUbC-coal pre-CHP'!AC10+CHP!AC47</f>
        <v>0</v>
      </c>
      <c r="AD10" s="16">
        <f>'BIFUbC-coal pre-CHP'!AD10+CHP!AD47</f>
        <v>0</v>
      </c>
      <c r="AE10" s="16">
        <f>'BIFUbC-coal pre-CHP'!AE10+CHP!AE47</f>
        <v>0</v>
      </c>
      <c r="AF10" s="16">
        <f>'BIFUbC-coal pre-CHP'!AF10+CHP!AF47</f>
        <v>0</v>
      </c>
    </row>
    <row r="11" spans="1:35">
      <c r="A11" t="s">
        <v>11</v>
      </c>
      <c r="B11" s="16">
        <f>'BIFUbC-coal pre-CHP'!B11+CHP!B48</f>
        <v>30538012799198.793</v>
      </c>
      <c r="C11" s="16">
        <f>'BIFUbC-coal pre-CHP'!C11+CHP!C48</f>
        <v>28245505736073.109</v>
      </c>
      <c r="D11" s="16">
        <f>'BIFUbC-coal pre-CHP'!D11+CHP!D48</f>
        <v>26865151149093.371</v>
      </c>
      <c r="E11" s="16">
        <f>'BIFUbC-coal pre-CHP'!E11+CHP!E48</f>
        <v>25237360607640.785</v>
      </c>
      <c r="F11" s="16">
        <f>'BIFUbC-coal pre-CHP'!F11+CHP!F48</f>
        <v>24617494801740.168</v>
      </c>
      <c r="G11" s="16">
        <f>'BIFUbC-coal pre-CHP'!G11+CHP!G48</f>
        <v>24349651286857.98</v>
      </c>
      <c r="H11" s="16">
        <f>'BIFUbC-coal pre-CHP'!H11+CHP!H48</f>
        <v>24042136253385.301</v>
      </c>
      <c r="I11" s="16">
        <f>'BIFUbC-coal pre-CHP'!I11+CHP!I48</f>
        <v>23695362512141.578</v>
      </c>
      <c r="J11" s="16">
        <f>'BIFUbC-coal pre-CHP'!J11+CHP!J48</f>
        <v>23306700299686.73</v>
      </c>
      <c r="K11" s="16">
        <f>'BIFUbC-coal pre-CHP'!K11+CHP!K48</f>
        <v>22548060704397.082</v>
      </c>
      <c r="L11" s="16">
        <f>'BIFUbC-coal pre-CHP'!L11+CHP!L48</f>
        <v>21758088853991.613</v>
      </c>
      <c r="M11" s="16">
        <f>'BIFUbC-coal pre-CHP'!M11+CHP!M48</f>
        <v>21600773823242.469</v>
      </c>
      <c r="N11" s="16">
        <f>'BIFUbC-coal pre-CHP'!N11+CHP!N48</f>
        <v>21442987881031.008</v>
      </c>
      <c r="O11" s="16">
        <f>'BIFUbC-coal pre-CHP'!O11+CHP!O48</f>
        <v>21284722975842.289</v>
      </c>
      <c r="P11" s="16">
        <f>'BIFUbC-coal pre-CHP'!P11+CHP!P48</f>
        <v>21125970821605.504</v>
      </c>
      <c r="Q11" s="16">
        <f>'BIFUbC-coal pre-CHP'!Q11+CHP!Q48</f>
        <v>20658419281705.387</v>
      </c>
      <c r="R11" s="16">
        <f>'BIFUbC-coal pre-CHP'!R11+CHP!R48</f>
        <v>20583122513470.391</v>
      </c>
      <c r="S11" s="16">
        <f>'BIFUbC-coal pre-CHP'!S11+CHP!S48</f>
        <v>20507825745235.406</v>
      </c>
      <c r="T11" s="16">
        <f>'BIFUbC-coal pre-CHP'!T11+CHP!T48</f>
        <v>20432528977000.41</v>
      </c>
      <c r="U11" s="16">
        <f>'BIFUbC-coal pre-CHP'!U11+CHP!U48</f>
        <v>20357232208765.426</v>
      </c>
      <c r="V11" s="16">
        <f>'BIFUbC-coal pre-CHP'!V11+CHP!V48</f>
        <v>20281935440530.414</v>
      </c>
      <c r="W11" s="16">
        <f>'BIFUbC-coal pre-CHP'!W11+CHP!W48</f>
        <v>20231034077304.188</v>
      </c>
      <c r="X11" s="16">
        <f>'BIFUbC-coal pre-CHP'!X11+CHP!X48</f>
        <v>20180132714077.961</v>
      </c>
      <c r="Y11" s="16">
        <f>'BIFUbC-coal pre-CHP'!Y11+CHP!Y48</f>
        <v>20129231350851.738</v>
      </c>
      <c r="Z11" s="16">
        <f>'BIFUbC-coal pre-CHP'!Z11+CHP!Z48</f>
        <v>20078329987625.512</v>
      </c>
      <c r="AA11" s="16">
        <f>'BIFUbC-coal pre-CHP'!AA11+CHP!AA48</f>
        <v>20027428624399.281</v>
      </c>
      <c r="AB11" s="16">
        <f>'BIFUbC-coal pre-CHP'!AB11+CHP!AB48</f>
        <v>19976527261173.059</v>
      </c>
      <c r="AC11" s="16">
        <f>'BIFUbC-coal pre-CHP'!AC11+CHP!AC48</f>
        <v>19925625897946.836</v>
      </c>
      <c r="AD11" s="16">
        <f>'BIFUbC-coal pre-CHP'!AD11+CHP!AD48</f>
        <v>19874724534720.605</v>
      </c>
      <c r="AE11" s="16">
        <f>'BIFUbC-coal pre-CHP'!AE11+CHP!AE48</f>
        <v>19823823171494.379</v>
      </c>
      <c r="AF11" s="16">
        <f>'BIFUbC-coal pre-CHP'!AF11+CHP!AF48</f>
        <v>19772921808268.141</v>
      </c>
    </row>
    <row r="12" spans="1:35">
      <c r="A12" t="s">
        <v>12</v>
      </c>
      <c r="B12" s="16">
        <f>'BIFUbC-coal pre-CHP'!B12+CHP!B49</f>
        <v>26347609779096.238</v>
      </c>
      <c r="C12" s="16">
        <f>'BIFUbC-coal pre-CHP'!C12+CHP!C49</f>
        <v>24685694492301.664</v>
      </c>
      <c r="D12" s="16">
        <f>'BIFUbC-coal pre-CHP'!D12+CHP!D49</f>
        <v>23479307467632.07</v>
      </c>
      <c r="E12" s="16">
        <f>'BIFUbC-coal pre-CHP'!E12+CHP!E49</f>
        <v>22056669106002.816</v>
      </c>
      <c r="F12" s="16">
        <f>'BIFUbC-coal pre-CHP'!F12+CHP!F49</f>
        <v>21514925649409.484</v>
      </c>
      <c r="G12" s="16">
        <f>'BIFUbC-coal pre-CHP'!G12+CHP!G49</f>
        <v>21280838738666.66</v>
      </c>
      <c r="H12" s="16">
        <f>'BIFUbC-coal pre-CHP'!H12+CHP!H49</f>
        <v>21012080153175.965</v>
      </c>
      <c r="I12" s="16">
        <f>'BIFUbC-coal pre-CHP'!I12+CHP!I49</f>
        <v>20709010676768.523</v>
      </c>
      <c r="J12" s="16">
        <f>'BIFUbC-coal pre-CHP'!J12+CHP!J49</f>
        <v>20369331977898.238</v>
      </c>
      <c r="K12" s="16">
        <f>'BIFUbC-coal pre-CHP'!K12+CHP!K49</f>
        <v>19583386438655.094</v>
      </c>
      <c r="L12" s="16">
        <f>'BIFUbC-coal pre-CHP'!L12+CHP!L49</f>
        <v>18775182126559.355</v>
      </c>
      <c r="M12" s="16">
        <f>'BIFUbC-coal pre-CHP'!M12+CHP!M49</f>
        <v>18639434066452.563</v>
      </c>
      <c r="N12" s="16">
        <f>'BIFUbC-coal pre-CHP'!N12+CHP!N49</f>
        <v>18503279654090.777</v>
      </c>
      <c r="O12" s="16">
        <f>'BIFUbC-coal pre-CHP'!O12+CHP!O49</f>
        <v>18366711941774.637</v>
      </c>
      <c r="P12" s="16">
        <f>'BIFUbC-coal pre-CHP'!P12+CHP!P49</f>
        <v>18229723779405.195</v>
      </c>
      <c r="Q12" s="16">
        <f>'BIFUbC-coal pre-CHP'!Q12+CHP!Q49</f>
        <v>17706881726718.148</v>
      </c>
      <c r="R12" s="16">
        <f>'BIFUbC-coal pre-CHP'!R12+CHP!R49</f>
        <v>17618189884779.109</v>
      </c>
      <c r="S12" s="16">
        <f>'BIFUbC-coal pre-CHP'!S12+CHP!S49</f>
        <v>17529498042840.092</v>
      </c>
      <c r="T12" s="16">
        <f>'BIFUbC-coal pre-CHP'!T12+CHP!T49</f>
        <v>17440806200901.061</v>
      </c>
      <c r="U12" s="16">
        <f>'BIFUbC-coal pre-CHP'!U12+CHP!U49</f>
        <v>17352114358962.027</v>
      </c>
      <c r="V12" s="16">
        <f>'BIFUbC-coal pre-CHP'!V12+CHP!V49</f>
        <v>17263422517022.977</v>
      </c>
      <c r="W12" s="16">
        <f>'BIFUbC-coal pre-CHP'!W12+CHP!W49</f>
        <v>17207961058105.795</v>
      </c>
      <c r="X12" s="16">
        <f>'BIFUbC-coal pre-CHP'!X12+CHP!X49</f>
        <v>17152499599188.615</v>
      </c>
      <c r="Y12" s="16">
        <f>'BIFUbC-coal pre-CHP'!Y12+CHP!Y49</f>
        <v>17097038140271.436</v>
      </c>
      <c r="Z12" s="16">
        <f>'BIFUbC-coal pre-CHP'!Z12+CHP!Z49</f>
        <v>17041576681354.254</v>
      </c>
      <c r="AA12" s="16">
        <f>'BIFUbC-coal pre-CHP'!AA12+CHP!AA49</f>
        <v>16986115222437.07</v>
      </c>
      <c r="AB12" s="16">
        <f>'BIFUbC-coal pre-CHP'!AB12+CHP!AB49</f>
        <v>16930653763519.891</v>
      </c>
      <c r="AC12" s="16">
        <f>'BIFUbC-coal pre-CHP'!AC12+CHP!AC49</f>
        <v>16875192304602.709</v>
      </c>
      <c r="AD12" s="16">
        <f>'BIFUbC-coal pre-CHP'!AD12+CHP!AD49</f>
        <v>16819730845685.527</v>
      </c>
      <c r="AE12" s="16">
        <f>'BIFUbC-coal pre-CHP'!AE12+CHP!AE49</f>
        <v>16764269386768.346</v>
      </c>
      <c r="AF12" s="16">
        <f>'BIFUbC-coal pre-CHP'!AF12+CHP!AF49</f>
        <v>16708807927851.156</v>
      </c>
    </row>
    <row r="13" spans="1:35">
      <c r="A13" t="s">
        <v>13</v>
      </c>
      <c r="B13" s="16">
        <f>'BIFUbC-coal pre-CHP'!B13+CHP!B50</f>
        <v>2504881200512.1089</v>
      </c>
      <c r="C13" s="16">
        <f>'BIFUbC-coal pre-CHP'!C13+CHP!C50</f>
        <v>2596931264782.7739</v>
      </c>
      <c r="D13" s="16">
        <f>'BIFUbC-coal pre-CHP'!D13+CHP!D50</f>
        <v>2688981329053.439</v>
      </c>
      <c r="E13" s="16">
        <f>'BIFUbC-coal pre-CHP'!E13+CHP!E50</f>
        <v>2781031393324.104</v>
      </c>
      <c r="F13" s="16">
        <f>'BIFUbC-coal pre-CHP'!F13+CHP!F50</f>
        <v>2873081457594.7695</v>
      </c>
      <c r="G13" s="16">
        <f>'BIFUbC-coal pre-CHP'!G13+CHP!G50</f>
        <v>2965131521865.4351</v>
      </c>
      <c r="H13" s="16">
        <f>'BIFUbC-coal pre-CHP'!H13+CHP!H50</f>
        <v>2989011170955.0674</v>
      </c>
      <c r="I13" s="16">
        <f>'BIFUbC-coal pre-CHP'!I13+CHP!I50</f>
        <v>3012890820044.6997</v>
      </c>
      <c r="J13" s="16">
        <f>'BIFUbC-coal pre-CHP'!J13+CHP!J50</f>
        <v>3036770469134.332</v>
      </c>
      <c r="K13" s="16">
        <f>'BIFUbC-coal pre-CHP'!K13+CHP!K50</f>
        <v>3060650118223.9639</v>
      </c>
      <c r="L13" s="16">
        <f>'BIFUbC-coal pre-CHP'!L13+CHP!L50</f>
        <v>3084529767313.5952</v>
      </c>
      <c r="M13" s="16">
        <f>'BIFUbC-coal pre-CHP'!M13+CHP!M50</f>
        <v>3097145430983.5898</v>
      </c>
      <c r="N13" s="16">
        <f>'BIFUbC-coal pre-CHP'!N13+CHP!N50</f>
        <v>3109761094653.5845</v>
      </c>
      <c r="O13" s="16">
        <f>'BIFUbC-coal pre-CHP'!O13+CHP!O50</f>
        <v>3122376758323.5786</v>
      </c>
      <c r="P13" s="16">
        <f>'BIFUbC-coal pre-CHP'!P13+CHP!P50</f>
        <v>3134992421993.5723</v>
      </c>
      <c r="Q13" s="16">
        <f>'BIFUbC-coal pre-CHP'!Q13+CHP!Q50</f>
        <v>3147608085663.5674</v>
      </c>
      <c r="R13" s="16">
        <f>'BIFUbC-coal pre-CHP'!R13+CHP!R50</f>
        <v>3156619273999.2769</v>
      </c>
      <c r="S13" s="16">
        <f>'BIFUbC-coal pre-CHP'!S13+CHP!S50</f>
        <v>3165630462334.9873</v>
      </c>
      <c r="T13" s="16">
        <f>'BIFUbC-coal pre-CHP'!T13+CHP!T50</f>
        <v>3174641650670.6973</v>
      </c>
      <c r="U13" s="16">
        <f>'BIFUbC-coal pre-CHP'!U13+CHP!U50</f>
        <v>3183652839006.4077</v>
      </c>
      <c r="V13" s="16">
        <f>'BIFUbC-coal pre-CHP'!V13+CHP!V50</f>
        <v>3192664027342.1172</v>
      </c>
      <c r="W13" s="16">
        <f>'BIFUbC-coal pre-CHP'!W13+CHP!W50</f>
        <v>3206481182790.2085</v>
      </c>
      <c r="X13" s="16">
        <f>'BIFUbC-coal pre-CHP'!X13+CHP!X50</f>
        <v>3217021542479.855</v>
      </c>
      <c r="Y13" s="16">
        <f>'BIFUbC-coal pre-CHP'!Y13+CHP!Y50</f>
        <v>3227561902169.5044</v>
      </c>
      <c r="Z13" s="16">
        <f>'BIFUbC-coal pre-CHP'!Z13+CHP!Z50</f>
        <v>3238102261859.1543</v>
      </c>
      <c r="AA13" s="16">
        <f>'BIFUbC-coal pre-CHP'!AA13+CHP!AA50</f>
        <v>3248642621548.8037</v>
      </c>
      <c r="AB13" s="16">
        <f>'BIFUbC-coal pre-CHP'!AB13+CHP!AB50</f>
        <v>3259182981238.4502</v>
      </c>
      <c r="AC13" s="16">
        <f>'BIFUbC-coal pre-CHP'!AC13+CHP!AC50</f>
        <v>3269723340928.0996</v>
      </c>
      <c r="AD13" s="16">
        <f>'BIFUbC-coal pre-CHP'!AD13+CHP!AD50</f>
        <v>3280263700617.749</v>
      </c>
      <c r="AE13" s="16">
        <f>'BIFUbC-coal pre-CHP'!AE13+CHP!AE50</f>
        <v>3290804060307.3984</v>
      </c>
      <c r="AF13" s="16">
        <f>'BIFUbC-coal pre-CHP'!AF13+CHP!AF50</f>
        <v>3301344419997.0479</v>
      </c>
    </row>
    <row r="14" spans="1:35">
      <c r="A14" t="s">
        <v>14</v>
      </c>
      <c r="B14" s="16">
        <f>'BIFUbC-coal pre-CHP'!B14+CHP!B51</f>
        <v>78365143230836.656</v>
      </c>
      <c r="C14" s="16">
        <f>'BIFUbC-coal pre-CHP'!C14+CHP!C51</f>
        <v>85537660370790.688</v>
      </c>
      <c r="D14" s="16">
        <f>'BIFUbC-coal pre-CHP'!D14+CHP!D51</f>
        <v>92710177510744.719</v>
      </c>
      <c r="E14" s="16">
        <f>'BIFUbC-coal pre-CHP'!E14+CHP!E51</f>
        <v>99882694650698.75</v>
      </c>
      <c r="F14" s="16">
        <f>'BIFUbC-coal pre-CHP'!F14+CHP!F51</f>
        <v>107055211790652.78</v>
      </c>
      <c r="G14" s="16">
        <f>'BIFUbC-coal pre-CHP'!G14+CHP!G51</f>
        <v>114227728930606.81</v>
      </c>
      <c r="H14" s="16">
        <f>'BIFUbC-coal pre-CHP'!H14+CHP!H51</f>
        <v>116789268043015.61</v>
      </c>
      <c r="I14" s="16">
        <f>'BIFUbC-coal pre-CHP'!I14+CHP!I51</f>
        <v>119350807155424.47</v>
      </c>
      <c r="J14" s="16">
        <f>'BIFUbC-coal pre-CHP'!J14+CHP!J51</f>
        <v>121912346267833.33</v>
      </c>
      <c r="K14" s="16">
        <f>'BIFUbC-coal pre-CHP'!K14+CHP!K51</f>
        <v>124473885380242.19</v>
      </c>
      <c r="L14" s="16">
        <f>'BIFUbC-coal pre-CHP'!L14+CHP!L51</f>
        <v>127035424492651.06</v>
      </c>
      <c r="M14" s="16">
        <f>'BIFUbC-coal pre-CHP'!M14+CHP!M51</f>
        <v>128807127915575.22</v>
      </c>
      <c r="N14" s="16">
        <f>'BIFUbC-coal pre-CHP'!N14+CHP!N51</f>
        <v>130578831338499.38</v>
      </c>
      <c r="O14" s="16">
        <f>'BIFUbC-coal pre-CHP'!O14+CHP!O51</f>
        <v>132350534761423.55</v>
      </c>
      <c r="P14" s="16">
        <f>'BIFUbC-coal pre-CHP'!P14+CHP!P51</f>
        <v>134122238184347.7</v>
      </c>
      <c r="Q14" s="16">
        <f>'BIFUbC-coal pre-CHP'!Q14+CHP!Q51</f>
        <v>135893941607271.91</v>
      </c>
      <c r="R14" s="16">
        <f>'BIFUbC-coal pre-CHP'!R14+CHP!R51</f>
        <v>137039787866347.5</v>
      </c>
      <c r="S14" s="16">
        <f>'BIFUbC-coal pre-CHP'!S14+CHP!S51</f>
        <v>138185634125423.14</v>
      </c>
      <c r="T14" s="16">
        <f>'BIFUbC-coal pre-CHP'!T14+CHP!T51</f>
        <v>139331480384498.78</v>
      </c>
      <c r="U14" s="16">
        <f>'BIFUbC-coal pre-CHP'!U14+CHP!U51</f>
        <v>140477326643574.42</v>
      </c>
      <c r="V14" s="16">
        <f>'BIFUbC-coal pre-CHP'!V14+CHP!V51</f>
        <v>141623172902650.03</v>
      </c>
      <c r="W14" s="16">
        <f>'BIFUbC-coal pre-CHP'!W14+CHP!W51</f>
        <v>143603495380190.41</v>
      </c>
      <c r="X14" s="16">
        <f>'BIFUbC-coal pre-CHP'!X14+CHP!X51</f>
        <v>145014856799686.5</v>
      </c>
      <c r="Y14" s="16">
        <f>'BIFUbC-coal pre-CHP'!Y14+CHP!Y51</f>
        <v>146426218219183.06</v>
      </c>
      <c r="Z14" s="16">
        <f>'BIFUbC-coal pre-CHP'!Z14+CHP!Z51</f>
        <v>147837579638679.16</v>
      </c>
      <c r="AA14" s="16">
        <f>'BIFUbC-coal pre-CHP'!AA14+CHP!AA51</f>
        <v>149248941058175.25</v>
      </c>
      <c r="AB14" s="16">
        <f>'BIFUbC-coal pre-CHP'!AB14+CHP!AB51</f>
        <v>150660302477671.34</v>
      </c>
      <c r="AC14" s="16">
        <f>'BIFUbC-coal pre-CHP'!AC14+CHP!AC51</f>
        <v>152071663897167.91</v>
      </c>
      <c r="AD14" s="16">
        <f>'BIFUbC-coal pre-CHP'!AD14+CHP!AD51</f>
        <v>153483025316664.03</v>
      </c>
      <c r="AE14" s="16">
        <f>'BIFUbC-coal pre-CHP'!AE14+CHP!AE51</f>
        <v>154894386736160.13</v>
      </c>
      <c r="AF14" s="16">
        <f>'BIFUbC-coal pre-CHP'!AF14+CHP!AF51</f>
        <v>156305748155656.66</v>
      </c>
    </row>
    <row r="15" spans="1:35">
      <c r="A15" t="s">
        <v>15</v>
      </c>
      <c r="B15" s="16">
        <f>'BIFUbC-coal pre-CHP'!B15+CHP!B52</f>
        <v>760782019909150.75</v>
      </c>
      <c r="C15" s="16">
        <f>'BIFUbC-coal pre-CHP'!C15+CHP!C52</f>
        <v>790475736751233.63</v>
      </c>
      <c r="D15" s="16">
        <f>'BIFUbC-coal pre-CHP'!D15+CHP!D52</f>
        <v>728941086028557.75</v>
      </c>
      <c r="E15" s="16">
        <f>'BIFUbC-coal pre-CHP'!E15+CHP!E52</f>
        <v>732379530664296.88</v>
      </c>
      <c r="F15" s="16">
        <f>'BIFUbC-coal pre-CHP'!F15+CHP!F52</f>
        <v>732657428802675.13</v>
      </c>
      <c r="G15" s="16">
        <f>'BIFUbC-coal pre-CHP'!G15+CHP!G52</f>
        <v>732657428802675.13</v>
      </c>
      <c r="H15" s="16">
        <f>'BIFUbC-coal pre-CHP'!H15+CHP!H52</f>
        <v>732657428802675.13</v>
      </c>
      <c r="I15" s="16">
        <f>'BIFUbC-coal pre-CHP'!I15+CHP!I52</f>
        <v>655586099764412.88</v>
      </c>
      <c r="J15" s="16">
        <f>'BIFUbC-coal pre-CHP'!J15+CHP!J52</f>
        <v>602430071990000.25</v>
      </c>
      <c r="K15" s="16">
        <f>'BIFUbC-coal pre-CHP'!K15+CHP!K52</f>
        <v>588511571764796.38</v>
      </c>
      <c r="L15" s="16">
        <f>'BIFUbC-coal pre-CHP'!L15+CHP!L52</f>
        <v>604730407764383.38</v>
      </c>
      <c r="M15" s="16">
        <f>'BIFUbC-coal pre-CHP'!M15+CHP!M52</f>
        <v>534361266535055.44</v>
      </c>
      <c r="N15" s="16">
        <f>'BIFUbC-coal pre-CHP'!N15+CHP!N52</f>
        <v>535507794206701.69</v>
      </c>
      <c r="O15" s="16">
        <f>'BIFUbC-coal pre-CHP'!O15+CHP!O52</f>
        <v>538766041897019.56</v>
      </c>
      <c r="P15" s="16">
        <f>'BIFUbC-coal pre-CHP'!P15+CHP!P52</f>
        <v>467403700194924.88</v>
      </c>
      <c r="Q15" s="16">
        <f>'BIFUbC-coal pre-CHP'!Q15+CHP!Q52</f>
        <v>477919276575907.63</v>
      </c>
      <c r="R15" s="16">
        <f>'BIFUbC-coal pre-CHP'!R15+CHP!R52</f>
        <v>477919276575907.63</v>
      </c>
      <c r="S15" s="16">
        <f>'BIFUbC-coal pre-CHP'!S15+CHP!S52</f>
        <v>477919276575907.63</v>
      </c>
      <c r="T15" s="16">
        <f>'BIFUbC-coal pre-CHP'!T15+CHP!T52</f>
        <v>429939767172850.13</v>
      </c>
      <c r="U15" s="16">
        <f>'BIFUbC-coal pre-CHP'!U15+CHP!U52</f>
        <v>251474977346122.56</v>
      </c>
      <c r="V15" s="16">
        <f>'BIFUbC-coal pre-CHP'!V15+CHP!V52</f>
        <v>256905390163318.94</v>
      </c>
      <c r="W15" s="16">
        <f>'BIFUbC-coal pre-CHP'!W15+CHP!W52</f>
        <v>186468087826085.59</v>
      </c>
      <c r="X15" s="16">
        <f>'BIFUbC-coal pre-CHP'!X15+CHP!X52</f>
        <v>122962401585914.53</v>
      </c>
      <c r="Y15" s="16">
        <f>'BIFUbC-coal pre-CHP'!Y15+CHP!Y52</f>
        <v>53683172009091.219</v>
      </c>
      <c r="Z15" s="16">
        <f>'BIFUbC-coal pre-CHP'!Z15+CHP!Z52</f>
        <v>53683172009091.219</v>
      </c>
      <c r="AA15" s="16">
        <f>'BIFUbC-coal pre-CHP'!AA15+CHP!AA52</f>
        <v>55855337135969.789</v>
      </c>
      <c r="AB15" s="16">
        <f>'BIFUbC-coal pre-CHP'!AB15+CHP!AB52</f>
        <v>55855337135969.789</v>
      </c>
      <c r="AC15" s="16">
        <f>'BIFUbC-coal pre-CHP'!AC15+CHP!AC52</f>
        <v>59113584826287.617</v>
      </c>
      <c r="AD15" s="16">
        <f>'BIFUbC-coal pre-CHP'!AD15+CHP!AD52</f>
        <v>59113584826287.617</v>
      </c>
      <c r="AE15" s="16">
        <f>'BIFUbC-coal pre-CHP'!AE15+CHP!AE52</f>
        <v>59113584826287.617</v>
      </c>
      <c r="AF15" s="16">
        <f>'BIFUbC-coal pre-CHP'!AF15+CHP!AF52</f>
        <v>59113584826287.617</v>
      </c>
    </row>
    <row r="16" spans="1:35">
      <c r="A16" t="s">
        <v>16</v>
      </c>
      <c r="B16" s="16">
        <f>'BIFUbC-coal pre-CHP'!B16+CHP!B53</f>
        <v>82899338926845.016</v>
      </c>
      <c r="C16" s="16">
        <f>'BIFUbC-coal pre-CHP'!C16+CHP!C53</f>
        <v>83720680212635.016</v>
      </c>
      <c r="D16" s="16">
        <f>'BIFUbC-coal pre-CHP'!D16+CHP!D53</f>
        <v>87006045355795.047</v>
      </c>
      <c r="E16" s="16">
        <f>'BIFUbC-coal pre-CHP'!E16+CHP!E53</f>
        <v>85363362784215.031</v>
      </c>
      <c r="F16" s="16">
        <f>'BIFUbC-coal pre-CHP'!F16+CHP!F53</f>
        <v>86184704070005.047</v>
      </c>
      <c r="G16" s="16">
        <f>'BIFUbC-coal pre-CHP'!G16+CHP!G53</f>
        <v>87006045355795.047</v>
      </c>
      <c r="H16" s="16">
        <f>'BIFUbC-coal pre-CHP'!H16+CHP!H53</f>
        <v>86395729189577.297</v>
      </c>
      <c r="I16" s="16">
        <f>'BIFUbC-coal pre-CHP'!I16+CHP!I53</f>
        <v>85785413023359.547</v>
      </c>
      <c r="J16" s="16">
        <f>'BIFUbC-coal pre-CHP'!J16+CHP!J53</f>
        <v>85175096857141.797</v>
      </c>
      <c r="K16" s="16">
        <f>'BIFUbC-coal pre-CHP'!K16+CHP!K53</f>
        <v>84564780690924.047</v>
      </c>
      <c r="L16" s="16">
        <f>'BIFUbC-coal pre-CHP'!L16+CHP!L53</f>
        <v>83954464524706.281</v>
      </c>
      <c r="M16" s="16">
        <f>'BIFUbC-coal pre-CHP'!M16+CHP!M53</f>
        <v>83300500330697.703</v>
      </c>
      <c r="N16" s="16">
        <f>'BIFUbC-coal pre-CHP'!N16+CHP!N53</f>
        <v>82646536136689.141</v>
      </c>
      <c r="O16" s="16">
        <f>'BIFUbC-coal pre-CHP'!O16+CHP!O53</f>
        <v>81992571942680.563</v>
      </c>
      <c r="P16" s="16">
        <f>'BIFUbC-coal pre-CHP'!P16+CHP!P53</f>
        <v>81338607748671.969</v>
      </c>
      <c r="Q16" s="16">
        <f>'BIFUbC-coal pre-CHP'!Q16+CHP!Q53</f>
        <v>80684643554663.391</v>
      </c>
      <c r="R16" s="16">
        <f>'BIFUbC-coal pre-CHP'!R16+CHP!R53</f>
        <v>80148054083182.797</v>
      </c>
      <c r="S16" s="16">
        <f>'BIFUbC-coal pre-CHP'!S16+CHP!S53</f>
        <v>79611464611702.172</v>
      </c>
      <c r="T16" s="16">
        <f>'BIFUbC-coal pre-CHP'!T16+CHP!T53</f>
        <v>79074875140221.578</v>
      </c>
      <c r="U16" s="16">
        <f>'BIFUbC-coal pre-CHP'!U16+CHP!U53</f>
        <v>78538285668740.969</v>
      </c>
      <c r="V16" s="16">
        <f>'BIFUbC-coal pre-CHP'!V16+CHP!V53</f>
        <v>78001696197260.359</v>
      </c>
      <c r="W16" s="16">
        <f>'BIFUbC-coal pre-CHP'!W16+CHP!W53</f>
        <v>77308607095742.453</v>
      </c>
      <c r="X16" s="16">
        <f>'BIFUbC-coal pre-CHP'!X16+CHP!X53</f>
        <v>76722222287431.688</v>
      </c>
      <c r="Y16" s="16">
        <f>'BIFUbC-coal pre-CHP'!Y16+CHP!Y53</f>
        <v>76135837479121.172</v>
      </c>
      <c r="Z16" s="16">
        <f>'BIFUbC-coal pre-CHP'!Z16+CHP!Z53</f>
        <v>75549452670810.391</v>
      </c>
      <c r="AA16" s="16">
        <f>'BIFUbC-coal pre-CHP'!AA16+CHP!AA53</f>
        <v>74963067862499.859</v>
      </c>
      <c r="AB16" s="16">
        <f>'BIFUbC-coal pre-CHP'!AB16+CHP!AB53</f>
        <v>74376683054189.109</v>
      </c>
      <c r="AC16" s="16">
        <f>'BIFUbC-coal pre-CHP'!AC16+CHP!AC53</f>
        <v>73790298245878.578</v>
      </c>
      <c r="AD16" s="16">
        <f>'BIFUbC-coal pre-CHP'!AD16+CHP!AD53</f>
        <v>73203913437567.813</v>
      </c>
      <c r="AE16" s="16">
        <f>'BIFUbC-coal pre-CHP'!AE16+CHP!AE53</f>
        <v>72617528629257.047</v>
      </c>
      <c r="AF16" s="16">
        <f>'BIFUbC-coal pre-CHP'!AF16+CHP!AF53</f>
        <v>72031143820946.516</v>
      </c>
    </row>
    <row r="17" spans="1:32">
      <c r="A17" t="s">
        <v>17</v>
      </c>
      <c r="B17" s="16">
        <f>'BIFUbC-coal pre-CHP'!B17+CHP!B54</f>
        <v>8739994441016.5117</v>
      </c>
      <c r="C17" s="16">
        <f>'BIFUbC-coal pre-CHP'!C17+CHP!C54</f>
        <v>8963544463990.6641</v>
      </c>
      <c r="D17" s="16">
        <f>'BIFUbC-coal pre-CHP'!D17+CHP!D54</f>
        <v>9857744555887.2695</v>
      </c>
      <c r="E17" s="16">
        <f>'BIFUbC-coal pre-CHP'!E17+CHP!E54</f>
        <v>9410644509938.9668</v>
      </c>
      <c r="F17" s="16">
        <f>'BIFUbC-coal pre-CHP'!F17+CHP!F54</f>
        <v>9634194532913.1191</v>
      </c>
      <c r="G17" s="16">
        <f>'BIFUbC-coal pre-CHP'!G17+CHP!G54</f>
        <v>9857744555887.2695</v>
      </c>
      <c r="H17" s="16">
        <f>'BIFUbC-coal pre-CHP'!H17+CHP!H54</f>
        <v>9893780326570.2656</v>
      </c>
      <c r="I17" s="16">
        <f>'BIFUbC-coal pre-CHP'!I17+CHP!I54</f>
        <v>9929816097253.2656</v>
      </c>
      <c r="J17" s="16">
        <f>'BIFUbC-coal pre-CHP'!J17+CHP!J54</f>
        <v>9965851867936.2617</v>
      </c>
      <c r="K17" s="16">
        <f>'BIFUbC-coal pre-CHP'!K17+CHP!K54</f>
        <v>10001887638619.258</v>
      </c>
      <c r="L17" s="16">
        <f>'BIFUbC-coal pre-CHP'!L17+CHP!L54</f>
        <v>10037923409302.258</v>
      </c>
      <c r="M17" s="16">
        <f>'BIFUbC-coal pre-CHP'!M17+CHP!M54</f>
        <v>10062674121573.129</v>
      </c>
      <c r="N17" s="16">
        <f>'BIFUbC-coal pre-CHP'!N17+CHP!N54</f>
        <v>10087424833844</v>
      </c>
      <c r="O17" s="16">
        <f>'BIFUbC-coal pre-CHP'!O17+CHP!O54</f>
        <v>10112175546114.873</v>
      </c>
      <c r="P17" s="16">
        <f>'BIFUbC-coal pre-CHP'!P17+CHP!P54</f>
        <v>10136926258385.744</v>
      </c>
      <c r="Q17" s="16">
        <f>'BIFUbC-coal pre-CHP'!Q17+CHP!Q54</f>
        <v>10161676970656.619</v>
      </c>
      <c r="R17" s="16">
        <f>'BIFUbC-coal pre-CHP'!R17+CHP!R54</f>
        <v>10193751622039.375</v>
      </c>
      <c r="S17" s="16">
        <f>'BIFUbC-coal pre-CHP'!S17+CHP!S54</f>
        <v>10225826273422.133</v>
      </c>
      <c r="T17" s="16">
        <f>'BIFUbC-coal pre-CHP'!T17+CHP!T54</f>
        <v>10257900924804.891</v>
      </c>
      <c r="U17" s="16">
        <f>'BIFUbC-coal pre-CHP'!U17+CHP!U54</f>
        <v>10289975576187.648</v>
      </c>
      <c r="V17" s="16">
        <f>'BIFUbC-coal pre-CHP'!V17+CHP!V54</f>
        <v>10322050227570.406</v>
      </c>
      <c r="W17" s="16">
        <f>'BIFUbC-coal pre-CHP'!W17+CHP!W54</f>
        <v>10344359626803.984</v>
      </c>
      <c r="X17" s="16">
        <f>'BIFUbC-coal pre-CHP'!X17+CHP!X54</f>
        <v>10373327152502.904</v>
      </c>
      <c r="Y17" s="16">
        <f>'BIFUbC-coal pre-CHP'!Y17+CHP!Y54</f>
        <v>10402294678201.834</v>
      </c>
      <c r="Z17" s="16">
        <f>'BIFUbC-coal pre-CHP'!Z17+CHP!Z54</f>
        <v>10431262203900.754</v>
      </c>
      <c r="AA17" s="16">
        <f>'BIFUbC-coal pre-CHP'!AA17+CHP!AA54</f>
        <v>10460229729599.682</v>
      </c>
      <c r="AB17" s="16">
        <f>'BIFUbC-coal pre-CHP'!AB17+CHP!AB54</f>
        <v>10489197255298.623</v>
      </c>
      <c r="AC17" s="16">
        <f>'BIFUbC-coal pre-CHP'!AC17+CHP!AC54</f>
        <v>10518164780997.551</v>
      </c>
      <c r="AD17" s="16">
        <f>'BIFUbC-coal pre-CHP'!AD17+CHP!AD54</f>
        <v>10547132306696.471</v>
      </c>
      <c r="AE17" s="16">
        <f>'BIFUbC-coal pre-CHP'!AE17+CHP!AE54</f>
        <v>10576099832395.391</v>
      </c>
      <c r="AF17" s="16">
        <f>'BIFUbC-coal pre-CHP'!AF17+CHP!AF54</f>
        <v>10605067358094.32</v>
      </c>
    </row>
    <row r="18" spans="1:32">
      <c r="A18" t="s">
        <v>18</v>
      </c>
      <c r="B18" s="16">
        <f>'BIFUbC-coal pre-CHP'!B18+CHP!B55</f>
        <v>46379434612386.43</v>
      </c>
      <c r="C18" s="16">
        <f>'BIFUbC-coal pre-CHP'!C18+CHP!C55</f>
        <v>48488716789319.57</v>
      </c>
      <c r="D18" s="16">
        <f>'BIFUbC-coal pre-CHP'!D18+CHP!D55</f>
        <v>56925845497052.156</v>
      </c>
      <c r="E18" s="16">
        <f>'BIFUbC-coal pre-CHP'!E18+CHP!E55</f>
        <v>52707281143185.867</v>
      </c>
      <c r="F18" s="16">
        <f>'BIFUbC-coal pre-CHP'!F18+CHP!F55</f>
        <v>54816563320119.016</v>
      </c>
      <c r="G18" s="16">
        <f>'BIFUbC-coal pre-CHP'!G18+CHP!G55</f>
        <v>56925845497052.156</v>
      </c>
      <c r="H18" s="16">
        <f>'BIFUbC-coal pre-CHP'!H18+CHP!H55</f>
        <v>57958742107447.828</v>
      </c>
      <c r="I18" s="16">
        <f>'BIFUbC-coal pre-CHP'!I18+CHP!I55</f>
        <v>58991638717843.781</v>
      </c>
      <c r="J18" s="16">
        <f>'BIFUbC-coal pre-CHP'!J18+CHP!J55</f>
        <v>60024535328239.719</v>
      </c>
      <c r="K18" s="16">
        <f>'BIFUbC-coal pre-CHP'!K18+CHP!K55</f>
        <v>61057431938635.664</v>
      </c>
      <c r="L18" s="16">
        <f>'BIFUbC-coal pre-CHP'!L18+CHP!L55</f>
        <v>62090328549031.875</v>
      </c>
      <c r="M18" s="16">
        <f>'BIFUbC-coal pre-CHP'!M18+CHP!M55</f>
        <v>62952664796070.125</v>
      </c>
      <c r="N18" s="16">
        <f>'BIFUbC-coal pre-CHP'!N18+CHP!N55</f>
        <v>63815001043108.375</v>
      </c>
      <c r="O18" s="16">
        <f>'BIFUbC-coal pre-CHP'!O18+CHP!O55</f>
        <v>64677337290146.625</v>
      </c>
      <c r="P18" s="16">
        <f>'BIFUbC-coal pre-CHP'!P18+CHP!P55</f>
        <v>65539673537184.875</v>
      </c>
      <c r="Q18" s="16">
        <f>'BIFUbC-coal pre-CHP'!Q18+CHP!Q55</f>
        <v>66402009784223.125</v>
      </c>
      <c r="R18" s="16">
        <f>'BIFUbC-coal pre-CHP'!R18+CHP!R55</f>
        <v>67289771178594.203</v>
      </c>
      <c r="S18" s="16">
        <f>'BIFUbC-coal pre-CHP'!S18+CHP!S55</f>
        <v>68177532572965.273</v>
      </c>
      <c r="T18" s="16">
        <f>'BIFUbC-coal pre-CHP'!T18+CHP!T55</f>
        <v>69065293967336.352</v>
      </c>
      <c r="U18" s="16">
        <f>'BIFUbC-coal pre-CHP'!U18+CHP!U55</f>
        <v>69953055361707.43</v>
      </c>
      <c r="V18" s="16">
        <f>'BIFUbC-coal pre-CHP'!V18+CHP!V55</f>
        <v>70840816756078.5</v>
      </c>
      <c r="W18" s="16">
        <f>'BIFUbC-coal pre-CHP'!W18+CHP!W55</f>
        <v>71694677954005.813</v>
      </c>
      <c r="X18" s="16">
        <f>'BIFUbC-coal pre-CHP'!X18+CHP!X55</f>
        <v>72571652922235.672</v>
      </c>
      <c r="Y18" s="16">
        <f>'BIFUbC-coal pre-CHP'!Y18+CHP!Y55</f>
        <v>73448627890465.797</v>
      </c>
      <c r="Z18" s="16">
        <f>'BIFUbC-coal pre-CHP'!Z18+CHP!Z55</f>
        <v>74325602858695.641</v>
      </c>
      <c r="AA18" s="16">
        <f>'BIFUbC-coal pre-CHP'!AA18+CHP!AA55</f>
        <v>75202577826925.484</v>
      </c>
      <c r="AB18" s="16">
        <f>'BIFUbC-coal pre-CHP'!AB18+CHP!AB55</f>
        <v>76079552795155.359</v>
      </c>
      <c r="AC18" s="16">
        <f>'BIFUbC-coal pre-CHP'!AC18+CHP!AC55</f>
        <v>76956527763385.188</v>
      </c>
      <c r="AD18" s="16">
        <f>'BIFUbC-coal pre-CHP'!AD18+CHP!AD55</f>
        <v>77833502731615.047</v>
      </c>
      <c r="AE18" s="16">
        <f>'BIFUbC-coal pre-CHP'!AE18+CHP!AE55</f>
        <v>78710477699844.906</v>
      </c>
      <c r="AF18" s="16">
        <f>'BIFUbC-coal pre-CHP'!AF18+CHP!AF55</f>
        <v>79587452668074.75</v>
      </c>
    </row>
    <row r="19" spans="1:32">
      <c r="A19" t="s">
        <v>19</v>
      </c>
      <c r="B19" s="16">
        <f>'BIFUbC-coal pre-CHP'!B19+CHP!B56</f>
        <v>8076511102438.6621</v>
      </c>
      <c r="C19" s="16">
        <f>'BIFUbC-coal pre-CHP'!C19+CHP!C56</f>
        <v>8443821335143.1123</v>
      </c>
      <c r="D19" s="16">
        <f>'BIFUbC-coal pre-CHP'!D19+CHP!D56</f>
        <v>9913062265960.9199</v>
      </c>
      <c r="E19" s="16">
        <f>'BIFUbC-coal pre-CHP'!E19+CHP!E56</f>
        <v>9178441800552.0176</v>
      </c>
      <c r="F19" s="16">
        <f>'BIFUbC-coal pre-CHP'!F19+CHP!F56</f>
        <v>9545752033256.4688</v>
      </c>
      <c r="G19" s="16">
        <f>'BIFUbC-coal pre-CHP'!G19+CHP!G56</f>
        <v>9913062265960.9199</v>
      </c>
      <c r="H19" s="16">
        <f>'BIFUbC-coal pre-CHP'!H19+CHP!H56</f>
        <v>10092930800608.902</v>
      </c>
      <c r="I19" s="16">
        <f>'BIFUbC-coal pre-CHP'!I19+CHP!I56</f>
        <v>10272799335256.934</v>
      </c>
      <c r="J19" s="16">
        <f>'BIFUbC-coal pre-CHP'!J19+CHP!J56</f>
        <v>10452667869904.963</v>
      </c>
      <c r="K19" s="16">
        <f>'BIFUbC-coal pre-CHP'!K19+CHP!K56</f>
        <v>10632536404552.994</v>
      </c>
      <c r="L19" s="16">
        <f>'BIFUbC-coal pre-CHP'!L19+CHP!L56</f>
        <v>10812404939201.07</v>
      </c>
      <c r="M19" s="16">
        <f>'BIFUbC-coal pre-CHP'!M19+CHP!M56</f>
        <v>10962572105563.631</v>
      </c>
      <c r="N19" s="16">
        <f>'BIFUbC-coal pre-CHP'!N19+CHP!N56</f>
        <v>11112739271926.189</v>
      </c>
      <c r="O19" s="16">
        <f>'BIFUbC-coal pre-CHP'!O19+CHP!O56</f>
        <v>11262906438288.752</v>
      </c>
      <c r="P19" s="16">
        <f>'BIFUbC-coal pre-CHP'!P19+CHP!P56</f>
        <v>11413073604651.313</v>
      </c>
      <c r="Q19" s="16">
        <f>'BIFUbC-coal pre-CHP'!Q19+CHP!Q56</f>
        <v>11563240771013.873</v>
      </c>
      <c r="R19" s="16">
        <f>'BIFUbC-coal pre-CHP'!R19+CHP!R56</f>
        <v>11717835470536.998</v>
      </c>
      <c r="S19" s="16">
        <f>'BIFUbC-coal pre-CHP'!S19+CHP!S56</f>
        <v>11872430170060.125</v>
      </c>
      <c r="T19" s="16">
        <f>'BIFUbC-coal pre-CHP'!T19+CHP!T56</f>
        <v>12027024869583.254</v>
      </c>
      <c r="U19" s="16">
        <f>'BIFUbC-coal pre-CHP'!U19+CHP!U56</f>
        <v>12181619569106.383</v>
      </c>
      <c r="V19" s="16">
        <f>'BIFUbC-coal pre-CHP'!V19+CHP!V56</f>
        <v>12336214268629.51</v>
      </c>
      <c r="W19" s="16">
        <f>'BIFUbC-coal pre-CHP'!W19+CHP!W56</f>
        <v>12484905590605.213</v>
      </c>
      <c r="X19" s="16">
        <f>'BIFUbC-coal pre-CHP'!X19+CHP!X56</f>
        <v>12637621942726.885</v>
      </c>
      <c r="Y19" s="16">
        <f>'BIFUbC-coal pre-CHP'!Y19+CHP!Y56</f>
        <v>12790338294848.602</v>
      </c>
      <c r="Z19" s="16">
        <f>'BIFUbC-coal pre-CHP'!Z19+CHP!Z56</f>
        <v>12943054646970.273</v>
      </c>
      <c r="AA19" s="16">
        <f>'BIFUbC-coal pre-CHP'!AA19+CHP!AA56</f>
        <v>13095770999091.943</v>
      </c>
      <c r="AB19" s="16">
        <f>'BIFUbC-coal pre-CHP'!AB19+CHP!AB56</f>
        <v>13248487351213.611</v>
      </c>
      <c r="AC19" s="16">
        <f>'BIFUbC-coal pre-CHP'!AC19+CHP!AC56</f>
        <v>13401203703335.283</v>
      </c>
      <c r="AD19" s="16">
        <f>'BIFUbC-coal pre-CHP'!AD19+CHP!AD56</f>
        <v>13553920055456.955</v>
      </c>
      <c r="AE19" s="16">
        <f>'BIFUbC-coal pre-CHP'!AE19+CHP!AE56</f>
        <v>13706636407578.625</v>
      </c>
      <c r="AF19" s="16">
        <f>'BIFUbC-coal pre-CHP'!AF19+CHP!AF56</f>
        <v>13859352759700.295</v>
      </c>
    </row>
    <row r="20" spans="1:32">
      <c r="A20" t="s">
        <v>20</v>
      </c>
      <c r="B20" s="16">
        <f>'BIFUbC-coal pre-CHP'!B20+CHP!B57</f>
        <v>12608438308156.035</v>
      </c>
      <c r="C20" s="16">
        <f>'BIFUbC-coal pre-CHP'!C20+CHP!C57</f>
        <v>13181855263852.428</v>
      </c>
      <c r="D20" s="16">
        <f>'BIFUbC-coal pre-CHP'!D20+CHP!D57</f>
        <v>15475523086638.012</v>
      </c>
      <c r="E20" s="16">
        <f>'BIFUbC-coal pre-CHP'!E20+CHP!E57</f>
        <v>14328689175245.223</v>
      </c>
      <c r="F20" s="16">
        <f>'BIFUbC-coal pre-CHP'!F20+CHP!F57</f>
        <v>14902106130941.613</v>
      </c>
      <c r="G20" s="16">
        <f>'BIFUbC-coal pre-CHP'!G20+CHP!G57</f>
        <v>15475523086638.012</v>
      </c>
      <c r="H20" s="16">
        <f>'BIFUbC-coal pre-CHP'!H20+CHP!H57</f>
        <v>15756320239507.986</v>
      </c>
      <c r="I20" s="16">
        <f>'BIFUbC-coal pre-CHP'!I20+CHP!I57</f>
        <v>16037117392378.035</v>
      </c>
      <c r="J20" s="16">
        <f>'BIFUbC-coal pre-CHP'!J20+CHP!J57</f>
        <v>16317914545248.082</v>
      </c>
      <c r="K20" s="16">
        <f>'BIFUbC-coal pre-CHP'!K20+CHP!K57</f>
        <v>16598711698118.131</v>
      </c>
      <c r="L20" s="16">
        <f>'BIFUbC-coal pre-CHP'!L20+CHP!L57</f>
        <v>16879508850988.254</v>
      </c>
      <c r="M20" s="16">
        <f>'BIFUbC-coal pre-CHP'!M20+CHP!M57</f>
        <v>17113938473999.762</v>
      </c>
      <c r="N20" s="16">
        <f>'BIFUbC-coal pre-CHP'!N20+CHP!N57</f>
        <v>17348368097011.266</v>
      </c>
      <c r="O20" s="16">
        <f>'BIFUbC-coal pre-CHP'!O20+CHP!O57</f>
        <v>17582797720022.775</v>
      </c>
      <c r="P20" s="16">
        <f>'BIFUbC-coal pre-CHP'!P20+CHP!P57</f>
        <v>17817227343034.281</v>
      </c>
      <c r="Q20" s="16">
        <f>'BIFUbC-coal pre-CHP'!Q20+CHP!Q57</f>
        <v>18051656966045.789</v>
      </c>
      <c r="R20" s="16">
        <f>'BIFUbC-coal pre-CHP'!R20+CHP!R57</f>
        <v>18292998518974.098</v>
      </c>
      <c r="S20" s="16">
        <f>'BIFUbC-coal pre-CHP'!S20+CHP!S57</f>
        <v>18534340071902.406</v>
      </c>
      <c r="T20" s="16">
        <f>'BIFUbC-coal pre-CHP'!T20+CHP!T57</f>
        <v>18775681624830.715</v>
      </c>
      <c r="U20" s="16">
        <f>'BIFUbC-coal pre-CHP'!U20+CHP!U57</f>
        <v>19017023177759.023</v>
      </c>
      <c r="V20" s="16">
        <f>'BIFUbC-coal pre-CHP'!V20+CHP!V57</f>
        <v>19258364730687.332</v>
      </c>
      <c r="W20" s="16">
        <f>'BIFUbC-coal pre-CHP'!W20+CHP!W57</f>
        <v>19490490377059.902</v>
      </c>
      <c r="X20" s="16">
        <f>'BIFUbC-coal pre-CHP'!X20+CHP!X57</f>
        <v>19728899596084.109</v>
      </c>
      <c r="Y20" s="16">
        <f>'BIFUbC-coal pre-CHP'!Y20+CHP!Y57</f>
        <v>19967308815108.387</v>
      </c>
      <c r="Z20" s="16">
        <f>'BIFUbC-coal pre-CHP'!Z20+CHP!Z57</f>
        <v>20205718034132.59</v>
      </c>
      <c r="AA20" s="16">
        <f>'BIFUbC-coal pre-CHP'!AA20+CHP!AA57</f>
        <v>20444127253156.793</v>
      </c>
      <c r="AB20" s="16">
        <f>'BIFUbC-coal pre-CHP'!AB20+CHP!AB57</f>
        <v>20682536472181</v>
      </c>
      <c r="AC20" s="16">
        <f>'BIFUbC-coal pre-CHP'!AC20+CHP!AC57</f>
        <v>20920945691205.203</v>
      </c>
      <c r="AD20" s="16">
        <f>'BIFUbC-coal pre-CHP'!AD20+CHP!AD57</f>
        <v>21159354910229.406</v>
      </c>
      <c r="AE20" s="16">
        <f>'BIFUbC-coal pre-CHP'!AE20+CHP!AE57</f>
        <v>21397764129253.609</v>
      </c>
      <c r="AF20" s="16">
        <f>'BIFUbC-coal pre-CHP'!AF20+CHP!AF57</f>
        <v>21636173348277.816</v>
      </c>
    </row>
    <row r="21" spans="1:32">
      <c r="A21" t="s">
        <v>21</v>
      </c>
      <c r="B21" s="16">
        <f>'BIFUbC-coal pre-CHP'!B21+CHP!B58</f>
        <v>13164220496191.787</v>
      </c>
      <c r="C21" s="16">
        <f>'BIFUbC-coal pre-CHP'!C21+CHP!C58</f>
        <v>13762913772595.367</v>
      </c>
      <c r="D21" s="16">
        <f>'BIFUbC-coal pre-CHP'!D21+CHP!D58</f>
        <v>16157686878209.699</v>
      </c>
      <c r="E21" s="16">
        <f>'BIFUbC-coal pre-CHP'!E21+CHP!E58</f>
        <v>14960300325402.535</v>
      </c>
      <c r="F21" s="16">
        <f>'BIFUbC-coal pre-CHP'!F21+CHP!F58</f>
        <v>15558993601806.119</v>
      </c>
      <c r="G21" s="16">
        <f>'BIFUbC-coal pre-CHP'!G21+CHP!G58</f>
        <v>16157686878209.699</v>
      </c>
      <c r="H21" s="16">
        <f>'BIFUbC-coal pre-CHP'!H21+CHP!H58</f>
        <v>16450861619183.932</v>
      </c>
      <c r="I21" s="16">
        <f>'BIFUbC-coal pre-CHP'!I21+CHP!I58</f>
        <v>16744036360158.24</v>
      </c>
      <c r="J21" s="16">
        <f>'BIFUbC-coal pre-CHP'!J21+CHP!J58</f>
        <v>17037211101132.553</v>
      </c>
      <c r="K21" s="16">
        <f>'BIFUbC-coal pre-CHP'!K21+CHP!K58</f>
        <v>17330385842106.859</v>
      </c>
      <c r="L21" s="16">
        <f>'BIFUbC-coal pre-CHP'!L21+CHP!L58</f>
        <v>17623560583081.242</v>
      </c>
      <c r="M21" s="16">
        <f>'BIFUbC-coal pre-CHP'!M21+CHP!M58</f>
        <v>17868323905289.535</v>
      </c>
      <c r="N21" s="16">
        <f>'BIFUbC-coal pre-CHP'!N21+CHP!N58</f>
        <v>18113087227497.832</v>
      </c>
      <c r="O21" s="16">
        <f>'BIFUbC-coal pre-CHP'!O21+CHP!O58</f>
        <v>18357850549706.125</v>
      </c>
      <c r="P21" s="16">
        <f>'BIFUbC-coal pre-CHP'!P21+CHP!P58</f>
        <v>18602613871914.418</v>
      </c>
      <c r="Q21" s="16">
        <f>'BIFUbC-coal pre-CHP'!Q21+CHP!Q58</f>
        <v>18847377194122.715</v>
      </c>
      <c r="R21" s="16">
        <f>'BIFUbC-coal pre-CHP'!R21+CHP!R58</f>
        <v>19099357125339.605</v>
      </c>
      <c r="S21" s="16">
        <f>'BIFUbC-coal pre-CHP'!S21+CHP!S58</f>
        <v>19351337056556.5</v>
      </c>
      <c r="T21" s="16">
        <f>'BIFUbC-coal pre-CHP'!T21+CHP!T58</f>
        <v>19603316987773.391</v>
      </c>
      <c r="U21" s="16">
        <f>'BIFUbC-coal pre-CHP'!U21+CHP!U58</f>
        <v>19855296918990.285</v>
      </c>
      <c r="V21" s="16">
        <f>'BIFUbC-coal pre-CHP'!V21+CHP!V58</f>
        <v>20107276850207.176</v>
      </c>
      <c r="W21" s="16">
        <f>'BIFUbC-coal pre-CHP'!W21+CHP!W58</f>
        <v>20349634636079.273</v>
      </c>
      <c r="X21" s="16">
        <f>'BIFUbC-coal pre-CHP'!X21+CHP!X58</f>
        <v>20598552975595.543</v>
      </c>
      <c r="Y21" s="16">
        <f>'BIFUbC-coal pre-CHP'!Y21+CHP!Y58</f>
        <v>20847471315111.883</v>
      </c>
      <c r="Z21" s="16">
        <f>'BIFUbC-coal pre-CHP'!Z21+CHP!Z58</f>
        <v>21096389654628.156</v>
      </c>
      <c r="AA21" s="16">
        <f>'BIFUbC-coal pre-CHP'!AA21+CHP!AA58</f>
        <v>21345307994144.422</v>
      </c>
      <c r="AB21" s="16">
        <f>'BIFUbC-coal pre-CHP'!AB21+CHP!AB58</f>
        <v>21594226333660.688</v>
      </c>
      <c r="AC21" s="16">
        <f>'BIFUbC-coal pre-CHP'!AC21+CHP!AC58</f>
        <v>21843144673176.961</v>
      </c>
      <c r="AD21" s="16">
        <f>'BIFUbC-coal pre-CHP'!AD21+CHP!AD58</f>
        <v>22092063012693.227</v>
      </c>
      <c r="AE21" s="16">
        <f>'BIFUbC-coal pre-CHP'!AE21+CHP!AE58</f>
        <v>22340981352209.492</v>
      </c>
      <c r="AF21" s="16">
        <f>'BIFUbC-coal pre-CHP'!AF21+CHP!AF58</f>
        <v>22589899691725.762</v>
      </c>
    </row>
    <row r="22" spans="1:32">
      <c r="A22" t="s">
        <v>22</v>
      </c>
      <c r="B22" s="16">
        <f>'BIFUbC-coal pre-CHP'!B22+CHP!B59</f>
        <v>3371102751322.8472</v>
      </c>
      <c r="C22" s="16">
        <f>'BIFUbC-coal pre-CHP'!C22+CHP!C59</f>
        <v>3524416542433.1113</v>
      </c>
      <c r="D22" s="16">
        <f>'BIFUbC-coal pre-CHP'!D22+CHP!D59</f>
        <v>4137671706874.1685</v>
      </c>
      <c r="E22" s="16">
        <f>'BIFUbC-coal pre-CHP'!E22+CHP!E59</f>
        <v>3831044124653.6401</v>
      </c>
      <c r="F22" s="16">
        <f>'BIFUbC-coal pre-CHP'!F22+CHP!F59</f>
        <v>3984357915763.9043</v>
      </c>
      <c r="G22" s="16">
        <f>'BIFUbC-coal pre-CHP'!G22+CHP!G59</f>
        <v>4137671706874.1685</v>
      </c>
      <c r="H22" s="16">
        <f>'BIFUbC-coal pre-CHP'!H22+CHP!H59</f>
        <v>4212748098689.583</v>
      </c>
      <c r="I22" s="16">
        <f>'BIFUbC-coal pre-CHP'!I22+CHP!I59</f>
        <v>4287824490505.0161</v>
      </c>
      <c r="J22" s="16">
        <f>'BIFUbC-coal pre-CHP'!J22+CHP!J59</f>
        <v>4362900882320.4487</v>
      </c>
      <c r="K22" s="16">
        <f>'BIFUbC-coal pre-CHP'!K22+CHP!K59</f>
        <v>4437977274135.8838</v>
      </c>
      <c r="L22" s="16">
        <f>'BIFUbC-coal pre-CHP'!L22+CHP!L59</f>
        <v>4513053665951.3359</v>
      </c>
      <c r="M22" s="16">
        <f>'BIFUbC-coal pre-CHP'!M22+CHP!M59</f>
        <v>4575732827938.7842</v>
      </c>
      <c r="N22" s="16">
        <f>'BIFUbC-coal pre-CHP'!N22+CHP!N59</f>
        <v>4638411989926.2334</v>
      </c>
      <c r="O22" s="16">
        <f>'BIFUbC-coal pre-CHP'!O22+CHP!O59</f>
        <v>4701091151913.6826</v>
      </c>
      <c r="P22" s="16">
        <f>'BIFUbC-coal pre-CHP'!P22+CHP!P59</f>
        <v>4763770313901.1318</v>
      </c>
      <c r="Q22" s="16">
        <f>'BIFUbC-coal pre-CHP'!Q22+CHP!Q59</f>
        <v>4826449475888.5801</v>
      </c>
      <c r="R22" s="16">
        <f>'BIFUbC-coal pre-CHP'!R22+CHP!R59</f>
        <v>4890976672136.1016</v>
      </c>
      <c r="S22" s="16">
        <f>'BIFUbC-coal pre-CHP'!S22+CHP!S59</f>
        <v>4955503868383.623</v>
      </c>
      <c r="T22" s="16">
        <f>'BIFUbC-coal pre-CHP'!T22+CHP!T59</f>
        <v>5020031064631.1445</v>
      </c>
      <c r="U22" s="16">
        <f>'BIFUbC-coal pre-CHP'!U22+CHP!U59</f>
        <v>5084558260878.666</v>
      </c>
      <c r="V22" s="16">
        <f>'BIFUbC-coal pre-CHP'!V22+CHP!V59</f>
        <v>5149085457126.1875</v>
      </c>
      <c r="W22" s="16">
        <f>'BIFUbC-coal pre-CHP'!W22+CHP!W59</f>
        <v>5211148607693.6113</v>
      </c>
      <c r="X22" s="16">
        <f>'BIFUbC-coal pre-CHP'!X22+CHP!X59</f>
        <v>5274891789406.5547</v>
      </c>
      <c r="Y22" s="16">
        <f>'BIFUbC-coal pre-CHP'!Y22+CHP!Y59</f>
        <v>5338634971119.5176</v>
      </c>
      <c r="Z22" s="16">
        <f>'BIFUbC-coal pre-CHP'!Z22+CHP!Z59</f>
        <v>5402378152832.4609</v>
      </c>
      <c r="AA22" s="16">
        <f>'BIFUbC-coal pre-CHP'!AA22+CHP!AA59</f>
        <v>5466121334545.4043</v>
      </c>
      <c r="AB22" s="16">
        <f>'BIFUbC-coal pre-CHP'!AB22+CHP!AB59</f>
        <v>5529864516258.3496</v>
      </c>
      <c r="AC22" s="16">
        <f>'BIFUbC-coal pre-CHP'!AC22+CHP!AC59</f>
        <v>5593607697971.292</v>
      </c>
      <c r="AD22" s="16">
        <f>'BIFUbC-coal pre-CHP'!AD22+CHP!AD59</f>
        <v>5657350879684.2354</v>
      </c>
      <c r="AE22" s="16">
        <f>'BIFUbC-coal pre-CHP'!AE22+CHP!AE59</f>
        <v>5721094061397.1787</v>
      </c>
      <c r="AF22" s="16">
        <f>'BIFUbC-coal pre-CHP'!AF22+CHP!AF59</f>
        <v>5784837243110.1211</v>
      </c>
    </row>
    <row r="23" spans="1:32">
      <c r="A23" t="s">
        <v>23</v>
      </c>
      <c r="B23" s="16">
        <f>'BIFUbC-coal pre-CHP'!B23+CHP!B60</f>
        <v>65411157424078.008</v>
      </c>
      <c r="C23" s="16">
        <f>'BIFUbC-coal pre-CHP'!C23+CHP!C60</f>
        <v>71516182959378.625</v>
      </c>
      <c r="D23" s="16">
        <f>'BIFUbC-coal pre-CHP'!D23+CHP!D60</f>
        <v>77621208494679.25</v>
      </c>
      <c r="E23" s="16">
        <f>'BIFUbC-coal pre-CHP'!E23+CHP!E60</f>
        <v>83726234029979.859</v>
      </c>
      <c r="F23" s="16">
        <f>'BIFUbC-coal pre-CHP'!F23+CHP!F60</f>
        <v>89831259565280.469</v>
      </c>
      <c r="G23" s="16">
        <f>'BIFUbC-coal pre-CHP'!G23+CHP!G60</f>
        <v>95936285100581.109</v>
      </c>
      <c r="H23" s="16">
        <f>'BIFUbC-coal pre-CHP'!H23+CHP!H60</f>
        <v>98124332782237.453</v>
      </c>
      <c r="I23" s="16">
        <f>'BIFUbC-coal pre-CHP'!I23+CHP!I60</f>
        <v>100312380463893.84</v>
      </c>
      <c r="J23" s="16">
        <f>'BIFUbC-coal pre-CHP'!J23+CHP!J60</f>
        <v>102500428145550.25</v>
      </c>
      <c r="K23" s="16">
        <f>'BIFUbC-coal pre-CHP'!K23+CHP!K60</f>
        <v>104688475827206.66</v>
      </c>
      <c r="L23" s="16">
        <f>'BIFUbC-coal pre-CHP'!L23+CHP!L60</f>
        <v>106876523508863.06</v>
      </c>
      <c r="M23" s="16">
        <f>'BIFUbC-coal pre-CHP'!M23+CHP!M60</f>
        <v>108393258176562.25</v>
      </c>
      <c r="N23" s="16">
        <f>'BIFUbC-coal pre-CHP'!N23+CHP!N60</f>
        <v>109909992844261.45</v>
      </c>
      <c r="O23" s="16">
        <f>'BIFUbC-coal pre-CHP'!O23+CHP!O60</f>
        <v>111426727511960.66</v>
      </c>
      <c r="P23" s="16">
        <f>'BIFUbC-coal pre-CHP'!P23+CHP!P60</f>
        <v>112943462179659.86</v>
      </c>
      <c r="Q23" s="16">
        <f>'BIFUbC-coal pre-CHP'!Q23+CHP!Q60</f>
        <v>114460196847359.08</v>
      </c>
      <c r="R23" s="16">
        <f>'BIFUbC-coal pre-CHP'!R23+CHP!R60</f>
        <v>115440408856932.81</v>
      </c>
      <c r="S23" s="16">
        <f>'BIFUbC-coal pre-CHP'!S23+CHP!S60</f>
        <v>116420620866506.58</v>
      </c>
      <c r="T23" s="16">
        <f>'BIFUbC-coal pre-CHP'!T23+CHP!T60</f>
        <v>117400832876080.33</v>
      </c>
      <c r="U23" s="16">
        <f>'BIFUbC-coal pre-CHP'!U23+CHP!U60</f>
        <v>118381044885654.09</v>
      </c>
      <c r="V23" s="16">
        <f>'BIFUbC-coal pre-CHP'!V23+CHP!V60</f>
        <v>119361256895227.84</v>
      </c>
      <c r="W23" s="16">
        <f>'BIFUbC-coal pre-CHP'!W23+CHP!W60</f>
        <v>121056832448968.89</v>
      </c>
      <c r="X23" s="16">
        <f>'BIFUbC-coal pre-CHP'!X23+CHP!X60</f>
        <v>122264660131686.64</v>
      </c>
      <c r="Y23" s="16">
        <f>'BIFUbC-coal pre-CHP'!Y23+CHP!Y60</f>
        <v>123472487814404.84</v>
      </c>
      <c r="Z23" s="16">
        <f>'BIFUbC-coal pre-CHP'!Z23+CHP!Z60</f>
        <v>124680315497122.61</v>
      </c>
      <c r="AA23" s="16">
        <f>'BIFUbC-coal pre-CHP'!AA23+CHP!AA60</f>
        <v>125888143179840.39</v>
      </c>
      <c r="AB23" s="16">
        <f>'BIFUbC-coal pre-CHP'!AB23+CHP!AB60</f>
        <v>127095970862558.17</v>
      </c>
      <c r="AC23" s="16">
        <f>'BIFUbC-coal pre-CHP'!AC23+CHP!AC60</f>
        <v>128303798545276.34</v>
      </c>
      <c r="AD23" s="16">
        <f>'BIFUbC-coal pre-CHP'!AD23+CHP!AD60</f>
        <v>129511626227994.13</v>
      </c>
      <c r="AE23" s="16">
        <f>'BIFUbC-coal pre-CHP'!AE23+CHP!AE60</f>
        <v>130719453910711.91</v>
      </c>
      <c r="AF23" s="16">
        <f>'BIFUbC-coal pre-CHP'!AF23+CHP!AF60</f>
        <v>131927281593430.09</v>
      </c>
    </row>
    <row r="24" spans="1:32">
      <c r="A24" t="s">
        <v>24</v>
      </c>
      <c r="B24" s="16">
        <f>'BIFUbC-coal pre-CHP'!B24+CHP!B61</f>
        <v>0</v>
      </c>
      <c r="C24" s="16">
        <f>'BIFUbC-coal pre-CHP'!C24+CHP!C61</f>
        <v>0</v>
      </c>
      <c r="D24" s="16">
        <f>'BIFUbC-coal pre-CHP'!D24+CHP!D61</f>
        <v>0</v>
      </c>
      <c r="E24" s="16">
        <f>'BIFUbC-coal pre-CHP'!E24+CHP!E61</f>
        <v>0</v>
      </c>
      <c r="F24" s="16">
        <f>'BIFUbC-coal pre-CHP'!F24+CHP!F61</f>
        <v>0</v>
      </c>
      <c r="G24" s="16">
        <f>'BIFUbC-coal pre-CHP'!G24+CHP!G61</f>
        <v>0</v>
      </c>
      <c r="H24" s="16">
        <f>'BIFUbC-coal pre-CHP'!H24+CHP!H61</f>
        <v>0</v>
      </c>
      <c r="I24" s="16">
        <f>'BIFUbC-coal pre-CHP'!I24+CHP!I61</f>
        <v>0</v>
      </c>
      <c r="J24" s="16">
        <f>'BIFUbC-coal pre-CHP'!J24+CHP!J61</f>
        <v>0</v>
      </c>
      <c r="K24" s="16">
        <f>'BIFUbC-coal pre-CHP'!K24+CHP!K61</f>
        <v>0</v>
      </c>
      <c r="L24" s="16">
        <f>'BIFUbC-coal pre-CHP'!L24+CHP!L61</f>
        <v>0</v>
      </c>
      <c r="M24" s="16">
        <f>'BIFUbC-coal pre-CHP'!M24+CHP!M61</f>
        <v>0</v>
      </c>
      <c r="N24" s="16">
        <f>'BIFUbC-coal pre-CHP'!N24+CHP!N61</f>
        <v>0</v>
      </c>
      <c r="O24" s="16">
        <f>'BIFUbC-coal pre-CHP'!O24+CHP!O61</f>
        <v>0</v>
      </c>
      <c r="P24" s="16">
        <f>'BIFUbC-coal pre-CHP'!P24+CHP!P61</f>
        <v>0</v>
      </c>
      <c r="Q24" s="16">
        <f>'BIFUbC-coal pre-CHP'!Q24+CHP!Q61</f>
        <v>0</v>
      </c>
      <c r="R24" s="16">
        <f>'BIFUbC-coal pre-CHP'!R24+CHP!R61</f>
        <v>0</v>
      </c>
      <c r="S24" s="16">
        <f>'BIFUbC-coal pre-CHP'!S24+CHP!S61</f>
        <v>0</v>
      </c>
      <c r="T24" s="16">
        <f>'BIFUbC-coal pre-CHP'!T24+CHP!T61</f>
        <v>0</v>
      </c>
      <c r="U24" s="16">
        <f>'BIFUbC-coal pre-CHP'!U24+CHP!U61</f>
        <v>0</v>
      </c>
      <c r="V24" s="16">
        <f>'BIFUbC-coal pre-CHP'!V24+CHP!V61</f>
        <v>0</v>
      </c>
      <c r="W24" s="16">
        <f>'BIFUbC-coal pre-CHP'!W24+CHP!W61</f>
        <v>0</v>
      </c>
      <c r="X24" s="16">
        <f>'BIFUbC-coal pre-CHP'!X24+CHP!X61</f>
        <v>0</v>
      </c>
      <c r="Y24" s="16">
        <f>'BIFUbC-coal pre-CHP'!Y24+CHP!Y61</f>
        <v>0</v>
      </c>
      <c r="Z24" s="16">
        <f>'BIFUbC-coal pre-CHP'!Z24+CHP!Z61</f>
        <v>0</v>
      </c>
      <c r="AA24" s="16">
        <f>'BIFUbC-coal pre-CHP'!AA24+CHP!AA61</f>
        <v>0</v>
      </c>
      <c r="AB24" s="16">
        <f>'BIFUbC-coal pre-CHP'!AB24+CHP!AB61</f>
        <v>0</v>
      </c>
      <c r="AC24" s="16">
        <f>'BIFUbC-coal pre-CHP'!AC24+CHP!AC61</f>
        <v>0</v>
      </c>
      <c r="AD24" s="16">
        <f>'BIFUbC-coal pre-CHP'!AD24+CHP!AD61</f>
        <v>0</v>
      </c>
      <c r="AE24" s="16">
        <f>'BIFUbC-coal pre-CHP'!AE24+CHP!AE61</f>
        <v>0</v>
      </c>
      <c r="AF24" s="16">
        <f>'BIFUbC-coal pre-CHP'!AF24+CHP!AF61</f>
        <v>0</v>
      </c>
    </row>
    <row r="25" spans="1:32">
      <c r="A25" t="s">
        <v>25</v>
      </c>
      <c r="B25" s="16">
        <f>'BIFUbC-coal pre-CHP'!B25+CHP!B62</f>
        <v>976036520879.11511</v>
      </c>
      <c r="C25" s="16">
        <f>'BIFUbC-coal pre-CHP'!C25+CHP!C62</f>
        <v>977012557399.99414</v>
      </c>
      <c r="D25" s="16">
        <f>'BIFUbC-coal pre-CHP'!D25+CHP!D62</f>
        <v>977989569957.39404</v>
      </c>
      <c r="E25" s="16">
        <f>'BIFUbC-coal pre-CHP'!E25+CHP!E62</f>
        <v>978967559527.35132</v>
      </c>
      <c r="F25" s="16">
        <f>'BIFUbC-coal pre-CHP'!F25+CHP!F62</f>
        <v>979946527086.87854</v>
      </c>
      <c r="G25" s="16">
        <f>'BIFUbC-coal pre-CHP'!G25+CHP!G62</f>
        <v>980926473613.96521</v>
      </c>
      <c r="H25" s="16">
        <f>'BIFUbC-coal pre-CHP'!H25+CHP!H62</f>
        <v>981907400087.57922</v>
      </c>
      <c r="I25" s="16">
        <f>'BIFUbC-coal pre-CHP'!I25+CHP!I62</f>
        <v>982889307487.66663</v>
      </c>
      <c r="J25" s="16">
        <f>'BIFUbC-coal pre-CHP'!J25+CHP!J62</f>
        <v>983872196795.1543</v>
      </c>
      <c r="K25" s="16">
        <f>'BIFUbC-coal pre-CHP'!K25+CHP!K62</f>
        <v>984856068991.94934</v>
      </c>
      <c r="L25" s="16">
        <f>'BIFUbC-coal pre-CHP'!L25+CHP!L62</f>
        <v>985840925060.94116</v>
      </c>
      <c r="M25" s="16">
        <f>'BIFUbC-coal pre-CHP'!M25+CHP!M62</f>
        <v>986826765986.00208</v>
      </c>
      <c r="N25" s="16">
        <f>'BIFUbC-coal pre-CHP'!N25+CHP!N62</f>
        <v>987813592751.98792</v>
      </c>
      <c r="O25" s="16">
        <f>'BIFUbC-coal pre-CHP'!O25+CHP!O62</f>
        <v>988801406344.73987</v>
      </c>
      <c r="P25" s="16">
        <f>'BIFUbC-coal pre-CHP'!P25+CHP!P62</f>
        <v>989790207751.08447</v>
      </c>
      <c r="Q25" s="16">
        <f>'BIFUbC-coal pre-CHP'!Q25+CHP!Q62</f>
        <v>990779997958.83533</v>
      </c>
      <c r="R25" s="16">
        <f>'BIFUbC-coal pre-CHP'!R25+CHP!R62</f>
        <v>991770777956.79395</v>
      </c>
      <c r="S25" s="16">
        <f>'BIFUbC-coal pre-CHP'!S25+CHP!S62</f>
        <v>992762548734.75073</v>
      </c>
      <c r="T25" s="16">
        <f>'BIFUbC-coal pre-CHP'!T25+CHP!T62</f>
        <v>993755311283.48535</v>
      </c>
      <c r="U25" s="16">
        <f>'BIFUbC-coal pre-CHP'!U25+CHP!U62</f>
        <v>994749066594.7688</v>
      </c>
      <c r="V25" s="16">
        <f>'BIFUbC-coal pre-CHP'!V25+CHP!V62</f>
        <v>995743815661.3634</v>
      </c>
      <c r="W25" s="16">
        <f>'BIFUbC-coal pre-CHP'!W25+CHP!W62</f>
        <v>990765096583.05664</v>
      </c>
      <c r="X25" s="16">
        <f>'BIFUbC-coal pre-CHP'!X25+CHP!X62</f>
        <v>985811271100.14124</v>
      </c>
      <c r="Y25" s="16">
        <f>'BIFUbC-coal pre-CHP'!Y25+CHP!Y62</f>
        <v>980882214744.6405</v>
      </c>
      <c r="Z25" s="16">
        <f>'BIFUbC-coal pre-CHP'!Z25+CHP!Z62</f>
        <v>975977803670.91724</v>
      </c>
      <c r="AA25" s="16">
        <f>'BIFUbC-coal pre-CHP'!AA25+CHP!AA62</f>
        <v>971097914652.56262</v>
      </c>
      <c r="AB25" s="16">
        <f>'BIFUbC-coal pre-CHP'!AB25+CHP!AB62</f>
        <v>966242425079.2998</v>
      </c>
      <c r="AC25" s="16">
        <f>'BIFUbC-coal pre-CHP'!AC25+CHP!AC62</f>
        <v>961411212953.90332</v>
      </c>
      <c r="AD25" s="16">
        <f>'BIFUbC-coal pre-CHP'!AD25+CHP!AD62</f>
        <v>956604156889.13379</v>
      </c>
      <c r="AE25" s="16">
        <f>'BIFUbC-coal pre-CHP'!AE25+CHP!AE62</f>
        <v>951821136104.68811</v>
      </c>
      <c r="AF25" s="16">
        <f>'BIFUbC-coal pre-CHP'!AF25+CHP!AF62</f>
        <v>947062030424.16467</v>
      </c>
    </row>
    <row r="26" spans="1:32">
      <c r="A26" t="s">
        <v>26</v>
      </c>
      <c r="B26" s="16">
        <f>'BIFUbC-coal pre-CHP'!B26+CHP!B63</f>
        <v>24917172391.356712</v>
      </c>
      <c r="C26" s="16">
        <f>'BIFUbC-coal pre-CHP'!C26+CHP!C63</f>
        <v>26881772383.872692</v>
      </c>
      <c r="D26" s="16">
        <f>'BIFUbC-coal pre-CHP'!D26+CHP!D63</f>
        <v>28846372376.38866</v>
      </c>
      <c r="E26" s="16">
        <f>'BIFUbC-coal pre-CHP'!E26+CHP!E63</f>
        <v>30810972368.904633</v>
      </c>
      <c r="F26" s="16">
        <f>'BIFUbC-coal pre-CHP'!F26+CHP!F63</f>
        <v>32775572361.420609</v>
      </c>
      <c r="G26" s="16">
        <f>'BIFUbC-coal pre-CHP'!G26+CHP!G63</f>
        <v>34740172353.936584</v>
      </c>
      <c r="H26" s="16">
        <f>'BIFUbC-coal pre-CHP'!H26+CHP!H63</f>
        <v>35421081564.69577</v>
      </c>
      <c r="I26" s="16">
        <f>'BIFUbC-coal pre-CHP'!I26+CHP!I63</f>
        <v>36101990775.454971</v>
      </c>
      <c r="J26" s="16">
        <f>'BIFUbC-coal pre-CHP'!J26+CHP!J63</f>
        <v>36782899986.214172</v>
      </c>
      <c r="K26" s="16">
        <f>'BIFUbC-coal pre-CHP'!K26+CHP!K63</f>
        <v>37463809196.973381</v>
      </c>
      <c r="L26" s="16">
        <f>'BIFUbC-coal pre-CHP'!L26+CHP!L63</f>
        <v>38144718407.73259</v>
      </c>
      <c r="M26" s="16">
        <f>'BIFUbC-coal pre-CHP'!M26+CHP!M63</f>
        <v>38606689957.357826</v>
      </c>
      <c r="N26" s="16">
        <f>'BIFUbC-coal pre-CHP'!N26+CHP!N63</f>
        <v>39068661506.98307</v>
      </c>
      <c r="O26" s="16">
        <f>'BIFUbC-coal pre-CHP'!O26+CHP!O63</f>
        <v>39530633056.608315</v>
      </c>
      <c r="P26" s="16">
        <f>'BIFUbC-coal pre-CHP'!P26+CHP!P63</f>
        <v>39992604606.233551</v>
      </c>
      <c r="Q26" s="16">
        <f>'BIFUbC-coal pre-CHP'!Q26+CHP!Q63</f>
        <v>40454576155.858803</v>
      </c>
      <c r="R26" s="16">
        <f>'BIFUbC-coal pre-CHP'!R26+CHP!R63</f>
        <v>40755317635.993233</v>
      </c>
      <c r="S26" s="16">
        <f>'BIFUbC-coal pre-CHP'!S26+CHP!S63</f>
        <v>41056059116.12767</v>
      </c>
      <c r="T26" s="16">
        <f>'BIFUbC-coal pre-CHP'!T26+CHP!T63</f>
        <v>41356800596.2621</v>
      </c>
      <c r="U26" s="16">
        <f>'BIFUbC-coal pre-CHP'!U26+CHP!U63</f>
        <v>41657542076.396538</v>
      </c>
      <c r="V26" s="16">
        <f>'BIFUbC-coal pre-CHP'!V26+CHP!V63</f>
        <v>41958283556.53096</v>
      </c>
      <c r="W26" s="16">
        <f>'BIFUbC-coal pre-CHP'!W26+CHP!W63</f>
        <v>42473998462.653152</v>
      </c>
      <c r="X26" s="16">
        <f>'BIFUbC-coal pre-CHP'!X26+CHP!X63</f>
        <v>42843140578.329109</v>
      </c>
      <c r="Y26" s="16">
        <f>'BIFUbC-coal pre-CHP'!Y26+CHP!Y63</f>
        <v>43212282694.005188</v>
      </c>
      <c r="Z26" s="16">
        <f>'BIFUbC-coal pre-CHP'!Z26+CHP!Z63</f>
        <v>43581424809.681137</v>
      </c>
      <c r="AA26" s="16">
        <f>'BIFUbC-coal pre-CHP'!AA26+CHP!AA63</f>
        <v>43950566925.357101</v>
      </c>
      <c r="AB26" s="16">
        <f>'BIFUbC-coal pre-CHP'!AB26+CHP!AB63</f>
        <v>44319709041.033051</v>
      </c>
      <c r="AC26" s="16">
        <f>'BIFUbC-coal pre-CHP'!AC26+CHP!AC63</f>
        <v>44688851156.709137</v>
      </c>
      <c r="AD26" s="16">
        <f>'BIFUbC-coal pre-CHP'!AD26+CHP!AD63</f>
        <v>45057993272.385086</v>
      </c>
      <c r="AE26" s="16">
        <f>'BIFUbC-coal pre-CHP'!AE26+CHP!AE63</f>
        <v>45427135388.06105</v>
      </c>
      <c r="AF26" s="16">
        <f>'BIFUbC-coal pre-CHP'!AF26+CHP!AF63</f>
        <v>45796277503.737129</v>
      </c>
    </row>
    <row r="55" spans="2:2">
      <c r="B55" s="21"/>
    </row>
    <row r="56" spans="2:2">
      <c r="B56" s="21"/>
    </row>
    <row r="57" spans="2:2">
      <c r="B57" s="21"/>
    </row>
    <row r="58" spans="2:2">
      <c r="B58" s="21"/>
    </row>
    <row r="59" spans="2:2">
      <c r="B59" s="21"/>
    </row>
    <row r="60" spans="2:2">
      <c r="B60" s="21"/>
    </row>
    <row r="61" spans="2:2">
      <c r="B61" s="21"/>
    </row>
    <row r="62" spans="2:2">
      <c r="B62" s="21"/>
    </row>
    <row r="63" spans="2:2">
      <c r="B63" s="21"/>
    </row>
    <row r="64" spans="2:2">
      <c r="B64" s="21"/>
    </row>
    <row r="65" spans="2:2">
      <c r="B65" s="21"/>
    </row>
    <row r="66" spans="2:2">
      <c r="B66" s="21"/>
    </row>
    <row r="67" spans="2:2">
      <c r="B67" s="21"/>
    </row>
    <row r="68" spans="2:2">
      <c r="B68" s="21"/>
    </row>
    <row r="69" spans="2:2">
      <c r="B69" s="21"/>
    </row>
    <row r="70" spans="2:2">
      <c r="B70" s="21"/>
    </row>
    <row r="71" spans="2:2">
      <c r="B71" s="21"/>
    </row>
    <row r="72" spans="2:2">
      <c r="B72" s="21"/>
    </row>
    <row r="73" spans="2:2">
      <c r="B73" s="21"/>
    </row>
    <row r="74" spans="2:2">
      <c r="B74" s="21"/>
    </row>
    <row r="75" spans="2:2">
      <c r="B75" s="21"/>
    </row>
    <row r="76" spans="2:2">
      <c r="B76" s="21"/>
    </row>
    <row r="77" spans="2:2">
      <c r="B77" s="21"/>
    </row>
    <row r="78" spans="2:2">
      <c r="B78" s="21"/>
    </row>
    <row r="79" spans="2:2">
      <c r="B79" s="21"/>
    </row>
  </sheetData>
  <phoneticPr fontId="37"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82"/>
  <sheetViews>
    <sheetView zoomScale="35" zoomScaleNormal="100" workbookViewId="0">
      <pane xSplit="1" ySplit="1" topLeftCell="B2" activePane="bottomRight" state="frozen"/>
      <selection pane="topRight" activeCell="B1" sqref="B1"/>
      <selection pane="bottomLeft" activeCell="A2" sqref="A2"/>
      <selection pane="bottomRight" activeCell="AF26" sqref="A1:AF26"/>
    </sheetView>
  </sheetViews>
  <sheetFormatPr defaultColWidth="9.125" defaultRowHeight="16.5"/>
  <cols>
    <col min="1" max="1" width="39.875" customWidth="1"/>
    <col min="2" max="2" width="22" bestFit="1" customWidth="1"/>
    <col min="3" max="33" width="10.625" customWidth="1"/>
    <col min="34" max="35" width="9.5" bestFit="1" customWidth="1"/>
  </cols>
  <sheetData>
    <row r="1" spans="1:35">
      <c r="A1" s="24" t="s">
        <v>27</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c r="A2" t="s">
        <v>2</v>
      </c>
      <c r="B2" s="16">
        <f>'BIFUbC-natural-gas pre-CHP'!B2+CHP!B95</f>
        <v>21647522572499.672</v>
      </c>
      <c r="C2" s="16">
        <f>'BIFUbC-natural-gas pre-CHP'!C2+CHP!C95</f>
        <v>22443005219982.512</v>
      </c>
      <c r="D2" s="16">
        <f>'BIFUbC-natural-gas pre-CHP'!D2+CHP!D95</f>
        <v>23238487867465.352</v>
      </c>
      <c r="E2" s="16">
        <f>'BIFUbC-natural-gas pre-CHP'!E2+CHP!E95</f>
        <v>24033970514948.188</v>
      </c>
      <c r="F2" s="16">
        <f>'BIFUbC-natural-gas pre-CHP'!F2+CHP!F95</f>
        <v>24829453162431.031</v>
      </c>
      <c r="G2" s="16">
        <f>'BIFUbC-natural-gas pre-CHP'!G2+CHP!G95</f>
        <v>25624935809913.871</v>
      </c>
      <c r="H2" s="16">
        <f>'BIFUbC-natural-gas pre-CHP'!H2+CHP!H95</f>
        <v>25831320088499.969</v>
      </c>
      <c r="I2" s="16">
        <f>'BIFUbC-natural-gas pre-CHP'!I2+CHP!I95</f>
        <v>26037704367086.066</v>
      </c>
      <c r="J2" s="16">
        <f>'BIFUbC-natural-gas pre-CHP'!J2+CHP!J95</f>
        <v>26244088645672.168</v>
      </c>
      <c r="K2" s="16">
        <f>'BIFUbC-natural-gas pre-CHP'!K2+CHP!K95</f>
        <v>26450472924258.266</v>
      </c>
      <c r="L2" s="16">
        <f>'BIFUbC-natural-gas pre-CHP'!L2+CHP!L95</f>
        <v>26656857202844.367</v>
      </c>
      <c r="M2" s="16">
        <f>'BIFUbC-natural-gas pre-CHP'!M2+CHP!M95</f>
        <v>26765904368602.625</v>
      </c>
      <c r="N2" s="16">
        <f>'BIFUbC-natural-gas pre-CHP'!N2+CHP!N95</f>
        <v>26874951534360.879</v>
      </c>
      <c r="O2" s="16">
        <f>'BIFUbC-natural-gas pre-CHP'!O2+CHP!O95</f>
        <v>26983998700119.141</v>
      </c>
      <c r="P2" s="16">
        <f>'BIFUbC-natural-gas pre-CHP'!P2+CHP!P95</f>
        <v>27093045865877.398</v>
      </c>
      <c r="Q2" s="16">
        <f>'BIFUbC-natural-gas pre-CHP'!Q2+CHP!Q95</f>
        <v>27202093031635.66</v>
      </c>
      <c r="R2" s="16">
        <f>'BIFUbC-natural-gas pre-CHP'!R2+CHP!R95</f>
        <v>27279995762314.113</v>
      </c>
      <c r="S2" s="16">
        <f>'BIFUbC-natural-gas pre-CHP'!S2+CHP!S95</f>
        <v>27357898492992.566</v>
      </c>
      <c r="T2" s="16">
        <f>'BIFUbC-natural-gas pre-CHP'!T2+CHP!T95</f>
        <v>27435801223671.016</v>
      </c>
      <c r="U2" s="16">
        <f>'BIFUbC-natural-gas pre-CHP'!U2+CHP!U95</f>
        <v>27513703954349.469</v>
      </c>
      <c r="V2" s="16">
        <f>'BIFUbC-natural-gas pre-CHP'!V2+CHP!V95</f>
        <v>27591606685027.914</v>
      </c>
      <c r="W2" s="16">
        <f>'BIFUbC-natural-gas pre-CHP'!W2+CHP!W95</f>
        <v>27711035329146.129</v>
      </c>
      <c r="X2" s="16">
        <f>'BIFUbC-natural-gas pre-CHP'!X2+CHP!X95</f>
        <v>27802150850464.48</v>
      </c>
      <c r="Y2" s="16">
        <f>'BIFUbC-natural-gas pre-CHP'!Y2+CHP!Y95</f>
        <v>27893266371782.855</v>
      </c>
      <c r="Z2" s="16">
        <f>'BIFUbC-natural-gas pre-CHP'!Z2+CHP!Z95</f>
        <v>27984381893101.23</v>
      </c>
      <c r="AA2" s="16">
        <f>'BIFUbC-natural-gas pre-CHP'!AA2+CHP!AA95</f>
        <v>28075497414419.609</v>
      </c>
      <c r="AB2" s="16">
        <f>'BIFUbC-natural-gas pre-CHP'!AB2+CHP!AB95</f>
        <v>28166612935737.961</v>
      </c>
      <c r="AC2" s="16">
        <f>'BIFUbC-natural-gas pre-CHP'!AC2+CHP!AC95</f>
        <v>28257728457056.336</v>
      </c>
      <c r="AD2" s="16">
        <f>'BIFUbC-natural-gas pre-CHP'!AD2+CHP!AD95</f>
        <v>28348843978374.707</v>
      </c>
      <c r="AE2" s="16">
        <f>'BIFUbC-natural-gas pre-CHP'!AE2+CHP!AE95</f>
        <v>28439959499693.09</v>
      </c>
      <c r="AF2" s="16">
        <f>'BIFUbC-natural-gas pre-CHP'!AF2+CHP!AF95</f>
        <v>28531075021011.461</v>
      </c>
    </row>
    <row r="3" spans="1:35">
      <c r="A3" t="s">
        <v>3</v>
      </c>
      <c r="B3" s="16">
        <f>'BIFUbC-natural-gas pre-CHP'!B3+CHP!B96</f>
        <v>0</v>
      </c>
      <c r="C3" s="16">
        <f>'BIFUbC-natural-gas pre-CHP'!C3+CHP!C96</f>
        <v>0</v>
      </c>
      <c r="D3" s="16">
        <f>'BIFUbC-natural-gas pre-CHP'!D3+CHP!D96</f>
        <v>0</v>
      </c>
      <c r="E3" s="16">
        <f>'BIFUbC-natural-gas pre-CHP'!E3+CHP!E96</f>
        <v>0</v>
      </c>
      <c r="F3" s="16">
        <f>'BIFUbC-natural-gas pre-CHP'!F3+CHP!F96</f>
        <v>0</v>
      </c>
      <c r="G3" s="16">
        <f>'BIFUbC-natural-gas pre-CHP'!G3+CHP!G96</f>
        <v>0</v>
      </c>
      <c r="H3" s="16">
        <f>'BIFUbC-natural-gas pre-CHP'!H3+CHP!H96</f>
        <v>0</v>
      </c>
      <c r="I3" s="16">
        <f>'BIFUbC-natural-gas pre-CHP'!I3+CHP!I96</f>
        <v>0</v>
      </c>
      <c r="J3" s="16">
        <f>'BIFUbC-natural-gas pre-CHP'!J3+CHP!J96</f>
        <v>0</v>
      </c>
      <c r="K3" s="16">
        <f>'BIFUbC-natural-gas pre-CHP'!K3+CHP!K96</f>
        <v>0</v>
      </c>
      <c r="L3" s="16">
        <f>'BIFUbC-natural-gas pre-CHP'!L3+CHP!L96</f>
        <v>0</v>
      </c>
      <c r="M3" s="16">
        <f>'BIFUbC-natural-gas pre-CHP'!M3+CHP!M96</f>
        <v>0</v>
      </c>
      <c r="N3" s="16">
        <f>'BIFUbC-natural-gas pre-CHP'!N3+CHP!N96</f>
        <v>0</v>
      </c>
      <c r="O3" s="16">
        <f>'BIFUbC-natural-gas pre-CHP'!O3+CHP!O96</f>
        <v>0</v>
      </c>
      <c r="P3" s="16">
        <f>'BIFUbC-natural-gas pre-CHP'!P3+CHP!P96</f>
        <v>0</v>
      </c>
      <c r="Q3" s="16">
        <f>'BIFUbC-natural-gas pre-CHP'!Q3+CHP!Q96</f>
        <v>0</v>
      </c>
      <c r="R3" s="16">
        <f>'BIFUbC-natural-gas pre-CHP'!R3+CHP!R96</f>
        <v>0</v>
      </c>
      <c r="S3" s="16">
        <f>'BIFUbC-natural-gas pre-CHP'!S3+CHP!S96</f>
        <v>0</v>
      </c>
      <c r="T3" s="16">
        <f>'BIFUbC-natural-gas pre-CHP'!T3+CHP!T96</f>
        <v>0</v>
      </c>
      <c r="U3" s="16">
        <f>'BIFUbC-natural-gas pre-CHP'!U3+CHP!U96</f>
        <v>0</v>
      </c>
      <c r="V3" s="16">
        <f>'BIFUbC-natural-gas pre-CHP'!V3+CHP!V96</f>
        <v>0</v>
      </c>
      <c r="W3" s="16">
        <f>'BIFUbC-natural-gas pre-CHP'!W3+CHP!W96</f>
        <v>0</v>
      </c>
      <c r="X3" s="16">
        <f>'BIFUbC-natural-gas pre-CHP'!X3+CHP!X96</f>
        <v>0</v>
      </c>
      <c r="Y3" s="16">
        <f>'BIFUbC-natural-gas pre-CHP'!Y3+CHP!Y96</f>
        <v>0</v>
      </c>
      <c r="Z3" s="16">
        <f>'BIFUbC-natural-gas pre-CHP'!Z3+CHP!Z96</f>
        <v>0</v>
      </c>
      <c r="AA3" s="16">
        <f>'BIFUbC-natural-gas pre-CHP'!AA3+CHP!AA96</f>
        <v>0</v>
      </c>
      <c r="AB3" s="16">
        <f>'BIFUbC-natural-gas pre-CHP'!AB3+CHP!AB96</f>
        <v>0</v>
      </c>
      <c r="AC3" s="16">
        <f>'BIFUbC-natural-gas pre-CHP'!AC3+CHP!AC96</f>
        <v>0</v>
      </c>
      <c r="AD3" s="16">
        <f>'BIFUbC-natural-gas pre-CHP'!AD3+CHP!AD96</f>
        <v>0</v>
      </c>
      <c r="AE3" s="16">
        <f>'BIFUbC-natural-gas pre-CHP'!AE3+CHP!AE96</f>
        <v>0</v>
      </c>
      <c r="AF3" s="16">
        <f>'BIFUbC-natural-gas pre-CHP'!AF3+CHP!AF96</f>
        <v>0</v>
      </c>
    </row>
    <row r="4" spans="1:35">
      <c r="A4" t="s">
        <v>4</v>
      </c>
      <c r="B4" s="16">
        <f>'BIFUbC-natural-gas pre-CHP'!B4+CHP!B97</f>
        <v>0</v>
      </c>
      <c r="C4" s="16">
        <f>'BIFUbC-natural-gas pre-CHP'!C4+CHP!C97</f>
        <v>0</v>
      </c>
      <c r="D4" s="16">
        <f>'BIFUbC-natural-gas pre-CHP'!D4+CHP!D97</f>
        <v>0</v>
      </c>
      <c r="E4" s="16">
        <f>'BIFUbC-natural-gas pre-CHP'!E4+CHP!E97</f>
        <v>0</v>
      </c>
      <c r="F4" s="16">
        <f>'BIFUbC-natural-gas pre-CHP'!F4+CHP!F97</f>
        <v>0</v>
      </c>
      <c r="G4" s="16">
        <f>'BIFUbC-natural-gas pre-CHP'!G4+CHP!G97</f>
        <v>0</v>
      </c>
      <c r="H4" s="16">
        <f>'BIFUbC-natural-gas pre-CHP'!H4+CHP!H97</f>
        <v>0</v>
      </c>
      <c r="I4" s="16">
        <f>'BIFUbC-natural-gas pre-CHP'!I4+CHP!I97</f>
        <v>0</v>
      </c>
      <c r="J4" s="16">
        <f>'BIFUbC-natural-gas pre-CHP'!J4+CHP!J97</f>
        <v>0</v>
      </c>
      <c r="K4" s="16">
        <f>'BIFUbC-natural-gas pre-CHP'!K4+CHP!K97</f>
        <v>0</v>
      </c>
      <c r="L4" s="16">
        <f>'BIFUbC-natural-gas pre-CHP'!L4+CHP!L97</f>
        <v>0</v>
      </c>
      <c r="M4" s="16">
        <f>'BIFUbC-natural-gas pre-CHP'!M4+CHP!M97</f>
        <v>0</v>
      </c>
      <c r="N4" s="16">
        <f>'BIFUbC-natural-gas pre-CHP'!N4+CHP!N97</f>
        <v>0</v>
      </c>
      <c r="O4" s="16">
        <f>'BIFUbC-natural-gas pre-CHP'!O4+CHP!O97</f>
        <v>0</v>
      </c>
      <c r="P4" s="16">
        <f>'BIFUbC-natural-gas pre-CHP'!P4+CHP!P97</f>
        <v>0</v>
      </c>
      <c r="Q4" s="16">
        <f>'BIFUbC-natural-gas pre-CHP'!Q4+CHP!Q97</f>
        <v>0</v>
      </c>
      <c r="R4" s="16">
        <f>'BIFUbC-natural-gas pre-CHP'!R4+CHP!R97</f>
        <v>0</v>
      </c>
      <c r="S4" s="16">
        <f>'BIFUbC-natural-gas pre-CHP'!S4+CHP!S97</f>
        <v>0</v>
      </c>
      <c r="T4" s="16">
        <f>'BIFUbC-natural-gas pre-CHP'!T4+CHP!T97</f>
        <v>0</v>
      </c>
      <c r="U4" s="16">
        <f>'BIFUbC-natural-gas pre-CHP'!U4+CHP!U97</f>
        <v>0</v>
      </c>
      <c r="V4" s="16">
        <f>'BIFUbC-natural-gas pre-CHP'!V4+CHP!V97</f>
        <v>0</v>
      </c>
      <c r="W4" s="16">
        <f>'BIFUbC-natural-gas pre-CHP'!W4+CHP!W97</f>
        <v>0</v>
      </c>
      <c r="X4" s="16">
        <f>'BIFUbC-natural-gas pre-CHP'!X4+CHP!X97</f>
        <v>0</v>
      </c>
      <c r="Y4" s="16">
        <f>'BIFUbC-natural-gas pre-CHP'!Y4+CHP!Y97</f>
        <v>0</v>
      </c>
      <c r="Z4" s="16">
        <f>'BIFUbC-natural-gas pre-CHP'!Z4+CHP!Z97</f>
        <v>0</v>
      </c>
      <c r="AA4" s="16">
        <f>'BIFUbC-natural-gas pre-CHP'!AA4+CHP!AA97</f>
        <v>0</v>
      </c>
      <c r="AB4" s="16">
        <f>'BIFUbC-natural-gas pre-CHP'!AB4+CHP!AB97</f>
        <v>0</v>
      </c>
      <c r="AC4" s="16">
        <f>'BIFUbC-natural-gas pre-CHP'!AC4+CHP!AC97</f>
        <v>0</v>
      </c>
      <c r="AD4" s="16">
        <f>'BIFUbC-natural-gas pre-CHP'!AD4+CHP!AD97</f>
        <v>0</v>
      </c>
      <c r="AE4" s="16">
        <f>'BIFUbC-natural-gas pre-CHP'!AE4+CHP!AE97</f>
        <v>0</v>
      </c>
      <c r="AF4" s="16">
        <f>'BIFUbC-natural-gas pre-CHP'!AF4+CHP!AF97</f>
        <v>0</v>
      </c>
    </row>
    <row r="5" spans="1:35">
      <c r="A5" t="s">
        <v>5</v>
      </c>
      <c r="B5" s="16">
        <f>'BIFUbC-natural-gas pre-CHP'!B5+CHP!B98</f>
        <v>1866953912510.2483</v>
      </c>
      <c r="C5" s="16">
        <f>'BIFUbC-natural-gas pre-CHP'!C5+CHP!C98</f>
        <v>1935561249098.428</v>
      </c>
      <c r="D5" s="16">
        <f>'BIFUbC-natural-gas pre-CHP'!D5+CHP!D98</f>
        <v>2004168585686.6079</v>
      </c>
      <c r="E5" s="16">
        <f>'BIFUbC-natural-gas pre-CHP'!E5+CHP!E98</f>
        <v>2072775922274.7878</v>
      </c>
      <c r="F5" s="16">
        <f>'BIFUbC-natural-gas pre-CHP'!F5+CHP!F98</f>
        <v>2141383258862.968</v>
      </c>
      <c r="G5" s="16">
        <f>'BIFUbC-natural-gas pre-CHP'!G5+CHP!G98</f>
        <v>2209990595451.1475</v>
      </c>
      <c r="H5" s="16">
        <f>'BIFUbC-natural-gas pre-CHP'!H5+CHP!H98</f>
        <v>2227788726671.1621</v>
      </c>
      <c r="I5" s="16">
        <f>'BIFUbC-natural-gas pre-CHP'!I5+CHP!I98</f>
        <v>2245586857891.1758</v>
      </c>
      <c r="J5" s="16">
        <f>'BIFUbC-natural-gas pre-CHP'!J5+CHP!J98</f>
        <v>2263384989111.1895</v>
      </c>
      <c r="K5" s="16">
        <f>'BIFUbC-natural-gas pre-CHP'!K5+CHP!K98</f>
        <v>2281183120331.2031</v>
      </c>
      <c r="L5" s="16">
        <f>'BIFUbC-natural-gas pre-CHP'!L5+CHP!L98</f>
        <v>2298981251551.2173</v>
      </c>
      <c r="M5" s="16">
        <f>'BIFUbC-natural-gas pre-CHP'!M5+CHP!M98</f>
        <v>2308384037856.1299</v>
      </c>
      <c r="N5" s="16">
        <f>'BIFUbC-natural-gas pre-CHP'!N5+CHP!N98</f>
        <v>2317786824161.043</v>
      </c>
      <c r="O5" s="16">
        <f>'BIFUbC-natural-gas pre-CHP'!O5+CHP!O98</f>
        <v>2327189610465.9561</v>
      </c>
      <c r="P5" s="16">
        <f>'BIFUbC-natural-gas pre-CHP'!P5+CHP!P98</f>
        <v>2336592396770.8691</v>
      </c>
      <c r="Q5" s="16">
        <f>'BIFUbC-natural-gas pre-CHP'!Q5+CHP!Q98</f>
        <v>2345995183075.7817</v>
      </c>
      <c r="R5" s="16">
        <f>'BIFUbC-natural-gas pre-CHP'!R5+CHP!R98</f>
        <v>2352711459007.8628</v>
      </c>
      <c r="S5" s="16">
        <f>'BIFUbC-natural-gas pre-CHP'!S5+CHP!S98</f>
        <v>2359427734939.9434</v>
      </c>
      <c r="T5" s="16">
        <f>'BIFUbC-natural-gas pre-CHP'!T5+CHP!T98</f>
        <v>2366144010872.0234</v>
      </c>
      <c r="U5" s="16">
        <f>'BIFUbC-natural-gas pre-CHP'!U5+CHP!U98</f>
        <v>2372860286804.1045</v>
      </c>
      <c r="V5" s="16">
        <f>'BIFUbC-natural-gas pre-CHP'!V5+CHP!V98</f>
        <v>2379576562736.1846</v>
      </c>
      <c r="W5" s="16">
        <f>'BIFUbC-natural-gas pre-CHP'!W5+CHP!W98</f>
        <v>2389874852498.7104</v>
      </c>
      <c r="X5" s="16">
        <f>'BIFUbC-natural-gas pre-CHP'!X5+CHP!X98</f>
        <v>2397730860104.1123</v>
      </c>
      <c r="Y5" s="16">
        <f>'BIFUbC-natural-gas pre-CHP'!Y5+CHP!Y98</f>
        <v>2405586867709.5161</v>
      </c>
      <c r="Z5" s="16">
        <f>'BIFUbC-natural-gas pre-CHP'!Z5+CHP!Z98</f>
        <v>2413442875314.9199</v>
      </c>
      <c r="AA5" s="16">
        <f>'BIFUbC-natural-gas pre-CHP'!AA5+CHP!AA98</f>
        <v>2421298882920.3237</v>
      </c>
      <c r="AB5" s="16">
        <f>'BIFUbC-natural-gas pre-CHP'!AB5+CHP!AB98</f>
        <v>2429154890525.7251</v>
      </c>
      <c r="AC5" s="16">
        <f>'BIFUbC-natural-gas pre-CHP'!AC5+CHP!AC98</f>
        <v>2437010898131.1294</v>
      </c>
      <c r="AD5" s="16">
        <f>'BIFUbC-natural-gas pre-CHP'!AD5+CHP!AD98</f>
        <v>2444866905736.5337</v>
      </c>
      <c r="AE5" s="16">
        <f>'BIFUbC-natural-gas pre-CHP'!AE5+CHP!AE98</f>
        <v>2452722913341.9375</v>
      </c>
      <c r="AF5" s="16">
        <f>'BIFUbC-natural-gas pre-CHP'!AF5+CHP!AF98</f>
        <v>2460578920947.3413</v>
      </c>
    </row>
    <row r="6" spans="1:35">
      <c r="A6" t="s">
        <v>6</v>
      </c>
      <c r="B6" s="16">
        <f>'BIFUbC-natural-gas pre-CHP'!B6+CHP!B99</f>
        <v>45976133006486.086</v>
      </c>
      <c r="C6" s="16">
        <f>'BIFUbC-natural-gas pre-CHP'!C6+CHP!C99</f>
        <v>47141070695695.406</v>
      </c>
      <c r="D6" s="16">
        <f>'BIFUbC-natural-gas pre-CHP'!D6+CHP!D99</f>
        <v>48306008384904.609</v>
      </c>
      <c r="E6" s="16">
        <f>'BIFUbC-natural-gas pre-CHP'!E6+CHP!E99</f>
        <v>49470946074113.938</v>
      </c>
      <c r="F6" s="16">
        <f>'BIFUbC-natural-gas pre-CHP'!F6+CHP!F99</f>
        <v>50635883763323.266</v>
      </c>
      <c r="G6" s="16">
        <f>'BIFUbC-natural-gas pre-CHP'!G6+CHP!G99</f>
        <v>51800821452532.664</v>
      </c>
      <c r="H6" s="16">
        <f>'BIFUbC-natural-gas pre-CHP'!H6+CHP!H99</f>
        <v>52499047242415.133</v>
      </c>
      <c r="I6" s="16">
        <f>'BIFUbC-natural-gas pre-CHP'!I6+CHP!I99</f>
        <v>53197273032297.602</v>
      </c>
      <c r="J6" s="16">
        <f>'BIFUbC-natural-gas pre-CHP'!J6+CHP!J99</f>
        <v>53895498822180.063</v>
      </c>
      <c r="K6" s="16">
        <f>'BIFUbC-natural-gas pre-CHP'!K6+CHP!K99</f>
        <v>54593724612062.531</v>
      </c>
      <c r="L6" s="16">
        <f>'BIFUbC-natural-gas pre-CHP'!L6+CHP!L99</f>
        <v>55291950401945.008</v>
      </c>
      <c r="M6" s="16">
        <f>'BIFUbC-natural-gas pre-CHP'!M6+CHP!M99</f>
        <v>55937489830837.047</v>
      </c>
      <c r="N6" s="16">
        <f>'BIFUbC-natural-gas pre-CHP'!N6+CHP!N99</f>
        <v>56583029259729.094</v>
      </c>
      <c r="O6" s="16">
        <f>'BIFUbC-natural-gas pre-CHP'!O6+CHP!O99</f>
        <v>57228568688621.141</v>
      </c>
      <c r="P6" s="16">
        <f>'BIFUbC-natural-gas pre-CHP'!P6+CHP!P99</f>
        <v>57874108117513.188</v>
      </c>
      <c r="Q6" s="16">
        <f>'BIFUbC-natural-gas pre-CHP'!Q6+CHP!Q99</f>
        <v>58519647546405.242</v>
      </c>
      <c r="R6" s="16">
        <f>'BIFUbC-natural-gas pre-CHP'!R6+CHP!R99</f>
        <v>59216513434278.305</v>
      </c>
      <c r="S6" s="16">
        <f>'BIFUbC-natural-gas pre-CHP'!S6+CHP!S99</f>
        <v>59913379322151.383</v>
      </c>
      <c r="T6" s="16">
        <f>'BIFUbC-natural-gas pre-CHP'!T6+CHP!T99</f>
        <v>60610245210024.453</v>
      </c>
      <c r="U6" s="16">
        <f>'BIFUbC-natural-gas pre-CHP'!U6+CHP!U99</f>
        <v>61307111097897.531</v>
      </c>
      <c r="V6" s="16">
        <f>'BIFUbC-natural-gas pre-CHP'!V6+CHP!V99</f>
        <v>62003976985770.578</v>
      </c>
      <c r="W6" s="16">
        <f>'BIFUbC-natural-gas pre-CHP'!W6+CHP!W99</f>
        <v>62632407595002.266</v>
      </c>
      <c r="X6" s="16">
        <f>'BIFUbC-natural-gas pre-CHP'!X6+CHP!X99</f>
        <v>63307498621489.359</v>
      </c>
      <c r="Y6" s="16">
        <f>'BIFUbC-natural-gas pre-CHP'!Y6+CHP!Y99</f>
        <v>63982589647976.648</v>
      </c>
      <c r="Z6" s="16">
        <f>'BIFUbC-natural-gas pre-CHP'!Z6+CHP!Z99</f>
        <v>64657680674463.766</v>
      </c>
      <c r="AA6" s="16">
        <f>'BIFUbC-natural-gas pre-CHP'!AA6+CHP!AA99</f>
        <v>65332771700951.055</v>
      </c>
      <c r="AB6" s="16">
        <f>'BIFUbC-natural-gas pre-CHP'!AB6+CHP!AB99</f>
        <v>66007862727438.148</v>
      </c>
      <c r="AC6" s="16">
        <f>'BIFUbC-natural-gas pre-CHP'!AC6+CHP!AC99</f>
        <v>66682953753925.438</v>
      </c>
      <c r="AD6" s="16">
        <f>'BIFUbC-natural-gas pre-CHP'!AD6+CHP!AD99</f>
        <v>67358044780412.555</v>
      </c>
      <c r="AE6" s="16">
        <f>'BIFUbC-natural-gas pre-CHP'!AE6+CHP!AE99</f>
        <v>68033135806899.672</v>
      </c>
      <c r="AF6" s="16">
        <f>'BIFUbC-natural-gas pre-CHP'!AF6+CHP!AF99</f>
        <v>68708226833386.953</v>
      </c>
    </row>
    <row r="7" spans="1:35">
      <c r="A7" t="s">
        <v>7</v>
      </c>
      <c r="B7" s="16">
        <f>'BIFUbC-natural-gas pre-CHP'!B7+CHP!B100</f>
        <v>22181498353249.801</v>
      </c>
      <c r="C7" s="16">
        <f>'BIFUbC-natural-gas pre-CHP'!C7+CHP!C100</f>
        <v>22828119029148.719</v>
      </c>
      <c r="D7" s="16">
        <f>'BIFUbC-natural-gas pre-CHP'!D7+CHP!D100</f>
        <v>23474739705047.641</v>
      </c>
      <c r="E7" s="16">
        <f>'BIFUbC-natural-gas pre-CHP'!E7+CHP!E100</f>
        <v>24121360380946.555</v>
      </c>
      <c r="F7" s="16">
        <f>'BIFUbC-natural-gas pre-CHP'!F7+CHP!F100</f>
        <v>24767981056845.473</v>
      </c>
      <c r="G7" s="16">
        <f>'BIFUbC-natural-gas pre-CHP'!G7+CHP!G100</f>
        <v>25414601732744.336</v>
      </c>
      <c r="H7" s="16">
        <f>'BIFUbC-natural-gas pre-CHP'!H7+CHP!H100</f>
        <v>25709554827828.555</v>
      </c>
      <c r="I7" s="16">
        <f>'BIFUbC-natural-gas pre-CHP'!I7+CHP!I100</f>
        <v>26004507922912.773</v>
      </c>
      <c r="J7" s="16">
        <f>'BIFUbC-natural-gas pre-CHP'!J7+CHP!J100</f>
        <v>26299461017996.992</v>
      </c>
      <c r="K7" s="16">
        <f>'BIFUbC-natural-gas pre-CHP'!K7+CHP!K100</f>
        <v>26594414113081.211</v>
      </c>
      <c r="L7" s="16">
        <f>'BIFUbC-natural-gas pre-CHP'!L7+CHP!L100</f>
        <v>26889367208165.43</v>
      </c>
      <c r="M7" s="16">
        <f>'BIFUbC-natural-gas pre-CHP'!M7+CHP!M100</f>
        <v>27134060489544.414</v>
      </c>
      <c r="N7" s="16">
        <f>'BIFUbC-natural-gas pre-CHP'!N7+CHP!N100</f>
        <v>27378753770923.406</v>
      </c>
      <c r="O7" s="16">
        <f>'BIFUbC-natural-gas pre-CHP'!O7+CHP!O100</f>
        <v>27623447052302.395</v>
      </c>
      <c r="P7" s="16">
        <f>'BIFUbC-natural-gas pre-CHP'!P7+CHP!P100</f>
        <v>27868140333681.383</v>
      </c>
      <c r="Q7" s="16">
        <f>'BIFUbC-natural-gas pre-CHP'!Q7+CHP!Q100</f>
        <v>28112833615060.375</v>
      </c>
      <c r="R7" s="16">
        <f>'BIFUbC-natural-gas pre-CHP'!R7+CHP!R100</f>
        <v>28363346132606.5</v>
      </c>
      <c r="S7" s="16">
        <f>'BIFUbC-natural-gas pre-CHP'!S7+CHP!S100</f>
        <v>28613858650152.629</v>
      </c>
      <c r="T7" s="16">
        <f>'BIFUbC-natural-gas pre-CHP'!T7+CHP!T100</f>
        <v>28864371167698.758</v>
      </c>
      <c r="U7" s="16">
        <f>'BIFUbC-natural-gas pre-CHP'!U7+CHP!U100</f>
        <v>29114883685244.887</v>
      </c>
      <c r="V7" s="16">
        <f>'BIFUbC-natural-gas pre-CHP'!V7+CHP!V100</f>
        <v>29365396202791</v>
      </c>
      <c r="W7" s="16">
        <f>'BIFUbC-natural-gas pre-CHP'!W7+CHP!W100</f>
        <v>29608149738780.949</v>
      </c>
      <c r="X7" s="16">
        <f>'BIFUbC-natural-gas pre-CHP'!X7+CHP!X100</f>
        <v>29856193489468.258</v>
      </c>
      <c r="Y7" s="16">
        <f>'BIFUbC-natural-gas pre-CHP'!Y7+CHP!Y100</f>
        <v>30104237240155.633</v>
      </c>
      <c r="Z7" s="16">
        <f>'BIFUbC-natural-gas pre-CHP'!Z7+CHP!Z100</f>
        <v>30352280990842.953</v>
      </c>
      <c r="AA7" s="16">
        <f>'BIFUbC-natural-gas pre-CHP'!AA7+CHP!AA100</f>
        <v>30600324741530.336</v>
      </c>
      <c r="AB7" s="16">
        <f>'BIFUbC-natural-gas pre-CHP'!AB7+CHP!AB100</f>
        <v>30848368492217.641</v>
      </c>
      <c r="AC7" s="16">
        <f>'BIFUbC-natural-gas pre-CHP'!AC7+CHP!AC100</f>
        <v>31096412242905.016</v>
      </c>
      <c r="AD7" s="16">
        <f>'BIFUbC-natural-gas pre-CHP'!AD7+CHP!AD100</f>
        <v>31344455993592.34</v>
      </c>
      <c r="AE7" s="16">
        <f>'BIFUbC-natural-gas pre-CHP'!AE7+CHP!AE100</f>
        <v>31592499744279.664</v>
      </c>
      <c r="AF7" s="16">
        <f>'BIFUbC-natural-gas pre-CHP'!AF7+CHP!AF100</f>
        <v>31840543494967.039</v>
      </c>
    </row>
    <row r="8" spans="1:35">
      <c r="A8" t="s">
        <v>8</v>
      </c>
      <c r="B8" s="16">
        <f>'BIFUbC-natural-gas pre-CHP'!B8+CHP!B101</f>
        <v>3127726372344.9697</v>
      </c>
      <c r="C8" s="16">
        <f>'BIFUbC-natural-gas pre-CHP'!C8+CHP!C101</f>
        <v>3225230598619.1528</v>
      </c>
      <c r="D8" s="16">
        <f>'BIFUbC-natural-gas pre-CHP'!D8+CHP!D101</f>
        <v>3322734824893.3276</v>
      </c>
      <c r="E8" s="16">
        <f>'BIFUbC-natural-gas pre-CHP'!E8+CHP!E101</f>
        <v>3420239051167.5103</v>
      </c>
      <c r="F8" s="16">
        <f>'BIFUbC-natural-gas pre-CHP'!F8+CHP!F101</f>
        <v>3517743277441.6855</v>
      </c>
      <c r="G8" s="16">
        <f>'BIFUbC-natural-gas pre-CHP'!G8+CHP!G101</f>
        <v>3615247503715.8604</v>
      </c>
      <c r="H8" s="16">
        <f>'BIFUbC-natural-gas pre-CHP'!H8+CHP!H101</f>
        <v>3653702990749.3755</v>
      </c>
      <c r="I8" s="16">
        <f>'BIFUbC-natural-gas pre-CHP'!I8+CHP!I101</f>
        <v>3692158477782.8901</v>
      </c>
      <c r="J8" s="16">
        <f>'BIFUbC-natural-gas pre-CHP'!J8+CHP!J101</f>
        <v>3730613964816.4043</v>
      </c>
      <c r="K8" s="16">
        <f>'BIFUbC-natural-gas pre-CHP'!K8+CHP!K101</f>
        <v>3769069451849.9189</v>
      </c>
      <c r="L8" s="16">
        <f>'BIFUbC-natural-gas pre-CHP'!L8+CHP!L101</f>
        <v>3807524938883.4336</v>
      </c>
      <c r="M8" s="16">
        <f>'BIFUbC-natural-gas pre-CHP'!M8+CHP!M101</f>
        <v>3837035517849.394</v>
      </c>
      <c r="N8" s="16">
        <f>'BIFUbC-natural-gas pre-CHP'!N8+CHP!N101</f>
        <v>3866546096815.3555</v>
      </c>
      <c r="O8" s="16">
        <f>'BIFUbC-natural-gas pre-CHP'!O8+CHP!O101</f>
        <v>3896056675781.3154</v>
      </c>
      <c r="P8" s="16">
        <f>'BIFUbC-natural-gas pre-CHP'!P8+CHP!P101</f>
        <v>3925567254747.2764</v>
      </c>
      <c r="Q8" s="16">
        <f>'BIFUbC-natural-gas pre-CHP'!Q8+CHP!Q101</f>
        <v>3955077833713.2373</v>
      </c>
      <c r="R8" s="16">
        <f>'BIFUbC-natural-gas pre-CHP'!R8+CHP!R101</f>
        <v>3983992083018.022</v>
      </c>
      <c r="S8" s="16">
        <f>'BIFUbC-natural-gas pre-CHP'!S8+CHP!S101</f>
        <v>4012906332322.8076</v>
      </c>
      <c r="T8" s="16">
        <f>'BIFUbC-natural-gas pre-CHP'!T8+CHP!T101</f>
        <v>4041820581627.5938</v>
      </c>
      <c r="U8" s="16">
        <f>'BIFUbC-natural-gas pre-CHP'!U8+CHP!U101</f>
        <v>4070734830932.3779</v>
      </c>
      <c r="V8" s="16">
        <f>'BIFUbC-natural-gas pre-CHP'!V8+CHP!V101</f>
        <v>4099649080237.1631</v>
      </c>
      <c r="W8" s="16">
        <f>'BIFUbC-natural-gas pre-CHP'!W8+CHP!W101</f>
        <v>4129358435756.8496</v>
      </c>
      <c r="X8" s="16">
        <f>'BIFUbC-natural-gas pre-CHP'!X8+CHP!X101</f>
        <v>4158525673402.7349</v>
      </c>
      <c r="Y8" s="16">
        <f>'BIFUbC-natural-gas pre-CHP'!Y8+CHP!Y101</f>
        <v>4187692911048.6289</v>
      </c>
      <c r="Z8" s="16">
        <f>'BIFUbC-natural-gas pre-CHP'!Z8+CHP!Z101</f>
        <v>4216860148694.5171</v>
      </c>
      <c r="AA8" s="16">
        <f>'BIFUbC-natural-gas pre-CHP'!AA8+CHP!AA101</f>
        <v>4246027386340.4111</v>
      </c>
      <c r="AB8" s="16">
        <f>'BIFUbC-natural-gas pre-CHP'!AB8+CHP!AB101</f>
        <v>4275194623986.2964</v>
      </c>
      <c r="AC8" s="16">
        <f>'BIFUbC-natural-gas pre-CHP'!AC8+CHP!AC101</f>
        <v>4304361861632.1904</v>
      </c>
      <c r="AD8" s="16">
        <f>'BIFUbC-natural-gas pre-CHP'!AD8+CHP!AD101</f>
        <v>4333529099278.0791</v>
      </c>
      <c r="AE8" s="16">
        <f>'BIFUbC-natural-gas pre-CHP'!AE8+CHP!AE101</f>
        <v>4362696336923.9668</v>
      </c>
      <c r="AF8" s="16">
        <f>'BIFUbC-natural-gas pre-CHP'!AF8+CHP!AF101</f>
        <v>4391863574569.8604</v>
      </c>
    </row>
    <row r="9" spans="1:35">
      <c r="A9" t="s">
        <v>9</v>
      </c>
      <c r="B9" s="16">
        <f>'BIFUbC-natural-gas pre-CHP'!B9+CHP!B102</f>
        <v>22770937869572.703</v>
      </c>
      <c r="C9" s="16">
        <f>'BIFUbC-natural-gas pre-CHP'!C9+CHP!C102</f>
        <v>23418759929187.641</v>
      </c>
      <c r="D9" s="16">
        <f>'BIFUbC-natural-gas pre-CHP'!D9+CHP!D102</f>
        <v>24066581988802.574</v>
      </c>
      <c r="E9" s="16">
        <f>'BIFUbC-natural-gas pre-CHP'!E9+CHP!E102</f>
        <v>24714404048417.508</v>
      </c>
      <c r="F9" s="16">
        <f>'BIFUbC-natural-gas pre-CHP'!F9+CHP!F102</f>
        <v>25362226108032.445</v>
      </c>
      <c r="G9" s="16">
        <f>'BIFUbC-natural-gas pre-CHP'!G9+CHP!G102</f>
        <v>26010048167647.398</v>
      </c>
      <c r="H9" s="16">
        <f>'BIFUbC-natural-gas pre-CHP'!H9+CHP!H102</f>
        <v>26320757506930.848</v>
      </c>
      <c r="I9" s="16">
        <f>'BIFUbC-natural-gas pre-CHP'!I9+CHP!I102</f>
        <v>26631466846214.289</v>
      </c>
      <c r="J9" s="16">
        <f>'BIFUbC-natural-gas pre-CHP'!J9+CHP!J102</f>
        <v>26942176185497.734</v>
      </c>
      <c r="K9" s="16">
        <f>'BIFUbC-natural-gas pre-CHP'!K9+CHP!K102</f>
        <v>27252885524781.176</v>
      </c>
      <c r="L9" s="16">
        <f>'BIFUbC-natural-gas pre-CHP'!L9+CHP!L102</f>
        <v>27563594864064.625</v>
      </c>
      <c r="M9" s="16">
        <f>'BIFUbC-natural-gas pre-CHP'!M9+CHP!M102</f>
        <v>27827402082857.063</v>
      </c>
      <c r="N9" s="16">
        <f>'BIFUbC-natural-gas pre-CHP'!N9+CHP!N102</f>
        <v>28091209301649.508</v>
      </c>
      <c r="O9" s="16">
        <f>'BIFUbC-natural-gas pre-CHP'!O9+CHP!O102</f>
        <v>28355016520441.953</v>
      </c>
      <c r="P9" s="16">
        <f>'BIFUbC-natural-gas pre-CHP'!P9+CHP!P102</f>
        <v>28618823739234.398</v>
      </c>
      <c r="Q9" s="16">
        <f>'BIFUbC-natural-gas pre-CHP'!Q9+CHP!Q102</f>
        <v>28882630958026.844</v>
      </c>
      <c r="R9" s="16">
        <f>'BIFUbC-natural-gas pre-CHP'!R9+CHP!R102</f>
        <v>29155991115798.836</v>
      </c>
      <c r="S9" s="16">
        <f>'BIFUbC-natural-gas pre-CHP'!S9+CHP!S102</f>
        <v>29429351273570.836</v>
      </c>
      <c r="T9" s="16">
        <f>'BIFUbC-natural-gas pre-CHP'!T9+CHP!T102</f>
        <v>29702711431342.828</v>
      </c>
      <c r="U9" s="16">
        <f>'BIFUbC-natural-gas pre-CHP'!U9+CHP!U102</f>
        <v>29976071589114.828</v>
      </c>
      <c r="V9" s="16">
        <f>'BIFUbC-natural-gas pre-CHP'!V9+CHP!V102</f>
        <v>30249431746886.809</v>
      </c>
      <c r="W9" s="16">
        <f>'BIFUbC-natural-gas pre-CHP'!W9+CHP!W102</f>
        <v>30510054652686.07</v>
      </c>
      <c r="X9" s="16">
        <f>'BIFUbC-natural-gas pre-CHP'!X9+CHP!X102</f>
        <v>30779362048466.703</v>
      </c>
      <c r="Y9" s="16">
        <f>'BIFUbC-natural-gas pre-CHP'!Y9+CHP!Y102</f>
        <v>31048669444247.414</v>
      </c>
      <c r="Z9" s="16">
        <f>'BIFUbC-natural-gas pre-CHP'!Z9+CHP!Z102</f>
        <v>31317976840028.063</v>
      </c>
      <c r="AA9" s="16">
        <f>'BIFUbC-natural-gas pre-CHP'!AA9+CHP!AA102</f>
        <v>31587284235808.773</v>
      </c>
      <c r="AB9" s="16">
        <f>'BIFUbC-natural-gas pre-CHP'!AB9+CHP!AB102</f>
        <v>31856591631589.406</v>
      </c>
      <c r="AC9" s="16">
        <f>'BIFUbC-natural-gas pre-CHP'!AC9+CHP!AC102</f>
        <v>32125899027370.113</v>
      </c>
      <c r="AD9" s="16">
        <f>'BIFUbC-natural-gas pre-CHP'!AD9+CHP!AD102</f>
        <v>32395206423150.766</v>
      </c>
      <c r="AE9" s="16">
        <f>'BIFUbC-natural-gas pre-CHP'!AE9+CHP!AE102</f>
        <v>32664513818931.41</v>
      </c>
      <c r="AF9" s="16">
        <f>'BIFUbC-natural-gas pre-CHP'!AF9+CHP!AF102</f>
        <v>32933821214712.117</v>
      </c>
    </row>
    <row r="10" spans="1:35">
      <c r="A10" t="s">
        <v>10</v>
      </c>
      <c r="B10" s="16">
        <f>'BIFUbC-natural-gas pre-CHP'!B10+CHP!B103</f>
        <v>0</v>
      </c>
      <c r="C10" s="16">
        <f>'BIFUbC-natural-gas pre-CHP'!C10+CHP!C103</f>
        <v>0</v>
      </c>
      <c r="D10" s="16">
        <f>'BIFUbC-natural-gas pre-CHP'!D10+CHP!D103</f>
        <v>0</v>
      </c>
      <c r="E10" s="16">
        <f>'BIFUbC-natural-gas pre-CHP'!E10+CHP!E103</f>
        <v>0</v>
      </c>
      <c r="F10" s="16">
        <f>'BIFUbC-natural-gas pre-CHP'!F10+CHP!F103</f>
        <v>0</v>
      </c>
      <c r="G10" s="16">
        <f>'BIFUbC-natural-gas pre-CHP'!G10+CHP!G103</f>
        <v>0</v>
      </c>
      <c r="H10" s="16">
        <f>'BIFUbC-natural-gas pre-CHP'!H10+CHP!H103</f>
        <v>0</v>
      </c>
      <c r="I10" s="16">
        <f>'BIFUbC-natural-gas pre-CHP'!I10+CHP!I103</f>
        <v>0</v>
      </c>
      <c r="J10" s="16">
        <f>'BIFUbC-natural-gas pre-CHP'!J10+CHP!J103</f>
        <v>0</v>
      </c>
      <c r="K10" s="16">
        <f>'BIFUbC-natural-gas pre-CHP'!K10+CHP!K103</f>
        <v>0</v>
      </c>
      <c r="L10" s="16">
        <f>'BIFUbC-natural-gas pre-CHP'!L10+CHP!L103</f>
        <v>0</v>
      </c>
      <c r="M10" s="16">
        <f>'BIFUbC-natural-gas pre-CHP'!M10+CHP!M103</f>
        <v>0</v>
      </c>
      <c r="N10" s="16">
        <f>'BIFUbC-natural-gas pre-CHP'!N10+CHP!N103</f>
        <v>0</v>
      </c>
      <c r="O10" s="16">
        <f>'BIFUbC-natural-gas pre-CHP'!O10+CHP!O103</f>
        <v>0</v>
      </c>
      <c r="P10" s="16">
        <f>'BIFUbC-natural-gas pre-CHP'!P10+CHP!P103</f>
        <v>0</v>
      </c>
      <c r="Q10" s="16">
        <f>'BIFUbC-natural-gas pre-CHP'!Q10+CHP!Q103</f>
        <v>0</v>
      </c>
      <c r="R10" s="16">
        <f>'BIFUbC-natural-gas pre-CHP'!R10+CHP!R103</f>
        <v>0</v>
      </c>
      <c r="S10" s="16">
        <f>'BIFUbC-natural-gas pre-CHP'!S10+CHP!S103</f>
        <v>0</v>
      </c>
      <c r="T10" s="16">
        <f>'BIFUbC-natural-gas pre-CHP'!T10+CHP!T103</f>
        <v>0</v>
      </c>
      <c r="U10" s="16">
        <f>'BIFUbC-natural-gas pre-CHP'!U10+CHP!U103</f>
        <v>0</v>
      </c>
      <c r="V10" s="16">
        <f>'BIFUbC-natural-gas pre-CHP'!V10+CHP!V103</f>
        <v>0</v>
      </c>
      <c r="W10" s="16">
        <f>'BIFUbC-natural-gas pre-CHP'!W10+CHP!W103</f>
        <v>0</v>
      </c>
      <c r="X10" s="16">
        <f>'BIFUbC-natural-gas pre-CHP'!X10+CHP!X103</f>
        <v>0</v>
      </c>
      <c r="Y10" s="16">
        <f>'BIFUbC-natural-gas pre-CHP'!Y10+CHP!Y103</f>
        <v>0</v>
      </c>
      <c r="Z10" s="16">
        <f>'BIFUbC-natural-gas pre-CHP'!Z10+CHP!Z103</f>
        <v>0</v>
      </c>
      <c r="AA10" s="16">
        <f>'BIFUbC-natural-gas pre-CHP'!AA10+CHP!AA103</f>
        <v>0</v>
      </c>
      <c r="AB10" s="16">
        <f>'BIFUbC-natural-gas pre-CHP'!AB10+CHP!AB103</f>
        <v>0</v>
      </c>
      <c r="AC10" s="16">
        <f>'BIFUbC-natural-gas pre-CHP'!AC10+CHP!AC103</f>
        <v>0</v>
      </c>
      <c r="AD10" s="16">
        <f>'BIFUbC-natural-gas pre-CHP'!AD10+CHP!AD103</f>
        <v>0</v>
      </c>
      <c r="AE10" s="16">
        <f>'BIFUbC-natural-gas pre-CHP'!AE10+CHP!AE103</f>
        <v>0</v>
      </c>
      <c r="AF10" s="16">
        <f>'BIFUbC-natural-gas pre-CHP'!AF10+CHP!AF103</f>
        <v>0</v>
      </c>
    </row>
    <row r="11" spans="1:35">
      <c r="A11" t="s">
        <v>11</v>
      </c>
      <c r="B11" s="16">
        <f>'BIFUbC-natural-gas pre-CHP'!B11+CHP!B104</f>
        <v>167234079509447.75</v>
      </c>
      <c r="C11" s="16">
        <f>'BIFUbC-natural-gas pre-CHP'!C11+CHP!C104</f>
        <v>165779699167265.84</v>
      </c>
      <c r="D11" s="16">
        <f>'BIFUbC-natural-gas pre-CHP'!D11+CHP!D104</f>
        <v>166920515286799.5</v>
      </c>
      <c r="E11" s="16">
        <f>'BIFUbC-natural-gas pre-CHP'!E11+CHP!E104</f>
        <v>167708581120593.94</v>
      </c>
      <c r="F11" s="16">
        <f>'BIFUbC-natural-gas pre-CHP'!F11+CHP!F104</f>
        <v>169933567224229.84</v>
      </c>
      <c r="G11" s="16">
        <f>'BIFUbC-natural-gas pre-CHP'!G11+CHP!G104</f>
        <v>172028895541819.09</v>
      </c>
      <c r="H11" s="16">
        <f>'BIFUbC-natural-gas pre-CHP'!H11+CHP!H104</f>
        <v>175541901885200.72</v>
      </c>
      <c r="I11" s="16">
        <f>'BIFUbC-natural-gas pre-CHP'!I11+CHP!I104</f>
        <v>178521483363206.31</v>
      </c>
      <c r="J11" s="16">
        <f>'BIFUbC-natural-gas pre-CHP'!J11+CHP!J104</f>
        <v>180926085433695.75</v>
      </c>
      <c r="K11" s="16">
        <f>'BIFUbC-natural-gas pre-CHP'!K11+CHP!K104</f>
        <v>182722792760622.75</v>
      </c>
      <c r="L11" s="16">
        <f>'BIFUbC-natural-gas pre-CHP'!L11+CHP!L104</f>
        <v>185108528983136.13</v>
      </c>
      <c r="M11" s="16">
        <f>'BIFUbC-natural-gas pre-CHP'!M11+CHP!M104</f>
        <v>183770159877084.31</v>
      </c>
      <c r="N11" s="16">
        <f>'BIFUbC-natural-gas pre-CHP'!N11+CHP!N104</f>
        <v>182427784457396.59</v>
      </c>
      <c r="O11" s="16">
        <f>'BIFUbC-natural-gas pre-CHP'!O11+CHP!O104</f>
        <v>181081334225221.63</v>
      </c>
      <c r="P11" s="16">
        <f>'BIFUbC-natural-gas pre-CHP'!P11+CHP!P104</f>
        <v>179730738686207.47</v>
      </c>
      <c r="Q11" s="16">
        <f>'BIFUbC-natural-gas pre-CHP'!Q11+CHP!Q104</f>
        <v>178375925267824.59</v>
      </c>
      <c r="R11" s="16">
        <f>'BIFUbC-natural-gas pre-CHP'!R11+CHP!R104</f>
        <v>178256400517400.5</v>
      </c>
      <c r="S11" s="16">
        <f>'BIFUbC-natural-gas pre-CHP'!S11+CHP!S104</f>
        <v>178136875766976.44</v>
      </c>
      <c r="T11" s="16">
        <f>'BIFUbC-natural-gas pre-CHP'!T11+CHP!T104</f>
        <v>178017351016552.38</v>
      </c>
      <c r="U11" s="16">
        <f>'BIFUbC-natural-gas pre-CHP'!U11+CHP!U104</f>
        <v>177897826266128.34</v>
      </c>
      <c r="V11" s="16">
        <f>'BIFUbC-natural-gas pre-CHP'!V11+CHP!V104</f>
        <v>177778301515704.31</v>
      </c>
      <c r="W11" s="16">
        <f>'BIFUbC-natural-gas pre-CHP'!W11+CHP!W104</f>
        <v>177598746463343.94</v>
      </c>
      <c r="X11" s="16">
        <f>'BIFUbC-natural-gas pre-CHP'!X11+CHP!X104</f>
        <v>177419191410983.56</v>
      </c>
      <c r="Y11" s="16">
        <f>'BIFUbC-natural-gas pre-CHP'!Y11+CHP!Y104</f>
        <v>177239636358623.16</v>
      </c>
      <c r="Z11" s="16">
        <f>'BIFUbC-natural-gas pre-CHP'!Z11+CHP!Z104</f>
        <v>177060081306262.84</v>
      </c>
      <c r="AA11" s="16">
        <f>'BIFUbC-natural-gas pre-CHP'!AA11+CHP!AA104</f>
        <v>176880526253902.44</v>
      </c>
      <c r="AB11" s="16">
        <f>'BIFUbC-natural-gas pre-CHP'!AB11+CHP!AB104</f>
        <v>176700971201542.09</v>
      </c>
      <c r="AC11" s="16">
        <f>'BIFUbC-natural-gas pre-CHP'!AC11+CHP!AC104</f>
        <v>176521416149181.72</v>
      </c>
      <c r="AD11" s="16">
        <f>'BIFUbC-natural-gas pre-CHP'!AD11+CHP!AD104</f>
        <v>176341861096821.31</v>
      </c>
      <c r="AE11" s="16">
        <f>'BIFUbC-natural-gas pre-CHP'!AE11+CHP!AE104</f>
        <v>176162306044460.97</v>
      </c>
      <c r="AF11" s="16">
        <f>'BIFUbC-natural-gas pre-CHP'!AF11+CHP!AF104</f>
        <v>175982750992100.63</v>
      </c>
    </row>
    <row r="12" spans="1:35">
      <c r="A12" t="s">
        <v>12</v>
      </c>
      <c r="B12" s="16">
        <f>'BIFUbC-natural-gas pre-CHP'!B12+CHP!B105</f>
        <v>165290088281564.47</v>
      </c>
      <c r="C12" s="16">
        <f>'BIFUbC-natural-gas pre-CHP'!C12+CHP!C105</f>
        <v>164862352143195.03</v>
      </c>
      <c r="D12" s="16">
        <f>'BIFUbC-natural-gas pre-CHP'!D12+CHP!D105</f>
        <v>166540044272254.69</v>
      </c>
      <c r="E12" s="16">
        <f>'BIFUbC-natural-gas pre-CHP'!E12+CHP!E105</f>
        <v>167931557518947.22</v>
      </c>
      <c r="F12" s="16">
        <f>'BIFUbC-natural-gas pre-CHP'!F12+CHP!F105</f>
        <v>170488813937224.16</v>
      </c>
      <c r="G12" s="16">
        <f>'BIFUbC-natural-gas pre-CHP'!G12+CHP!G105</f>
        <v>172788082764290.63</v>
      </c>
      <c r="H12" s="16">
        <f>'BIFUbC-natural-gas pre-CHP'!H12+CHP!H105</f>
        <v>176594187669771.28</v>
      </c>
      <c r="I12" s="16">
        <f>'BIFUbC-natural-gas pre-CHP'!I12+CHP!I105</f>
        <v>179852011443576.38</v>
      </c>
      <c r="J12" s="16">
        <f>'BIFUbC-natural-gas pre-CHP'!J12+CHP!J105</f>
        <v>182518694396748.91</v>
      </c>
      <c r="K12" s="16">
        <f>'BIFUbC-natural-gas pre-CHP'!K12+CHP!K105</f>
        <v>184560030164480.34</v>
      </c>
      <c r="L12" s="16">
        <f>'BIFUbC-natural-gas pre-CHP'!L12+CHP!L105</f>
        <v>187237260140364.97</v>
      </c>
      <c r="M12" s="16">
        <f>'BIFUbC-natural-gas pre-CHP'!M12+CHP!M105</f>
        <v>185883499911972.25</v>
      </c>
      <c r="N12" s="16">
        <f>'BIFUbC-natural-gas pre-CHP'!N12+CHP!N105</f>
        <v>184525687297703.16</v>
      </c>
      <c r="O12" s="16">
        <f>'BIFUbC-natural-gas pre-CHP'!O12+CHP!O105</f>
        <v>183163753010975.75</v>
      </c>
      <c r="P12" s="16">
        <f>'BIFUbC-natural-gas pre-CHP'!P12+CHP!P105</f>
        <v>181797625746759.59</v>
      </c>
      <c r="Q12" s="16">
        <f>'BIFUbC-natural-gas pre-CHP'!Q12+CHP!Q105</f>
        <v>180427232097947.63</v>
      </c>
      <c r="R12" s="16">
        <f>'BIFUbC-natural-gas pre-CHP'!R12+CHP!R105</f>
        <v>180306332823822.88</v>
      </c>
      <c r="S12" s="16">
        <f>'BIFUbC-natural-gas pre-CHP'!S12+CHP!S105</f>
        <v>180185433549698.13</v>
      </c>
      <c r="T12" s="16">
        <f>'BIFUbC-natural-gas pre-CHP'!T12+CHP!T105</f>
        <v>180064534275573.38</v>
      </c>
      <c r="U12" s="16">
        <f>'BIFUbC-natural-gas pre-CHP'!U12+CHP!U105</f>
        <v>179943635001448.66</v>
      </c>
      <c r="V12" s="16">
        <f>'BIFUbC-natural-gas pre-CHP'!V12+CHP!V105</f>
        <v>179822735727323.94</v>
      </c>
      <c r="W12" s="16">
        <f>'BIFUbC-natural-gas pre-CHP'!W12+CHP!W105</f>
        <v>179641115808279.66</v>
      </c>
      <c r="X12" s="16">
        <f>'BIFUbC-natural-gas pre-CHP'!X12+CHP!X105</f>
        <v>179459495889235.44</v>
      </c>
      <c r="Y12" s="16">
        <f>'BIFUbC-natural-gas pre-CHP'!Y12+CHP!Y105</f>
        <v>179277875970191.19</v>
      </c>
      <c r="Z12" s="16">
        <f>'BIFUbC-natural-gas pre-CHP'!Z12+CHP!Z105</f>
        <v>179096256051146.97</v>
      </c>
      <c r="AA12" s="16">
        <f>'BIFUbC-natural-gas pre-CHP'!AA12+CHP!AA105</f>
        <v>178914636132102.72</v>
      </c>
      <c r="AB12" s="16">
        <f>'BIFUbC-natural-gas pre-CHP'!AB12+CHP!AB105</f>
        <v>178733016213058.47</v>
      </c>
      <c r="AC12" s="16">
        <f>'BIFUbC-natural-gas pre-CHP'!AC12+CHP!AC105</f>
        <v>178551396294014.25</v>
      </c>
      <c r="AD12" s="16">
        <f>'BIFUbC-natural-gas pre-CHP'!AD12+CHP!AD105</f>
        <v>178369776374970</v>
      </c>
      <c r="AE12" s="16">
        <f>'BIFUbC-natural-gas pre-CHP'!AE12+CHP!AE105</f>
        <v>178188156455925.75</v>
      </c>
      <c r="AF12" s="16">
        <f>'BIFUbC-natural-gas pre-CHP'!AF12+CHP!AF105</f>
        <v>178006536536881.56</v>
      </c>
    </row>
    <row r="13" spans="1:35">
      <c r="A13" t="s">
        <v>13</v>
      </c>
      <c r="B13" s="16">
        <f>'BIFUbC-natural-gas pre-CHP'!B13+CHP!B106</f>
        <v>12479648393370.316</v>
      </c>
      <c r="C13" s="16">
        <f>'BIFUbC-natural-gas pre-CHP'!C13+CHP!C106</f>
        <v>12786961243480.117</v>
      </c>
      <c r="D13" s="16">
        <f>'BIFUbC-natural-gas pre-CHP'!D13+CHP!D106</f>
        <v>13094274093589.979</v>
      </c>
      <c r="E13" s="16">
        <f>'BIFUbC-natural-gas pre-CHP'!E13+CHP!E106</f>
        <v>13401586943699.84</v>
      </c>
      <c r="F13" s="16">
        <f>'BIFUbC-natural-gas pre-CHP'!F13+CHP!F106</f>
        <v>13708899793809.705</v>
      </c>
      <c r="G13" s="16">
        <f>'BIFUbC-natural-gas pre-CHP'!G13+CHP!G106</f>
        <v>14016212643919.543</v>
      </c>
      <c r="H13" s="16">
        <f>'BIFUbC-natural-gas pre-CHP'!H13+CHP!H106</f>
        <v>14210144482094.449</v>
      </c>
      <c r="I13" s="16">
        <f>'BIFUbC-natural-gas pre-CHP'!I13+CHP!I106</f>
        <v>14404076320269.355</v>
      </c>
      <c r="J13" s="16">
        <f>'BIFUbC-natural-gas pre-CHP'!J13+CHP!J106</f>
        <v>14598008158444.26</v>
      </c>
      <c r="K13" s="16">
        <f>'BIFUbC-natural-gas pre-CHP'!K13+CHP!K106</f>
        <v>14791939996619.166</v>
      </c>
      <c r="L13" s="16">
        <f>'BIFUbC-natural-gas pre-CHP'!L13+CHP!L106</f>
        <v>14985871834794.074</v>
      </c>
      <c r="M13" s="16">
        <f>'BIFUbC-natural-gas pre-CHP'!M13+CHP!M106</f>
        <v>15168114781246.301</v>
      </c>
      <c r="N13" s="16">
        <f>'BIFUbC-natural-gas pre-CHP'!N13+CHP!N106</f>
        <v>15350357727698.531</v>
      </c>
      <c r="O13" s="16">
        <f>'BIFUbC-natural-gas pre-CHP'!O13+CHP!O106</f>
        <v>15532600674150.76</v>
      </c>
      <c r="P13" s="16">
        <f>'BIFUbC-natural-gas pre-CHP'!P13+CHP!P106</f>
        <v>15714843620602.99</v>
      </c>
      <c r="Q13" s="16">
        <f>'BIFUbC-natural-gas pre-CHP'!Q13+CHP!Q106</f>
        <v>15897086567055.223</v>
      </c>
      <c r="R13" s="16">
        <f>'BIFUbC-natural-gas pre-CHP'!R13+CHP!R106</f>
        <v>16095253464951.813</v>
      </c>
      <c r="S13" s="16">
        <f>'BIFUbC-natural-gas pre-CHP'!S13+CHP!S106</f>
        <v>16293420362848.406</v>
      </c>
      <c r="T13" s="16">
        <f>'BIFUbC-natural-gas pre-CHP'!T13+CHP!T106</f>
        <v>16491587260745</v>
      </c>
      <c r="U13" s="16">
        <f>'BIFUbC-natural-gas pre-CHP'!U13+CHP!U106</f>
        <v>16689754158641.594</v>
      </c>
      <c r="V13" s="16">
        <f>'BIFUbC-natural-gas pre-CHP'!V13+CHP!V106</f>
        <v>16887921056538.18</v>
      </c>
      <c r="W13" s="16">
        <f>'BIFUbC-natural-gas pre-CHP'!W13+CHP!W106</f>
        <v>17064856019175.615</v>
      </c>
      <c r="X13" s="16">
        <f>'BIFUbC-natural-gas pre-CHP'!X13+CHP!X106</f>
        <v>17256267301307.91</v>
      </c>
      <c r="Y13" s="16">
        <f>'BIFUbC-natural-gas pre-CHP'!Y13+CHP!Y106</f>
        <v>17447678583440.254</v>
      </c>
      <c r="Z13" s="16">
        <f>'BIFUbC-natural-gas pre-CHP'!Z13+CHP!Z106</f>
        <v>17639089865572.555</v>
      </c>
      <c r="AA13" s="16">
        <f>'BIFUbC-natural-gas pre-CHP'!AA13+CHP!AA106</f>
        <v>17830501147704.902</v>
      </c>
      <c r="AB13" s="16">
        <f>'BIFUbC-natural-gas pre-CHP'!AB13+CHP!AB106</f>
        <v>18021912429837.195</v>
      </c>
      <c r="AC13" s="16">
        <f>'BIFUbC-natural-gas pre-CHP'!AC13+CHP!AC106</f>
        <v>18213323711969.539</v>
      </c>
      <c r="AD13" s="16">
        <f>'BIFUbC-natural-gas pre-CHP'!AD13+CHP!AD106</f>
        <v>18404734994101.84</v>
      </c>
      <c r="AE13" s="16">
        <f>'BIFUbC-natural-gas pre-CHP'!AE13+CHP!AE106</f>
        <v>18596146276234.137</v>
      </c>
      <c r="AF13" s="16">
        <f>'BIFUbC-natural-gas pre-CHP'!AF13+CHP!AF106</f>
        <v>18787557558366.484</v>
      </c>
    </row>
    <row r="14" spans="1:35">
      <c r="A14" t="s">
        <v>14</v>
      </c>
      <c r="B14" s="16">
        <f>'BIFUbC-natural-gas pre-CHP'!B14+CHP!B107</f>
        <v>23413640272308.203</v>
      </c>
      <c r="C14" s="16">
        <f>'BIFUbC-natural-gas pre-CHP'!C14+CHP!C107</f>
        <v>24039032193533.457</v>
      </c>
      <c r="D14" s="16">
        <f>'BIFUbC-natural-gas pre-CHP'!D14+CHP!D107</f>
        <v>24664424114758.648</v>
      </c>
      <c r="E14" s="16">
        <f>'BIFUbC-natural-gas pre-CHP'!E14+CHP!E107</f>
        <v>25289816035983.844</v>
      </c>
      <c r="F14" s="16">
        <f>'BIFUbC-natural-gas pre-CHP'!F14+CHP!F107</f>
        <v>25915207957209.102</v>
      </c>
      <c r="G14" s="16">
        <f>'BIFUbC-natural-gas pre-CHP'!G14+CHP!G107</f>
        <v>26540599878434.352</v>
      </c>
      <c r="H14" s="16">
        <f>'BIFUbC-natural-gas pre-CHP'!H14+CHP!H107</f>
        <v>26880251611702.168</v>
      </c>
      <c r="I14" s="16">
        <f>'BIFUbC-natural-gas pre-CHP'!I14+CHP!I107</f>
        <v>27219903344969.98</v>
      </c>
      <c r="J14" s="16">
        <f>'BIFUbC-natural-gas pre-CHP'!J14+CHP!J107</f>
        <v>27559555078237.797</v>
      </c>
      <c r="K14" s="16">
        <f>'BIFUbC-natural-gas pre-CHP'!K14+CHP!K107</f>
        <v>27899206811505.609</v>
      </c>
      <c r="L14" s="16">
        <f>'BIFUbC-natural-gas pre-CHP'!L14+CHP!L107</f>
        <v>28238858544773.43</v>
      </c>
      <c r="M14" s="16">
        <f>'BIFUbC-natural-gas pre-CHP'!M14+CHP!M107</f>
        <v>28542240951545.98</v>
      </c>
      <c r="N14" s="16">
        <f>'BIFUbC-natural-gas pre-CHP'!N14+CHP!N107</f>
        <v>28845623358318.531</v>
      </c>
      <c r="O14" s="16">
        <f>'BIFUbC-natural-gas pre-CHP'!O14+CHP!O107</f>
        <v>29149005765091.09</v>
      </c>
      <c r="P14" s="16">
        <f>'BIFUbC-natural-gas pre-CHP'!P14+CHP!P107</f>
        <v>29452388171863.641</v>
      </c>
      <c r="Q14" s="16">
        <f>'BIFUbC-natural-gas pre-CHP'!Q14+CHP!Q107</f>
        <v>29755770578636.203</v>
      </c>
      <c r="R14" s="16">
        <f>'BIFUbC-natural-gas pre-CHP'!R14+CHP!R107</f>
        <v>30078093590632.133</v>
      </c>
      <c r="S14" s="16">
        <f>'BIFUbC-natural-gas pre-CHP'!S14+CHP!S107</f>
        <v>30400416602628.063</v>
      </c>
      <c r="T14" s="16">
        <f>'BIFUbC-natural-gas pre-CHP'!T14+CHP!T107</f>
        <v>30722739614623.996</v>
      </c>
      <c r="U14" s="16">
        <f>'BIFUbC-natural-gas pre-CHP'!U14+CHP!U107</f>
        <v>31045062626619.93</v>
      </c>
      <c r="V14" s="16">
        <f>'BIFUbC-natural-gas pre-CHP'!V14+CHP!V107</f>
        <v>31367385638615.848</v>
      </c>
      <c r="W14" s="16">
        <f>'BIFUbC-natural-gas pre-CHP'!W14+CHP!W107</f>
        <v>31664454510313.938</v>
      </c>
      <c r="X14" s="16">
        <f>'BIFUbC-natural-gas pre-CHP'!X14+CHP!X107</f>
        <v>31978742114033.242</v>
      </c>
      <c r="Y14" s="16">
        <f>'BIFUbC-natural-gas pre-CHP'!Y14+CHP!Y107</f>
        <v>32293029717752.641</v>
      </c>
      <c r="Z14" s="16">
        <f>'BIFUbC-natural-gas pre-CHP'!Z14+CHP!Z107</f>
        <v>32607317321471.961</v>
      </c>
      <c r="AA14" s="16">
        <f>'BIFUbC-natural-gas pre-CHP'!AA14+CHP!AA107</f>
        <v>32921604925191.352</v>
      </c>
      <c r="AB14" s="16">
        <f>'BIFUbC-natural-gas pre-CHP'!AB14+CHP!AB107</f>
        <v>33235892528910.656</v>
      </c>
      <c r="AC14" s="16">
        <f>'BIFUbC-natural-gas pre-CHP'!AC14+CHP!AC107</f>
        <v>33550180132630.055</v>
      </c>
      <c r="AD14" s="16">
        <f>'BIFUbC-natural-gas pre-CHP'!AD14+CHP!AD107</f>
        <v>33864467736349.371</v>
      </c>
      <c r="AE14" s="16">
        <f>'BIFUbC-natural-gas pre-CHP'!AE14+CHP!AE107</f>
        <v>34178755340068.688</v>
      </c>
      <c r="AF14" s="16">
        <f>'BIFUbC-natural-gas pre-CHP'!AF14+CHP!AF107</f>
        <v>34493042943788.086</v>
      </c>
    </row>
    <row r="15" spans="1:35">
      <c r="A15" t="s">
        <v>15</v>
      </c>
      <c r="B15" s="16">
        <f>'BIFUbC-natural-gas pre-CHP'!B15+CHP!B108</f>
        <v>114937045075306.53</v>
      </c>
      <c r="C15" s="16">
        <f>'BIFUbC-natural-gas pre-CHP'!C15+CHP!C108</f>
        <v>116895415320892.73</v>
      </c>
      <c r="D15" s="16">
        <f>'BIFUbC-natural-gas pre-CHP'!D15+CHP!D108</f>
        <v>113991047602448.86</v>
      </c>
      <c r="E15" s="16">
        <f>'BIFUbC-natural-gas pre-CHP'!E15+CHP!E108</f>
        <v>112918904493884.03</v>
      </c>
      <c r="F15" s="16">
        <f>'BIFUbC-natural-gas pre-CHP'!F15+CHP!F108</f>
        <v>113833182946533.56</v>
      </c>
      <c r="G15" s="16">
        <f>'BIFUbC-natural-gas pre-CHP'!G15+CHP!G108</f>
        <v>115752403586583.03</v>
      </c>
      <c r="H15" s="16">
        <f>'BIFUbC-natural-gas pre-CHP'!H15+CHP!H108</f>
        <v>115752403586583.03</v>
      </c>
      <c r="I15" s="16">
        <f>'BIFUbC-natural-gas pre-CHP'!I15+CHP!I108</f>
        <v>108205938998657.16</v>
      </c>
      <c r="J15" s="16">
        <f>'BIFUbC-natural-gas pre-CHP'!J15+CHP!J108</f>
        <v>111652132149876.92</v>
      </c>
      <c r="K15" s="16">
        <f>'BIFUbC-natural-gas pre-CHP'!K15+CHP!K108</f>
        <v>112171460227401.56</v>
      </c>
      <c r="L15" s="16">
        <f>'BIFUbC-natural-gas pre-CHP'!L15+CHP!L108</f>
        <v>121620197803861.33</v>
      </c>
      <c r="M15" s="16">
        <f>'BIFUbC-natural-gas pre-CHP'!M15+CHP!M108</f>
        <v>123817303622665.55</v>
      </c>
      <c r="N15" s="16">
        <f>'BIFUbC-natural-gas pre-CHP'!N15+CHP!N108</f>
        <v>128234087905118.58</v>
      </c>
      <c r="O15" s="16">
        <f>'BIFUbC-natural-gas pre-CHP'!O15+CHP!O108</f>
        <v>140629333604581.97</v>
      </c>
      <c r="P15" s="16">
        <f>'BIFUbC-natural-gas pre-CHP'!P15+CHP!P108</f>
        <v>133641866393539.5</v>
      </c>
      <c r="Q15" s="16">
        <f>'BIFUbC-natural-gas pre-CHP'!Q15+CHP!Q108</f>
        <v>158107498765974.78</v>
      </c>
      <c r="R15" s="16">
        <f>'BIFUbC-natural-gas pre-CHP'!R15+CHP!R108</f>
        <v>158107498765974.78</v>
      </c>
      <c r="S15" s="16">
        <f>'BIFUbC-natural-gas pre-CHP'!S15+CHP!S108</f>
        <v>158107498765974.78</v>
      </c>
      <c r="T15" s="16">
        <f>'BIFUbC-natural-gas pre-CHP'!T15+CHP!T108</f>
        <v>158542344292007.41</v>
      </c>
      <c r="U15" s="16">
        <f>'BIFUbC-natural-gas pre-CHP'!U15+CHP!U108</f>
        <v>151863706483961.94</v>
      </c>
      <c r="V15" s="16">
        <f>'BIFUbC-natural-gas pre-CHP'!V15+CHP!V108</f>
        <v>172522449316400.94</v>
      </c>
      <c r="W15" s="16">
        <f>'BIFUbC-natural-gas pre-CHP'!W15+CHP!W108</f>
        <v>187727907063409.81</v>
      </c>
      <c r="X15" s="16">
        <f>'BIFUbC-natural-gas pre-CHP'!X15+CHP!X108</f>
        <v>183637061842691.31</v>
      </c>
      <c r="Y15" s="16">
        <f>'BIFUbC-natural-gas pre-CHP'!Y15+CHP!Y108</f>
        <v>187274858680838.88</v>
      </c>
      <c r="Z15" s="16">
        <f>'BIFUbC-natural-gas pre-CHP'!Z15+CHP!Z108</f>
        <v>187274858680838.88</v>
      </c>
      <c r="AA15" s="16">
        <f>'BIFUbC-natural-gas pre-CHP'!AA15+CHP!AA108</f>
        <v>195538355813814.5</v>
      </c>
      <c r="AB15" s="16">
        <f>'BIFUbC-natural-gas pre-CHP'!AB15+CHP!AB108</f>
        <v>195538355813814.5</v>
      </c>
      <c r="AC15" s="16">
        <f>'BIFUbC-natural-gas pre-CHP'!AC15+CHP!AC108</f>
        <v>207933601513277.91</v>
      </c>
      <c r="AD15" s="16">
        <f>'BIFUbC-natural-gas pre-CHP'!AD15+CHP!AD108</f>
        <v>207933601513277.91</v>
      </c>
      <c r="AE15" s="16">
        <f>'BIFUbC-natural-gas pre-CHP'!AE15+CHP!AE108</f>
        <v>207933601513277.91</v>
      </c>
      <c r="AF15" s="16">
        <f>'BIFUbC-natural-gas pre-CHP'!AF15+CHP!AF108</f>
        <v>207933601513277.91</v>
      </c>
    </row>
    <row r="16" spans="1:35">
      <c r="A16" t="s">
        <v>16</v>
      </c>
      <c r="B16" s="16">
        <f>'BIFUbC-natural-gas pre-CHP'!B16+CHP!B109</f>
        <v>15114772293111.242</v>
      </c>
      <c r="C16" s="16">
        <f>'BIFUbC-natural-gas pre-CHP'!C16+CHP!C109</f>
        <v>15390109561131.723</v>
      </c>
      <c r="D16" s="16">
        <f>'BIFUbC-natural-gas pre-CHP'!D16+CHP!D109</f>
        <v>16179819317944.43</v>
      </c>
      <c r="E16" s="16">
        <f>'BIFUbC-natural-gas pre-CHP'!E16+CHP!E109</f>
        <v>15940784097172.686</v>
      </c>
      <c r="F16" s="16">
        <f>'BIFUbC-natural-gas pre-CHP'!F16+CHP!F109</f>
        <v>16216121365193.168</v>
      </c>
      <c r="G16" s="16">
        <f>'BIFUbC-natural-gas pre-CHP'!G16+CHP!G109</f>
        <v>16491458633213.627</v>
      </c>
      <c r="H16" s="16">
        <f>'BIFUbC-natural-gas pre-CHP'!H16+CHP!H109</f>
        <v>16642624904217.914</v>
      </c>
      <c r="I16" s="16">
        <f>'BIFUbC-natural-gas pre-CHP'!I16+CHP!I109</f>
        <v>16793791175222.199</v>
      </c>
      <c r="J16" s="16">
        <f>'BIFUbC-natural-gas pre-CHP'!J16+CHP!J109</f>
        <v>16944957446226.488</v>
      </c>
      <c r="K16" s="16">
        <f>'BIFUbC-natural-gas pre-CHP'!K16+CHP!K109</f>
        <v>17096123717230.773</v>
      </c>
      <c r="L16" s="16">
        <f>'BIFUbC-natural-gas pre-CHP'!L16+CHP!L109</f>
        <v>17247289988235.059</v>
      </c>
      <c r="M16" s="16">
        <f>'BIFUbC-natural-gas pre-CHP'!M16+CHP!M109</f>
        <v>17344411313778.121</v>
      </c>
      <c r="N16" s="16">
        <f>'BIFUbC-natural-gas pre-CHP'!N16+CHP!N109</f>
        <v>17441532639321.184</v>
      </c>
      <c r="O16" s="16">
        <f>'BIFUbC-natural-gas pre-CHP'!O16+CHP!O109</f>
        <v>17538653964864.246</v>
      </c>
      <c r="P16" s="16">
        <f>'BIFUbC-natural-gas pre-CHP'!P16+CHP!P109</f>
        <v>17635775290407.313</v>
      </c>
      <c r="Q16" s="16">
        <f>'BIFUbC-natural-gas pre-CHP'!Q16+CHP!Q109</f>
        <v>17732896615950.375</v>
      </c>
      <c r="R16" s="16">
        <f>'BIFUbC-natural-gas pre-CHP'!R16+CHP!R109</f>
        <v>17800779592313.73</v>
      </c>
      <c r="S16" s="16">
        <f>'BIFUbC-natural-gas pre-CHP'!S16+CHP!S109</f>
        <v>17868662568677.094</v>
      </c>
      <c r="T16" s="16">
        <f>'BIFUbC-natural-gas pre-CHP'!T16+CHP!T109</f>
        <v>17936545545040.453</v>
      </c>
      <c r="U16" s="16">
        <f>'BIFUbC-natural-gas pre-CHP'!U16+CHP!U109</f>
        <v>18004428521403.813</v>
      </c>
      <c r="V16" s="16">
        <f>'BIFUbC-natural-gas pre-CHP'!V16+CHP!V109</f>
        <v>18072311497767.172</v>
      </c>
      <c r="W16" s="16">
        <f>'BIFUbC-natural-gas pre-CHP'!W16+CHP!W109</f>
        <v>18179178939703.473</v>
      </c>
      <c r="X16" s="16">
        <f>'BIFUbC-natural-gas pre-CHP'!X16+CHP!X109</f>
        <v>18259466064203.68</v>
      </c>
      <c r="Y16" s="16">
        <f>'BIFUbC-natural-gas pre-CHP'!Y16+CHP!Y109</f>
        <v>18339753188703.871</v>
      </c>
      <c r="Z16" s="16">
        <f>'BIFUbC-natural-gas pre-CHP'!Z16+CHP!Z109</f>
        <v>18420040313204.078</v>
      </c>
      <c r="AA16" s="16">
        <f>'BIFUbC-natural-gas pre-CHP'!AA16+CHP!AA109</f>
        <v>18500327437704.27</v>
      </c>
      <c r="AB16" s="16">
        <f>'BIFUbC-natural-gas pre-CHP'!AB16+CHP!AB109</f>
        <v>18580614562204.492</v>
      </c>
      <c r="AC16" s="16">
        <f>'BIFUbC-natural-gas pre-CHP'!AC16+CHP!AC109</f>
        <v>18660901686704.688</v>
      </c>
      <c r="AD16" s="16">
        <f>'BIFUbC-natural-gas pre-CHP'!AD16+CHP!AD109</f>
        <v>18741188811204.891</v>
      </c>
      <c r="AE16" s="16">
        <f>'BIFUbC-natural-gas pre-CHP'!AE16+CHP!AE109</f>
        <v>18821475935705.098</v>
      </c>
      <c r="AF16" s="16">
        <f>'BIFUbC-natural-gas pre-CHP'!AF16+CHP!AF109</f>
        <v>18901763060205.289</v>
      </c>
    </row>
    <row r="17" spans="1:33">
      <c r="A17" t="s">
        <v>17</v>
      </c>
      <c r="B17" s="16">
        <f>'BIFUbC-natural-gas pre-CHP'!B17+CHP!B110</f>
        <v>24558369800949.129</v>
      </c>
      <c r="C17" s="16">
        <f>'BIFUbC-natural-gas pre-CHP'!C17+CHP!C110</f>
        <v>25043531732799.688</v>
      </c>
      <c r="D17" s="16">
        <f>'BIFUbC-natural-gas pre-CHP'!D17+CHP!D110</f>
        <v>26534410743918.961</v>
      </c>
      <c r="E17" s="16">
        <f>'BIFUbC-natural-gas pre-CHP'!E17+CHP!E110</f>
        <v>26013855596500.727</v>
      </c>
      <c r="F17" s="16">
        <f>'BIFUbC-natural-gas pre-CHP'!F17+CHP!F110</f>
        <v>26499017528351.219</v>
      </c>
      <c r="G17" s="16">
        <f>'BIFUbC-natural-gas pre-CHP'!G17+CHP!G110</f>
        <v>26984179460201.793</v>
      </c>
      <c r="H17" s="16">
        <f>'BIFUbC-natural-gas pre-CHP'!H17+CHP!H110</f>
        <v>27226558398851.715</v>
      </c>
      <c r="I17" s="16">
        <f>'BIFUbC-natural-gas pre-CHP'!I17+CHP!I110</f>
        <v>27468937337501.641</v>
      </c>
      <c r="J17" s="16">
        <f>'BIFUbC-natural-gas pre-CHP'!J17+CHP!J110</f>
        <v>27711316276151.559</v>
      </c>
      <c r="K17" s="16">
        <f>'BIFUbC-natural-gas pre-CHP'!K17+CHP!K110</f>
        <v>27953695214801.484</v>
      </c>
      <c r="L17" s="16">
        <f>'BIFUbC-natural-gas pre-CHP'!L17+CHP!L110</f>
        <v>28196074153451.406</v>
      </c>
      <c r="M17" s="16">
        <f>'BIFUbC-natural-gas pre-CHP'!M17+CHP!M110</f>
        <v>28356051633118.148</v>
      </c>
      <c r="N17" s="16">
        <f>'BIFUbC-natural-gas pre-CHP'!N17+CHP!N110</f>
        <v>28516029112784.895</v>
      </c>
      <c r="O17" s="16">
        <f>'BIFUbC-natural-gas pre-CHP'!O17+CHP!O110</f>
        <v>28676006592451.641</v>
      </c>
      <c r="P17" s="16">
        <f>'BIFUbC-natural-gas pre-CHP'!P17+CHP!P110</f>
        <v>28835984072118.383</v>
      </c>
      <c r="Q17" s="16">
        <f>'BIFUbC-natural-gas pre-CHP'!Q17+CHP!Q110</f>
        <v>28995961551785.133</v>
      </c>
      <c r="R17" s="16">
        <f>'BIFUbC-natural-gas pre-CHP'!R17+CHP!R110</f>
        <v>29115391943952.727</v>
      </c>
      <c r="S17" s="16">
        <f>'BIFUbC-natural-gas pre-CHP'!S17+CHP!S110</f>
        <v>29234822336120.32</v>
      </c>
      <c r="T17" s="16">
        <f>'BIFUbC-natural-gas pre-CHP'!T17+CHP!T110</f>
        <v>29354252728287.922</v>
      </c>
      <c r="U17" s="16">
        <f>'BIFUbC-natural-gas pre-CHP'!U17+CHP!U110</f>
        <v>29473683120455.516</v>
      </c>
      <c r="V17" s="16">
        <f>'BIFUbC-natural-gas pre-CHP'!V17+CHP!V110</f>
        <v>29593113512623.117</v>
      </c>
      <c r="W17" s="16">
        <f>'BIFUbC-natural-gas pre-CHP'!W17+CHP!W110</f>
        <v>29766606688122.918</v>
      </c>
      <c r="X17" s="16">
        <f>'BIFUbC-natural-gas pre-CHP'!X17+CHP!X110</f>
        <v>29903238874987.125</v>
      </c>
      <c r="Y17" s="16">
        <f>'BIFUbC-natural-gas pre-CHP'!Y17+CHP!Y110</f>
        <v>30039871061851.316</v>
      </c>
      <c r="Z17" s="16">
        <f>'BIFUbC-natural-gas pre-CHP'!Z17+CHP!Z110</f>
        <v>30176503248715.523</v>
      </c>
      <c r="AA17" s="16">
        <f>'BIFUbC-natural-gas pre-CHP'!AA17+CHP!AA110</f>
        <v>30313135435579.711</v>
      </c>
      <c r="AB17" s="16">
        <f>'BIFUbC-natural-gas pre-CHP'!AB17+CHP!AB110</f>
        <v>30449767622443.953</v>
      </c>
      <c r="AC17" s="16">
        <f>'BIFUbC-natural-gas pre-CHP'!AC17+CHP!AC110</f>
        <v>30586399809308.141</v>
      </c>
      <c r="AD17" s="16">
        <f>'BIFUbC-natural-gas pre-CHP'!AD17+CHP!AD110</f>
        <v>30723031996172.352</v>
      </c>
      <c r="AE17" s="16">
        <f>'BIFUbC-natural-gas pre-CHP'!AE17+CHP!AE110</f>
        <v>30859664183036.555</v>
      </c>
      <c r="AF17" s="16">
        <f>'BIFUbC-natural-gas pre-CHP'!AF17+CHP!AF110</f>
        <v>30996296369900.746</v>
      </c>
    </row>
    <row r="18" spans="1:33">
      <c r="A18" t="s">
        <v>18</v>
      </c>
      <c r="B18" s="16">
        <f>'BIFUbC-natural-gas pre-CHP'!B18+CHP!B111</f>
        <v>115659444125979.56</v>
      </c>
      <c r="C18" s="16">
        <f>'BIFUbC-natural-gas pre-CHP'!C18+CHP!C111</f>
        <v>120051694287671.59</v>
      </c>
      <c r="D18" s="16">
        <f>'BIFUbC-natural-gas pre-CHP'!D18+CHP!D111</f>
        <v>134968416702111.25</v>
      </c>
      <c r="E18" s="16">
        <f>'BIFUbC-natural-gas pre-CHP'!E18+CHP!E111</f>
        <v>128836194611055.67</v>
      </c>
      <c r="F18" s="16">
        <f>'BIFUbC-natural-gas pre-CHP'!F18+CHP!F111</f>
        <v>133228444772747.72</v>
      </c>
      <c r="G18" s="16">
        <f>'BIFUbC-natural-gas pre-CHP'!G18+CHP!G111</f>
        <v>137620694934439.94</v>
      </c>
      <c r="H18" s="16">
        <f>'BIFUbC-natural-gas pre-CHP'!H18+CHP!H111</f>
        <v>140222700978620.13</v>
      </c>
      <c r="I18" s="16">
        <f>'BIFUbC-natural-gas pre-CHP'!I18+CHP!I111</f>
        <v>142824707022800.75</v>
      </c>
      <c r="J18" s="16">
        <f>'BIFUbC-natural-gas pre-CHP'!J18+CHP!J111</f>
        <v>145426713066981.38</v>
      </c>
      <c r="K18" s="16">
        <f>'BIFUbC-natural-gas pre-CHP'!K18+CHP!K111</f>
        <v>148028719111162.03</v>
      </c>
      <c r="L18" s="16">
        <f>'BIFUbC-natural-gas pre-CHP'!L18+CHP!L111</f>
        <v>150630725155343.06</v>
      </c>
      <c r="M18" s="16">
        <f>'BIFUbC-natural-gas pre-CHP'!M18+CHP!M111</f>
        <v>152875720377717.25</v>
      </c>
      <c r="N18" s="16">
        <f>'BIFUbC-natural-gas pre-CHP'!N18+CHP!N111</f>
        <v>155120715600091.38</v>
      </c>
      <c r="O18" s="16">
        <f>'BIFUbC-natural-gas pre-CHP'!O18+CHP!O111</f>
        <v>157365710822465.53</v>
      </c>
      <c r="P18" s="16">
        <f>'BIFUbC-natural-gas pre-CHP'!P18+CHP!P111</f>
        <v>159610706044839.66</v>
      </c>
      <c r="Q18" s="16">
        <f>'BIFUbC-natural-gas pre-CHP'!Q18+CHP!Q111</f>
        <v>161855701267213.81</v>
      </c>
      <c r="R18" s="16">
        <f>'BIFUbC-natural-gas pre-CHP'!R18+CHP!R111</f>
        <v>164183725187316.13</v>
      </c>
      <c r="S18" s="16">
        <f>'BIFUbC-natural-gas pre-CHP'!S18+CHP!S111</f>
        <v>166511749107418.44</v>
      </c>
      <c r="T18" s="16">
        <f>'BIFUbC-natural-gas pre-CHP'!T18+CHP!T111</f>
        <v>168839773027520.78</v>
      </c>
      <c r="U18" s="16">
        <f>'BIFUbC-natural-gas pre-CHP'!U18+CHP!U111</f>
        <v>171167796947623.09</v>
      </c>
      <c r="V18" s="16">
        <f>'BIFUbC-natural-gas pre-CHP'!V18+CHP!V111</f>
        <v>173495820867725.41</v>
      </c>
      <c r="W18" s="16">
        <f>'BIFUbC-natural-gas pre-CHP'!W18+CHP!W111</f>
        <v>175713139857523.44</v>
      </c>
      <c r="X18" s="16">
        <f>'BIFUbC-natural-gas pre-CHP'!X18+CHP!X111</f>
        <v>178005939481619.75</v>
      </c>
      <c r="Y18" s="16">
        <f>'BIFUbC-natural-gas pre-CHP'!Y18+CHP!Y111</f>
        <v>180298739105716.56</v>
      </c>
      <c r="Z18" s="16">
        <f>'BIFUbC-natural-gas pre-CHP'!Z18+CHP!Z111</f>
        <v>182591538729812.91</v>
      </c>
      <c r="AA18" s="16">
        <f>'BIFUbC-natural-gas pre-CHP'!AA18+CHP!AA111</f>
        <v>184884338353909.5</v>
      </c>
      <c r="AB18" s="16">
        <f>'BIFUbC-natural-gas pre-CHP'!AB18+CHP!AB111</f>
        <v>187177137978005.88</v>
      </c>
      <c r="AC18" s="16">
        <f>'BIFUbC-natural-gas pre-CHP'!AC18+CHP!AC111</f>
        <v>189469937602102.19</v>
      </c>
      <c r="AD18" s="16">
        <f>'BIFUbC-natural-gas pre-CHP'!AD18+CHP!AD111</f>
        <v>191762737226198.56</v>
      </c>
      <c r="AE18" s="16">
        <f>'BIFUbC-natural-gas pre-CHP'!AE18+CHP!AE111</f>
        <v>194055536850294.94</v>
      </c>
      <c r="AF18" s="16">
        <f>'BIFUbC-natural-gas pre-CHP'!AF18+CHP!AF111</f>
        <v>196348336474391.25</v>
      </c>
    </row>
    <row r="19" spans="1:33">
      <c r="A19" t="s">
        <v>19</v>
      </c>
      <c r="B19" s="16">
        <f>'BIFUbC-natural-gas pre-CHP'!B19+CHP!B112</f>
        <v>19100676527815.086</v>
      </c>
      <c r="C19" s="16">
        <f>'BIFUbC-natural-gas pre-CHP'!C19+CHP!C112</f>
        <v>19841668036170.219</v>
      </c>
      <c r="D19" s="16">
        <f>'BIFUbC-natural-gas pre-CHP'!D19+CHP!D112</f>
        <v>22415390316407.648</v>
      </c>
      <c r="E19" s="16">
        <f>'BIFUbC-natural-gas pre-CHP'!E19+CHP!E112</f>
        <v>21323651052880.484</v>
      </c>
      <c r="F19" s="16">
        <f>'BIFUbC-natural-gas pre-CHP'!F19+CHP!F112</f>
        <v>22064642561235.613</v>
      </c>
      <c r="G19" s="16">
        <f>'BIFUbC-natural-gas pre-CHP'!G19+CHP!G112</f>
        <v>22805634069590.734</v>
      </c>
      <c r="H19" s="16">
        <f>'BIFUbC-natural-gas pre-CHP'!H19+CHP!H112</f>
        <v>23234872607863.336</v>
      </c>
      <c r="I19" s="16">
        <f>'BIFUbC-natural-gas pre-CHP'!I19+CHP!I112</f>
        <v>23664111146136.012</v>
      </c>
      <c r="J19" s="16">
        <f>'BIFUbC-natural-gas pre-CHP'!J19+CHP!J112</f>
        <v>24093349684408.695</v>
      </c>
      <c r="K19" s="16">
        <f>'BIFUbC-natural-gas pre-CHP'!K19+CHP!K112</f>
        <v>24522588222681.371</v>
      </c>
      <c r="L19" s="16">
        <f>'BIFUbC-natural-gas pre-CHP'!L19+CHP!L112</f>
        <v>24951826760954.125</v>
      </c>
      <c r="M19" s="16">
        <f>'BIFUbC-natural-gas pre-CHP'!M19+CHP!M112</f>
        <v>25320875843480.93</v>
      </c>
      <c r="N19" s="16">
        <f>'BIFUbC-natural-gas pre-CHP'!N19+CHP!N112</f>
        <v>25689924926007.727</v>
      </c>
      <c r="O19" s="16">
        <f>'BIFUbC-natural-gas pre-CHP'!O19+CHP!O112</f>
        <v>26058974008534.527</v>
      </c>
      <c r="P19" s="16">
        <f>'BIFUbC-natural-gas pre-CHP'!P19+CHP!P112</f>
        <v>26428023091061.328</v>
      </c>
      <c r="Q19" s="16">
        <f>'BIFUbC-natural-gas pre-CHP'!Q19+CHP!Q112</f>
        <v>26797072173588.129</v>
      </c>
      <c r="R19" s="16">
        <f>'BIFUbC-natural-gas pre-CHP'!R19+CHP!R112</f>
        <v>27179479655498.797</v>
      </c>
      <c r="S19" s="16">
        <f>'BIFUbC-natural-gas pre-CHP'!S19+CHP!S112</f>
        <v>27561887137409.477</v>
      </c>
      <c r="T19" s="16">
        <f>'BIFUbC-natural-gas pre-CHP'!T19+CHP!T112</f>
        <v>27944294619320.148</v>
      </c>
      <c r="U19" s="16">
        <f>'BIFUbC-natural-gas pre-CHP'!U19+CHP!U112</f>
        <v>28326702101230.824</v>
      </c>
      <c r="V19" s="16">
        <f>'BIFUbC-natural-gas pre-CHP'!V19+CHP!V112</f>
        <v>28709109583141.5</v>
      </c>
      <c r="W19" s="16">
        <f>'BIFUbC-natural-gas pre-CHP'!W19+CHP!W112</f>
        <v>29073705865873.664</v>
      </c>
      <c r="X19" s="16">
        <f>'BIFUbC-natural-gas pre-CHP'!X19+CHP!X112</f>
        <v>29450446148045.711</v>
      </c>
      <c r="Y19" s="16">
        <f>'BIFUbC-natural-gas pre-CHP'!Y19+CHP!Y112</f>
        <v>29827186430217.836</v>
      </c>
      <c r="Z19" s="16">
        <f>'BIFUbC-natural-gas pre-CHP'!Z19+CHP!Z112</f>
        <v>30203926712389.887</v>
      </c>
      <c r="AA19" s="16">
        <f>'BIFUbC-natural-gas pre-CHP'!AA19+CHP!AA112</f>
        <v>30580666994561.973</v>
      </c>
      <c r="AB19" s="16">
        <f>'BIFUbC-natural-gas pre-CHP'!AB19+CHP!AB112</f>
        <v>30957407276734.02</v>
      </c>
      <c r="AC19" s="16">
        <f>'BIFUbC-natural-gas pre-CHP'!AC19+CHP!AC112</f>
        <v>31334147558906.07</v>
      </c>
      <c r="AD19" s="16">
        <f>'BIFUbC-natural-gas pre-CHP'!AD19+CHP!AD112</f>
        <v>31710887841078.117</v>
      </c>
      <c r="AE19" s="16">
        <f>'BIFUbC-natural-gas pre-CHP'!AE19+CHP!AE112</f>
        <v>32087628123250.164</v>
      </c>
      <c r="AF19" s="16">
        <f>'BIFUbC-natural-gas pre-CHP'!AF19+CHP!AF112</f>
        <v>32464368405422.211</v>
      </c>
    </row>
    <row r="20" spans="1:33">
      <c r="A20" t="s">
        <v>20</v>
      </c>
      <c r="B20" s="16">
        <f>'BIFUbC-natural-gas pre-CHP'!B20+CHP!B113</f>
        <v>25474216974993.801</v>
      </c>
      <c r="C20" s="16">
        <f>'BIFUbC-natural-gas pre-CHP'!C20+CHP!C113</f>
        <v>26531291294897.316</v>
      </c>
      <c r="D20" s="16">
        <f>'BIFUbC-natural-gas pre-CHP'!D20+CHP!D113</f>
        <v>30449486286789.969</v>
      </c>
      <c r="E20" s="16">
        <f>'BIFUbC-natural-gas pre-CHP'!E20+CHP!E113</f>
        <v>28645439934704.332</v>
      </c>
      <c r="F20" s="16">
        <f>'BIFUbC-natural-gas pre-CHP'!F20+CHP!F113</f>
        <v>29702514254607.852</v>
      </c>
      <c r="G20" s="16">
        <f>'BIFUbC-natural-gas pre-CHP'!G20+CHP!G113</f>
        <v>30759588574511.363</v>
      </c>
      <c r="H20" s="16">
        <f>'BIFUbC-natural-gas pre-CHP'!H20+CHP!H113</f>
        <v>31329977735338.797</v>
      </c>
      <c r="I20" s="16">
        <f>'BIFUbC-natural-gas pre-CHP'!I20+CHP!I113</f>
        <v>31900366896166.352</v>
      </c>
      <c r="J20" s="16">
        <f>'BIFUbC-natural-gas pre-CHP'!J20+CHP!J113</f>
        <v>32470756056993.906</v>
      </c>
      <c r="K20" s="16">
        <f>'BIFUbC-natural-gas pre-CHP'!K20+CHP!K113</f>
        <v>33041145217821.461</v>
      </c>
      <c r="L20" s="16">
        <f>'BIFUbC-natural-gas pre-CHP'!L20+CHP!L113</f>
        <v>33611534378649.133</v>
      </c>
      <c r="M20" s="16">
        <f>'BIFUbC-natural-gas pre-CHP'!M20+CHP!M113</f>
        <v>34096230822380.492</v>
      </c>
      <c r="N20" s="16">
        <f>'BIFUbC-natural-gas pre-CHP'!N20+CHP!N113</f>
        <v>34580927266111.844</v>
      </c>
      <c r="O20" s="16">
        <f>'BIFUbC-natural-gas pre-CHP'!O20+CHP!O113</f>
        <v>35065623709843.199</v>
      </c>
      <c r="P20" s="16">
        <f>'BIFUbC-natural-gas pre-CHP'!P20+CHP!P113</f>
        <v>35550320153574.547</v>
      </c>
      <c r="Q20" s="16">
        <f>'BIFUbC-natural-gas pre-CHP'!Q20+CHP!Q113</f>
        <v>36035016597305.906</v>
      </c>
      <c r="R20" s="16">
        <f>'BIFUbC-natural-gas pre-CHP'!R20+CHP!R113</f>
        <v>36535972436585.883</v>
      </c>
      <c r="S20" s="16">
        <f>'BIFUbC-natural-gas pre-CHP'!S20+CHP!S113</f>
        <v>37036928275865.859</v>
      </c>
      <c r="T20" s="16">
        <f>'BIFUbC-natural-gas pre-CHP'!T20+CHP!T113</f>
        <v>37537884115145.844</v>
      </c>
      <c r="U20" s="16">
        <f>'BIFUbC-natural-gas pre-CHP'!U20+CHP!U113</f>
        <v>38038839954425.813</v>
      </c>
      <c r="V20" s="16">
        <f>'BIFUbC-natural-gas pre-CHP'!V20+CHP!V113</f>
        <v>38539795793705.797</v>
      </c>
      <c r="W20" s="16">
        <f>'BIFUbC-natural-gas pre-CHP'!W20+CHP!W113</f>
        <v>39019072438920.93</v>
      </c>
      <c r="X20" s="16">
        <f>'BIFUbC-natural-gas pre-CHP'!X20+CHP!X113</f>
        <v>39513130352816.633</v>
      </c>
      <c r="Y20" s="16">
        <f>'BIFUbC-natural-gas pre-CHP'!Y20+CHP!Y113</f>
        <v>40007188266712.453</v>
      </c>
      <c r="Z20" s="16">
        <f>'BIFUbC-natural-gas pre-CHP'!Z20+CHP!Z113</f>
        <v>40501246180608.148</v>
      </c>
      <c r="AA20" s="16">
        <f>'BIFUbC-natural-gas pre-CHP'!AA20+CHP!AA113</f>
        <v>40995304094503.875</v>
      </c>
      <c r="AB20" s="16">
        <f>'BIFUbC-natural-gas pre-CHP'!AB20+CHP!AB113</f>
        <v>41489362008399.578</v>
      </c>
      <c r="AC20" s="16">
        <f>'BIFUbC-natural-gas pre-CHP'!AC20+CHP!AC113</f>
        <v>41983419922295.273</v>
      </c>
      <c r="AD20" s="16">
        <f>'BIFUbC-natural-gas pre-CHP'!AD20+CHP!AD113</f>
        <v>42477477836190.969</v>
      </c>
      <c r="AE20" s="16">
        <f>'BIFUbC-natural-gas pre-CHP'!AE20+CHP!AE113</f>
        <v>42971535750086.672</v>
      </c>
      <c r="AF20" s="16">
        <f>'BIFUbC-natural-gas pre-CHP'!AF20+CHP!AF113</f>
        <v>43465593663982.367</v>
      </c>
    </row>
    <row r="21" spans="1:33">
      <c r="A21" t="s">
        <v>21</v>
      </c>
      <c r="B21" s="16">
        <f>'BIFUbC-natural-gas pre-CHP'!B21+CHP!B114</f>
        <v>45557296031913.32</v>
      </c>
      <c r="C21" s="16">
        <f>'BIFUbC-natural-gas pre-CHP'!C21+CHP!C114</f>
        <v>47096117841816.328</v>
      </c>
      <c r="D21" s="16">
        <f>'BIFUbC-natural-gas pre-CHP'!D21+CHP!D114</f>
        <v>51622179028376.477</v>
      </c>
      <c r="E21" s="16">
        <f>'BIFUbC-natural-gas pre-CHP'!E21+CHP!E114</f>
        <v>50173761461622.094</v>
      </c>
      <c r="F21" s="16">
        <f>'BIFUbC-natural-gas pre-CHP'!F21+CHP!F114</f>
        <v>51712583271525.094</v>
      </c>
      <c r="G21" s="16">
        <f>'BIFUbC-natural-gas pre-CHP'!G21+CHP!G114</f>
        <v>53251405081427.906</v>
      </c>
      <c r="H21" s="16">
        <f>'BIFUbC-natural-gas pre-CHP'!H21+CHP!H114</f>
        <v>54282088564464.656</v>
      </c>
      <c r="I21" s="16">
        <f>'BIFUbC-natural-gas pre-CHP'!I21+CHP!I114</f>
        <v>55312772047501.539</v>
      </c>
      <c r="J21" s="16">
        <f>'BIFUbC-natural-gas pre-CHP'!J21+CHP!J114</f>
        <v>56343455530538.422</v>
      </c>
      <c r="K21" s="16">
        <f>'BIFUbC-natural-gas pre-CHP'!K21+CHP!K114</f>
        <v>57374139013575.297</v>
      </c>
      <c r="L21" s="16">
        <f>'BIFUbC-natural-gas pre-CHP'!L21+CHP!L114</f>
        <v>58404822496612.297</v>
      </c>
      <c r="M21" s="16">
        <f>'BIFUbC-natural-gas pre-CHP'!M21+CHP!M114</f>
        <v>59309940399033.672</v>
      </c>
      <c r="N21" s="16">
        <f>'BIFUbC-natural-gas pre-CHP'!N21+CHP!N114</f>
        <v>60215058301455.063</v>
      </c>
      <c r="O21" s="16">
        <f>'BIFUbC-natural-gas pre-CHP'!O21+CHP!O114</f>
        <v>61120176203876.438</v>
      </c>
      <c r="P21" s="16">
        <f>'BIFUbC-natural-gas pre-CHP'!P21+CHP!P114</f>
        <v>62025294106297.813</v>
      </c>
      <c r="Q21" s="16">
        <f>'BIFUbC-natural-gas pre-CHP'!Q21+CHP!Q114</f>
        <v>62930412008719.188</v>
      </c>
      <c r="R21" s="16">
        <f>'BIFUbC-natural-gas pre-CHP'!R21+CHP!R114</f>
        <v>63872559086723.594</v>
      </c>
      <c r="S21" s="16">
        <f>'BIFUbC-natural-gas pre-CHP'!S21+CHP!S114</f>
        <v>64814706164727.984</v>
      </c>
      <c r="T21" s="16">
        <f>'BIFUbC-natural-gas pre-CHP'!T21+CHP!T114</f>
        <v>65756853242732.375</v>
      </c>
      <c r="U21" s="16">
        <f>'BIFUbC-natural-gas pre-CHP'!U21+CHP!U114</f>
        <v>66699000320736.766</v>
      </c>
      <c r="V21" s="16">
        <f>'BIFUbC-natural-gas pre-CHP'!V21+CHP!V114</f>
        <v>67641147398741.156</v>
      </c>
      <c r="W21" s="16">
        <f>'BIFUbC-natural-gas pre-CHP'!W21+CHP!W114</f>
        <v>68533922242634.813</v>
      </c>
      <c r="X21" s="16">
        <f>'BIFUbC-natural-gas pre-CHP'!X21+CHP!X114</f>
        <v>69460359973422.141</v>
      </c>
      <c r="Y21" s="16">
        <f>'BIFUbC-natural-gas pre-CHP'!Y21+CHP!Y114</f>
        <v>70386797704209.594</v>
      </c>
      <c r="Z21" s="16">
        <f>'BIFUbC-natural-gas pre-CHP'!Z21+CHP!Z114</f>
        <v>71313235434996.906</v>
      </c>
      <c r="AA21" s="16">
        <f>'BIFUbC-natural-gas pre-CHP'!AA21+CHP!AA114</f>
        <v>72239673165784.375</v>
      </c>
      <c r="AB21" s="16">
        <f>'BIFUbC-natural-gas pre-CHP'!AB21+CHP!AB114</f>
        <v>73166110896571.719</v>
      </c>
      <c r="AC21" s="16">
        <f>'BIFUbC-natural-gas pre-CHP'!AC21+CHP!AC114</f>
        <v>74092548627359.031</v>
      </c>
      <c r="AD21" s="16">
        <f>'BIFUbC-natural-gas pre-CHP'!AD21+CHP!AD114</f>
        <v>75018986358146.359</v>
      </c>
      <c r="AE21" s="16">
        <f>'BIFUbC-natural-gas pre-CHP'!AE21+CHP!AE114</f>
        <v>75945424088933.656</v>
      </c>
      <c r="AF21" s="16">
        <f>'BIFUbC-natural-gas pre-CHP'!AF21+CHP!AF114</f>
        <v>76871861819721</v>
      </c>
    </row>
    <row r="22" spans="1:33">
      <c r="A22" t="s">
        <v>22</v>
      </c>
      <c r="B22" s="16">
        <f>'BIFUbC-natural-gas pre-CHP'!B22+CHP!B115</f>
        <v>8242131537819.3623</v>
      </c>
      <c r="C22" s="16">
        <f>'BIFUbC-natural-gas pre-CHP'!C22+CHP!C115</f>
        <v>8557605613606.0107</v>
      </c>
      <c r="D22" s="16">
        <f>'BIFUbC-natural-gas pre-CHP'!D22+CHP!D115</f>
        <v>9638054029075.1836</v>
      </c>
      <c r="E22" s="16">
        <f>'BIFUbC-natural-gas pre-CHP'!E22+CHP!E115</f>
        <v>9188553765179.3242</v>
      </c>
      <c r="F22" s="16">
        <f>'BIFUbC-natural-gas pre-CHP'!F22+CHP!F115</f>
        <v>9504027840965.9883</v>
      </c>
      <c r="G22" s="16">
        <f>'BIFUbC-natural-gas pre-CHP'!G22+CHP!G115</f>
        <v>9819501916752.6387</v>
      </c>
      <c r="H22" s="16">
        <f>'BIFUbC-natural-gas pre-CHP'!H22+CHP!H115</f>
        <v>10004851575962.814</v>
      </c>
      <c r="I22" s="16">
        <f>'BIFUbC-natural-gas pre-CHP'!I22+CHP!I115</f>
        <v>10190201235173.021</v>
      </c>
      <c r="J22" s="16">
        <f>'BIFUbC-natural-gas pre-CHP'!J22+CHP!J115</f>
        <v>10375550894383.229</v>
      </c>
      <c r="K22" s="16">
        <f>'BIFUbC-natural-gas pre-CHP'!K22+CHP!K115</f>
        <v>10560900553593.438</v>
      </c>
      <c r="L22" s="16">
        <f>'BIFUbC-natural-gas pre-CHP'!L22+CHP!L115</f>
        <v>10746250212803.676</v>
      </c>
      <c r="M22" s="16">
        <f>'BIFUbC-natural-gas pre-CHP'!M22+CHP!M115</f>
        <v>10905963811186.859</v>
      </c>
      <c r="N22" s="16">
        <f>'BIFUbC-natural-gas pre-CHP'!N22+CHP!N115</f>
        <v>11065677409570.043</v>
      </c>
      <c r="O22" s="16">
        <f>'BIFUbC-natural-gas pre-CHP'!O22+CHP!O115</f>
        <v>11225391007953.227</v>
      </c>
      <c r="P22" s="16">
        <f>'BIFUbC-natural-gas pre-CHP'!P22+CHP!P115</f>
        <v>11385104606336.41</v>
      </c>
      <c r="Q22" s="16">
        <f>'BIFUbC-natural-gas pre-CHP'!Q22+CHP!Q115</f>
        <v>11544818204719.592</v>
      </c>
      <c r="R22" s="16">
        <f>'BIFUbC-natural-gas pre-CHP'!R22+CHP!R115</f>
        <v>11710392671008.295</v>
      </c>
      <c r="S22" s="16">
        <f>'BIFUbC-natural-gas pre-CHP'!S22+CHP!S115</f>
        <v>11875967137296.998</v>
      </c>
      <c r="T22" s="16">
        <f>'BIFUbC-natural-gas pre-CHP'!T22+CHP!T115</f>
        <v>12041541603585.703</v>
      </c>
      <c r="U22" s="16">
        <f>'BIFUbC-natural-gas pre-CHP'!U22+CHP!U115</f>
        <v>12207116069874.404</v>
      </c>
      <c r="V22" s="16">
        <f>'BIFUbC-natural-gas pre-CHP'!V22+CHP!V115</f>
        <v>12372690536163.109</v>
      </c>
      <c r="W22" s="16">
        <f>'BIFUbC-natural-gas pre-CHP'!W22+CHP!W115</f>
        <v>12530450511911.113</v>
      </c>
      <c r="X22" s="16">
        <f>'BIFUbC-natural-gas pre-CHP'!X22+CHP!X115</f>
        <v>12693538549391.406</v>
      </c>
      <c r="Y22" s="16">
        <f>'BIFUbC-natural-gas pre-CHP'!Y22+CHP!Y115</f>
        <v>12856626586871.734</v>
      </c>
      <c r="Z22" s="16">
        <f>'BIFUbC-natural-gas pre-CHP'!Z22+CHP!Z115</f>
        <v>13019714624352.031</v>
      </c>
      <c r="AA22" s="16">
        <f>'BIFUbC-natural-gas pre-CHP'!AA22+CHP!AA115</f>
        <v>13182802661832.344</v>
      </c>
      <c r="AB22" s="16">
        <f>'BIFUbC-natural-gas pre-CHP'!AB22+CHP!AB115</f>
        <v>13345890699312.641</v>
      </c>
      <c r="AC22" s="16">
        <f>'BIFUbC-natural-gas pre-CHP'!AC22+CHP!AC115</f>
        <v>13508978736792.932</v>
      </c>
      <c r="AD22" s="16">
        <f>'BIFUbC-natural-gas pre-CHP'!AD22+CHP!AD115</f>
        <v>13672066774273.227</v>
      </c>
      <c r="AE22" s="16">
        <f>'BIFUbC-natural-gas pre-CHP'!AE22+CHP!AE115</f>
        <v>13835154811753.523</v>
      </c>
      <c r="AF22" s="16">
        <f>'BIFUbC-natural-gas pre-CHP'!AF22+CHP!AF115</f>
        <v>13998242849233.816</v>
      </c>
    </row>
    <row r="23" spans="1:33">
      <c r="A23" t="s">
        <v>23</v>
      </c>
      <c r="B23" s="16">
        <f>'BIFUbC-natural-gas pre-CHP'!B23+CHP!B116</f>
        <v>19033726570258.367</v>
      </c>
      <c r="C23" s="16">
        <f>'BIFUbC-natural-gas pre-CHP'!C23+CHP!C116</f>
        <v>19486264741298.004</v>
      </c>
      <c r="D23" s="16">
        <f>'BIFUbC-natural-gas pre-CHP'!D23+CHP!D116</f>
        <v>19938802912337.641</v>
      </c>
      <c r="E23" s="16">
        <f>'BIFUbC-natural-gas pre-CHP'!E23+CHP!E116</f>
        <v>20391341083377.277</v>
      </c>
      <c r="F23" s="16">
        <f>'BIFUbC-natural-gas pre-CHP'!F23+CHP!F116</f>
        <v>20843879254416.914</v>
      </c>
      <c r="G23" s="16">
        <f>'BIFUbC-natural-gas pre-CHP'!G23+CHP!G116</f>
        <v>21296417425456.563</v>
      </c>
      <c r="H23" s="16">
        <f>'BIFUbC-natural-gas pre-CHP'!H23+CHP!H116</f>
        <v>21600210139607.746</v>
      </c>
      <c r="I23" s="16">
        <f>'BIFUbC-natural-gas pre-CHP'!I23+CHP!I116</f>
        <v>21904002853758.922</v>
      </c>
      <c r="J23" s="16">
        <f>'BIFUbC-natural-gas pre-CHP'!J23+CHP!J116</f>
        <v>22207795567910.102</v>
      </c>
      <c r="K23" s="16">
        <f>'BIFUbC-natural-gas pre-CHP'!K23+CHP!K116</f>
        <v>22511588282061.273</v>
      </c>
      <c r="L23" s="16">
        <f>'BIFUbC-natural-gas pre-CHP'!L23+CHP!L116</f>
        <v>22815380996212.461</v>
      </c>
      <c r="M23" s="16">
        <f>'BIFUbC-natural-gas pre-CHP'!M23+CHP!M116</f>
        <v>23106094532632.246</v>
      </c>
      <c r="N23" s="16">
        <f>'BIFUbC-natural-gas pre-CHP'!N23+CHP!N116</f>
        <v>23396808069052.035</v>
      </c>
      <c r="O23" s="16">
        <f>'BIFUbC-natural-gas pre-CHP'!O23+CHP!O116</f>
        <v>23687521605471.824</v>
      </c>
      <c r="P23" s="16">
        <f>'BIFUbC-natural-gas pre-CHP'!P23+CHP!P116</f>
        <v>23978235141891.613</v>
      </c>
      <c r="Q23" s="16">
        <f>'BIFUbC-natural-gas pre-CHP'!Q23+CHP!Q116</f>
        <v>24268948678311.406</v>
      </c>
      <c r="R23" s="16">
        <f>'BIFUbC-natural-gas pre-CHP'!R23+CHP!R116</f>
        <v>24587570311848.723</v>
      </c>
      <c r="S23" s="16">
        <f>'BIFUbC-natural-gas pre-CHP'!S23+CHP!S116</f>
        <v>24906191945386.039</v>
      </c>
      <c r="T23" s="16">
        <f>'BIFUbC-natural-gas pre-CHP'!T23+CHP!T116</f>
        <v>25224813578923.359</v>
      </c>
      <c r="U23" s="16">
        <f>'BIFUbC-natural-gas pre-CHP'!U23+CHP!U116</f>
        <v>25543435212460.676</v>
      </c>
      <c r="V23" s="16">
        <f>'BIFUbC-natural-gas pre-CHP'!V23+CHP!V116</f>
        <v>25862056845997.984</v>
      </c>
      <c r="W23" s="16">
        <f>'BIFUbC-natural-gas pre-CHP'!W23+CHP!W116</f>
        <v>26143467683378.59</v>
      </c>
      <c r="X23" s="16">
        <f>'BIFUbC-natural-gas pre-CHP'!X23+CHP!X116</f>
        <v>26450249518138.734</v>
      </c>
      <c r="Y23" s="16">
        <f>'BIFUbC-natural-gas pre-CHP'!Y23+CHP!Y116</f>
        <v>26757031352898.969</v>
      </c>
      <c r="Z23" s="16">
        <f>'BIFUbC-natural-gas pre-CHP'!Z23+CHP!Z116</f>
        <v>27063813187659.121</v>
      </c>
      <c r="AA23" s="16">
        <f>'BIFUbC-natural-gas pre-CHP'!AA23+CHP!AA116</f>
        <v>27370595022419.352</v>
      </c>
      <c r="AB23" s="16">
        <f>'BIFUbC-natural-gas pre-CHP'!AB23+CHP!AB116</f>
        <v>27677376857179.5</v>
      </c>
      <c r="AC23" s="16">
        <f>'BIFUbC-natural-gas pre-CHP'!AC23+CHP!AC116</f>
        <v>27984158691939.734</v>
      </c>
      <c r="AD23" s="16">
        <f>'BIFUbC-natural-gas pre-CHP'!AD23+CHP!AD116</f>
        <v>28290940526699.883</v>
      </c>
      <c r="AE23" s="16">
        <f>'BIFUbC-natural-gas pre-CHP'!AE23+CHP!AE116</f>
        <v>28597722361460.039</v>
      </c>
      <c r="AF23" s="16">
        <f>'BIFUbC-natural-gas pre-CHP'!AF23+CHP!AF116</f>
        <v>28904504196220.27</v>
      </c>
    </row>
    <row r="24" spans="1:33">
      <c r="A24" t="s">
        <v>24</v>
      </c>
      <c r="B24" s="16">
        <f ca="1">'BIFUbC-natural-gas pre-CHP'!B24+CHP!B117</f>
        <v>21066504401630.84</v>
      </c>
      <c r="C24" s="16">
        <f ca="1">'BIFUbC-natural-gas pre-CHP'!C24+CHP!C117</f>
        <v>21066504401630.84</v>
      </c>
      <c r="D24" s="16">
        <f ca="1">'BIFUbC-natural-gas pre-CHP'!D24+CHP!D117</f>
        <v>21066504401630.84</v>
      </c>
      <c r="E24" s="16">
        <f ca="1">'BIFUbC-natural-gas pre-CHP'!E24+CHP!E117</f>
        <v>21066504401630.84</v>
      </c>
      <c r="F24" s="16">
        <f ca="1">'BIFUbC-natural-gas pre-CHP'!F24+CHP!F117</f>
        <v>21066504401630.84</v>
      </c>
      <c r="G24" s="16">
        <f ca="1">'BIFUbC-natural-gas pre-CHP'!G24+CHP!G117</f>
        <v>21066504401630.84</v>
      </c>
      <c r="H24" s="16">
        <f ca="1">'BIFUbC-natural-gas pre-CHP'!H24+CHP!H117</f>
        <v>21066504401630.84</v>
      </c>
      <c r="I24" s="16">
        <f ca="1">'BIFUbC-natural-gas pre-CHP'!I24+CHP!I117</f>
        <v>21066504401630.84</v>
      </c>
      <c r="J24" s="16">
        <f ca="1">'BIFUbC-natural-gas pre-CHP'!J24+CHP!J117</f>
        <v>21066504401630.84</v>
      </c>
      <c r="K24" s="16">
        <f ca="1">'BIFUbC-natural-gas pre-CHP'!K24+CHP!K117</f>
        <v>21066504401630.84</v>
      </c>
      <c r="L24" s="16">
        <f ca="1">'BIFUbC-natural-gas pre-CHP'!L24+CHP!L117</f>
        <v>21066504401630.84</v>
      </c>
      <c r="M24" s="16">
        <f ca="1">'BIFUbC-natural-gas pre-CHP'!M24+CHP!M117</f>
        <v>21066504401630.84</v>
      </c>
      <c r="N24" s="16">
        <f ca="1">'BIFUbC-natural-gas pre-CHP'!N24+CHP!N117</f>
        <v>21066504401630.84</v>
      </c>
      <c r="O24" s="16">
        <f ca="1">'BIFUbC-natural-gas pre-CHP'!O24+CHP!O117</f>
        <v>21066504401630.84</v>
      </c>
      <c r="P24" s="16">
        <f ca="1">'BIFUbC-natural-gas pre-CHP'!P24+CHP!P117</f>
        <v>21066504401630.84</v>
      </c>
      <c r="Q24" s="16">
        <f ca="1">'BIFUbC-natural-gas pre-CHP'!Q24+CHP!Q117</f>
        <v>21066504401630.84</v>
      </c>
      <c r="R24" s="16">
        <f ca="1">'BIFUbC-natural-gas pre-CHP'!R24+CHP!R117</f>
        <v>21066504401630.84</v>
      </c>
      <c r="S24" s="16">
        <f ca="1">'BIFUbC-natural-gas pre-CHP'!S24+CHP!S117</f>
        <v>21066504401630.84</v>
      </c>
      <c r="T24" s="16">
        <f ca="1">'BIFUbC-natural-gas pre-CHP'!T24+CHP!T117</f>
        <v>21066504401630.84</v>
      </c>
      <c r="U24" s="16">
        <f ca="1">'BIFUbC-natural-gas pre-CHP'!U24+CHP!U117</f>
        <v>21066504401630.84</v>
      </c>
      <c r="V24" s="16">
        <f ca="1">'BIFUbC-natural-gas pre-CHP'!V24+CHP!V117</f>
        <v>21066504401630.84</v>
      </c>
      <c r="W24" s="16">
        <f ca="1">'BIFUbC-natural-gas pre-CHP'!W24+CHP!W117</f>
        <v>21066504401630.84</v>
      </c>
      <c r="X24" s="16">
        <f ca="1">'BIFUbC-natural-gas pre-CHP'!X24+CHP!X117</f>
        <v>21066504401630.84</v>
      </c>
      <c r="Y24" s="16">
        <f ca="1">'BIFUbC-natural-gas pre-CHP'!Y24+CHP!Y117</f>
        <v>21066504401630.84</v>
      </c>
      <c r="Z24" s="16">
        <f ca="1">'BIFUbC-natural-gas pre-CHP'!Z24+CHP!Z117</f>
        <v>21066504401630.84</v>
      </c>
      <c r="AA24" s="16">
        <f ca="1">'BIFUbC-natural-gas pre-CHP'!AA24+CHP!AA117</f>
        <v>21066504401630.84</v>
      </c>
      <c r="AB24" s="16">
        <f ca="1">'BIFUbC-natural-gas pre-CHP'!AB24+CHP!AB117</f>
        <v>21066504401630.84</v>
      </c>
      <c r="AC24" s="16">
        <f ca="1">'BIFUbC-natural-gas pre-CHP'!AC24+CHP!AC117</f>
        <v>21066504401630.84</v>
      </c>
      <c r="AD24" s="16">
        <f ca="1">'BIFUbC-natural-gas pre-CHP'!AD24+CHP!AD117</f>
        <v>21066504401630.84</v>
      </c>
      <c r="AE24" s="16">
        <f ca="1">'BIFUbC-natural-gas pre-CHP'!AE24+CHP!AE117</f>
        <v>21066504401630.84</v>
      </c>
      <c r="AF24" s="16">
        <f ca="1">'BIFUbC-natural-gas pre-CHP'!AF24+CHP!AF117</f>
        <v>21066504401630.84</v>
      </c>
    </row>
    <row r="25" spans="1:33">
      <c r="A25" t="s">
        <v>25</v>
      </c>
      <c r="B25" s="16">
        <f ca="1">'BIFUbC-natural-gas pre-CHP'!B25+CHP!B118</f>
        <v>21066504401630.84</v>
      </c>
      <c r="C25" s="16">
        <f ca="1">'BIFUbC-natural-gas pre-CHP'!C25+CHP!C118</f>
        <v>21066504401630.84</v>
      </c>
      <c r="D25" s="16">
        <f ca="1">'BIFUbC-natural-gas pre-CHP'!D25+CHP!D118</f>
        <v>21066504401630.84</v>
      </c>
      <c r="E25" s="16">
        <f ca="1">'BIFUbC-natural-gas pre-CHP'!E25+CHP!E118</f>
        <v>21066504401630.84</v>
      </c>
      <c r="F25" s="16">
        <f ca="1">'BIFUbC-natural-gas pre-CHP'!F25+CHP!F118</f>
        <v>21066504401630.84</v>
      </c>
      <c r="G25" s="16">
        <f ca="1">'BIFUbC-natural-gas pre-CHP'!G25+CHP!G118</f>
        <v>21066504401630.84</v>
      </c>
      <c r="H25" s="16">
        <f ca="1">'BIFUbC-natural-gas pre-CHP'!H25+CHP!H118</f>
        <v>21066504401630.84</v>
      </c>
      <c r="I25" s="16">
        <f ca="1">'BIFUbC-natural-gas pre-CHP'!I25+CHP!I118</f>
        <v>21066504401630.84</v>
      </c>
      <c r="J25" s="16">
        <f ca="1">'BIFUbC-natural-gas pre-CHP'!J25+CHP!J118</f>
        <v>21066504401630.84</v>
      </c>
      <c r="K25" s="16">
        <f ca="1">'BIFUbC-natural-gas pre-CHP'!K25+CHP!K118</f>
        <v>21066504401630.84</v>
      </c>
      <c r="L25" s="16">
        <f ca="1">'BIFUbC-natural-gas pre-CHP'!L25+CHP!L118</f>
        <v>21066504401630.84</v>
      </c>
      <c r="M25" s="16">
        <f ca="1">'BIFUbC-natural-gas pre-CHP'!M25+CHP!M118</f>
        <v>21066504401630.84</v>
      </c>
      <c r="N25" s="16">
        <f ca="1">'BIFUbC-natural-gas pre-CHP'!N25+CHP!N118</f>
        <v>21066504401630.84</v>
      </c>
      <c r="O25" s="16">
        <f ca="1">'BIFUbC-natural-gas pre-CHP'!O25+CHP!O118</f>
        <v>21066504401630.84</v>
      </c>
      <c r="P25" s="16">
        <f ca="1">'BIFUbC-natural-gas pre-CHP'!P25+CHP!P118</f>
        <v>21066504401630.84</v>
      </c>
      <c r="Q25" s="16">
        <f ca="1">'BIFUbC-natural-gas pre-CHP'!Q25+CHP!Q118</f>
        <v>21066504401630.84</v>
      </c>
      <c r="R25" s="16">
        <f ca="1">'BIFUbC-natural-gas pre-CHP'!R25+CHP!R118</f>
        <v>21066504401630.84</v>
      </c>
      <c r="S25" s="16">
        <f ca="1">'BIFUbC-natural-gas pre-CHP'!S25+CHP!S118</f>
        <v>21066504401630.84</v>
      </c>
      <c r="T25" s="16">
        <f ca="1">'BIFUbC-natural-gas pre-CHP'!T25+CHP!T118</f>
        <v>21066504401630.84</v>
      </c>
      <c r="U25" s="16">
        <f ca="1">'BIFUbC-natural-gas pre-CHP'!U25+CHP!U118</f>
        <v>21066504401630.84</v>
      </c>
      <c r="V25" s="16">
        <f ca="1">'BIFUbC-natural-gas pre-CHP'!V25+CHP!V118</f>
        <v>21066504401630.84</v>
      </c>
      <c r="W25" s="16">
        <f ca="1">'BIFUbC-natural-gas pre-CHP'!W25+CHP!W118</f>
        <v>21066504401630.84</v>
      </c>
      <c r="X25" s="16">
        <f ca="1">'BIFUbC-natural-gas pre-CHP'!X25+CHP!X118</f>
        <v>21066504401630.84</v>
      </c>
      <c r="Y25" s="16">
        <f ca="1">'BIFUbC-natural-gas pre-CHP'!Y25+CHP!Y118</f>
        <v>21066504401630.84</v>
      </c>
      <c r="Z25" s="16">
        <f ca="1">'BIFUbC-natural-gas pre-CHP'!Z25+CHP!Z118</f>
        <v>21066504401630.84</v>
      </c>
      <c r="AA25" s="16">
        <f ca="1">'BIFUbC-natural-gas pre-CHP'!AA25+CHP!AA118</f>
        <v>21066504401630.84</v>
      </c>
      <c r="AB25" s="16">
        <f ca="1">'BIFUbC-natural-gas pre-CHP'!AB25+CHP!AB118</f>
        <v>21066504401630.84</v>
      </c>
      <c r="AC25" s="16">
        <f ca="1">'BIFUbC-natural-gas pre-CHP'!AC25+CHP!AC118</f>
        <v>21066504401630.84</v>
      </c>
      <c r="AD25" s="16">
        <f ca="1">'BIFUbC-natural-gas pre-CHP'!AD25+CHP!AD118</f>
        <v>21066504401630.84</v>
      </c>
      <c r="AE25" s="16">
        <f ca="1">'BIFUbC-natural-gas pre-CHP'!AE25+CHP!AE118</f>
        <v>21066504401630.84</v>
      </c>
      <c r="AF25" s="16">
        <f ca="1">'BIFUbC-natural-gas pre-CHP'!AF25+CHP!AF118</f>
        <v>21066504401630.84</v>
      </c>
    </row>
    <row r="26" spans="1:33">
      <c r="A26" t="s">
        <v>26</v>
      </c>
      <c r="B26" s="16">
        <f>'BIFUbC-natural-gas pre-CHP'!B26+CHP!B119</f>
        <v>16772391731.883165</v>
      </c>
      <c r="C26" s="16">
        <f>'BIFUbC-natural-gas pre-CHP'!C26+CHP!C119</f>
        <v>17304805161.73547</v>
      </c>
      <c r="D26" s="16">
        <f>'BIFUbC-natural-gas pre-CHP'!D26+CHP!D119</f>
        <v>17837218591.587772</v>
      </c>
      <c r="E26" s="16">
        <f>'BIFUbC-natural-gas pre-CHP'!E26+CHP!E119</f>
        <v>18369632021.440079</v>
      </c>
      <c r="F26" s="16">
        <f>'BIFUbC-natural-gas pre-CHP'!F26+CHP!F119</f>
        <v>18902045451.292381</v>
      </c>
      <c r="G26" s="16">
        <f>'BIFUbC-natural-gas pre-CHP'!G26+CHP!G119</f>
        <v>19434458881.144688</v>
      </c>
      <c r="H26" s="16">
        <f>'BIFUbC-natural-gas pre-CHP'!H26+CHP!H119</f>
        <v>19635945079.797928</v>
      </c>
      <c r="I26" s="16">
        <f>'BIFUbC-natural-gas pre-CHP'!I26+CHP!I119</f>
        <v>19837431278.451168</v>
      </c>
      <c r="J26" s="16">
        <f>'BIFUbC-natural-gas pre-CHP'!J26+CHP!J119</f>
        <v>20038917477.104412</v>
      </c>
      <c r="K26" s="16">
        <f>'BIFUbC-natural-gas pre-CHP'!K26+CHP!K119</f>
        <v>20240403675.757652</v>
      </c>
      <c r="L26" s="16">
        <f>'BIFUbC-natural-gas pre-CHP'!L26+CHP!L119</f>
        <v>20441889874.410896</v>
      </c>
      <c r="M26" s="16">
        <f>'BIFUbC-natural-gas pre-CHP'!M26+CHP!M119</f>
        <v>20592605096.252487</v>
      </c>
      <c r="N26" s="16">
        <f>'BIFUbC-natural-gas pre-CHP'!N26+CHP!N119</f>
        <v>20743320318.094086</v>
      </c>
      <c r="O26" s="16">
        <f>'BIFUbC-natural-gas pre-CHP'!O26+CHP!O119</f>
        <v>20894035539.935684</v>
      </c>
      <c r="P26" s="16">
        <f>'BIFUbC-natural-gas pre-CHP'!P26+CHP!P119</f>
        <v>21044750761.777283</v>
      </c>
      <c r="Q26" s="16">
        <f>'BIFUbC-natural-gas pre-CHP'!Q26+CHP!Q119</f>
        <v>21195465983.618881</v>
      </c>
      <c r="R26" s="16">
        <f>'BIFUbC-natural-gas pre-CHP'!R26+CHP!R119</f>
        <v>21340845060.275475</v>
      </c>
      <c r="S26" s="16">
        <f>'BIFUbC-natural-gas pre-CHP'!S26+CHP!S119</f>
        <v>21486224136.93206</v>
      </c>
      <c r="T26" s="16">
        <f>'BIFUbC-natural-gas pre-CHP'!T26+CHP!T119</f>
        <v>21631603213.588657</v>
      </c>
      <c r="U26" s="16">
        <f>'BIFUbC-natural-gas pre-CHP'!U26+CHP!U119</f>
        <v>21776982290.245251</v>
      </c>
      <c r="V26" s="16">
        <f>'BIFUbC-natural-gas pre-CHP'!V26+CHP!V119</f>
        <v>21922361366.901836</v>
      </c>
      <c r="W26" s="16">
        <f>'BIFUbC-natural-gas pre-CHP'!W26+CHP!W119</f>
        <v>22074855303.805107</v>
      </c>
      <c r="X26" s="16">
        <f>'BIFUbC-natural-gas pre-CHP'!X26+CHP!X119</f>
        <v>22222498199.631073</v>
      </c>
      <c r="Y26" s="16">
        <f>'BIFUbC-natural-gas pre-CHP'!Y26+CHP!Y119</f>
        <v>22370141095.457085</v>
      </c>
      <c r="Z26" s="16">
        <f>'BIFUbC-natural-gas pre-CHP'!Z26+CHP!Z119</f>
        <v>22517783991.283062</v>
      </c>
      <c r="AA26" s="16">
        <f>'BIFUbC-natural-gas pre-CHP'!AA26+CHP!AA119</f>
        <v>22665426887.109074</v>
      </c>
      <c r="AB26" s="16">
        <f>'BIFUbC-natural-gas pre-CHP'!AB26+CHP!AB119</f>
        <v>22813069782.935036</v>
      </c>
      <c r="AC26" s="16">
        <f>'BIFUbC-natural-gas pre-CHP'!AC26+CHP!AC119</f>
        <v>22960712678.761044</v>
      </c>
      <c r="AD26" s="16">
        <f>'BIFUbC-natural-gas pre-CHP'!AD26+CHP!AD119</f>
        <v>23108355574.587025</v>
      </c>
      <c r="AE26" s="16">
        <f>'BIFUbC-natural-gas pre-CHP'!AE26+CHP!AE119</f>
        <v>23255998470.413002</v>
      </c>
      <c r="AF26" s="16">
        <f>'BIFUbC-natural-gas pre-CHP'!AF26+CHP!AF119</f>
        <v>23403641366.23901</v>
      </c>
    </row>
    <row r="28" spans="1:33">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row>
    <row r="29" spans="1:33">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row>
    <row r="30" spans="1:33">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row>
    <row r="31" spans="1:33">
      <c r="B31" s="221"/>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row>
    <row r="32" spans="1:33">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row>
    <row r="33" spans="2:33">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row>
    <row r="34" spans="2:33">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row>
    <row r="35" spans="2:33">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row>
    <row r="36" spans="2:33">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row>
    <row r="37" spans="2:33">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row>
    <row r="38" spans="2:33">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row>
    <row r="39" spans="2:33">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row>
    <row r="40" spans="2:33">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row>
    <row r="41" spans="2:33">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row>
    <row r="42" spans="2:33">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row>
    <row r="43" spans="2:33">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row>
    <row r="44" spans="2:33">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row>
    <row r="45" spans="2:33">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row>
    <row r="46" spans="2:33">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row>
    <row r="47" spans="2:33">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row>
    <row r="48" spans="2:33">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row>
    <row r="49" spans="2:33">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row>
    <row r="50" spans="2:33">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row>
    <row r="51" spans="2:33">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row>
    <row r="53" spans="2:33">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row>
    <row r="55" spans="2:33">
      <c r="B55" s="21"/>
    </row>
    <row r="56" spans="2:33">
      <c r="B56" s="21"/>
    </row>
    <row r="57" spans="2:33">
      <c r="B57" s="21"/>
    </row>
    <row r="58" spans="2:33">
      <c r="B58" s="21"/>
    </row>
    <row r="59" spans="2:33">
      <c r="B59" s="21"/>
    </row>
    <row r="60" spans="2:33">
      <c r="B60" s="21"/>
    </row>
    <row r="61" spans="2:33">
      <c r="B61" s="21"/>
    </row>
    <row r="62" spans="2:33">
      <c r="B62" s="21"/>
    </row>
    <row r="63" spans="2:33">
      <c r="B63" s="21"/>
    </row>
    <row r="64" spans="2:33">
      <c r="B64" s="21"/>
    </row>
    <row r="65" spans="2:2">
      <c r="B65" s="21"/>
    </row>
    <row r="66" spans="2:2">
      <c r="B66" s="21"/>
    </row>
    <row r="67" spans="2:2">
      <c r="B67" s="21"/>
    </row>
    <row r="68" spans="2:2">
      <c r="B68" s="21"/>
    </row>
    <row r="69" spans="2:2">
      <c r="B69" s="21"/>
    </row>
    <row r="70" spans="2:2">
      <c r="B70" s="21"/>
    </row>
    <row r="71" spans="2:2">
      <c r="B71" s="21"/>
    </row>
    <row r="72" spans="2:2">
      <c r="B72" s="21"/>
    </row>
    <row r="73" spans="2:2">
      <c r="B73" s="21"/>
    </row>
    <row r="74" spans="2:2">
      <c r="B74" s="21"/>
    </row>
    <row r="75" spans="2:2">
      <c r="B75" s="21"/>
    </row>
    <row r="76" spans="2:2">
      <c r="B76" s="21"/>
    </row>
    <row r="77" spans="2:2">
      <c r="B77" s="21"/>
    </row>
    <row r="78" spans="2:2">
      <c r="B78" s="21"/>
    </row>
    <row r="79" spans="2:2">
      <c r="B79" s="21"/>
    </row>
    <row r="80" spans="2:2">
      <c r="B80" s="21"/>
    </row>
    <row r="81" spans="2:2">
      <c r="B81" s="21"/>
    </row>
    <row r="82" spans="2:2">
      <c r="B82" s="21"/>
    </row>
  </sheetData>
  <phoneticPr fontId="37"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I26"/>
  <sheetViews>
    <sheetView zoomScale="36" zoomScaleNormal="55" workbookViewId="0">
      <pane xSplit="1" ySplit="1" topLeftCell="B2" activePane="bottomRight" state="frozen"/>
      <selection pane="topRight" activeCell="B1" sqref="B1"/>
      <selection pane="bottomLeft" activeCell="A2" sqref="A2"/>
      <selection pane="bottomRight" activeCell="AF26" sqref="A1:AF26"/>
    </sheetView>
  </sheetViews>
  <sheetFormatPr defaultColWidth="9.125" defaultRowHeight="16.5"/>
  <cols>
    <col min="1" max="1" width="39.875" customWidth="1"/>
    <col min="2" max="33" width="11.5" customWidth="1"/>
    <col min="34" max="35" width="9.5" bestFit="1" customWidth="1"/>
  </cols>
  <sheetData>
    <row r="1" spans="1:35">
      <c r="A1" s="24" t="s">
        <v>27</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1"/>
      <c r="AH1" s="11"/>
      <c r="AI1" s="11"/>
    </row>
    <row r="2" spans="1:35">
      <c r="A2" t="s">
        <v>2</v>
      </c>
      <c r="B2" s="16">
        <f>'BIFUbC-biomass pre-CHP'!B2+CHP!B123</f>
        <v>25639849751524.125</v>
      </c>
      <c r="C2" s="16">
        <f>'BIFUbC-biomass pre-CHP'!C2+CHP!C123</f>
        <v>26770524409638.652</v>
      </c>
      <c r="D2" s="16">
        <f>'BIFUbC-biomass pre-CHP'!D2+CHP!D123</f>
        <v>27901199067753.176</v>
      </c>
      <c r="E2" s="16">
        <f>'BIFUbC-biomass pre-CHP'!E2+CHP!E123</f>
        <v>29031873725867.703</v>
      </c>
      <c r="F2" s="16">
        <f>'BIFUbC-biomass pre-CHP'!F2+CHP!F123</f>
        <v>30162548383982.234</v>
      </c>
      <c r="G2" s="16">
        <f>'BIFUbC-biomass pre-CHP'!G2+CHP!G123</f>
        <v>31293223042096.758</v>
      </c>
      <c r="H2" s="16">
        <f>'BIFUbC-biomass pre-CHP'!H2+CHP!H123</f>
        <v>32107822703600.234</v>
      </c>
      <c r="I2" s="16">
        <f>'BIFUbC-biomass pre-CHP'!I2+CHP!I123</f>
        <v>32922422365103.703</v>
      </c>
      <c r="J2" s="16">
        <f>'BIFUbC-biomass pre-CHP'!J2+CHP!J123</f>
        <v>33737022026606.918</v>
      </c>
      <c r="K2" s="16">
        <f>'BIFUbC-biomass pre-CHP'!K2+CHP!K123</f>
        <v>34551621688110.387</v>
      </c>
      <c r="L2" s="16">
        <f>'BIFUbC-biomass pre-CHP'!L2+CHP!L123</f>
        <v>35366221349613.469</v>
      </c>
      <c r="M2" s="16">
        <f>'BIFUbC-biomass pre-CHP'!M2+CHP!M123</f>
        <v>36090080321705.336</v>
      </c>
      <c r="N2" s="16">
        <f>'BIFUbC-biomass pre-CHP'!N2+CHP!N123</f>
        <v>36813939293796.813</v>
      </c>
      <c r="O2" s="16">
        <f>'BIFUbC-biomass pre-CHP'!O2+CHP!O123</f>
        <v>37537798265888.555</v>
      </c>
      <c r="P2" s="16">
        <f>'BIFUbC-biomass pre-CHP'!P2+CHP!P123</f>
        <v>38261657237980.031</v>
      </c>
      <c r="Q2" s="16">
        <f>'BIFUbC-biomass pre-CHP'!Q2+CHP!Q123</f>
        <v>38985516210071.516</v>
      </c>
      <c r="R2" s="16">
        <f>'BIFUbC-biomass pre-CHP'!R2+CHP!R123</f>
        <v>39723114245618.617</v>
      </c>
      <c r="S2" s="16">
        <f>'BIFUbC-biomass pre-CHP'!S2+CHP!S123</f>
        <v>40460712281165.734</v>
      </c>
      <c r="T2" s="16">
        <f>'BIFUbC-biomass pre-CHP'!T2+CHP!T123</f>
        <v>41198310316712.578</v>
      </c>
      <c r="U2" s="16">
        <f>'BIFUbC-biomass pre-CHP'!U2+CHP!U123</f>
        <v>41935908352259.688</v>
      </c>
      <c r="V2" s="16">
        <f>'BIFUbC-biomass pre-CHP'!V2+CHP!V123</f>
        <v>42673506387806.414</v>
      </c>
      <c r="W2" s="16">
        <f>'BIFUbC-biomass pre-CHP'!W2+CHP!W123</f>
        <v>43392785672079.555</v>
      </c>
      <c r="X2" s="16">
        <f>'BIFUbC-biomass pre-CHP'!X2+CHP!X123</f>
        <v>44124555014039.492</v>
      </c>
      <c r="Y2" s="16">
        <f>'BIFUbC-biomass pre-CHP'!Y2+CHP!Y123</f>
        <v>44856324355999.43</v>
      </c>
      <c r="Z2" s="16">
        <f>'BIFUbC-biomass pre-CHP'!Z2+CHP!Z123</f>
        <v>45588093697959.102</v>
      </c>
      <c r="AA2" s="16">
        <f>'BIFUbC-biomass pre-CHP'!AA2+CHP!AA123</f>
        <v>46319863039919.039</v>
      </c>
      <c r="AB2" s="16">
        <f>'BIFUbC-biomass pre-CHP'!AB2+CHP!AB123</f>
        <v>47051632381878.977</v>
      </c>
      <c r="AC2" s="16">
        <f>'BIFUbC-biomass pre-CHP'!AC2+CHP!AC123</f>
        <v>47783401723838.648</v>
      </c>
      <c r="AD2" s="16">
        <f>'BIFUbC-biomass pre-CHP'!AD2+CHP!AD123</f>
        <v>48515171065798.586</v>
      </c>
      <c r="AE2" s="16">
        <f>'BIFUbC-biomass pre-CHP'!AE2+CHP!AE123</f>
        <v>49246940407758.516</v>
      </c>
      <c r="AF2" s="16">
        <f>'BIFUbC-biomass pre-CHP'!AF2+CHP!AF123</f>
        <v>49978709749718.195</v>
      </c>
    </row>
    <row r="3" spans="1:35">
      <c r="A3" t="s">
        <v>3</v>
      </c>
      <c r="B3" s="16">
        <f>'BIFUbC-biomass pre-CHP'!B3+CHP!B124</f>
        <v>0</v>
      </c>
      <c r="C3" s="16">
        <f>'BIFUbC-biomass pre-CHP'!C3+CHP!C124</f>
        <v>0</v>
      </c>
      <c r="D3" s="16">
        <f>'BIFUbC-biomass pre-CHP'!D3+CHP!D124</f>
        <v>0</v>
      </c>
      <c r="E3" s="16">
        <f>'BIFUbC-biomass pre-CHP'!E3+CHP!E124</f>
        <v>0</v>
      </c>
      <c r="F3" s="16">
        <f>'BIFUbC-biomass pre-CHP'!F3+CHP!F124</f>
        <v>0</v>
      </c>
      <c r="G3" s="16">
        <f>'BIFUbC-biomass pre-CHP'!G3+CHP!G124</f>
        <v>0</v>
      </c>
      <c r="H3" s="16">
        <f>'BIFUbC-biomass pre-CHP'!H3+CHP!H124</f>
        <v>0</v>
      </c>
      <c r="I3" s="16">
        <f>'BIFUbC-biomass pre-CHP'!I3+CHP!I124</f>
        <v>0</v>
      </c>
      <c r="J3" s="16">
        <f>'BIFUbC-biomass pre-CHP'!J3+CHP!J124</f>
        <v>0</v>
      </c>
      <c r="K3" s="16">
        <f>'BIFUbC-biomass pre-CHP'!K3+CHP!K124</f>
        <v>0</v>
      </c>
      <c r="L3" s="16">
        <f>'BIFUbC-biomass pre-CHP'!L3+CHP!L124</f>
        <v>0</v>
      </c>
      <c r="M3" s="16">
        <f>'BIFUbC-biomass pre-CHP'!M3+CHP!M124</f>
        <v>0</v>
      </c>
      <c r="N3" s="16">
        <f>'BIFUbC-biomass pre-CHP'!N3+CHP!N124</f>
        <v>0</v>
      </c>
      <c r="O3" s="16">
        <f>'BIFUbC-biomass pre-CHP'!O3+CHP!O124</f>
        <v>0</v>
      </c>
      <c r="P3" s="16">
        <f>'BIFUbC-biomass pre-CHP'!P3+CHP!P124</f>
        <v>0</v>
      </c>
      <c r="Q3" s="16">
        <f>'BIFUbC-biomass pre-CHP'!Q3+CHP!Q124</f>
        <v>0</v>
      </c>
      <c r="R3" s="16">
        <f>'BIFUbC-biomass pre-CHP'!R3+CHP!R124</f>
        <v>0</v>
      </c>
      <c r="S3" s="16">
        <f>'BIFUbC-biomass pre-CHP'!S3+CHP!S124</f>
        <v>0</v>
      </c>
      <c r="T3" s="16">
        <f>'BIFUbC-biomass pre-CHP'!T3+CHP!T124</f>
        <v>0</v>
      </c>
      <c r="U3" s="16">
        <f>'BIFUbC-biomass pre-CHP'!U3+CHP!U124</f>
        <v>0</v>
      </c>
      <c r="V3" s="16">
        <f>'BIFUbC-biomass pre-CHP'!V3+CHP!V124</f>
        <v>0</v>
      </c>
      <c r="W3" s="16">
        <f>'BIFUbC-biomass pre-CHP'!W3+CHP!W124</f>
        <v>0</v>
      </c>
      <c r="X3" s="16">
        <f>'BIFUbC-biomass pre-CHP'!X3+CHP!X124</f>
        <v>0</v>
      </c>
      <c r="Y3" s="16">
        <f>'BIFUbC-biomass pre-CHP'!Y3+CHP!Y124</f>
        <v>0</v>
      </c>
      <c r="Z3" s="16">
        <f>'BIFUbC-biomass pre-CHP'!Z3+CHP!Z124</f>
        <v>0</v>
      </c>
      <c r="AA3" s="16">
        <f>'BIFUbC-biomass pre-CHP'!AA3+CHP!AA124</f>
        <v>0</v>
      </c>
      <c r="AB3" s="16">
        <f>'BIFUbC-biomass pre-CHP'!AB3+CHP!AB124</f>
        <v>0</v>
      </c>
      <c r="AC3" s="16">
        <f>'BIFUbC-biomass pre-CHP'!AC3+CHP!AC124</f>
        <v>0</v>
      </c>
      <c r="AD3" s="16">
        <f>'BIFUbC-biomass pre-CHP'!AD3+CHP!AD124</f>
        <v>0</v>
      </c>
      <c r="AE3" s="16">
        <f>'BIFUbC-biomass pre-CHP'!AE3+CHP!AE124</f>
        <v>0</v>
      </c>
      <c r="AF3" s="16">
        <f>'BIFUbC-biomass pre-CHP'!AF3+CHP!AF124</f>
        <v>0</v>
      </c>
    </row>
    <row r="4" spans="1:35">
      <c r="A4" t="s">
        <v>4</v>
      </c>
      <c r="B4" s="16">
        <f>'BIFUbC-biomass pre-CHP'!B4+CHP!B125</f>
        <v>0</v>
      </c>
      <c r="C4" s="16">
        <f>'BIFUbC-biomass pre-CHP'!C4+CHP!C125</f>
        <v>0</v>
      </c>
      <c r="D4" s="16">
        <f>'BIFUbC-biomass pre-CHP'!D4+CHP!D125</f>
        <v>0</v>
      </c>
      <c r="E4" s="16">
        <f>'BIFUbC-biomass pre-CHP'!E4+CHP!E125</f>
        <v>0</v>
      </c>
      <c r="F4" s="16">
        <f>'BIFUbC-biomass pre-CHP'!F4+CHP!F125</f>
        <v>0</v>
      </c>
      <c r="G4" s="16">
        <f>'BIFUbC-biomass pre-CHP'!G4+CHP!G125</f>
        <v>0</v>
      </c>
      <c r="H4" s="16">
        <f>'BIFUbC-biomass pre-CHP'!H4+CHP!H125</f>
        <v>0</v>
      </c>
      <c r="I4" s="16">
        <f>'BIFUbC-biomass pre-CHP'!I4+CHP!I125</f>
        <v>0</v>
      </c>
      <c r="J4" s="16">
        <f>'BIFUbC-biomass pre-CHP'!J4+CHP!J125</f>
        <v>0</v>
      </c>
      <c r="K4" s="16">
        <f>'BIFUbC-biomass pre-CHP'!K4+CHP!K125</f>
        <v>0</v>
      </c>
      <c r="L4" s="16">
        <f>'BIFUbC-biomass pre-CHP'!L4+CHP!L125</f>
        <v>0</v>
      </c>
      <c r="M4" s="16">
        <f>'BIFUbC-biomass pre-CHP'!M4+CHP!M125</f>
        <v>0</v>
      </c>
      <c r="N4" s="16">
        <f>'BIFUbC-biomass pre-CHP'!N4+CHP!N125</f>
        <v>0</v>
      </c>
      <c r="O4" s="16">
        <f>'BIFUbC-biomass pre-CHP'!O4+CHP!O125</f>
        <v>0</v>
      </c>
      <c r="P4" s="16">
        <f>'BIFUbC-biomass pre-CHP'!P4+CHP!P125</f>
        <v>0</v>
      </c>
      <c r="Q4" s="16">
        <f>'BIFUbC-biomass pre-CHP'!Q4+CHP!Q125</f>
        <v>0</v>
      </c>
      <c r="R4" s="16">
        <f>'BIFUbC-biomass pre-CHP'!R4+CHP!R125</f>
        <v>0</v>
      </c>
      <c r="S4" s="16">
        <f>'BIFUbC-biomass pre-CHP'!S4+CHP!S125</f>
        <v>0</v>
      </c>
      <c r="T4" s="16">
        <f>'BIFUbC-biomass pre-CHP'!T4+CHP!T125</f>
        <v>0</v>
      </c>
      <c r="U4" s="16">
        <f>'BIFUbC-biomass pre-CHP'!U4+CHP!U125</f>
        <v>0</v>
      </c>
      <c r="V4" s="16">
        <f>'BIFUbC-biomass pre-CHP'!V4+CHP!V125</f>
        <v>0</v>
      </c>
      <c r="W4" s="16">
        <f>'BIFUbC-biomass pre-CHP'!W4+CHP!W125</f>
        <v>0</v>
      </c>
      <c r="X4" s="16">
        <f>'BIFUbC-biomass pre-CHP'!X4+CHP!X125</f>
        <v>0</v>
      </c>
      <c r="Y4" s="16">
        <f>'BIFUbC-biomass pre-CHP'!Y4+CHP!Y125</f>
        <v>0</v>
      </c>
      <c r="Z4" s="16">
        <f>'BIFUbC-biomass pre-CHP'!Z4+CHP!Z125</f>
        <v>0</v>
      </c>
      <c r="AA4" s="16">
        <f>'BIFUbC-biomass pre-CHP'!AA4+CHP!AA125</f>
        <v>0</v>
      </c>
      <c r="AB4" s="16">
        <f>'BIFUbC-biomass pre-CHP'!AB4+CHP!AB125</f>
        <v>0</v>
      </c>
      <c r="AC4" s="16">
        <f>'BIFUbC-biomass pre-CHP'!AC4+CHP!AC125</f>
        <v>0</v>
      </c>
      <c r="AD4" s="16">
        <f>'BIFUbC-biomass pre-CHP'!AD4+CHP!AD125</f>
        <v>0</v>
      </c>
      <c r="AE4" s="16">
        <f>'BIFUbC-biomass pre-CHP'!AE4+CHP!AE125</f>
        <v>0</v>
      </c>
      <c r="AF4" s="16">
        <f>'BIFUbC-biomass pre-CHP'!AF4+CHP!AF125</f>
        <v>0</v>
      </c>
    </row>
    <row r="5" spans="1:35">
      <c r="A5" t="s">
        <v>5</v>
      </c>
      <c r="B5" s="16">
        <f>'BIFUbC-biomass pre-CHP'!B5+CHP!B126</f>
        <v>112798181940.70491</v>
      </c>
      <c r="C5" s="16">
        <f>'BIFUbC-biomass pre-CHP'!C5+CHP!C126</f>
        <v>117027406979.6181</v>
      </c>
      <c r="D5" s="16">
        <f>'BIFUbC-biomass pre-CHP'!D5+CHP!D126</f>
        <v>121256632018.53131</v>
      </c>
      <c r="E5" s="16">
        <f>'BIFUbC-biomass pre-CHP'!E5+CHP!E126</f>
        <v>125485857057.44449</v>
      </c>
      <c r="F5" s="16">
        <f>'BIFUbC-biomass pre-CHP'!F5+CHP!F126</f>
        <v>129715082096.35771</v>
      </c>
      <c r="G5" s="16">
        <f>'BIFUbC-biomass pre-CHP'!G5+CHP!G126</f>
        <v>133944307135.27089</v>
      </c>
      <c r="H5" s="16">
        <f>'BIFUbC-biomass pre-CHP'!H5+CHP!H126</f>
        <v>135274043264.17007</v>
      </c>
      <c r="I5" s="16">
        <f>'BIFUbC-biomass pre-CHP'!I5+CHP!I126</f>
        <v>136603779393.06923</v>
      </c>
      <c r="J5" s="16">
        <f>'BIFUbC-biomass pre-CHP'!J5+CHP!J126</f>
        <v>137933515521.96826</v>
      </c>
      <c r="K5" s="16">
        <f>'BIFUbC-biomass pre-CHP'!K5+CHP!K126</f>
        <v>139263251650.86743</v>
      </c>
      <c r="L5" s="16">
        <f>'BIFUbC-biomass pre-CHP'!L5+CHP!L126</f>
        <v>140592987779.76642</v>
      </c>
      <c r="M5" s="16">
        <f>'BIFUbC-biomass pre-CHP'!M5+CHP!M126</f>
        <v>141426448494.35379</v>
      </c>
      <c r="N5" s="16">
        <f>'BIFUbC-biomass pre-CHP'!N5+CHP!N126</f>
        <v>142259909208.94095</v>
      </c>
      <c r="O5" s="16">
        <f>'BIFUbC-biomass pre-CHP'!O5+CHP!O126</f>
        <v>143093369923.52826</v>
      </c>
      <c r="P5" s="16">
        <f>'BIFUbC-biomass pre-CHP'!P5+CHP!P126</f>
        <v>143926830638.11542</v>
      </c>
      <c r="Q5" s="16">
        <f>'BIFUbC-biomass pre-CHP'!Q5+CHP!Q126</f>
        <v>144760291352.70261</v>
      </c>
      <c r="R5" s="16">
        <f>'BIFUbC-biomass pre-CHP'!R5+CHP!R126</f>
        <v>145454030176.03937</v>
      </c>
      <c r="S5" s="16">
        <f>'BIFUbC-biomass pre-CHP'!S5+CHP!S126</f>
        <v>146147768999.3761</v>
      </c>
      <c r="T5" s="16">
        <f>'BIFUbC-biomass pre-CHP'!T5+CHP!T126</f>
        <v>146841507822.71274</v>
      </c>
      <c r="U5" s="16">
        <f>'BIFUbC-biomass pre-CHP'!U5+CHP!U126</f>
        <v>147535246646.0495</v>
      </c>
      <c r="V5" s="16">
        <f>'BIFUbC-biomass pre-CHP'!V5+CHP!V126</f>
        <v>148228985469.38602</v>
      </c>
      <c r="W5" s="16">
        <f>'BIFUbC-biomass pre-CHP'!W5+CHP!W126</f>
        <v>149109020147.72357</v>
      </c>
      <c r="X5" s="16">
        <f>'BIFUbC-biomass pre-CHP'!X5+CHP!X126</f>
        <v>149862034924.92407</v>
      </c>
      <c r="Y5" s="16">
        <f>'BIFUbC-biomass pre-CHP'!Y5+CHP!Y126</f>
        <v>150615049702.12469</v>
      </c>
      <c r="Z5" s="16">
        <f>'BIFUbC-biomass pre-CHP'!Z5+CHP!Z126</f>
        <v>151368064479.3252</v>
      </c>
      <c r="AA5" s="16">
        <f>'BIFUbC-biomass pre-CHP'!AA5+CHP!AA126</f>
        <v>152121079256.52582</v>
      </c>
      <c r="AB5" s="16">
        <f>'BIFUbC-biomass pre-CHP'!AB5+CHP!AB126</f>
        <v>152874094033.72632</v>
      </c>
      <c r="AC5" s="16">
        <f>'BIFUbC-biomass pre-CHP'!AC5+CHP!AC126</f>
        <v>153627108810.92682</v>
      </c>
      <c r="AD5" s="16">
        <f>'BIFUbC-biomass pre-CHP'!AD5+CHP!AD126</f>
        <v>154380123588.12744</v>
      </c>
      <c r="AE5" s="16">
        <f>'BIFUbC-biomass pre-CHP'!AE5+CHP!AE126</f>
        <v>155133138365.32806</v>
      </c>
      <c r="AF5" s="16">
        <f>'BIFUbC-biomass pre-CHP'!AF5+CHP!AF126</f>
        <v>155886153142.52856</v>
      </c>
    </row>
    <row r="6" spans="1:35">
      <c r="A6" t="s">
        <v>6</v>
      </c>
      <c r="B6" s="16">
        <f>'BIFUbC-biomass pre-CHP'!B6+CHP!B127</f>
        <v>10177313909023.283</v>
      </c>
      <c r="C6" s="16">
        <f>'BIFUbC-biomass pre-CHP'!C6+CHP!C127</f>
        <v>10622518392696.836</v>
      </c>
      <c r="D6" s="16">
        <f>'BIFUbC-biomass pre-CHP'!D6+CHP!D127</f>
        <v>11067722876370.387</v>
      </c>
      <c r="E6" s="16">
        <f>'BIFUbC-biomass pre-CHP'!E6+CHP!E127</f>
        <v>11512927360043.938</v>
      </c>
      <c r="F6" s="16">
        <f>'BIFUbC-biomass pre-CHP'!F6+CHP!F127</f>
        <v>11958131843717.49</v>
      </c>
      <c r="G6" s="16">
        <f>'BIFUbC-biomass pre-CHP'!G6+CHP!G127</f>
        <v>12403336327391.043</v>
      </c>
      <c r="H6" s="16">
        <f>'BIFUbC-biomass pre-CHP'!H6+CHP!H127</f>
        <v>12715792115474.09</v>
      </c>
      <c r="I6" s="16">
        <f>'BIFUbC-biomass pre-CHP'!I6+CHP!I127</f>
        <v>13028247903557.139</v>
      </c>
      <c r="J6" s="16">
        <f>'BIFUbC-biomass pre-CHP'!J6+CHP!J127</f>
        <v>13340703691640.088</v>
      </c>
      <c r="K6" s="16">
        <f>'BIFUbC-biomass pre-CHP'!K6+CHP!K127</f>
        <v>13653159479723.137</v>
      </c>
      <c r="L6" s="16">
        <f>'BIFUbC-biomass pre-CHP'!L6+CHP!L127</f>
        <v>13965615267806.035</v>
      </c>
      <c r="M6" s="16">
        <f>'BIFUbC-biomass pre-CHP'!M6+CHP!M127</f>
        <v>14241584182725.76</v>
      </c>
      <c r="N6" s="16">
        <f>'BIFUbC-biomass pre-CHP'!N6+CHP!N127</f>
        <v>14517553097645.334</v>
      </c>
      <c r="O6" s="16">
        <f>'BIFUbC-biomass pre-CHP'!O6+CHP!O127</f>
        <v>14793522012565.006</v>
      </c>
      <c r="P6" s="16">
        <f>'BIFUbC-biomass pre-CHP'!P6+CHP!P127</f>
        <v>15069490927484.58</v>
      </c>
      <c r="Q6" s="16">
        <f>'BIFUbC-biomass pre-CHP'!Q6+CHP!Q127</f>
        <v>15345459842404.156</v>
      </c>
      <c r="R6" s="16">
        <f>'BIFUbC-biomass pre-CHP'!R6+CHP!R127</f>
        <v>15625915505173.184</v>
      </c>
      <c r="S6" s="16">
        <f>'BIFUbC-biomass pre-CHP'!S6+CHP!S127</f>
        <v>15906371167942.211</v>
      </c>
      <c r="T6" s="16">
        <f>'BIFUbC-biomass pre-CHP'!T6+CHP!T127</f>
        <v>16186826830711.143</v>
      </c>
      <c r="U6" s="16">
        <f>'BIFUbC-biomass pre-CHP'!U6+CHP!U127</f>
        <v>16467282493480.17</v>
      </c>
      <c r="V6" s="16">
        <f>'BIFUbC-biomass pre-CHP'!V6+CHP!V127</f>
        <v>16747738156249.051</v>
      </c>
      <c r="W6" s="16">
        <f>'BIFUbC-biomass pre-CHP'!W6+CHP!W127</f>
        <v>17022211488552.223</v>
      </c>
      <c r="X6" s="16">
        <f>'BIFUbC-biomass pre-CHP'!X6+CHP!X127</f>
        <v>17300763682536.658</v>
      </c>
      <c r="Y6" s="16">
        <f>'BIFUbC-biomass pre-CHP'!Y6+CHP!Y127</f>
        <v>17579315876521.094</v>
      </c>
      <c r="Z6" s="16">
        <f>'BIFUbC-biomass pre-CHP'!Z6+CHP!Z127</f>
        <v>17857868070505.43</v>
      </c>
      <c r="AA6" s="16">
        <f>'BIFUbC-biomass pre-CHP'!AA6+CHP!AA127</f>
        <v>18136420264489.867</v>
      </c>
      <c r="AB6" s="16">
        <f>'BIFUbC-biomass pre-CHP'!AB6+CHP!AB127</f>
        <v>18414972458474.301</v>
      </c>
      <c r="AC6" s="16">
        <f>'BIFUbC-biomass pre-CHP'!AC6+CHP!AC127</f>
        <v>18693524652458.637</v>
      </c>
      <c r="AD6" s="16">
        <f>'BIFUbC-biomass pre-CHP'!AD6+CHP!AD127</f>
        <v>18972076846443.07</v>
      </c>
      <c r="AE6" s="16">
        <f>'BIFUbC-biomass pre-CHP'!AE6+CHP!AE127</f>
        <v>19250629040427.508</v>
      </c>
      <c r="AF6" s="16">
        <f>'BIFUbC-biomass pre-CHP'!AF6+CHP!AF127</f>
        <v>19529181234411.848</v>
      </c>
    </row>
    <row r="7" spans="1:35">
      <c r="A7" t="s">
        <v>7</v>
      </c>
      <c r="B7" s="16">
        <f>'BIFUbC-biomass pre-CHP'!B7+CHP!B128</f>
        <v>20646969534045.715</v>
      </c>
      <c r="C7" s="16">
        <f>'BIFUbC-biomass pre-CHP'!C7+CHP!C128</f>
        <v>21559362503016.352</v>
      </c>
      <c r="D7" s="16">
        <f>'BIFUbC-biomass pre-CHP'!D7+CHP!D128</f>
        <v>22471755471986.988</v>
      </c>
      <c r="E7" s="16">
        <f>'BIFUbC-biomass pre-CHP'!E7+CHP!E128</f>
        <v>23384148440957.621</v>
      </c>
      <c r="F7" s="16">
        <f>'BIFUbC-biomass pre-CHP'!F7+CHP!F128</f>
        <v>24296541409928.258</v>
      </c>
      <c r="G7" s="16">
        <f>'BIFUbC-biomass pre-CHP'!G7+CHP!G128</f>
        <v>25208934378898.898</v>
      </c>
      <c r="H7" s="16">
        <f>'BIFUbC-biomass pre-CHP'!H7+CHP!H128</f>
        <v>25870642400945.883</v>
      </c>
      <c r="I7" s="16">
        <f>'BIFUbC-biomass pre-CHP'!I7+CHP!I128</f>
        <v>26532350422992.867</v>
      </c>
      <c r="J7" s="16">
        <f>'BIFUbC-biomass pre-CHP'!J7+CHP!J128</f>
        <v>27194058445039.645</v>
      </c>
      <c r="K7" s="16">
        <f>'BIFUbC-biomass pre-CHP'!K7+CHP!K128</f>
        <v>27855766467086.629</v>
      </c>
      <c r="L7" s="16">
        <f>'BIFUbC-biomass pre-CHP'!L7+CHP!L128</f>
        <v>28517474489133.297</v>
      </c>
      <c r="M7" s="16">
        <f>'BIFUbC-biomass pre-CHP'!M7+CHP!M128</f>
        <v>29106358934105.777</v>
      </c>
      <c r="N7" s="16">
        <f>'BIFUbC-biomass pre-CHP'!N7+CHP!N128</f>
        <v>29695243379077.945</v>
      </c>
      <c r="O7" s="16">
        <f>'BIFUbC-biomass pre-CHP'!O7+CHP!O128</f>
        <v>30284127824050.32</v>
      </c>
      <c r="P7" s="16">
        <f>'BIFUbC-biomass pre-CHP'!P7+CHP!P128</f>
        <v>30873012269022.48</v>
      </c>
      <c r="Q7" s="16">
        <f>'BIFUbC-biomass pre-CHP'!Q7+CHP!Q128</f>
        <v>31461896713994.648</v>
      </c>
      <c r="R7" s="16">
        <f>'BIFUbC-biomass pre-CHP'!R7+CHP!R128</f>
        <v>32062354221188.121</v>
      </c>
      <c r="S7" s="16">
        <f>'BIFUbC-biomass pre-CHP'!S7+CHP!S128</f>
        <v>32662811728381.594</v>
      </c>
      <c r="T7" s="16">
        <f>'BIFUbC-biomass pre-CHP'!T7+CHP!T128</f>
        <v>33263269235574.852</v>
      </c>
      <c r="U7" s="16">
        <f>'BIFUbC-biomass pre-CHP'!U7+CHP!U128</f>
        <v>33863726742768.324</v>
      </c>
      <c r="V7" s="16">
        <f>'BIFUbC-biomass pre-CHP'!V7+CHP!V128</f>
        <v>34464184249961.477</v>
      </c>
      <c r="W7" s="16">
        <f>'BIFUbC-biomass pre-CHP'!W7+CHP!W128</f>
        <v>35049211007526.715</v>
      </c>
      <c r="X7" s="16">
        <f>'BIFUbC-biomass pre-CHP'!X7+CHP!X128</f>
        <v>35644758730747.563</v>
      </c>
      <c r="Y7" s="16">
        <f>'BIFUbC-biomass pre-CHP'!Y7+CHP!Y128</f>
        <v>36240306453968.414</v>
      </c>
      <c r="Z7" s="16">
        <f>'BIFUbC-biomass pre-CHP'!Z7+CHP!Z128</f>
        <v>36835854177189.047</v>
      </c>
      <c r="AA7" s="16">
        <f>'BIFUbC-biomass pre-CHP'!AA7+CHP!AA128</f>
        <v>37431401900409.891</v>
      </c>
      <c r="AB7" s="16">
        <f>'BIFUbC-biomass pre-CHP'!AB7+CHP!AB128</f>
        <v>38026949623630.742</v>
      </c>
      <c r="AC7" s="16">
        <f>'BIFUbC-biomass pre-CHP'!AC7+CHP!AC128</f>
        <v>38622497346851.375</v>
      </c>
      <c r="AD7" s="16">
        <f>'BIFUbC-biomass pre-CHP'!AD7+CHP!AD128</f>
        <v>39218045070072.219</v>
      </c>
      <c r="AE7" s="16">
        <f>'BIFUbC-biomass pre-CHP'!AE7+CHP!AE128</f>
        <v>39813592793293.07</v>
      </c>
      <c r="AF7" s="16">
        <f>'BIFUbC-biomass pre-CHP'!AF7+CHP!AF128</f>
        <v>40409140516513.703</v>
      </c>
    </row>
    <row r="8" spans="1:35">
      <c r="A8" t="s">
        <v>8</v>
      </c>
      <c r="B8" s="16">
        <f>'BIFUbC-biomass pre-CHP'!B8+CHP!B129</f>
        <v>12416986748706.738</v>
      </c>
      <c r="C8" s="16">
        <f>'BIFUbC-biomass pre-CHP'!C8+CHP!C129</f>
        <v>12968050745011.094</v>
      </c>
      <c r="D8" s="16">
        <f>'BIFUbC-biomass pre-CHP'!D8+CHP!D129</f>
        <v>13519114741315.443</v>
      </c>
      <c r="E8" s="16">
        <f>'BIFUbC-biomass pre-CHP'!E8+CHP!E129</f>
        <v>14070178737619.797</v>
      </c>
      <c r="F8" s="16">
        <f>'BIFUbC-biomass pre-CHP'!F8+CHP!F129</f>
        <v>14621242733924.148</v>
      </c>
      <c r="G8" s="16">
        <f>'BIFUbC-biomass pre-CHP'!G8+CHP!G129</f>
        <v>15172306730228.504</v>
      </c>
      <c r="H8" s="16">
        <f>'BIFUbC-biomass pre-CHP'!H8+CHP!H129</f>
        <v>15577380713543.436</v>
      </c>
      <c r="I8" s="16">
        <f>'BIFUbC-biomass pre-CHP'!I8+CHP!I129</f>
        <v>15982454696858.365</v>
      </c>
      <c r="J8" s="16">
        <f>'BIFUbC-biomass pre-CHP'!J8+CHP!J129</f>
        <v>16387528680173.166</v>
      </c>
      <c r="K8" s="16">
        <f>'BIFUbC-biomass pre-CHP'!K8+CHP!K129</f>
        <v>16792602663488.098</v>
      </c>
      <c r="L8" s="16">
        <f>'BIFUbC-biomass pre-CHP'!L8+CHP!L129</f>
        <v>17197676646802.832</v>
      </c>
      <c r="M8" s="16">
        <f>'BIFUbC-biomass pre-CHP'!M8+CHP!M129</f>
        <v>17559261800613.775</v>
      </c>
      <c r="N8" s="16">
        <f>'BIFUbC-biomass pre-CHP'!N8+CHP!N129</f>
        <v>17920846954424.523</v>
      </c>
      <c r="O8" s="16">
        <f>'BIFUbC-biomass pre-CHP'!O8+CHP!O129</f>
        <v>18282432108235.402</v>
      </c>
      <c r="P8" s="16">
        <f>'BIFUbC-biomass pre-CHP'!P8+CHP!P129</f>
        <v>18644017262046.148</v>
      </c>
      <c r="Q8" s="16">
        <f>'BIFUbC-biomass pre-CHP'!Q8+CHP!Q129</f>
        <v>19005602415856.898</v>
      </c>
      <c r="R8" s="16">
        <f>'BIFUbC-biomass pre-CHP'!R8+CHP!R129</f>
        <v>19374780383892.484</v>
      </c>
      <c r="S8" s="16">
        <f>'BIFUbC-biomass pre-CHP'!S8+CHP!S129</f>
        <v>19743958351928.07</v>
      </c>
      <c r="T8" s="16">
        <f>'BIFUbC-biomass pre-CHP'!T8+CHP!T129</f>
        <v>20113136319963.527</v>
      </c>
      <c r="U8" s="16">
        <f>'BIFUbC-biomass pre-CHP'!U8+CHP!U129</f>
        <v>20482314287999.117</v>
      </c>
      <c r="V8" s="16">
        <f>'BIFUbC-biomass pre-CHP'!V8+CHP!V129</f>
        <v>20851492256034.508</v>
      </c>
      <c r="W8" s="16">
        <f>'BIFUbC-biomass pre-CHP'!W8+CHP!W129</f>
        <v>21210546471770.418</v>
      </c>
      <c r="X8" s="16">
        <f>'BIFUbC-biomass pre-CHP'!X8+CHP!X129</f>
        <v>21576503245892.465</v>
      </c>
      <c r="Y8" s="16">
        <f>'BIFUbC-biomass pre-CHP'!Y8+CHP!Y129</f>
        <v>21942460020014.516</v>
      </c>
      <c r="Z8" s="16">
        <f>'BIFUbC-biomass pre-CHP'!Z8+CHP!Z129</f>
        <v>22308416794136.438</v>
      </c>
      <c r="AA8" s="16">
        <f>'BIFUbC-biomass pre-CHP'!AA8+CHP!AA129</f>
        <v>22674373568258.488</v>
      </c>
      <c r="AB8" s="16">
        <f>'BIFUbC-biomass pre-CHP'!AB8+CHP!AB129</f>
        <v>23040330342380.535</v>
      </c>
      <c r="AC8" s="16">
        <f>'BIFUbC-biomass pre-CHP'!AC8+CHP!AC129</f>
        <v>23406287116502.457</v>
      </c>
      <c r="AD8" s="16">
        <f>'BIFUbC-biomass pre-CHP'!AD8+CHP!AD129</f>
        <v>23772243890624.508</v>
      </c>
      <c r="AE8" s="16">
        <f>'BIFUbC-biomass pre-CHP'!AE8+CHP!AE129</f>
        <v>24138200664746.559</v>
      </c>
      <c r="AF8" s="16">
        <f>'BIFUbC-biomass pre-CHP'!AF8+CHP!AF129</f>
        <v>24504157438868.48</v>
      </c>
    </row>
    <row r="9" spans="1:35">
      <c r="A9" t="s">
        <v>9</v>
      </c>
      <c r="B9" s="16">
        <f>'BIFUbC-biomass pre-CHP'!B9+CHP!B130</f>
        <v>109838823372820.7</v>
      </c>
      <c r="C9" s="16">
        <f>'BIFUbC-biomass pre-CHP'!C9+CHP!C130</f>
        <v>114716315566294.14</v>
      </c>
      <c r="D9" s="16">
        <f>'BIFUbC-biomass pre-CHP'!D9+CHP!D130</f>
        <v>119593807759767.55</v>
      </c>
      <c r="E9" s="16">
        <f>'BIFUbC-biomass pre-CHP'!E9+CHP!E130</f>
        <v>124471299953240.95</v>
      </c>
      <c r="F9" s="16">
        <f>'BIFUbC-biomass pre-CHP'!F9+CHP!F130</f>
        <v>129348792146714.38</v>
      </c>
      <c r="G9" s="16">
        <f>'BIFUbC-biomass pre-CHP'!G9+CHP!G130</f>
        <v>134226284340187.78</v>
      </c>
      <c r="H9" s="16">
        <f>'BIFUbC-biomass pre-CHP'!H9+CHP!H130</f>
        <v>137818167109886.97</v>
      </c>
      <c r="I9" s="16">
        <f>'BIFUbC-biomass pre-CHP'!I9+CHP!I130</f>
        <v>141410049879586.16</v>
      </c>
      <c r="J9" s="16">
        <f>'BIFUbC-biomass pre-CHP'!J9+CHP!J130</f>
        <v>145001932649284.19</v>
      </c>
      <c r="K9" s="16">
        <f>'BIFUbC-biomass pre-CHP'!K9+CHP!K130</f>
        <v>148593815418983.38</v>
      </c>
      <c r="L9" s="16">
        <f>'BIFUbC-biomass pre-CHP'!L9+CHP!L130</f>
        <v>152185698188680.81</v>
      </c>
      <c r="M9" s="16">
        <f>'BIFUbC-biomass pre-CHP'!M9+CHP!M130</f>
        <v>155393258135266.94</v>
      </c>
      <c r="N9" s="16">
        <f>'BIFUbC-biomass pre-CHP'!N9+CHP!N130</f>
        <v>158600818081851.34</v>
      </c>
      <c r="O9" s="16">
        <f>'BIFUbC-biomass pre-CHP'!O9+CHP!O130</f>
        <v>161808378028436.91</v>
      </c>
      <c r="P9" s="16">
        <f>'BIFUbC-biomass pre-CHP'!P9+CHP!P130</f>
        <v>165015937975021.31</v>
      </c>
      <c r="Q9" s="16">
        <f>'BIFUbC-biomass pre-CHP'!Q9+CHP!Q130</f>
        <v>168223497921605.72</v>
      </c>
      <c r="R9" s="16">
        <f>'BIFUbC-biomass pre-CHP'!R9+CHP!R130</f>
        <v>171498991691979.25</v>
      </c>
      <c r="S9" s="16">
        <f>'BIFUbC-biomass pre-CHP'!S9+CHP!S130</f>
        <v>174774485462352.81</v>
      </c>
      <c r="T9" s="16">
        <f>'BIFUbC-biomass pre-CHP'!T9+CHP!T130</f>
        <v>178049979232725.22</v>
      </c>
      <c r="U9" s="16">
        <f>'BIFUbC-biomass pre-CHP'!U9+CHP!U130</f>
        <v>181325473003098.75</v>
      </c>
      <c r="V9" s="16">
        <f>'BIFUbC-biomass pre-CHP'!V9+CHP!V130</f>
        <v>184600966773470.59</v>
      </c>
      <c r="W9" s="16">
        <f>'BIFUbC-biomass pre-CHP'!W9+CHP!W130</f>
        <v>187785882112126.22</v>
      </c>
      <c r="X9" s="16">
        <f>'BIFUbC-biomass pre-CHP'!X9+CHP!X130</f>
        <v>191032555472407.69</v>
      </c>
      <c r="Y9" s="16">
        <f>'BIFUbC-biomass pre-CHP'!Y9+CHP!Y130</f>
        <v>194279228832689.16</v>
      </c>
      <c r="Z9" s="16">
        <f>'BIFUbC-biomass pre-CHP'!Z9+CHP!Z130</f>
        <v>197525902192969.47</v>
      </c>
      <c r="AA9" s="16">
        <f>'BIFUbC-biomass pre-CHP'!AA9+CHP!AA130</f>
        <v>200772575553250.94</v>
      </c>
      <c r="AB9" s="16">
        <f>'BIFUbC-biomass pre-CHP'!AB9+CHP!AB130</f>
        <v>204019248913532.41</v>
      </c>
      <c r="AC9" s="16">
        <f>'BIFUbC-biomass pre-CHP'!AC9+CHP!AC130</f>
        <v>207265922273812.72</v>
      </c>
      <c r="AD9" s="16">
        <f>'BIFUbC-biomass pre-CHP'!AD9+CHP!AD130</f>
        <v>210512595634094.19</v>
      </c>
      <c r="AE9" s="16">
        <f>'BIFUbC-biomass pre-CHP'!AE9+CHP!AE130</f>
        <v>213759268994375.66</v>
      </c>
      <c r="AF9" s="16">
        <f>'BIFUbC-biomass pre-CHP'!AF9+CHP!AF130</f>
        <v>217005942354655.97</v>
      </c>
    </row>
    <row r="10" spans="1:35">
      <c r="A10" t="s">
        <v>10</v>
      </c>
      <c r="B10" s="16">
        <f>'BIFUbC-biomass pre-CHP'!B10+CHP!B131</f>
        <v>0</v>
      </c>
      <c r="C10" s="16">
        <f>'BIFUbC-biomass pre-CHP'!C10+CHP!C131</f>
        <v>0</v>
      </c>
      <c r="D10" s="16">
        <f>'BIFUbC-biomass pre-CHP'!D10+CHP!D131</f>
        <v>0</v>
      </c>
      <c r="E10" s="16">
        <f>'BIFUbC-biomass pre-CHP'!E10+CHP!E131</f>
        <v>0</v>
      </c>
      <c r="F10" s="16">
        <f>'BIFUbC-biomass pre-CHP'!F10+CHP!F131</f>
        <v>0</v>
      </c>
      <c r="G10" s="16">
        <f>'BIFUbC-biomass pre-CHP'!G10+CHP!G131</f>
        <v>0</v>
      </c>
      <c r="H10" s="16">
        <f>'BIFUbC-biomass pre-CHP'!H10+CHP!H131</f>
        <v>0</v>
      </c>
      <c r="I10" s="16">
        <f>'BIFUbC-biomass pre-CHP'!I10+CHP!I131</f>
        <v>0</v>
      </c>
      <c r="J10" s="16">
        <f>'BIFUbC-biomass pre-CHP'!J10+CHP!J131</f>
        <v>0</v>
      </c>
      <c r="K10" s="16">
        <f>'BIFUbC-biomass pre-CHP'!K10+CHP!K131</f>
        <v>0</v>
      </c>
      <c r="L10" s="16">
        <f>'BIFUbC-biomass pre-CHP'!L10+CHP!L131</f>
        <v>0</v>
      </c>
      <c r="M10" s="16">
        <f>'BIFUbC-biomass pre-CHP'!M10+CHP!M131</f>
        <v>0</v>
      </c>
      <c r="N10" s="16">
        <f>'BIFUbC-biomass pre-CHP'!N10+CHP!N131</f>
        <v>0</v>
      </c>
      <c r="O10" s="16">
        <f>'BIFUbC-biomass pre-CHP'!O10+CHP!O131</f>
        <v>0</v>
      </c>
      <c r="P10" s="16">
        <f>'BIFUbC-biomass pre-CHP'!P10+CHP!P131</f>
        <v>0</v>
      </c>
      <c r="Q10" s="16">
        <f>'BIFUbC-biomass pre-CHP'!Q10+CHP!Q131</f>
        <v>0</v>
      </c>
      <c r="R10" s="16">
        <f>'BIFUbC-biomass pre-CHP'!R10+CHP!R131</f>
        <v>0</v>
      </c>
      <c r="S10" s="16">
        <f>'BIFUbC-biomass pre-CHP'!S10+CHP!S131</f>
        <v>0</v>
      </c>
      <c r="T10" s="16">
        <f>'BIFUbC-biomass pre-CHP'!T10+CHP!T131</f>
        <v>0</v>
      </c>
      <c r="U10" s="16">
        <f>'BIFUbC-biomass pre-CHP'!U10+CHP!U131</f>
        <v>0</v>
      </c>
      <c r="V10" s="16">
        <f>'BIFUbC-biomass pre-CHP'!V10+CHP!V131</f>
        <v>0</v>
      </c>
      <c r="W10" s="16">
        <f>'BIFUbC-biomass pre-CHP'!W10+CHP!W131</f>
        <v>0</v>
      </c>
      <c r="X10" s="16">
        <f>'BIFUbC-biomass pre-CHP'!X10+CHP!X131</f>
        <v>0</v>
      </c>
      <c r="Y10" s="16">
        <f>'BIFUbC-biomass pre-CHP'!Y10+CHP!Y131</f>
        <v>0</v>
      </c>
      <c r="Z10" s="16">
        <f>'BIFUbC-biomass pre-CHP'!Z10+CHP!Z131</f>
        <v>0</v>
      </c>
      <c r="AA10" s="16">
        <f>'BIFUbC-biomass pre-CHP'!AA10+CHP!AA131</f>
        <v>0</v>
      </c>
      <c r="AB10" s="16">
        <f>'BIFUbC-biomass pre-CHP'!AB10+CHP!AB131</f>
        <v>0</v>
      </c>
      <c r="AC10" s="16">
        <f>'BIFUbC-biomass pre-CHP'!AC10+CHP!AC131</f>
        <v>0</v>
      </c>
      <c r="AD10" s="16">
        <f>'BIFUbC-biomass pre-CHP'!AD10+CHP!AD131</f>
        <v>0</v>
      </c>
      <c r="AE10" s="16">
        <f>'BIFUbC-biomass pre-CHP'!AE10+CHP!AE131</f>
        <v>0</v>
      </c>
      <c r="AF10" s="16">
        <f>'BIFUbC-biomass pre-CHP'!AF10+CHP!AF131</f>
        <v>0</v>
      </c>
    </row>
    <row r="11" spans="1:35">
      <c r="A11" t="s">
        <v>11</v>
      </c>
      <c r="B11" s="16">
        <f>'BIFUbC-biomass pre-CHP'!B11+CHP!B132</f>
        <v>2446528482201.8267</v>
      </c>
      <c r="C11" s="16">
        <f>'BIFUbC-biomass pre-CHP'!C11+CHP!C132</f>
        <v>2197509153685.2034</v>
      </c>
      <c r="D11" s="16">
        <f>'BIFUbC-biomass pre-CHP'!D11+CHP!D132</f>
        <v>2090117136400.6489</v>
      </c>
      <c r="E11" s="16">
        <f>'BIFUbC-biomass pre-CHP'!E11+CHP!E132</f>
        <v>1963474524703.4595</v>
      </c>
      <c r="F11" s="16">
        <f>'BIFUbC-biomass pre-CHP'!F11+CHP!F132</f>
        <v>1915248771719.9182</v>
      </c>
      <c r="G11" s="16">
        <f>'BIFUbC-biomass pre-CHP'!G11+CHP!G132</f>
        <v>2063269730711.575</v>
      </c>
      <c r="H11" s="16">
        <f>'BIFUbC-biomass pre-CHP'!H11+CHP!H132</f>
        <v>2015446529026.3567</v>
      </c>
      <c r="I11" s="16">
        <f>'BIFUbC-biomass pre-CHP'!I11+CHP!I132</f>
        <v>1985203088168.8306</v>
      </c>
      <c r="J11" s="16">
        <f>'BIFUbC-biomass pre-CHP'!J11+CHP!J132</f>
        <v>3019623478021.0493</v>
      </c>
      <c r="K11" s="16">
        <f>'BIFUbC-biomass pre-CHP'!K11+CHP!K132</f>
        <v>2954100160498.6646</v>
      </c>
      <c r="L11" s="16">
        <f>'BIFUbC-biomass pre-CHP'!L11+CHP!L132</f>
        <v>72255955454090.813</v>
      </c>
      <c r="M11" s="16">
        <f>'BIFUbC-biomass pre-CHP'!M11+CHP!M132</f>
        <v>71733531452132.375</v>
      </c>
      <c r="N11" s="16">
        <f>'BIFUbC-biomass pre-CHP'!N11+CHP!N132</f>
        <v>71209543610726.859</v>
      </c>
      <c r="O11" s="16">
        <f>'BIFUbC-biomass pre-CHP'!O11+CHP!O132</f>
        <v>70683965191776.5</v>
      </c>
      <c r="P11" s="16">
        <f>'BIFUbC-biomass pre-CHP'!P11+CHP!P132</f>
        <v>70156768678252.297</v>
      </c>
      <c r="Q11" s="16">
        <f>'BIFUbC-biomass pre-CHP'!Q11+CHP!Q132</f>
        <v>69627925741921.719</v>
      </c>
      <c r="R11" s="16">
        <f>'BIFUbC-biomass pre-CHP'!R11+CHP!R132</f>
        <v>69581270003854.195</v>
      </c>
      <c r="S11" s="16">
        <f>'BIFUbC-biomass pre-CHP'!S11+CHP!S132</f>
        <v>69534614265786.672</v>
      </c>
      <c r="T11" s="16">
        <f>'BIFUbC-biomass pre-CHP'!T11+CHP!T132</f>
        <v>69487958527719.141</v>
      </c>
      <c r="U11" s="16">
        <f>'BIFUbC-biomass pre-CHP'!U11+CHP!U132</f>
        <v>69441302789651.617</v>
      </c>
      <c r="V11" s="16">
        <f>'BIFUbC-biomass pre-CHP'!V11+CHP!V132</f>
        <v>69394647051584.102</v>
      </c>
      <c r="W11" s="16">
        <f>'BIFUbC-biomass pre-CHP'!W11+CHP!W132</f>
        <v>69324558860963.297</v>
      </c>
      <c r="X11" s="16">
        <f>'BIFUbC-biomass pre-CHP'!X11+CHP!X132</f>
        <v>69254470670342.477</v>
      </c>
      <c r="Y11" s="16">
        <f>'BIFUbC-biomass pre-CHP'!Y11+CHP!Y132</f>
        <v>69184382479721.656</v>
      </c>
      <c r="Z11" s="16">
        <f>'BIFUbC-biomass pre-CHP'!Z11+CHP!Z132</f>
        <v>69114294289100.859</v>
      </c>
      <c r="AA11" s="16">
        <f>'BIFUbC-biomass pre-CHP'!AA11+CHP!AA132</f>
        <v>69044206098480.047</v>
      </c>
      <c r="AB11" s="16">
        <f>'BIFUbC-biomass pre-CHP'!AB11+CHP!AB132</f>
        <v>68974117907859.227</v>
      </c>
      <c r="AC11" s="16">
        <f>'BIFUbC-biomass pre-CHP'!AC11+CHP!AC132</f>
        <v>68904029717238.422</v>
      </c>
      <c r="AD11" s="16">
        <f>'BIFUbC-biomass pre-CHP'!AD11+CHP!AD132</f>
        <v>68833941526617.609</v>
      </c>
      <c r="AE11" s="16">
        <f>'BIFUbC-biomass pre-CHP'!AE11+CHP!AE132</f>
        <v>68763853335996.813</v>
      </c>
      <c r="AF11" s="16">
        <f>'BIFUbC-biomass pre-CHP'!AF11+CHP!AF132</f>
        <v>68693765145376</v>
      </c>
    </row>
    <row r="12" spans="1:35">
      <c r="A12" t="s">
        <v>12</v>
      </c>
      <c r="B12" s="16">
        <f>'BIFUbC-biomass pre-CHP'!B12+CHP!B133</f>
        <v>1984817064714.7942</v>
      </c>
      <c r="C12" s="16">
        <f>'BIFUbC-biomass pre-CHP'!C12+CHP!C133</f>
        <v>1782792924681.5698</v>
      </c>
      <c r="D12" s="16">
        <f>'BIFUbC-biomass pre-CHP'!D12+CHP!D133</f>
        <v>1695668041373.9797</v>
      </c>
      <c r="E12" s="16">
        <f>'BIFUbC-biomass pre-CHP'!E12+CHP!E133</f>
        <v>1592925555993.0576</v>
      </c>
      <c r="F12" s="16">
        <f>'BIFUbC-biomass pre-CHP'!F12+CHP!F133</f>
        <v>1553801017620.9116</v>
      </c>
      <c r="G12" s="16">
        <f>'BIFUbC-biomass pre-CHP'!G12+CHP!G133</f>
        <v>1542530809281.6785</v>
      </c>
      <c r="H12" s="16">
        <f>'BIFUbC-biomass pre-CHP'!H12+CHP!H133</f>
        <v>1522323569285.1204</v>
      </c>
      <c r="I12" s="16">
        <f>'BIFUbC-biomass pre-CHP'!I12+CHP!I133</f>
        <v>1500327045834.6296</v>
      </c>
      <c r="J12" s="16">
        <f>'BIFUbC-biomass pre-CHP'!J12+CHP!J133</f>
        <v>1511327242420.6987</v>
      </c>
      <c r="K12" s="16">
        <f>'BIFUbC-biomass pre-CHP'!K12+CHP!K133</f>
        <v>1483002072148.1353</v>
      </c>
      <c r="L12" s="16">
        <f>'BIFUbC-biomass pre-CHP'!L12+CHP!L133</f>
        <v>3767008244001</v>
      </c>
      <c r="M12" s="16">
        <f>'BIFUbC-biomass pre-CHP'!M12+CHP!M133</f>
        <v>3739772073503.0293</v>
      </c>
      <c r="N12" s="16">
        <f>'BIFUbC-biomass pre-CHP'!N12+CHP!N133</f>
        <v>3712454373447.3564</v>
      </c>
      <c r="O12" s="16">
        <f>'BIFUbC-biomass pre-CHP'!O12+CHP!O133</f>
        <v>3685053749863.9766</v>
      </c>
      <c r="P12" s="16">
        <f>'BIFUbC-biomass pre-CHP'!P12+CHP!P133</f>
        <v>3657568768173.9063</v>
      </c>
      <c r="Q12" s="16">
        <f>'BIFUbC-biomass pre-CHP'!Q12+CHP!Q133</f>
        <v>3629997951506.6934</v>
      </c>
      <c r="R12" s="16">
        <f>'BIFUbC-biomass pre-CHP'!R12+CHP!R133</f>
        <v>3627565590757.6621</v>
      </c>
      <c r="S12" s="16">
        <f>'BIFUbC-biomass pre-CHP'!S12+CHP!S133</f>
        <v>3625133230008.6299</v>
      </c>
      <c r="T12" s="16">
        <f>'BIFUbC-biomass pre-CHP'!T12+CHP!T133</f>
        <v>3622700869259.5986</v>
      </c>
      <c r="U12" s="16">
        <f>'BIFUbC-biomass pre-CHP'!U12+CHP!U133</f>
        <v>3620268508510.5669</v>
      </c>
      <c r="V12" s="16">
        <f>'BIFUbC-biomass pre-CHP'!V12+CHP!V133</f>
        <v>3617836147761.5361</v>
      </c>
      <c r="W12" s="16">
        <f>'BIFUbC-biomass pre-CHP'!W12+CHP!W133</f>
        <v>3614182154257.2437</v>
      </c>
      <c r="X12" s="16">
        <f>'BIFUbC-biomass pre-CHP'!X12+CHP!X133</f>
        <v>3610528160752.9502</v>
      </c>
      <c r="Y12" s="16">
        <f>'BIFUbC-biomass pre-CHP'!Y12+CHP!Y133</f>
        <v>3606874167248.6572</v>
      </c>
      <c r="Z12" s="16">
        <f>'BIFUbC-biomass pre-CHP'!Z12+CHP!Z133</f>
        <v>3603220173744.3652</v>
      </c>
      <c r="AA12" s="16">
        <f>'BIFUbC-biomass pre-CHP'!AA12+CHP!AA133</f>
        <v>3599566180240.0723</v>
      </c>
      <c r="AB12" s="16">
        <f>'BIFUbC-biomass pre-CHP'!AB12+CHP!AB133</f>
        <v>3595912186735.7798</v>
      </c>
      <c r="AC12" s="16">
        <f>'BIFUbC-biomass pre-CHP'!AC12+CHP!AC133</f>
        <v>3592258193231.4873</v>
      </c>
      <c r="AD12" s="16">
        <f>'BIFUbC-biomass pre-CHP'!AD12+CHP!AD133</f>
        <v>3588604199727.1943</v>
      </c>
      <c r="AE12" s="16">
        <f>'BIFUbC-biomass pre-CHP'!AE12+CHP!AE133</f>
        <v>3584950206222.9023</v>
      </c>
      <c r="AF12" s="16">
        <f>'BIFUbC-biomass pre-CHP'!AF12+CHP!AF133</f>
        <v>3581296212718.6089</v>
      </c>
    </row>
    <row r="13" spans="1:35">
      <c r="A13" t="s">
        <v>13</v>
      </c>
      <c r="B13" s="16">
        <f>'BIFUbC-biomass pre-CHP'!B13+CHP!B134</f>
        <v>227356980555.41101</v>
      </c>
      <c r="C13" s="16">
        <f>'BIFUbC-biomass pre-CHP'!C13+CHP!C134</f>
        <v>235711957497.32397</v>
      </c>
      <c r="D13" s="16">
        <f>'BIFUbC-biomass pre-CHP'!D13+CHP!D134</f>
        <v>244066934439.23694</v>
      </c>
      <c r="E13" s="16">
        <f>'BIFUbC-biomass pre-CHP'!E13+CHP!E134</f>
        <v>252421911381.1499</v>
      </c>
      <c r="F13" s="16">
        <f>'BIFUbC-biomass pre-CHP'!F13+CHP!F134</f>
        <v>260776888323.0629</v>
      </c>
      <c r="G13" s="16">
        <f>'BIFUbC-biomass pre-CHP'!G13+CHP!G134</f>
        <v>269131865264.97592</v>
      </c>
      <c r="H13" s="16">
        <f>'BIFUbC-biomass pre-CHP'!H13+CHP!H134</f>
        <v>271299315327.1312</v>
      </c>
      <c r="I13" s="16">
        <f>'BIFUbC-biomass pre-CHP'!I13+CHP!I134</f>
        <v>273466765389.28644</v>
      </c>
      <c r="J13" s="16">
        <f>'BIFUbC-biomass pre-CHP'!J13+CHP!J134</f>
        <v>275634215451.44171</v>
      </c>
      <c r="K13" s="16">
        <f>'BIFUbC-biomass pre-CHP'!K13+CHP!K134</f>
        <v>277801665513.59698</v>
      </c>
      <c r="L13" s="16">
        <f>'BIFUbC-biomass pre-CHP'!L13+CHP!L134</f>
        <v>279969115575.7522</v>
      </c>
      <c r="M13" s="16">
        <f>'BIFUbC-biomass pre-CHP'!M13+CHP!M134</f>
        <v>281114183533.11731</v>
      </c>
      <c r="N13" s="16">
        <f>'BIFUbC-biomass pre-CHP'!N13+CHP!N134</f>
        <v>282259251490.4823</v>
      </c>
      <c r="O13" s="16">
        <f>'BIFUbC-biomass pre-CHP'!O13+CHP!O134</f>
        <v>283404319447.84735</v>
      </c>
      <c r="P13" s="16">
        <f>'BIFUbC-biomass pre-CHP'!P13+CHP!P134</f>
        <v>284549387405.2124</v>
      </c>
      <c r="Q13" s="16">
        <f>'BIFUbC-biomass pre-CHP'!Q13+CHP!Q134</f>
        <v>285694455362.57745</v>
      </c>
      <c r="R13" s="16">
        <f>'BIFUbC-biomass pre-CHP'!R13+CHP!R134</f>
        <v>286512361046.40961</v>
      </c>
      <c r="S13" s="16">
        <f>'BIFUbC-biomass pre-CHP'!S13+CHP!S134</f>
        <v>287330266730.24176</v>
      </c>
      <c r="T13" s="16">
        <f>'BIFUbC-biomass pre-CHP'!T13+CHP!T134</f>
        <v>288148172414.07391</v>
      </c>
      <c r="U13" s="16">
        <f>'BIFUbC-biomass pre-CHP'!U13+CHP!U134</f>
        <v>288966078097.90613</v>
      </c>
      <c r="V13" s="16">
        <f>'BIFUbC-biomass pre-CHP'!V13+CHP!V134</f>
        <v>289783983781.73822</v>
      </c>
      <c r="W13" s="16">
        <f>'BIFUbC-biomass pre-CHP'!W13+CHP!W134</f>
        <v>291038105830.28113</v>
      </c>
      <c r="X13" s="16">
        <f>'BIFUbC-biomass pre-CHP'!X13+CHP!X134</f>
        <v>291994807630.15729</v>
      </c>
      <c r="Y13" s="16">
        <f>'BIFUbC-biomass pre-CHP'!Y13+CHP!Y134</f>
        <v>292951509430.03375</v>
      </c>
      <c r="Z13" s="16">
        <f>'BIFUbC-biomass pre-CHP'!Z13+CHP!Z134</f>
        <v>293908211229.91028</v>
      </c>
      <c r="AA13" s="16">
        <f>'BIFUbC-biomass pre-CHP'!AA13+CHP!AA134</f>
        <v>294864913029.78674</v>
      </c>
      <c r="AB13" s="16">
        <f>'BIFUbC-biomass pre-CHP'!AB13+CHP!AB134</f>
        <v>295821614829.66296</v>
      </c>
      <c r="AC13" s="16">
        <f>'BIFUbC-biomass pre-CHP'!AC13+CHP!AC134</f>
        <v>296778316629.53943</v>
      </c>
      <c r="AD13" s="16">
        <f>'BIFUbC-biomass pre-CHP'!AD13+CHP!AD134</f>
        <v>297735018429.41583</v>
      </c>
      <c r="AE13" s="16">
        <f>'BIFUbC-biomass pre-CHP'!AE13+CHP!AE134</f>
        <v>298691720229.29236</v>
      </c>
      <c r="AF13" s="16">
        <f>'BIFUbC-biomass pre-CHP'!AF13+CHP!AF134</f>
        <v>299648422029.16888</v>
      </c>
    </row>
    <row r="14" spans="1:35">
      <c r="A14" t="s">
        <v>14</v>
      </c>
      <c r="B14" s="16">
        <f>'BIFUbC-biomass pre-CHP'!B14+CHP!B135</f>
        <v>127802172169930.33</v>
      </c>
      <c r="C14" s="16">
        <f>'BIFUbC-biomass pre-CHP'!C14+CHP!C135</f>
        <v>133478988653782.47</v>
      </c>
      <c r="D14" s="16">
        <f>'BIFUbC-biomass pre-CHP'!D14+CHP!D135</f>
        <v>139155805137634.61</v>
      </c>
      <c r="E14" s="16">
        <f>'BIFUbC-biomass pre-CHP'!E14+CHP!E135</f>
        <v>144832621621486.75</v>
      </c>
      <c r="F14" s="16">
        <f>'BIFUbC-biomass pre-CHP'!F14+CHP!F135</f>
        <v>150509438105338.91</v>
      </c>
      <c r="G14" s="16">
        <f>'BIFUbC-biomass pre-CHP'!G14+CHP!G135</f>
        <v>156186254589191.06</v>
      </c>
      <c r="H14" s="16">
        <f>'BIFUbC-biomass pre-CHP'!H14+CHP!H135</f>
        <v>160370542557792.03</v>
      </c>
      <c r="I14" s="16">
        <f>'BIFUbC-biomass pre-CHP'!I14+CHP!I135</f>
        <v>164554830526393</v>
      </c>
      <c r="J14" s="16">
        <f>'BIFUbC-biomass pre-CHP'!J14+CHP!J135</f>
        <v>168739118494992.66</v>
      </c>
      <c r="K14" s="16">
        <f>'BIFUbC-biomass pre-CHP'!K14+CHP!K135</f>
        <v>172923406463593.63</v>
      </c>
      <c r="L14" s="16">
        <f>'BIFUbC-biomass pre-CHP'!L14+CHP!L135</f>
        <v>177107694432192.59</v>
      </c>
      <c r="M14" s="16">
        <f>'BIFUbC-biomass pre-CHP'!M14+CHP!M135</f>
        <v>180845020774609.22</v>
      </c>
      <c r="N14" s="16">
        <f>'BIFUbC-biomass pre-CHP'!N14+CHP!N135</f>
        <v>184582347117023.81</v>
      </c>
      <c r="O14" s="16">
        <f>'BIFUbC-biomass pre-CHP'!O14+CHP!O135</f>
        <v>188319673459439.75</v>
      </c>
      <c r="P14" s="16">
        <f>'BIFUbC-biomass pre-CHP'!P14+CHP!P135</f>
        <v>192056999801854.34</v>
      </c>
      <c r="Q14" s="16">
        <f>'BIFUbC-biomass pre-CHP'!Q14+CHP!Q135</f>
        <v>195794326144268.97</v>
      </c>
      <c r="R14" s="16">
        <f>'BIFUbC-biomass pre-CHP'!R14+CHP!R135</f>
        <v>199611138529802.59</v>
      </c>
      <c r="S14" s="16">
        <f>'BIFUbC-biomass pre-CHP'!S14+CHP!S135</f>
        <v>203427950915336.25</v>
      </c>
      <c r="T14" s="16">
        <f>'BIFUbC-biomass pre-CHP'!T14+CHP!T135</f>
        <v>207244763300868.53</v>
      </c>
      <c r="U14" s="16">
        <f>'BIFUbC-biomass pre-CHP'!U14+CHP!U135</f>
        <v>211061575686402.16</v>
      </c>
      <c r="V14" s="16">
        <f>'BIFUbC-biomass pre-CHP'!V14+CHP!V135</f>
        <v>214878388071933.78</v>
      </c>
      <c r="W14" s="16">
        <f>'BIFUbC-biomass pre-CHP'!W14+CHP!W135</f>
        <v>218589219066643.13</v>
      </c>
      <c r="X14" s="16">
        <f>'BIFUbC-biomass pre-CHP'!X14+CHP!X135</f>
        <v>222372310100550.84</v>
      </c>
      <c r="Y14" s="16">
        <f>'BIFUbC-biomass pre-CHP'!Y14+CHP!Y135</f>
        <v>226155401134458.53</v>
      </c>
      <c r="Z14" s="16">
        <f>'BIFUbC-biomass pre-CHP'!Z14+CHP!Z135</f>
        <v>229938492168364.91</v>
      </c>
      <c r="AA14" s="16">
        <f>'BIFUbC-biomass pre-CHP'!AA14+CHP!AA135</f>
        <v>233721583202272.59</v>
      </c>
      <c r="AB14" s="16">
        <f>'BIFUbC-biomass pre-CHP'!AB14+CHP!AB135</f>
        <v>237504674236180.31</v>
      </c>
      <c r="AC14" s="16">
        <f>'BIFUbC-biomass pre-CHP'!AC14+CHP!AC135</f>
        <v>241287765270086.66</v>
      </c>
      <c r="AD14" s="16">
        <f>'BIFUbC-biomass pre-CHP'!AD14+CHP!AD135</f>
        <v>245070856303994.38</v>
      </c>
      <c r="AE14" s="16">
        <f>'BIFUbC-biomass pre-CHP'!AE14+CHP!AE135</f>
        <v>248853947337902.09</v>
      </c>
      <c r="AF14" s="16">
        <f>'BIFUbC-biomass pre-CHP'!AF14+CHP!AF135</f>
        <v>252637038371808.44</v>
      </c>
    </row>
    <row r="15" spans="1:35">
      <c r="A15" t="s">
        <v>15</v>
      </c>
      <c r="B15" s="16">
        <f>'BIFUbC-biomass pre-CHP'!B15+CHP!B136</f>
        <v>1936697779724.24</v>
      </c>
      <c r="C15" s="16">
        <f>'BIFUbC-biomass pre-CHP'!C15+CHP!C136</f>
        <v>2043221966570.1125</v>
      </c>
      <c r="D15" s="16">
        <f>'BIFUbC-biomass pre-CHP'!D15+CHP!D136</f>
        <v>1884372601458.9927</v>
      </c>
      <c r="E15" s="16">
        <f>'BIFUbC-biomass pre-CHP'!E15+CHP!E136</f>
        <v>1825512986217.8525</v>
      </c>
      <c r="F15" s="16">
        <f>'BIFUbC-biomass pre-CHP'!F15+CHP!F136</f>
        <v>1875058090557.0627</v>
      </c>
      <c r="G15" s="16">
        <f>'BIFUbC-biomass pre-CHP'!G15+CHP!G136</f>
        <v>1875058090557.0627</v>
      </c>
      <c r="H15" s="16">
        <f>'BIFUbC-biomass pre-CHP'!H15+CHP!H136</f>
        <v>1875058090557.0627</v>
      </c>
      <c r="I15" s="16">
        <f>'BIFUbC-biomass pre-CHP'!I15+CHP!I136</f>
        <v>1765013920362.4246</v>
      </c>
      <c r="J15" s="16">
        <f>'BIFUbC-biomass pre-CHP'!J15+CHP!J136</f>
        <v>1872547487937.4583</v>
      </c>
      <c r="K15" s="16">
        <f>'BIFUbC-biomass pre-CHP'!K15+CHP!K136</f>
        <v>1890587070898.6279</v>
      </c>
      <c r="L15" s="16">
        <f>'BIFUbC-biomass pre-CHP'!L15+CHP!L136</f>
        <v>2082368818613.0598</v>
      </c>
      <c r="M15" s="16">
        <f>'BIFUbC-biomass pre-CHP'!M15+CHP!M136</f>
        <v>2180575511744.6199</v>
      </c>
      <c r="N15" s="16">
        <f>'BIFUbC-biomass pre-CHP'!N15+CHP!N136</f>
        <v>2276324758315.0649</v>
      </c>
      <c r="O15" s="16">
        <f>'BIFUbC-biomass pre-CHP'!O15+CHP!O136</f>
        <v>2484743523735.1211</v>
      </c>
      <c r="P15" s="16">
        <f>'BIFUbC-biomass pre-CHP'!P15+CHP!P136</f>
        <v>2382850773554.9009</v>
      </c>
      <c r="Q15" s="16">
        <f>'BIFUbC-biomass pre-CHP'!Q15+CHP!Q136</f>
        <v>3249985144996.6772</v>
      </c>
      <c r="R15" s="16">
        <f>'BIFUbC-biomass pre-CHP'!R15+CHP!R136</f>
        <v>3249985144996.6772</v>
      </c>
      <c r="S15" s="16">
        <f>'BIFUbC-biomass pre-CHP'!S15+CHP!S136</f>
        <v>3249985144996.6772</v>
      </c>
      <c r="T15" s="16">
        <f>'BIFUbC-biomass pre-CHP'!T15+CHP!T136</f>
        <v>3247080233980.6235</v>
      </c>
      <c r="U15" s="16">
        <f>'BIFUbC-biomass pre-CHP'!U15+CHP!U136</f>
        <v>3065082904433.9058</v>
      </c>
      <c r="V15" s="16">
        <f>'BIFUbC-biomass pre-CHP'!V15+CHP!V136</f>
        <v>3412447513467.333</v>
      </c>
      <c r="W15" s="16">
        <f>'BIFUbC-biomass pre-CHP'!W15+CHP!W136</f>
        <v>3602401648435.3721</v>
      </c>
      <c r="X15" s="16">
        <f>'BIFUbC-biomass pre-CHP'!X15+CHP!X136</f>
        <v>3460464606400.2876</v>
      </c>
      <c r="Y15" s="16">
        <f>'BIFUbC-biomass pre-CHP'!Y15+CHP!Y136</f>
        <v>3481118757082.1465</v>
      </c>
      <c r="Z15" s="16">
        <f>'BIFUbC-biomass pre-CHP'!Z15+CHP!Z136</f>
        <v>3481118757082.1465</v>
      </c>
      <c r="AA15" s="16">
        <f>'BIFUbC-biomass pre-CHP'!AA15+CHP!AA136</f>
        <v>3620064600695.519</v>
      </c>
      <c r="AB15" s="16">
        <f>'BIFUbC-biomass pre-CHP'!AB15+CHP!AB136</f>
        <v>3620064600695.519</v>
      </c>
      <c r="AC15" s="16">
        <f>'BIFUbC-biomass pre-CHP'!AC15+CHP!AC136</f>
        <v>3828483366115.5762</v>
      </c>
      <c r="AD15" s="16">
        <f>'BIFUbC-biomass pre-CHP'!AD15+CHP!AD136</f>
        <v>3828483366115.5762</v>
      </c>
      <c r="AE15" s="16">
        <f>'BIFUbC-biomass pre-CHP'!AE15+CHP!AE136</f>
        <v>3828483366115.5762</v>
      </c>
      <c r="AF15" s="16">
        <f>'BIFUbC-biomass pre-CHP'!AF15+CHP!AF136</f>
        <v>3828483366115.5762</v>
      </c>
    </row>
    <row r="16" spans="1:35">
      <c r="A16" t="s">
        <v>16</v>
      </c>
      <c r="B16" s="16">
        <f>'BIFUbC-biomass pre-CHP'!B16+CHP!B137</f>
        <v>292500333199.72656</v>
      </c>
      <c r="C16" s="16">
        <f>'BIFUbC-biomass pre-CHP'!C16+CHP!C137</f>
        <v>301857260332.09906</v>
      </c>
      <c r="D16" s="16">
        <f>'BIFUbC-biomass pre-CHP'!D16+CHP!D137</f>
        <v>339284968861.58868</v>
      </c>
      <c r="E16" s="16">
        <f>'BIFUbC-biomass pre-CHP'!E16+CHP!E137</f>
        <v>320571114596.84387</v>
      </c>
      <c r="F16" s="16">
        <f>'BIFUbC-biomass pre-CHP'!F16+CHP!F137</f>
        <v>329928041729.21631</v>
      </c>
      <c r="G16" s="16">
        <f>'BIFUbC-biomass pre-CHP'!G16+CHP!G137</f>
        <v>339284968861.58868</v>
      </c>
      <c r="H16" s="16">
        <f>'BIFUbC-biomass pre-CHP'!H16+CHP!H137</f>
        <v>341865528693.89807</v>
      </c>
      <c r="I16" s="16">
        <f>'BIFUbC-biomass pre-CHP'!I16+CHP!I137</f>
        <v>344446088526.20752</v>
      </c>
      <c r="J16" s="16">
        <f>'BIFUbC-biomass pre-CHP'!J16+CHP!J137</f>
        <v>347026648358.51691</v>
      </c>
      <c r="K16" s="16">
        <f>'BIFUbC-biomass pre-CHP'!K16+CHP!K137</f>
        <v>349607208190.82635</v>
      </c>
      <c r="L16" s="16">
        <f>'BIFUbC-biomass pre-CHP'!L16+CHP!L137</f>
        <v>352187768023.13574</v>
      </c>
      <c r="M16" s="16">
        <f>'BIFUbC-biomass pre-CHP'!M16+CHP!M137</f>
        <v>354299135158.66156</v>
      </c>
      <c r="N16" s="16">
        <f>'BIFUbC-biomass pre-CHP'!N16+CHP!N137</f>
        <v>356410502294.18744</v>
      </c>
      <c r="O16" s="16">
        <f>'BIFUbC-biomass pre-CHP'!O16+CHP!O137</f>
        <v>358521869429.71338</v>
      </c>
      <c r="P16" s="16">
        <f>'BIFUbC-biomass pre-CHP'!P16+CHP!P137</f>
        <v>360633236565.23926</v>
      </c>
      <c r="Q16" s="16">
        <f>'BIFUbC-biomass pre-CHP'!Q16+CHP!Q137</f>
        <v>362744603700.76514</v>
      </c>
      <c r="R16" s="16">
        <f>'BIFUbC-biomass pre-CHP'!R16+CHP!R137</f>
        <v>365031918097.58478</v>
      </c>
      <c r="S16" s="16">
        <f>'BIFUbC-biomass pre-CHP'!S16+CHP!S137</f>
        <v>367319232494.40448</v>
      </c>
      <c r="T16" s="16">
        <f>'BIFUbC-biomass pre-CHP'!T16+CHP!T137</f>
        <v>369606546891.22424</v>
      </c>
      <c r="U16" s="16">
        <f>'BIFUbC-biomass pre-CHP'!U16+CHP!U137</f>
        <v>371893861288.04388</v>
      </c>
      <c r="V16" s="16">
        <f>'BIFUbC-biomass pre-CHP'!V16+CHP!V137</f>
        <v>374181175684.86359</v>
      </c>
      <c r="W16" s="16">
        <f>'BIFUbC-biomass pre-CHP'!W16+CHP!W137</f>
        <v>376233893733.2915</v>
      </c>
      <c r="X16" s="16">
        <f>'BIFUbC-biomass pre-CHP'!X16+CHP!X137</f>
        <v>378446563837.44098</v>
      </c>
      <c r="Y16" s="16">
        <f>'BIFUbC-biomass pre-CHP'!Y16+CHP!Y137</f>
        <v>380659233941.59033</v>
      </c>
      <c r="Z16" s="16">
        <f>'BIFUbC-biomass pre-CHP'!Z16+CHP!Z137</f>
        <v>382871904045.73987</v>
      </c>
      <c r="AA16" s="16">
        <f>'BIFUbC-biomass pre-CHP'!AA16+CHP!AA137</f>
        <v>385084574149.88922</v>
      </c>
      <c r="AB16" s="16">
        <f>'BIFUbC-biomass pre-CHP'!AB16+CHP!AB137</f>
        <v>387297244254.03955</v>
      </c>
      <c r="AC16" s="16">
        <f>'BIFUbC-biomass pre-CHP'!AC16+CHP!AC137</f>
        <v>389509914358.18896</v>
      </c>
      <c r="AD16" s="16">
        <f>'BIFUbC-biomass pre-CHP'!AD16+CHP!AD137</f>
        <v>391722584462.33838</v>
      </c>
      <c r="AE16" s="16">
        <f>'BIFUbC-biomass pre-CHP'!AE16+CHP!AE137</f>
        <v>393935254566.48779</v>
      </c>
      <c r="AF16" s="16">
        <f>'BIFUbC-biomass pre-CHP'!AF16+CHP!AF137</f>
        <v>396147924670.63721</v>
      </c>
    </row>
    <row r="17" spans="1:32">
      <c r="A17" t="s">
        <v>17</v>
      </c>
      <c r="B17" s="16">
        <f>'BIFUbC-biomass pre-CHP'!B17+CHP!B138</f>
        <v>571905743795.72449</v>
      </c>
      <c r="C17" s="16">
        <f>'BIFUbC-biomass pre-CHP'!C17+CHP!C138</f>
        <v>590200698583.44397</v>
      </c>
      <c r="D17" s="16">
        <f>'BIFUbC-biomass pre-CHP'!D17+CHP!D138</f>
        <v>663380517734.32129</v>
      </c>
      <c r="E17" s="16">
        <f>'BIFUbC-biomass pre-CHP'!E17+CHP!E138</f>
        <v>626790608158.88269</v>
      </c>
      <c r="F17" s="16">
        <f>'BIFUbC-biomass pre-CHP'!F17+CHP!F138</f>
        <v>645085562946.60205</v>
      </c>
      <c r="G17" s="16">
        <f>'BIFUbC-biomass pre-CHP'!G17+CHP!G138</f>
        <v>663380517734.32129</v>
      </c>
      <c r="H17" s="16">
        <f>'BIFUbC-biomass pre-CHP'!H17+CHP!H138</f>
        <v>668426108534.7207</v>
      </c>
      <c r="I17" s="16">
        <f>'BIFUbC-biomass pre-CHP'!I17+CHP!I138</f>
        <v>673471699335.12</v>
      </c>
      <c r="J17" s="16">
        <f>'BIFUbC-biomass pre-CHP'!J17+CHP!J138</f>
        <v>678517290135.51929</v>
      </c>
      <c r="K17" s="16">
        <f>'BIFUbC-biomass pre-CHP'!K17+CHP!K138</f>
        <v>683562880935.9187</v>
      </c>
      <c r="L17" s="16">
        <f>'BIFUbC-biomass pre-CHP'!L17+CHP!L138</f>
        <v>688608471736.31799</v>
      </c>
      <c r="M17" s="16">
        <f>'BIFUbC-biomass pre-CHP'!M17+CHP!M138</f>
        <v>692736682391.19019</v>
      </c>
      <c r="N17" s="16">
        <f>'BIFUbC-biomass pre-CHP'!N17+CHP!N138</f>
        <v>696864893046.06226</v>
      </c>
      <c r="O17" s="16">
        <f>'BIFUbC-biomass pre-CHP'!O17+CHP!O138</f>
        <v>700993103700.93457</v>
      </c>
      <c r="P17" s="16">
        <f>'BIFUbC-biomass pre-CHP'!P17+CHP!P138</f>
        <v>705121314355.80676</v>
      </c>
      <c r="Q17" s="16">
        <f>'BIFUbC-biomass pre-CHP'!Q17+CHP!Q138</f>
        <v>709249525010.67896</v>
      </c>
      <c r="R17" s="16">
        <f>'BIFUbC-biomass pre-CHP'!R17+CHP!R138</f>
        <v>713721753220.12378</v>
      </c>
      <c r="S17" s="16">
        <f>'BIFUbC-biomass pre-CHP'!S17+CHP!S138</f>
        <v>718193981429.5686</v>
      </c>
      <c r="T17" s="16">
        <f>'BIFUbC-biomass pre-CHP'!T17+CHP!T138</f>
        <v>722666209639.01343</v>
      </c>
      <c r="U17" s="16">
        <f>'BIFUbC-biomass pre-CHP'!U17+CHP!U138</f>
        <v>727138437848.45825</v>
      </c>
      <c r="V17" s="16">
        <f>'BIFUbC-biomass pre-CHP'!V17+CHP!V138</f>
        <v>731610666057.9032</v>
      </c>
      <c r="W17" s="16">
        <f>'BIFUbC-biomass pre-CHP'!W17+CHP!W138</f>
        <v>735624204194.58447</v>
      </c>
      <c r="X17" s="16">
        <f>'BIFUbC-biomass pre-CHP'!X17+CHP!X138</f>
        <v>739950485562.69519</v>
      </c>
      <c r="Y17" s="16">
        <f>'BIFUbC-biomass pre-CHP'!Y17+CHP!Y138</f>
        <v>744276766930.80579</v>
      </c>
      <c r="Z17" s="16">
        <f>'BIFUbC-biomass pre-CHP'!Z17+CHP!Z138</f>
        <v>748603048298.9165</v>
      </c>
      <c r="AA17" s="16">
        <f>'BIFUbC-biomass pre-CHP'!AA17+CHP!AA138</f>
        <v>752929329667.0271</v>
      </c>
      <c r="AB17" s="16">
        <f>'BIFUbC-biomass pre-CHP'!AB17+CHP!AB138</f>
        <v>757255611035.13965</v>
      </c>
      <c r="AC17" s="16">
        <f>'BIFUbC-biomass pre-CHP'!AC17+CHP!AC138</f>
        <v>761581892403.25037</v>
      </c>
      <c r="AD17" s="16">
        <f>'BIFUbC-biomass pre-CHP'!AD17+CHP!AD138</f>
        <v>765908173771.36096</v>
      </c>
      <c r="AE17" s="16">
        <f>'BIFUbC-biomass pre-CHP'!AE17+CHP!AE138</f>
        <v>770234455139.47156</v>
      </c>
      <c r="AF17" s="16">
        <f>'BIFUbC-biomass pre-CHP'!AF17+CHP!AF138</f>
        <v>774560736507.58228</v>
      </c>
    </row>
    <row r="18" spans="1:32">
      <c r="A18" t="s">
        <v>18</v>
      </c>
      <c r="B18" s="16">
        <f>'BIFUbC-biomass pre-CHP'!B18+CHP!B139</f>
        <v>4209656015296.6514</v>
      </c>
      <c r="C18" s="16">
        <f>'BIFUbC-biomass pre-CHP'!C18+CHP!C139</f>
        <v>4401106223310.0371</v>
      </c>
      <c r="D18" s="16">
        <f>'BIFUbC-biomass pre-CHP'!D18+CHP!D139</f>
        <v>5166907055363.583</v>
      </c>
      <c r="E18" s="16">
        <f>'BIFUbC-biomass pre-CHP'!E18+CHP!E139</f>
        <v>4784006639336.8115</v>
      </c>
      <c r="F18" s="16">
        <f>'BIFUbC-biomass pre-CHP'!F18+CHP!F139</f>
        <v>4975456847350.1973</v>
      </c>
      <c r="G18" s="16">
        <f>'BIFUbC-biomass pre-CHP'!G18+CHP!G139</f>
        <v>5166907055363.583</v>
      </c>
      <c r="H18" s="16">
        <f>'BIFUbC-biomass pre-CHP'!H18+CHP!H139</f>
        <v>5260658509331.7275</v>
      </c>
      <c r="I18" s="16">
        <f>'BIFUbC-biomass pre-CHP'!I18+CHP!I139</f>
        <v>5354409963299.8955</v>
      </c>
      <c r="J18" s="16">
        <f>'BIFUbC-biomass pre-CHP'!J18+CHP!J139</f>
        <v>5448161417268.0625</v>
      </c>
      <c r="K18" s="16">
        <f>'BIFUbC-biomass pre-CHP'!K18+CHP!K139</f>
        <v>5541912871236.2305</v>
      </c>
      <c r="L18" s="16">
        <f>'BIFUbC-biomass pre-CHP'!L18+CHP!L139</f>
        <v>5635664325204.4229</v>
      </c>
      <c r="M18" s="16">
        <f>'BIFUbC-biomass pre-CHP'!M18+CHP!M139</f>
        <v>5713934769850.668</v>
      </c>
      <c r="N18" s="16">
        <f>'BIFUbC-biomass pre-CHP'!N18+CHP!N139</f>
        <v>5792205214496.9121</v>
      </c>
      <c r="O18" s="16">
        <f>'BIFUbC-biomass pre-CHP'!O18+CHP!O139</f>
        <v>5870475659143.1563</v>
      </c>
      <c r="P18" s="16">
        <f>'BIFUbC-biomass pre-CHP'!P18+CHP!P139</f>
        <v>5948746103789.4014</v>
      </c>
      <c r="Q18" s="16">
        <f>'BIFUbC-biomass pre-CHP'!Q18+CHP!Q139</f>
        <v>6027016548435.6455</v>
      </c>
      <c r="R18" s="16">
        <f>'BIFUbC-biomass pre-CHP'!R18+CHP!R139</f>
        <v>6107594721179.5684</v>
      </c>
      <c r="S18" s="16">
        <f>'BIFUbC-biomass pre-CHP'!S18+CHP!S139</f>
        <v>6188172893923.4902</v>
      </c>
      <c r="T18" s="16">
        <f>'BIFUbC-biomass pre-CHP'!T18+CHP!T139</f>
        <v>6268751066667.4141</v>
      </c>
      <c r="U18" s="16">
        <f>'BIFUbC-biomass pre-CHP'!U18+CHP!U139</f>
        <v>6349329239411.3369</v>
      </c>
      <c r="V18" s="16">
        <f>'BIFUbC-biomass pre-CHP'!V18+CHP!V139</f>
        <v>6429907412155.2588</v>
      </c>
      <c r="W18" s="16">
        <f>'BIFUbC-biomass pre-CHP'!W18+CHP!W139</f>
        <v>6507408614102.2783</v>
      </c>
      <c r="X18" s="16">
        <f>'BIFUbC-biomass pre-CHP'!X18+CHP!X139</f>
        <v>6587007750683.5469</v>
      </c>
      <c r="Y18" s="16">
        <f>'BIFUbC-biomass pre-CHP'!Y18+CHP!Y139</f>
        <v>6666606887264.8418</v>
      </c>
      <c r="Z18" s="16">
        <f>'BIFUbC-biomass pre-CHP'!Z18+CHP!Z139</f>
        <v>6746206023846.1094</v>
      </c>
      <c r="AA18" s="16">
        <f>'BIFUbC-biomass pre-CHP'!AA18+CHP!AA139</f>
        <v>6825805160427.3789</v>
      </c>
      <c r="AB18" s="16">
        <f>'BIFUbC-biomass pre-CHP'!AB18+CHP!AB139</f>
        <v>6905404297008.6475</v>
      </c>
      <c r="AC18" s="16">
        <f>'BIFUbC-biomass pre-CHP'!AC18+CHP!AC139</f>
        <v>6985003433589.917</v>
      </c>
      <c r="AD18" s="16">
        <f>'BIFUbC-biomass pre-CHP'!AD18+CHP!AD139</f>
        <v>7064602570171.1865</v>
      </c>
      <c r="AE18" s="16">
        <f>'BIFUbC-biomass pre-CHP'!AE18+CHP!AE139</f>
        <v>7144201706752.4561</v>
      </c>
      <c r="AF18" s="16">
        <f>'BIFUbC-biomass pre-CHP'!AF18+CHP!AF139</f>
        <v>7223800843333.7236</v>
      </c>
    </row>
    <row r="19" spans="1:32">
      <c r="A19" t="s">
        <v>19</v>
      </c>
      <c r="B19" s="16">
        <f>'BIFUbC-biomass pre-CHP'!B19+CHP!B140</f>
        <v>733069168029.72412</v>
      </c>
      <c r="C19" s="16">
        <f>'BIFUbC-biomass pre-CHP'!C19+CHP!C140</f>
        <v>766408292223.60449</v>
      </c>
      <c r="D19" s="16">
        <f>'BIFUbC-biomass pre-CHP'!D19+CHP!D140</f>
        <v>899764788999.12622</v>
      </c>
      <c r="E19" s="16">
        <f>'BIFUbC-biomass pre-CHP'!E19+CHP!E140</f>
        <v>833086540611.36536</v>
      </c>
      <c r="F19" s="16">
        <f>'BIFUbC-biomass pre-CHP'!F19+CHP!F140</f>
        <v>866425664805.24585</v>
      </c>
      <c r="G19" s="16">
        <f>'BIFUbC-biomass pre-CHP'!G19+CHP!G140</f>
        <v>899764788999.12622</v>
      </c>
      <c r="H19" s="16">
        <f>'BIFUbC-biomass pre-CHP'!H19+CHP!H140</f>
        <v>916090659833.29236</v>
      </c>
      <c r="I19" s="16">
        <f>'BIFUbC-biomass pre-CHP'!I19+CHP!I140</f>
        <v>932416530667.46277</v>
      </c>
      <c r="J19" s="16">
        <f>'BIFUbC-biomass pre-CHP'!J19+CHP!J140</f>
        <v>948742401501.63318</v>
      </c>
      <c r="K19" s="16">
        <f>'BIFUbC-biomass pre-CHP'!K19+CHP!K140</f>
        <v>965068272335.80359</v>
      </c>
      <c r="L19" s="16">
        <f>'BIFUbC-biomass pre-CHP'!L19+CHP!L140</f>
        <v>981394143169.97827</v>
      </c>
      <c r="M19" s="16">
        <f>'BIFUbC-biomass pre-CHP'!M19+CHP!M140</f>
        <v>995024152256.14734</v>
      </c>
      <c r="N19" s="16">
        <f>'BIFUbC-biomass pre-CHP'!N19+CHP!N140</f>
        <v>1008654161342.3162</v>
      </c>
      <c r="O19" s="16">
        <f>'BIFUbC-biomass pre-CHP'!O19+CHP!O140</f>
        <v>1022284170428.4852</v>
      </c>
      <c r="P19" s="16">
        <f>'BIFUbC-biomass pre-CHP'!P19+CHP!P140</f>
        <v>1035914179514.6542</v>
      </c>
      <c r="Q19" s="16">
        <f>'BIFUbC-biomass pre-CHP'!Q19+CHP!Q140</f>
        <v>1049544188600.8231</v>
      </c>
      <c r="R19" s="16">
        <f>'BIFUbC-biomass pre-CHP'!R19+CHP!R140</f>
        <v>1063576065276.7561</v>
      </c>
      <c r="S19" s="16">
        <f>'BIFUbC-biomass pre-CHP'!S19+CHP!S140</f>
        <v>1077607941952.6895</v>
      </c>
      <c r="T19" s="16">
        <f>'BIFUbC-biomass pre-CHP'!T19+CHP!T140</f>
        <v>1091639818628.6226</v>
      </c>
      <c r="U19" s="16">
        <f>'BIFUbC-biomass pre-CHP'!U19+CHP!U140</f>
        <v>1105671695304.5557</v>
      </c>
      <c r="V19" s="16">
        <f>'BIFUbC-biomass pre-CHP'!V19+CHP!V140</f>
        <v>1119703571980.489</v>
      </c>
      <c r="W19" s="16">
        <f>'BIFUbC-biomass pre-CHP'!W19+CHP!W140</f>
        <v>1133199625203.4031</v>
      </c>
      <c r="X19" s="16">
        <f>'BIFUbC-biomass pre-CHP'!X19+CHP!X140</f>
        <v>1147061012598.8298</v>
      </c>
      <c r="Y19" s="16">
        <f>'BIFUbC-biomass pre-CHP'!Y19+CHP!Y140</f>
        <v>1160922399994.2605</v>
      </c>
      <c r="Z19" s="16">
        <f>'BIFUbC-biomass pre-CHP'!Z19+CHP!Z140</f>
        <v>1174783787389.6877</v>
      </c>
      <c r="AA19" s="16">
        <f>'BIFUbC-biomass pre-CHP'!AA19+CHP!AA140</f>
        <v>1188645174785.1143</v>
      </c>
      <c r="AB19" s="16">
        <f>'BIFUbC-biomass pre-CHP'!AB19+CHP!AB140</f>
        <v>1202506562180.541</v>
      </c>
      <c r="AC19" s="16">
        <f>'BIFUbC-biomass pre-CHP'!AC19+CHP!AC140</f>
        <v>1216367949575.9678</v>
      </c>
      <c r="AD19" s="16">
        <f>'BIFUbC-biomass pre-CHP'!AD19+CHP!AD140</f>
        <v>1230229336971.3945</v>
      </c>
      <c r="AE19" s="16">
        <f>'BIFUbC-biomass pre-CHP'!AE19+CHP!AE140</f>
        <v>1244090724366.821</v>
      </c>
      <c r="AF19" s="16">
        <f>'BIFUbC-biomass pre-CHP'!AF19+CHP!AF140</f>
        <v>1257952111762.248</v>
      </c>
    </row>
    <row r="20" spans="1:32">
      <c r="A20" t="s">
        <v>20</v>
      </c>
      <c r="B20" s="16">
        <f>'BIFUbC-biomass pre-CHP'!B20+CHP!B141</f>
        <v>1144412143248.7368</v>
      </c>
      <c r="C20" s="16">
        <f>'BIFUbC-biomass pre-CHP'!C20+CHP!C141</f>
        <v>1196458662508.7139</v>
      </c>
      <c r="D20" s="16">
        <f>'BIFUbC-biomass pre-CHP'!D20+CHP!D141</f>
        <v>1404644739548.6228</v>
      </c>
      <c r="E20" s="16">
        <f>'BIFUbC-biomass pre-CHP'!E20+CHP!E141</f>
        <v>1300551701028.6685</v>
      </c>
      <c r="F20" s="16">
        <f>'BIFUbC-biomass pre-CHP'!F20+CHP!F141</f>
        <v>1352598220288.6455</v>
      </c>
      <c r="G20" s="16">
        <f>'BIFUbC-biomass pre-CHP'!G20+CHP!G141</f>
        <v>1404644739548.6228</v>
      </c>
      <c r="H20" s="16">
        <f>'BIFUbC-biomass pre-CHP'!H20+CHP!H141</f>
        <v>1430131454372.4722</v>
      </c>
      <c r="I20" s="16">
        <f>'BIFUbC-biomass pre-CHP'!I20+CHP!I141</f>
        <v>1455618169196.3286</v>
      </c>
      <c r="J20" s="16">
        <f>'BIFUbC-biomass pre-CHP'!J20+CHP!J141</f>
        <v>1481104884020.1843</v>
      </c>
      <c r="K20" s="16">
        <f>'BIFUbC-biomass pre-CHP'!K20+CHP!K141</f>
        <v>1506591598844.0405</v>
      </c>
      <c r="L20" s="16">
        <f>'BIFUbC-biomass pre-CHP'!L20+CHP!L141</f>
        <v>1532078313667.9031</v>
      </c>
      <c r="M20" s="16">
        <f>'BIFUbC-biomass pre-CHP'!M20+CHP!M141</f>
        <v>1553356453018.2817</v>
      </c>
      <c r="N20" s="16">
        <f>'BIFUbC-biomass pre-CHP'!N20+CHP!N141</f>
        <v>1574634592368.6599</v>
      </c>
      <c r="O20" s="16">
        <f>'BIFUbC-biomass pre-CHP'!O20+CHP!O141</f>
        <v>1595912731719.0386</v>
      </c>
      <c r="P20" s="16">
        <f>'BIFUbC-biomass pre-CHP'!P20+CHP!P141</f>
        <v>1617190871069.4165</v>
      </c>
      <c r="Q20" s="16">
        <f>'BIFUbC-biomass pre-CHP'!Q20+CHP!Q141</f>
        <v>1638469010419.7949</v>
      </c>
      <c r="R20" s="16">
        <f>'BIFUbC-biomass pre-CHP'!R20+CHP!R141</f>
        <v>1660374515058.145</v>
      </c>
      <c r="S20" s="16">
        <f>'BIFUbC-biomass pre-CHP'!S20+CHP!S141</f>
        <v>1682280019696.4954</v>
      </c>
      <c r="T20" s="16">
        <f>'BIFUbC-biomass pre-CHP'!T20+CHP!T141</f>
        <v>1704185524334.8455</v>
      </c>
      <c r="U20" s="16">
        <f>'BIFUbC-biomass pre-CHP'!U20+CHP!U141</f>
        <v>1726091028973.1956</v>
      </c>
      <c r="V20" s="16">
        <f>'BIFUbC-biomass pre-CHP'!V20+CHP!V141</f>
        <v>1747996533611.5457</v>
      </c>
      <c r="W20" s="16">
        <f>'BIFUbC-biomass pre-CHP'!W20+CHP!W141</f>
        <v>1769065551199.2666</v>
      </c>
      <c r="X20" s="16">
        <f>'BIFUbC-biomass pre-CHP'!X20+CHP!X141</f>
        <v>1790704900866.9619</v>
      </c>
      <c r="Y20" s="16">
        <f>'BIFUbC-biomass pre-CHP'!Y20+CHP!Y141</f>
        <v>1812344250534.6628</v>
      </c>
      <c r="Z20" s="16">
        <f>'BIFUbC-biomass pre-CHP'!Z20+CHP!Z141</f>
        <v>1833983600202.3579</v>
      </c>
      <c r="AA20" s="16">
        <f>'BIFUbC-biomass pre-CHP'!AA20+CHP!AA141</f>
        <v>1855622949870.0527</v>
      </c>
      <c r="AB20" s="16">
        <f>'BIFUbC-biomass pre-CHP'!AB20+CHP!AB141</f>
        <v>1877262299537.7476</v>
      </c>
      <c r="AC20" s="16">
        <f>'BIFUbC-biomass pre-CHP'!AC20+CHP!AC141</f>
        <v>1898901649205.4424</v>
      </c>
      <c r="AD20" s="16">
        <f>'BIFUbC-biomass pre-CHP'!AD20+CHP!AD141</f>
        <v>1920540998873.1372</v>
      </c>
      <c r="AE20" s="16">
        <f>'BIFUbC-biomass pre-CHP'!AE20+CHP!AE141</f>
        <v>1942180348540.832</v>
      </c>
      <c r="AF20" s="16">
        <f>'BIFUbC-biomass pre-CHP'!AF20+CHP!AF141</f>
        <v>1963819698208.5269</v>
      </c>
    </row>
    <row r="21" spans="1:32">
      <c r="A21" t="s">
        <v>21</v>
      </c>
      <c r="B21" s="16">
        <f>'BIFUbC-biomass pre-CHP'!B21+CHP!B142</f>
        <v>1194858032695.4917</v>
      </c>
      <c r="C21" s="16">
        <f>'BIFUbC-biomass pre-CHP'!C21+CHP!C142</f>
        <v>1249198771719.0095</v>
      </c>
      <c r="D21" s="16">
        <f>'BIFUbC-biomass pre-CHP'!D21+CHP!D142</f>
        <v>1466561727813.0811</v>
      </c>
      <c r="E21" s="16">
        <f>'BIFUbC-biomass pre-CHP'!E21+CHP!E142</f>
        <v>1357880249766.0454</v>
      </c>
      <c r="F21" s="16">
        <f>'BIFUbC-biomass pre-CHP'!F21+CHP!F142</f>
        <v>1412220988789.5632</v>
      </c>
      <c r="G21" s="16">
        <f>'BIFUbC-biomass pre-CHP'!G21+CHP!G142</f>
        <v>1466561727813.0811</v>
      </c>
      <c r="H21" s="16">
        <f>'BIFUbC-biomass pre-CHP'!H21+CHP!H142</f>
        <v>1493171901528.8599</v>
      </c>
      <c r="I21" s="16">
        <f>'BIFUbC-biomass pre-CHP'!I21+CHP!I142</f>
        <v>1519782075244.646</v>
      </c>
      <c r="J21" s="16">
        <f>'BIFUbC-biomass pre-CHP'!J21+CHP!J142</f>
        <v>1546392248960.4321</v>
      </c>
      <c r="K21" s="16">
        <f>'BIFUbC-biomass pre-CHP'!K21+CHP!K142</f>
        <v>1573002422676.2178</v>
      </c>
      <c r="L21" s="16">
        <f>'BIFUbC-biomass pre-CHP'!L21+CHP!L142</f>
        <v>1599612596392.0105</v>
      </c>
      <c r="M21" s="16">
        <f>'BIFUbC-biomass pre-CHP'!M21+CHP!M142</f>
        <v>1621828679883.959</v>
      </c>
      <c r="N21" s="16">
        <f>'BIFUbC-biomass pre-CHP'!N21+CHP!N142</f>
        <v>1644044763375.9072</v>
      </c>
      <c r="O21" s="16">
        <f>'BIFUbC-biomass pre-CHP'!O21+CHP!O142</f>
        <v>1666260846867.8557</v>
      </c>
      <c r="P21" s="16">
        <f>'BIFUbC-biomass pre-CHP'!P21+CHP!P142</f>
        <v>1688476930359.804</v>
      </c>
      <c r="Q21" s="16">
        <f>'BIFUbC-biomass pre-CHP'!Q21+CHP!Q142</f>
        <v>1710693013851.7524</v>
      </c>
      <c r="R21" s="16">
        <f>'BIFUbC-biomass pre-CHP'!R21+CHP!R142</f>
        <v>1733564117004.3975</v>
      </c>
      <c r="S21" s="16">
        <f>'BIFUbC-biomass pre-CHP'!S21+CHP!S142</f>
        <v>1756435220157.042</v>
      </c>
      <c r="T21" s="16">
        <f>'BIFUbC-biomass pre-CHP'!T21+CHP!T142</f>
        <v>1779306323309.6865</v>
      </c>
      <c r="U21" s="16">
        <f>'BIFUbC-biomass pre-CHP'!U21+CHP!U142</f>
        <v>1802177426462.3315</v>
      </c>
      <c r="V21" s="16">
        <f>'BIFUbC-biomass pre-CHP'!V21+CHP!V142</f>
        <v>1825048529614.9761</v>
      </c>
      <c r="W21" s="16">
        <f>'BIFUbC-biomass pre-CHP'!W21+CHP!W142</f>
        <v>1847046273220.0254</v>
      </c>
      <c r="X21" s="16">
        <f>'BIFUbC-biomass pre-CHP'!X21+CHP!X142</f>
        <v>1869639489243.8896</v>
      </c>
      <c r="Y21" s="16">
        <f>'BIFUbC-biomass pre-CHP'!Y21+CHP!Y142</f>
        <v>1892232705267.76</v>
      </c>
      <c r="Z21" s="16">
        <f>'BIFUbC-biomass pre-CHP'!Z21+CHP!Z142</f>
        <v>1914825921291.6243</v>
      </c>
      <c r="AA21" s="16">
        <f>'BIFUbC-biomass pre-CHP'!AA21+CHP!AA142</f>
        <v>1937419137315.488</v>
      </c>
      <c r="AB21" s="16">
        <f>'BIFUbC-biomass pre-CHP'!AB21+CHP!AB142</f>
        <v>1960012353339.3516</v>
      </c>
      <c r="AC21" s="16">
        <f>'BIFUbC-biomass pre-CHP'!AC21+CHP!AC142</f>
        <v>1982605569363.2156</v>
      </c>
      <c r="AD21" s="16">
        <f>'BIFUbC-biomass pre-CHP'!AD21+CHP!AD142</f>
        <v>2005198785387.0793</v>
      </c>
      <c r="AE21" s="16">
        <f>'BIFUbC-biomass pre-CHP'!AE21+CHP!AE142</f>
        <v>2027792001410.9429</v>
      </c>
      <c r="AF21" s="16">
        <f>'BIFUbC-biomass pre-CHP'!AF21+CHP!AF142</f>
        <v>2050385217434.8069</v>
      </c>
    </row>
    <row r="22" spans="1:32">
      <c r="A22" t="s">
        <v>22</v>
      </c>
      <c r="B22" s="16">
        <f>'BIFUbC-biomass pre-CHP'!B22+CHP!B143</f>
        <v>305980077029.64355</v>
      </c>
      <c r="C22" s="16">
        <f>'BIFUbC-biomass pre-CHP'!C22+CHP!C143</f>
        <v>319895691317.94049</v>
      </c>
      <c r="D22" s="16">
        <f>'BIFUbC-biomass pre-CHP'!D22+CHP!D143</f>
        <v>375558148471.12823</v>
      </c>
      <c r="E22" s="16">
        <f>'BIFUbC-biomass pre-CHP'!E22+CHP!E143</f>
        <v>347726919894.53442</v>
      </c>
      <c r="F22" s="16">
        <f>'BIFUbC-biomass pre-CHP'!F22+CHP!F143</f>
        <v>361642534182.8313</v>
      </c>
      <c r="G22" s="16">
        <f>'BIFUbC-biomass pre-CHP'!G22+CHP!G143</f>
        <v>375558148471.12823</v>
      </c>
      <c r="H22" s="16">
        <f>'BIFUbC-biomass pre-CHP'!H22+CHP!H143</f>
        <v>382372500285.76038</v>
      </c>
      <c r="I22" s="16">
        <f>'BIFUbC-biomass pre-CHP'!I22+CHP!I143</f>
        <v>389186852100.39423</v>
      </c>
      <c r="J22" s="16">
        <f>'BIFUbC-biomass pre-CHP'!J22+CHP!J143</f>
        <v>396001203915.02802</v>
      </c>
      <c r="K22" s="16">
        <f>'BIFUbC-biomass pre-CHP'!K22+CHP!K143</f>
        <v>402815555729.66193</v>
      </c>
      <c r="L22" s="16">
        <f>'BIFUbC-biomass pre-CHP'!L22+CHP!L143</f>
        <v>409629907544.29761</v>
      </c>
      <c r="M22" s="16">
        <f>'BIFUbC-biomass pre-CHP'!M22+CHP!M143</f>
        <v>415319017674.6687</v>
      </c>
      <c r="N22" s="16">
        <f>'BIFUbC-biomass pre-CHP'!N22+CHP!N143</f>
        <v>421008127805.03998</v>
      </c>
      <c r="O22" s="16">
        <f>'BIFUbC-biomass pre-CHP'!O22+CHP!O143</f>
        <v>426697237935.41125</v>
      </c>
      <c r="P22" s="16">
        <f>'BIFUbC-biomass pre-CHP'!P22+CHP!P143</f>
        <v>432386348065.78247</v>
      </c>
      <c r="Q22" s="16">
        <f>'BIFUbC-biomass pre-CHP'!Q22+CHP!Q143</f>
        <v>438075458196.15369</v>
      </c>
      <c r="R22" s="16">
        <f>'BIFUbC-biomass pre-CHP'!R22+CHP!R143</f>
        <v>443932306217.34668</v>
      </c>
      <c r="S22" s="16">
        <f>'BIFUbC-biomass pre-CHP'!S22+CHP!S143</f>
        <v>449789154238.53967</v>
      </c>
      <c r="T22" s="16">
        <f>'BIFUbC-biomass pre-CHP'!T22+CHP!T143</f>
        <v>455646002259.73273</v>
      </c>
      <c r="U22" s="16">
        <f>'BIFUbC-biomass pre-CHP'!U22+CHP!U143</f>
        <v>461502850280.92572</v>
      </c>
      <c r="V22" s="16">
        <f>'BIFUbC-biomass pre-CHP'!V22+CHP!V143</f>
        <v>467359698302.11871</v>
      </c>
      <c r="W22" s="16">
        <f>'BIFUbC-biomass pre-CHP'!W22+CHP!W143</f>
        <v>472992895802.216</v>
      </c>
      <c r="X22" s="16">
        <f>'BIFUbC-biomass pre-CHP'!X22+CHP!X143</f>
        <v>478778582293.96924</v>
      </c>
      <c r="Y22" s="16">
        <f>'BIFUbC-biomass pre-CHP'!Y22+CHP!Y143</f>
        <v>484564268785.7243</v>
      </c>
      <c r="Z22" s="16">
        <f>'BIFUbC-biomass pre-CHP'!Z22+CHP!Z143</f>
        <v>490349955277.47766</v>
      </c>
      <c r="AA22" s="16">
        <f>'BIFUbC-biomass pre-CHP'!AA22+CHP!AA143</f>
        <v>496135641769.23096</v>
      </c>
      <c r="AB22" s="16">
        <f>'BIFUbC-biomass pre-CHP'!AB22+CHP!AB143</f>
        <v>501921328260.98425</v>
      </c>
      <c r="AC22" s="16">
        <f>'BIFUbC-biomass pre-CHP'!AC22+CHP!AC143</f>
        <v>507707014752.73755</v>
      </c>
      <c r="AD22" s="16">
        <f>'BIFUbC-biomass pre-CHP'!AD22+CHP!AD143</f>
        <v>513492701244.49084</v>
      </c>
      <c r="AE22" s="16">
        <f>'BIFUbC-biomass pre-CHP'!AE22+CHP!AE143</f>
        <v>519278387736.2442</v>
      </c>
      <c r="AF22" s="16">
        <f>'BIFUbC-biomass pre-CHP'!AF22+CHP!AF143</f>
        <v>525064074227.99744</v>
      </c>
    </row>
    <row r="23" spans="1:32">
      <c r="A23" t="s">
        <v>23</v>
      </c>
      <c r="B23" s="16">
        <f>'BIFUbC-biomass pre-CHP'!B23+CHP!B144</f>
        <v>68815420395900.859</v>
      </c>
      <c r="C23" s="16">
        <f>'BIFUbC-biomass pre-CHP'!C23+CHP!C144</f>
        <v>71872196353938.391</v>
      </c>
      <c r="D23" s="16">
        <f>'BIFUbC-biomass pre-CHP'!D23+CHP!D144</f>
        <v>74928972311975.922</v>
      </c>
      <c r="E23" s="16">
        <f>'BIFUbC-biomass pre-CHP'!E23+CHP!E144</f>
        <v>77985748270013.453</v>
      </c>
      <c r="F23" s="16">
        <f>'BIFUbC-biomass pre-CHP'!F23+CHP!F144</f>
        <v>81042524228050.984</v>
      </c>
      <c r="G23" s="16">
        <f>'BIFUbC-biomass pre-CHP'!G23+CHP!G144</f>
        <v>84099300186088.531</v>
      </c>
      <c r="H23" s="16">
        <f>'BIFUbC-biomass pre-CHP'!H23+CHP!H144</f>
        <v>86352580168822.688</v>
      </c>
      <c r="I23" s="16">
        <f>'BIFUbC-biomass pre-CHP'!I23+CHP!I144</f>
        <v>88605860151556.844</v>
      </c>
      <c r="J23" s="16">
        <f>'BIFUbC-biomass pre-CHP'!J23+CHP!J144</f>
        <v>90859140134290.266</v>
      </c>
      <c r="K23" s="16">
        <f>'BIFUbC-biomass pre-CHP'!K23+CHP!K144</f>
        <v>93112420117024.422</v>
      </c>
      <c r="L23" s="16">
        <f>'BIFUbC-biomass pre-CHP'!L23+CHP!L144</f>
        <v>95365700099757.516</v>
      </c>
      <c r="M23" s="16">
        <f>'BIFUbC-biomass pre-CHP'!M23+CHP!M144</f>
        <v>97378322695307.688</v>
      </c>
      <c r="N23" s="16">
        <f>'BIFUbC-biomass pre-CHP'!N23+CHP!N144</f>
        <v>99390945290856.781</v>
      </c>
      <c r="O23" s="16">
        <f>'BIFUbC-biomass pre-CHP'!O23+CHP!O144</f>
        <v>101403567886406.61</v>
      </c>
      <c r="P23" s="16">
        <f>'BIFUbC-biomass pre-CHP'!P23+CHP!P144</f>
        <v>103416190481955.7</v>
      </c>
      <c r="Q23" s="16">
        <f>'BIFUbC-biomass pre-CHP'!Q23+CHP!Q144</f>
        <v>105428813077504.78</v>
      </c>
      <c r="R23" s="16">
        <f>'BIFUbC-biomass pre-CHP'!R23+CHP!R144</f>
        <v>107484256366717.22</v>
      </c>
      <c r="S23" s="16">
        <f>'BIFUbC-biomass pre-CHP'!S23+CHP!S144</f>
        <v>109539699655929.64</v>
      </c>
      <c r="T23" s="16">
        <f>'BIFUbC-biomass pre-CHP'!T23+CHP!T144</f>
        <v>111595142945141.34</v>
      </c>
      <c r="U23" s="16">
        <f>'BIFUbC-biomass pre-CHP'!U23+CHP!U144</f>
        <v>113650586234353.78</v>
      </c>
      <c r="V23" s="16">
        <f>'BIFUbC-biomass pre-CHP'!V23+CHP!V144</f>
        <v>115706029523565.13</v>
      </c>
      <c r="W23" s="16">
        <f>'BIFUbC-biomass pre-CHP'!W23+CHP!W144</f>
        <v>117704378554560.38</v>
      </c>
      <c r="X23" s="16">
        <f>'BIFUbC-biomass pre-CHP'!X23+CHP!X144</f>
        <v>119741655488885.5</v>
      </c>
      <c r="Y23" s="16">
        <f>'BIFUbC-biomass pre-CHP'!Y23+CHP!Y144</f>
        <v>121778932423210.64</v>
      </c>
      <c r="Z23" s="16">
        <f>'BIFUbC-biomass pre-CHP'!Z23+CHP!Z144</f>
        <v>123816209357535.05</v>
      </c>
      <c r="AA23" s="16">
        <f>'BIFUbC-biomass pre-CHP'!AA23+CHP!AA144</f>
        <v>125853486291860.17</v>
      </c>
      <c r="AB23" s="16">
        <f>'BIFUbC-biomass pre-CHP'!AB23+CHP!AB144</f>
        <v>127890763226185.3</v>
      </c>
      <c r="AC23" s="16">
        <f>'BIFUbC-biomass pre-CHP'!AC23+CHP!AC144</f>
        <v>129928040160509.7</v>
      </c>
      <c r="AD23" s="16">
        <f>'BIFUbC-biomass pre-CHP'!AD23+CHP!AD144</f>
        <v>131965317094834.83</v>
      </c>
      <c r="AE23" s="16">
        <f>'BIFUbC-biomass pre-CHP'!AE23+CHP!AE144</f>
        <v>134002594029159.97</v>
      </c>
      <c r="AF23" s="16">
        <f>'BIFUbC-biomass pre-CHP'!AF23+CHP!AF144</f>
        <v>136039870963484.36</v>
      </c>
    </row>
    <row r="24" spans="1:32">
      <c r="A24" t="s">
        <v>24</v>
      </c>
      <c r="B24" s="16">
        <f>'BIFUbC-biomass pre-CHP'!B24+CHP!B145</f>
        <v>0</v>
      </c>
      <c r="C24" s="16">
        <f>'BIFUbC-biomass pre-CHP'!C24+CHP!C145</f>
        <v>0</v>
      </c>
      <c r="D24" s="16">
        <f>'BIFUbC-biomass pre-CHP'!D24+CHP!D145</f>
        <v>0</v>
      </c>
      <c r="E24" s="16">
        <f>'BIFUbC-biomass pre-CHP'!E24+CHP!E145</f>
        <v>0</v>
      </c>
      <c r="F24" s="16">
        <f>'BIFUbC-biomass pre-CHP'!F24+CHP!F145</f>
        <v>0</v>
      </c>
      <c r="G24" s="16">
        <f>'BIFUbC-biomass pre-CHP'!G24+CHP!G145</f>
        <v>0</v>
      </c>
      <c r="H24" s="16">
        <f>'BIFUbC-biomass pre-CHP'!H24+CHP!H145</f>
        <v>0</v>
      </c>
      <c r="I24" s="16">
        <f>'BIFUbC-biomass pre-CHP'!I24+CHP!I145</f>
        <v>0</v>
      </c>
      <c r="J24" s="16">
        <f>'BIFUbC-biomass pre-CHP'!J24+CHP!J145</f>
        <v>0</v>
      </c>
      <c r="K24" s="16">
        <f>'BIFUbC-biomass pre-CHP'!K24+CHP!K145</f>
        <v>0</v>
      </c>
      <c r="L24" s="16">
        <f>'BIFUbC-biomass pre-CHP'!L24+CHP!L145</f>
        <v>0</v>
      </c>
      <c r="M24" s="16">
        <f>'BIFUbC-biomass pre-CHP'!M24+CHP!M145</f>
        <v>0</v>
      </c>
      <c r="N24" s="16">
        <f>'BIFUbC-biomass pre-CHP'!N24+CHP!N145</f>
        <v>0</v>
      </c>
      <c r="O24" s="16">
        <f>'BIFUbC-biomass pre-CHP'!O24+CHP!O145</f>
        <v>0</v>
      </c>
      <c r="P24" s="16">
        <f>'BIFUbC-biomass pre-CHP'!P24+CHP!P145</f>
        <v>0</v>
      </c>
      <c r="Q24" s="16">
        <f>'BIFUbC-biomass pre-CHP'!Q24+CHP!Q145</f>
        <v>0</v>
      </c>
      <c r="R24" s="16">
        <f>'BIFUbC-biomass pre-CHP'!R24+CHP!R145</f>
        <v>0</v>
      </c>
      <c r="S24" s="16">
        <f>'BIFUbC-biomass pre-CHP'!S24+CHP!S145</f>
        <v>0</v>
      </c>
      <c r="T24" s="16">
        <f>'BIFUbC-biomass pre-CHP'!T24+CHP!T145</f>
        <v>0</v>
      </c>
      <c r="U24" s="16">
        <f>'BIFUbC-biomass pre-CHP'!U24+CHP!U145</f>
        <v>0</v>
      </c>
      <c r="V24" s="16">
        <f>'BIFUbC-biomass pre-CHP'!V24+CHP!V145</f>
        <v>0</v>
      </c>
      <c r="W24" s="16">
        <f>'BIFUbC-biomass pre-CHP'!W24+CHP!W145</f>
        <v>0</v>
      </c>
      <c r="X24" s="16">
        <f>'BIFUbC-biomass pre-CHP'!X24+CHP!X145</f>
        <v>0</v>
      </c>
      <c r="Y24" s="16">
        <f>'BIFUbC-biomass pre-CHP'!Y24+CHP!Y145</f>
        <v>0</v>
      </c>
      <c r="Z24" s="16">
        <f>'BIFUbC-biomass pre-CHP'!Z24+CHP!Z145</f>
        <v>0</v>
      </c>
      <c r="AA24" s="16">
        <f>'BIFUbC-biomass pre-CHP'!AA24+CHP!AA145</f>
        <v>0</v>
      </c>
      <c r="AB24" s="16">
        <f>'BIFUbC-biomass pre-CHP'!AB24+CHP!AB145</f>
        <v>0</v>
      </c>
      <c r="AC24" s="16">
        <f>'BIFUbC-biomass pre-CHP'!AC24+CHP!AC145</f>
        <v>0</v>
      </c>
      <c r="AD24" s="16">
        <f>'BIFUbC-biomass pre-CHP'!AD24+CHP!AD145</f>
        <v>0</v>
      </c>
      <c r="AE24" s="16">
        <f>'BIFUbC-biomass pre-CHP'!AE24+CHP!AE145</f>
        <v>0</v>
      </c>
      <c r="AF24" s="16">
        <f>'BIFUbC-biomass pre-CHP'!AF24+CHP!AF145</f>
        <v>0</v>
      </c>
    </row>
    <row r="25" spans="1:32">
      <c r="A25" t="s">
        <v>25</v>
      </c>
      <c r="B25" s="16">
        <f>'BIFUbC-biomass pre-CHP'!B25+CHP!B146</f>
        <v>114202993332.23965</v>
      </c>
      <c r="C25" s="16">
        <f>'BIFUbC-biomass pre-CHP'!C25+CHP!C146</f>
        <v>114317196325.57188</v>
      </c>
      <c r="D25" s="16">
        <f>'BIFUbC-biomass pre-CHP'!D25+CHP!D146</f>
        <v>114431513521.89745</v>
      </c>
      <c r="E25" s="16">
        <f>'BIFUbC-biomass pre-CHP'!E25+CHP!E146</f>
        <v>114545945035.41934</v>
      </c>
      <c r="F25" s="16">
        <f>'BIFUbC-biomass pre-CHP'!F25+CHP!F146</f>
        <v>114660490980.45474</v>
      </c>
      <c r="G25" s="16">
        <f>'BIFUbC-biomass pre-CHP'!G25+CHP!G146</f>
        <v>114775151471.43518</v>
      </c>
      <c r="H25" s="16">
        <f>'BIFUbC-biomass pre-CHP'!H25+CHP!H146</f>
        <v>114889926622.9066</v>
      </c>
      <c r="I25" s="16">
        <f>'BIFUbC-biomass pre-CHP'!I25+CHP!I146</f>
        <v>115004816549.52951</v>
      </c>
      <c r="J25" s="16">
        <f>'BIFUbC-biomass pre-CHP'!J25+CHP!J146</f>
        <v>115119821366.07901</v>
      </c>
      <c r="K25" s="16">
        <f>'BIFUbC-biomass pre-CHP'!K25+CHP!K146</f>
        <v>115234941187.4451</v>
      </c>
      <c r="L25" s="16">
        <f>'BIFUbC-biomass pre-CHP'!L25+CHP!L146</f>
        <v>115350176128.63252</v>
      </c>
      <c r="M25" s="16">
        <f>'BIFUbC-biomass pre-CHP'!M25+CHP!M146</f>
        <v>115465526304.76114</v>
      </c>
      <c r="N25" s="16">
        <f>'BIFUbC-biomass pre-CHP'!N25+CHP!N146</f>
        <v>115580991831.06589</v>
      </c>
      <c r="O25" s="16">
        <f>'BIFUbC-biomass pre-CHP'!O25+CHP!O146</f>
        <v>115696572822.89693</v>
      </c>
      <c r="P25" s="16">
        <f>'BIFUbC-biomass pre-CHP'!P25+CHP!P146</f>
        <v>115812269395.71983</v>
      </c>
      <c r="Q25" s="16">
        <f>'BIFUbC-biomass pre-CHP'!Q25+CHP!Q146</f>
        <v>115928081665.11552</v>
      </c>
      <c r="R25" s="16">
        <f>'BIFUbC-biomass pre-CHP'!R25+CHP!R146</f>
        <v>116044009746.78062</v>
      </c>
      <c r="S25" s="16">
        <f>'BIFUbC-biomass pre-CHP'!S25+CHP!S146</f>
        <v>116160053756.52739</v>
      </c>
      <c r="T25" s="16">
        <f>'BIFUbC-biomass pre-CHP'!T25+CHP!T146</f>
        <v>116276213810.28391</v>
      </c>
      <c r="U25" s="16">
        <f>'BIFUbC-biomass pre-CHP'!U25+CHP!U146</f>
        <v>116392490024.09418</v>
      </c>
      <c r="V25" s="16">
        <f>'BIFUbC-biomass pre-CHP'!V25+CHP!V146</f>
        <v>116508882514.11826</v>
      </c>
      <c r="W25" s="16">
        <f>'BIFUbC-biomass pre-CHP'!W25+CHP!W146</f>
        <v>115926338101.54767</v>
      </c>
      <c r="X25" s="16">
        <f>'BIFUbC-biomass pre-CHP'!X25+CHP!X146</f>
        <v>115346706411.03992</v>
      </c>
      <c r="Y25" s="16">
        <f>'BIFUbC-biomass pre-CHP'!Y25+CHP!Y146</f>
        <v>114769972878.98471</v>
      </c>
      <c r="Z25" s="16">
        <f>'BIFUbC-biomass pre-CHP'!Z25+CHP!Z146</f>
        <v>114196123014.5898</v>
      </c>
      <c r="AA25" s="16">
        <f>'BIFUbC-biomass pre-CHP'!AA25+CHP!AA146</f>
        <v>113625142399.51683</v>
      </c>
      <c r="AB25" s="16">
        <f>'BIFUbC-biomass pre-CHP'!AB25+CHP!AB146</f>
        <v>113057016687.51927</v>
      </c>
      <c r="AC25" s="16">
        <f>'BIFUbC-biomass pre-CHP'!AC25+CHP!AC146</f>
        <v>112491731604.08167</v>
      </c>
      <c r="AD25" s="16">
        <f>'BIFUbC-biomass pre-CHP'!AD25+CHP!AD146</f>
        <v>111929272946.06125</v>
      </c>
      <c r="AE25" s="16">
        <f>'BIFUbC-biomass pre-CHP'!AE25+CHP!AE146</f>
        <v>111369626581.33093</v>
      </c>
      <c r="AF25" s="16">
        <f>'BIFUbC-biomass pre-CHP'!AF25+CHP!AF146</f>
        <v>110812778448.42429</v>
      </c>
    </row>
    <row r="26" spans="1:32">
      <c r="A26" t="s">
        <v>26</v>
      </c>
      <c r="B26" s="16">
        <f>'BIFUbC-biomass pre-CHP'!B26+CHP!B147</f>
        <v>6088384919867.9326</v>
      </c>
      <c r="C26" s="16">
        <f>'BIFUbC-biomass pre-CHP'!C26+CHP!C147</f>
        <v>6359028752119.5967</v>
      </c>
      <c r="D26" s="16">
        <f>'BIFUbC-biomass pre-CHP'!D26+CHP!D147</f>
        <v>6629672584371.2598</v>
      </c>
      <c r="E26" s="16">
        <f>'BIFUbC-biomass pre-CHP'!E26+CHP!E147</f>
        <v>6900316416622.9209</v>
      </c>
      <c r="F26" s="16">
        <f>'BIFUbC-biomass pre-CHP'!F26+CHP!F147</f>
        <v>7170960248874.585</v>
      </c>
      <c r="G26" s="16">
        <f>'BIFUbC-biomass pre-CHP'!G26+CHP!G147</f>
        <v>7441604081126.249</v>
      </c>
      <c r="H26" s="16">
        <f>'BIFUbC-biomass pre-CHP'!H26+CHP!H147</f>
        <v>7641560790737.9717</v>
      </c>
      <c r="I26" s="16">
        <f>'BIFUbC-biomass pre-CHP'!I26+CHP!I147</f>
        <v>7841517500349.6924</v>
      </c>
      <c r="J26" s="16">
        <f>'BIFUbC-biomass pre-CHP'!J26+CHP!J147</f>
        <v>8041474209961.3506</v>
      </c>
      <c r="K26" s="16">
        <f>'BIFUbC-biomass pre-CHP'!K26+CHP!K147</f>
        <v>8241430919573.0732</v>
      </c>
      <c r="L26" s="16">
        <f>'BIFUbC-biomass pre-CHP'!L26+CHP!L147</f>
        <v>8441387629184.6982</v>
      </c>
      <c r="M26" s="16">
        <f>'BIFUbC-biomass pre-CHP'!M26+CHP!M147</f>
        <v>8620078213399.2285</v>
      </c>
      <c r="N26" s="16">
        <f>'BIFUbC-biomass pre-CHP'!N26+CHP!N147</f>
        <v>8798768797613.6602</v>
      </c>
      <c r="O26" s="16">
        <f>'BIFUbC-biomass pre-CHP'!O26+CHP!O147</f>
        <v>8977459381828.1582</v>
      </c>
      <c r="P26" s="16">
        <f>'BIFUbC-biomass pre-CHP'!P26+CHP!P147</f>
        <v>9156149966042.5918</v>
      </c>
      <c r="Q26" s="16">
        <f>'BIFUbC-biomass pre-CHP'!Q26+CHP!Q147</f>
        <v>9334840550257.0234</v>
      </c>
      <c r="R26" s="16">
        <f>'BIFUbC-biomass pre-CHP'!R26+CHP!R147</f>
        <v>9517372915965.9121</v>
      </c>
      <c r="S26" s="16">
        <f>'BIFUbC-biomass pre-CHP'!S26+CHP!S147</f>
        <v>9699905281674.8008</v>
      </c>
      <c r="T26" s="16">
        <f>'BIFUbC-biomass pre-CHP'!T26+CHP!T147</f>
        <v>9882437647383.623</v>
      </c>
      <c r="U26" s="16">
        <f>'BIFUbC-biomass pre-CHP'!U26+CHP!U147</f>
        <v>10064970013092.512</v>
      </c>
      <c r="V26" s="16">
        <f>'BIFUbC-biomass pre-CHP'!V26+CHP!V147</f>
        <v>10247502378801.305</v>
      </c>
      <c r="W26" s="16">
        <f>'BIFUbC-biomass pre-CHP'!W26+CHP!W147</f>
        <v>10424912369184.307</v>
      </c>
      <c r="X26" s="16">
        <f>'BIFUbC-biomass pre-CHP'!X26+CHP!X147</f>
        <v>10605814888198.592</v>
      </c>
      <c r="Y26" s="16">
        <f>'BIFUbC-biomass pre-CHP'!Y26+CHP!Y147</f>
        <v>10786717407212.879</v>
      </c>
      <c r="Z26" s="16">
        <f>'BIFUbC-biomass pre-CHP'!Z26+CHP!Z147</f>
        <v>10967619926227.1</v>
      </c>
      <c r="AA26" s="16">
        <f>'BIFUbC-biomass pre-CHP'!AA26+CHP!AA147</f>
        <v>11148522445241.389</v>
      </c>
      <c r="AB26" s="16">
        <f>'BIFUbC-biomass pre-CHP'!AB26+CHP!AB147</f>
        <v>11329424964255.674</v>
      </c>
      <c r="AC26" s="16">
        <f>'BIFUbC-biomass pre-CHP'!AC26+CHP!AC147</f>
        <v>11510327483269.895</v>
      </c>
      <c r="AD26" s="16">
        <f>'BIFUbC-biomass pre-CHP'!AD26+CHP!AD147</f>
        <v>11691230002284.182</v>
      </c>
      <c r="AE26" s="16">
        <f>'BIFUbC-biomass pre-CHP'!AE26+CHP!AE147</f>
        <v>11872132521298.469</v>
      </c>
      <c r="AF26" s="16">
        <f>'BIFUbC-biomass pre-CHP'!AF26+CHP!AF147</f>
        <v>12053035040312.691</v>
      </c>
    </row>
  </sheetData>
  <phoneticPr fontId="37" type="noConversion"/>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I80"/>
  <sheetViews>
    <sheetView zoomScale="56" zoomScaleNormal="55" workbookViewId="0">
      <pane xSplit="1" ySplit="1" topLeftCell="N2" activePane="bottomRight" state="frozen"/>
      <selection pane="topRight" activeCell="B1" sqref="B1"/>
      <selection pane="bottomLeft" activeCell="A2" sqref="A2"/>
      <selection pane="bottomRight" sqref="A1:AF26"/>
    </sheetView>
  </sheetViews>
  <sheetFormatPr defaultColWidth="9.125" defaultRowHeight="16.5"/>
  <cols>
    <col min="1" max="1" width="39.875" customWidth="1"/>
    <col min="2" max="33" width="11.875" customWidth="1"/>
    <col min="34" max="35" width="9.5" bestFit="1" customWidth="1"/>
  </cols>
  <sheetData>
    <row r="1" spans="1:35">
      <c r="A1" s="24" t="s">
        <v>27</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c r="A2" t="s">
        <v>2</v>
      </c>
      <c r="B2" s="16">
        <f>'BIFUbC-petroleum-diesel pre-CHP'!B2+CHP!B67</f>
        <v>79484319135988.219</v>
      </c>
      <c r="C2" s="16">
        <f>'BIFUbC-petroleum-diesel pre-CHP'!C2+CHP!C67</f>
        <v>81295080174386.672</v>
      </c>
      <c r="D2" s="16">
        <f>'BIFUbC-petroleum-diesel pre-CHP'!D2+CHP!D67</f>
        <v>83105841212785.125</v>
      </c>
      <c r="E2" s="16">
        <f>'BIFUbC-petroleum-diesel pre-CHP'!E2+CHP!E67</f>
        <v>84916602251183.594</v>
      </c>
      <c r="F2" s="16">
        <f>'BIFUbC-petroleum-diesel pre-CHP'!F2+CHP!F67</f>
        <v>86727363289582.047</v>
      </c>
      <c r="G2" s="16">
        <f>'BIFUbC-petroleum-diesel pre-CHP'!G2+CHP!G67</f>
        <v>88538124327980.5</v>
      </c>
      <c r="H2" s="16">
        <f>'BIFUbC-petroleum-diesel pre-CHP'!H2+CHP!H67</f>
        <v>89350713132977.422</v>
      </c>
      <c r="I2" s="16">
        <f>'BIFUbC-petroleum-diesel pre-CHP'!I2+CHP!I67</f>
        <v>90163301937974.125</v>
      </c>
      <c r="J2" s="16">
        <f>'BIFUbC-petroleum-diesel pre-CHP'!J2+CHP!J67</f>
        <v>90975890742970.813</v>
      </c>
      <c r="K2" s="16">
        <f>'BIFUbC-petroleum-diesel pre-CHP'!K2+CHP!K67</f>
        <v>91788479547967.484</v>
      </c>
      <c r="L2" s="16">
        <f>'BIFUbC-petroleum-diesel pre-CHP'!L2+CHP!L67</f>
        <v>92601068352964.344</v>
      </c>
      <c r="M2" s="16">
        <f>'BIFUbC-petroleum-diesel pre-CHP'!M2+CHP!M67</f>
        <v>93173133387509.891</v>
      </c>
      <c r="N2" s="16">
        <f>'BIFUbC-petroleum-diesel pre-CHP'!N2+CHP!N67</f>
        <v>93745198422055.594</v>
      </c>
      <c r="O2" s="16">
        <f>'BIFUbC-petroleum-diesel pre-CHP'!O2+CHP!O67</f>
        <v>94317263456601.281</v>
      </c>
      <c r="P2" s="16">
        <f>'BIFUbC-petroleum-diesel pre-CHP'!P2+CHP!P67</f>
        <v>94889328491146.953</v>
      </c>
      <c r="Q2" s="16">
        <f>'BIFUbC-petroleum-diesel pre-CHP'!Q2+CHP!Q67</f>
        <v>95461393525692.625</v>
      </c>
      <c r="R2" s="16">
        <f>'BIFUbC-petroleum-diesel pre-CHP'!R2+CHP!R67</f>
        <v>95909333781805.109</v>
      </c>
      <c r="S2" s="16">
        <f>'BIFUbC-petroleum-diesel pre-CHP'!S2+CHP!S67</f>
        <v>96357274037917.234</v>
      </c>
      <c r="T2" s="16">
        <f>'BIFUbC-petroleum-diesel pre-CHP'!T2+CHP!T67</f>
        <v>96805214294029.5</v>
      </c>
      <c r="U2" s="16">
        <f>'BIFUbC-petroleum-diesel pre-CHP'!U2+CHP!U67</f>
        <v>97253154550141.813</v>
      </c>
      <c r="V2" s="16">
        <f>'BIFUbC-petroleum-diesel pre-CHP'!V2+CHP!V67</f>
        <v>97701094806253.922</v>
      </c>
      <c r="W2" s="16">
        <f>'BIFUbC-petroleum-diesel pre-CHP'!W2+CHP!W67</f>
        <v>98314534766944.125</v>
      </c>
      <c r="X2" s="16">
        <f>'BIFUbC-petroleum-diesel pre-CHP'!X2+CHP!X67</f>
        <v>98815134019967.5</v>
      </c>
      <c r="Y2" s="16">
        <f>'BIFUbC-petroleum-diesel pre-CHP'!Y2+CHP!Y67</f>
        <v>99315733272991.047</v>
      </c>
      <c r="Z2" s="16">
        <f>'BIFUbC-petroleum-diesel pre-CHP'!Z2+CHP!Z67</f>
        <v>99816332526014.438</v>
      </c>
      <c r="AA2" s="16">
        <f>'BIFUbC-petroleum-diesel pre-CHP'!AA2+CHP!AA67</f>
        <v>100316931779037.81</v>
      </c>
      <c r="AB2" s="16">
        <f>'BIFUbC-petroleum-diesel pre-CHP'!AB2+CHP!AB67</f>
        <v>100817531032061.17</v>
      </c>
      <c r="AC2" s="16">
        <f>'BIFUbC-petroleum-diesel pre-CHP'!AC2+CHP!AC67</f>
        <v>101318130285084.7</v>
      </c>
      <c r="AD2" s="16">
        <f>'BIFUbC-petroleum-diesel pre-CHP'!AD2+CHP!AD67</f>
        <v>101818729538108.11</v>
      </c>
      <c r="AE2" s="16">
        <f>'BIFUbC-petroleum-diesel pre-CHP'!AE2+CHP!AE67</f>
        <v>102319328791131.48</v>
      </c>
      <c r="AF2" s="16">
        <f>'BIFUbC-petroleum-diesel pre-CHP'!AF2+CHP!AF67</f>
        <v>102819928044155.02</v>
      </c>
    </row>
    <row r="3" spans="1:35">
      <c r="A3" t="s">
        <v>3</v>
      </c>
      <c r="B3" s="16">
        <f>'BIFUbC-petroleum-diesel pre-CHP'!B3+CHP!B68</f>
        <v>350079024747.12341</v>
      </c>
      <c r="C3" s="16">
        <f>'BIFUbC-petroleum-diesel pre-CHP'!C3+CHP!C68</f>
        <v>336704684433.10022</v>
      </c>
      <c r="D3" s="16">
        <f>'BIFUbC-petroleum-diesel pre-CHP'!D3+CHP!D68</f>
        <v>300436717704.85895</v>
      </c>
      <c r="E3" s="16">
        <f>'BIFUbC-petroleum-diesel pre-CHP'!E3+CHP!E68</f>
        <v>294693586195.57178</v>
      </c>
      <c r="F3" s="16">
        <f>'BIFUbC-petroleum-diesel pre-CHP'!F3+CHP!F68</f>
        <v>288950454686.2879</v>
      </c>
      <c r="G3" s="16">
        <f>'BIFUbC-petroleum-diesel pre-CHP'!G3+CHP!G68</f>
        <v>283207323177.00226</v>
      </c>
      <c r="H3" s="16">
        <f>'BIFUbC-petroleum-diesel pre-CHP'!H3+CHP!H68</f>
        <v>277464191667.71667</v>
      </c>
      <c r="I3" s="16">
        <f>'BIFUbC-petroleum-diesel pre-CHP'!I3+CHP!I68</f>
        <v>271721060158.43106</v>
      </c>
      <c r="J3" s="16">
        <f>'BIFUbC-petroleum-diesel pre-CHP'!J3+CHP!J68</f>
        <v>265977928649.14545</v>
      </c>
      <c r="K3" s="16">
        <f>'BIFUbC-petroleum-diesel pre-CHP'!K3+CHP!K68</f>
        <v>260234797139.85983</v>
      </c>
      <c r="L3" s="16">
        <f>'BIFUbC-petroleum-diesel pre-CHP'!L3+CHP!L68</f>
        <v>254491665630.57596</v>
      </c>
      <c r="M3" s="16">
        <f>'BIFUbC-petroleum-diesel pre-CHP'!M3+CHP!M68</f>
        <v>248769517072.19168</v>
      </c>
      <c r="N3" s="16">
        <f>'BIFUbC-petroleum-diesel pre-CHP'!N3+CHP!N68</f>
        <v>243047368513.80563</v>
      </c>
      <c r="O3" s="16">
        <f>'BIFUbC-petroleum-diesel pre-CHP'!O3+CHP!O68</f>
        <v>237325219955.41962</v>
      </c>
      <c r="P3" s="16">
        <f>'BIFUbC-petroleum-diesel pre-CHP'!P3+CHP!P68</f>
        <v>231603071397.03534</v>
      </c>
      <c r="Q3" s="16">
        <f>'BIFUbC-petroleum-diesel pre-CHP'!Q3+CHP!Q68</f>
        <v>225880922838.64932</v>
      </c>
      <c r="R3" s="16">
        <f>'BIFUbC-petroleum-diesel pre-CHP'!R3+CHP!R68</f>
        <v>220158774280.26328</v>
      </c>
      <c r="S3" s="16">
        <f>'BIFUbC-petroleum-diesel pre-CHP'!S3+CHP!S68</f>
        <v>214436625721.87903</v>
      </c>
      <c r="T3" s="16">
        <f>'BIFUbC-petroleum-diesel pre-CHP'!T3+CHP!T68</f>
        <v>208714477163.49301</v>
      </c>
      <c r="U3" s="16">
        <f>'BIFUbC-petroleum-diesel pre-CHP'!U3+CHP!U68</f>
        <v>202992328605.10873</v>
      </c>
      <c r="V3" s="16">
        <f>'BIFUbC-petroleum-diesel pre-CHP'!V3+CHP!V68</f>
        <v>197270180046.72226</v>
      </c>
      <c r="W3" s="16">
        <f>'BIFUbC-petroleum-diesel pre-CHP'!W3+CHP!W68</f>
        <v>191783301466.30484</v>
      </c>
      <c r="X3" s="16">
        <f>'BIFUbC-petroleum-diesel pre-CHP'!X3+CHP!X68</f>
        <v>186296422885.88699</v>
      </c>
      <c r="Y3" s="16">
        <f>'BIFUbC-petroleum-diesel pre-CHP'!Y3+CHP!Y68</f>
        <v>180809544305.46738</v>
      </c>
      <c r="Z3" s="16">
        <f>'BIFUbC-petroleum-diesel pre-CHP'!Z3+CHP!Z68</f>
        <v>175322665725.04953</v>
      </c>
      <c r="AA3" s="16">
        <f>'BIFUbC-petroleum-diesel pre-CHP'!AA3+CHP!AA68</f>
        <v>169835787144.62991</v>
      </c>
      <c r="AB3" s="16">
        <f>'BIFUbC-petroleum-diesel pre-CHP'!AB3+CHP!AB68</f>
        <v>164348908564.21207</v>
      </c>
      <c r="AC3" s="16">
        <f>'BIFUbC-petroleum-diesel pre-CHP'!AC3+CHP!AC68</f>
        <v>158862029983.79245</v>
      </c>
      <c r="AD3" s="16">
        <f>'BIFUbC-petroleum-diesel pre-CHP'!AD3+CHP!AD68</f>
        <v>153375151403.3746</v>
      </c>
      <c r="AE3" s="16">
        <f>'BIFUbC-petroleum-diesel pre-CHP'!AE3+CHP!AE68</f>
        <v>147888272822.95676</v>
      </c>
      <c r="AF3" s="16">
        <f>'BIFUbC-petroleum-diesel pre-CHP'!AF3+CHP!AF68</f>
        <v>142401394242.53604</v>
      </c>
    </row>
    <row r="4" spans="1:35">
      <c r="A4" t="s">
        <v>4</v>
      </c>
      <c r="B4" s="16">
        <f>'BIFUbC-petroleum-diesel pre-CHP'!B4+CHP!B69</f>
        <v>0</v>
      </c>
      <c r="C4" s="16">
        <f>'BIFUbC-petroleum-diesel pre-CHP'!C4+CHP!C69</f>
        <v>0</v>
      </c>
      <c r="D4" s="16">
        <f>'BIFUbC-petroleum-diesel pre-CHP'!D4+CHP!D69</f>
        <v>0</v>
      </c>
      <c r="E4" s="16">
        <f>'BIFUbC-petroleum-diesel pre-CHP'!E4+CHP!E69</f>
        <v>0</v>
      </c>
      <c r="F4" s="16">
        <f>'BIFUbC-petroleum-diesel pre-CHP'!F4+CHP!F69</f>
        <v>0</v>
      </c>
      <c r="G4" s="16">
        <f>'BIFUbC-petroleum-diesel pre-CHP'!G4+CHP!G69</f>
        <v>0</v>
      </c>
      <c r="H4" s="16">
        <f>'BIFUbC-petroleum-diesel pre-CHP'!H4+CHP!H69</f>
        <v>0</v>
      </c>
      <c r="I4" s="16">
        <f>'BIFUbC-petroleum-diesel pre-CHP'!I4+CHP!I69</f>
        <v>0</v>
      </c>
      <c r="J4" s="16">
        <f>'BIFUbC-petroleum-diesel pre-CHP'!J4+CHP!J69</f>
        <v>0</v>
      </c>
      <c r="K4" s="16">
        <f>'BIFUbC-petroleum-diesel pre-CHP'!K4+CHP!K69</f>
        <v>0</v>
      </c>
      <c r="L4" s="16">
        <f>'BIFUbC-petroleum-diesel pre-CHP'!L4+CHP!L69</f>
        <v>0</v>
      </c>
      <c r="M4" s="16">
        <f>'BIFUbC-petroleum-diesel pre-CHP'!M4+CHP!M69</f>
        <v>0</v>
      </c>
      <c r="N4" s="16">
        <f>'BIFUbC-petroleum-diesel pre-CHP'!N4+CHP!N69</f>
        <v>0</v>
      </c>
      <c r="O4" s="16">
        <f>'BIFUbC-petroleum-diesel pre-CHP'!O4+CHP!O69</f>
        <v>0</v>
      </c>
      <c r="P4" s="16">
        <f>'BIFUbC-petroleum-diesel pre-CHP'!P4+CHP!P69</f>
        <v>0</v>
      </c>
      <c r="Q4" s="16">
        <f>'BIFUbC-petroleum-diesel pre-CHP'!Q4+CHP!Q69</f>
        <v>0</v>
      </c>
      <c r="R4" s="16">
        <f>'BIFUbC-petroleum-diesel pre-CHP'!R4+CHP!R69</f>
        <v>0</v>
      </c>
      <c r="S4" s="16">
        <f>'BIFUbC-petroleum-diesel pre-CHP'!S4+CHP!S69</f>
        <v>0</v>
      </c>
      <c r="T4" s="16">
        <f>'BIFUbC-petroleum-diesel pre-CHP'!T4+CHP!T69</f>
        <v>0</v>
      </c>
      <c r="U4" s="16">
        <f>'BIFUbC-petroleum-diesel pre-CHP'!U4+CHP!U69</f>
        <v>0</v>
      </c>
      <c r="V4" s="16">
        <f>'BIFUbC-petroleum-diesel pre-CHP'!V4+CHP!V69</f>
        <v>0</v>
      </c>
      <c r="W4" s="16">
        <f>'BIFUbC-petroleum-diesel pre-CHP'!W4+CHP!W69</f>
        <v>0</v>
      </c>
      <c r="X4" s="16">
        <f>'BIFUbC-petroleum-diesel pre-CHP'!X4+CHP!X69</f>
        <v>0</v>
      </c>
      <c r="Y4" s="16">
        <f>'BIFUbC-petroleum-diesel pre-CHP'!Y4+CHP!Y69</f>
        <v>0</v>
      </c>
      <c r="Z4" s="16">
        <f>'BIFUbC-petroleum-diesel pre-CHP'!Z4+CHP!Z69</f>
        <v>0</v>
      </c>
      <c r="AA4" s="16">
        <f>'BIFUbC-petroleum-diesel pre-CHP'!AA4+CHP!AA69</f>
        <v>0</v>
      </c>
      <c r="AB4" s="16">
        <f>'BIFUbC-petroleum-diesel pre-CHP'!AB4+CHP!AB69</f>
        <v>0</v>
      </c>
      <c r="AC4" s="16">
        <f>'BIFUbC-petroleum-diesel pre-CHP'!AC4+CHP!AC69</f>
        <v>0</v>
      </c>
      <c r="AD4" s="16">
        <f>'BIFUbC-petroleum-diesel pre-CHP'!AD4+CHP!AD69</f>
        <v>0</v>
      </c>
      <c r="AE4" s="16">
        <f>'BIFUbC-petroleum-diesel pre-CHP'!AE4+CHP!AE69</f>
        <v>0</v>
      </c>
      <c r="AF4" s="16">
        <f>'BIFUbC-petroleum-diesel pre-CHP'!AF4+CHP!AF69</f>
        <v>0</v>
      </c>
    </row>
    <row r="5" spans="1:35">
      <c r="A5" t="s">
        <v>5</v>
      </c>
      <c r="B5" s="16">
        <f>'BIFUbC-petroleum-diesel pre-CHP'!B5+CHP!B70</f>
        <v>2257780451159.8428</v>
      </c>
      <c r="C5" s="16">
        <f>'BIFUbC-petroleum-diesel pre-CHP'!C5+CHP!C70</f>
        <v>2311951605423.4106</v>
      </c>
      <c r="D5" s="16">
        <f>'BIFUbC-petroleum-diesel pre-CHP'!D5+CHP!D70</f>
        <v>2366122759686.978</v>
      </c>
      <c r="E5" s="16">
        <f>'BIFUbC-petroleum-diesel pre-CHP'!E5+CHP!E70</f>
        <v>2420293913950.5459</v>
      </c>
      <c r="F5" s="16">
        <f>'BIFUbC-petroleum-diesel pre-CHP'!F5+CHP!F70</f>
        <v>2474465068214.1138</v>
      </c>
      <c r="G5" s="16">
        <f>'BIFUbC-petroleum-diesel pre-CHP'!G5+CHP!G70</f>
        <v>2528636222477.6816</v>
      </c>
      <c r="H5" s="16">
        <f>'BIFUbC-petroleum-diesel pre-CHP'!H5+CHP!H70</f>
        <v>2551582937618.3965</v>
      </c>
      <c r="I5" s="16">
        <f>'BIFUbC-petroleum-diesel pre-CHP'!I5+CHP!I70</f>
        <v>2574529652759.1045</v>
      </c>
      <c r="J5" s="16">
        <f>'BIFUbC-petroleum-diesel pre-CHP'!J5+CHP!J70</f>
        <v>2597476367899.8135</v>
      </c>
      <c r="K5" s="16">
        <f>'BIFUbC-petroleum-diesel pre-CHP'!K5+CHP!K70</f>
        <v>2620423083040.522</v>
      </c>
      <c r="L5" s="16">
        <f>'BIFUbC-petroleum-diesel pre-CHP'!L5+CHP!L70</f>
        <v>2643369798181.2344</v>
      </c>
      <c r="M5" s="16">
        <f>'BIFUbC-petroleum-diesel pre-CHP'!M5+CHP!M70</f>
        <v>2659196256914.0845</v>
      </c>
      <c r="N5" s="16">
        <f>'BIFUbC-petroleum-diesel pre-CHP'!N5+CHP!N70</f>
        <v>2675022715646.9385</v>
      </c>
      <c r="O5" s="16">
        <f>'BIFUbC-petroleum-diesel pre-CHP'!O5+CHP!O70</f>
        <v>2690849174379.7925</v>
      </c>
      <c r="P5" s="16">
        <f>'BIFUbC-petroleum-diesel pre-CHP'!P5+CHP!P70</f>
        <v>2706675633112.6465</v>
      </c>
      <c r="Q5" s="16">
        <f>'BIFUbC-petroleum-diesel pre-CHP'!Q5+CHP!Q70</f>
        <v>2722502091845.4995</v>
      </c>
      <c r="R5" s="16">
        <f>'BIFUbC-petroleum-diesel pre-CHP'!R5+CHP!R70</f>
        <v>2734826765752.811</v>
      </c>
      <c r="S5" s="16">
        <f>'BIFUbC-petroleum-diesel pre-CHP'!S5+CHP!S70</f>
        <v>2747151439660.1133</v>
      </c>
      <c r="T5" s="16">
        <f>'BIFUbC-petroleum-diesel pre-CHP'!T5+CHP!T70</f>
        <v>2759476113567.4189</v>
      </c>
      <c r="U5" s="16">
        <f>'BIFUbC-petroleum-diesel pre-CHP'!U5+CHP!U70</f>
        <v>2771800787474.7256</v>
      </c>
      <c r="V5" s="16">
        <f>'BIFUbC-petroleum-diesel pre-CHP'!V5+CHP!V70</f>
        <v>2784125461382.0278</v>
      </c>
      <c r="W5" s="16">
        <f>'BIFUbC-petroleum-diesel pre-CHP'!W5+CHP!W70</f>
        <v>2801119181723.3989</v>
      </c>
      <c r="X5" s="16">
        <f>'BIFUbC-petroleum-diesel pre-CHP'!X5+CHP!X70</f>
        <v>2814929461314.2695</v>
      </c>
      <c r="Y5" s="16">
        <f>'BIFUbC-petroleum-diesel pre-CHP'!Y5+CHP!Y70</f>
        <v>2828739740905.144</v>
      </c>
      <c r="Z5" s="16">
        <f>'BIFUbC-petroleum-diesel pre-CHP'!Z5+CHP!Z70</f>
        <v>2842550020496.0151</v>
      </c>
      <c r="AA5" s="16">
        <f>'BIFUbC-petroleum-diesel pre-CHP'!AA5+CHP!AA70</f>
        <v>2856360300086.8857</v>
      </c>
      <c r="AB5" s="16">
        <f>'BIFUbC-petroleum-diesel pre-CHP'!AB5+CHP!AB70</f>
        <v>2870170579677.7563</v>
      </c>
      <c r="AC5" s="16">
        <f>'BIFUbC-petroleum-diesel pre-CHP'!AC5+CHP!AC70</f>
        <v>2883980859268.6309</v>
      </c>
      <c r="AD5" s="16">
        <f>'BIFUbC-petroleum-diesel pre-CHP'!AD5+CHP!AD70</f>
        <v>2897791138859.5024</v>
      </c>
      <c r="AE5" s="16">
        <f>'BIFUbC-petroleum-diesel pre-CHP'!AE5+CHP!AE70</f>
        <v>2911601418450.3726</v>
      </c>
      <c r="AF5" s="16">
        <f>'BIFUbC-petroleum-diesel pre-CHP'!AF5+CHP!AF70</f>
        <v>2925411698041.248</v>
      </c>
    </row>
    <row r="6" spans="1:35">
      <c r="A6" t="s">
        <v>6</v>
      </c>
      <c r="B6" s="16">
        <f>'BIFUbC-petroleum-diesel pre-CHP'!B6+CHP!B71</f>
        <v>4852579335811.4473</v>
      </c>
      <c r="C6" s="16">
        <f>'BIFUbC-petroleum-diesel pre-CHP'!C6+CHP!C71</f>
        <v>4997711193271.4121</v>
      </c>
      <c r="D6" s="16">
        <f>'BIFUbC-petroleum-diesel pre-CHP'!D6+CHP!D71</f>
        <v>5142843050731.3789</v>
      </c>
      <c r="E6" s="16">
        <f>'BIFUbC-petroleum-diesel pre-CHP'!E6+CHP!E71</f>
        <v>5287974908191.3447</v>
      </c>
      <c r="F6" s="16">
        <f>'BIFUbC-petroleum-diesel pre-CHP'!F6+CHP!F71</f>
        <v>5433106765651.3105</v>
      </c>
      <c r="G6" s="16">
        <f>'BIFUbC-petroleum-diesel pre-CHP'!G6+CHP!G71</f>
        <v>5578238623111.2773</v>
      </c>
      <c r="H6" s="16">
        <f>'BIFUbC-petroleum-diesel pre-CHP'!H6+CHP!H71</f>
        <v>5626139257572.7344</v>
      </c>
      <c r="I6" s="16">
        <f>'BIFUbC-petroleum-diesel pre-CHP'!I6+CHP!I71</f>
        <v>5674039892034.1836</v>
      </c>
      <c r="J6" s="16">
        <f>'BIFUbC-petroleum-diesel pre-CHP'!J6+CHP!J71</f>
        <v>5721940526495.6328</v>
      </c>
      <c r="K6" s="16">
        <f>'BIFUbC-petroleum-diesel pre-CHP'!K6+CHP!K71</f>
        <v>5769841160957.082</v>
      </c>
      <c r="L6" s="16">
        <f>'BIFUbC-petroleum-diesel pre-CHP'!L6+CHP!L71</f>
        <v>5817741795418.5361</v>
      </c>
      <c r="M6" s="16">
        <f>'BIFUbC-petroleum-diesel pre-CHP'!M6+CHP!M71</f>
        <v>5847316513726.3242</v>
      </c>
      <c r="N6" s="16">
        <f>'BIFUbC-petroleum-diesel pre-CHP'!N6+CHP!N71</f>
        <v>5876891232034.1172</v>
      </c>
      <c r="O6" s="16">
        <f>'BIFUbC-petroleum-diesel pre-CHP'!O6+CHP!O71</f>
        <v>5906465950341.9102</v>
      </c>
      <c r="P6" s="16">
        <f>'BIFUbC-petroleum-diesel pre-CHP'!P6+CHP!P71</f>
        <v>5936040668649.7031</v>
      </c>
      <c r="Q6" s="16">
        <f>'BIFUbC-petroleum-diesel pre-CHP'!Q6+CHP!Q71</f>
        <v>5965615386957.4951</v>
      </c>
      <c r="R6" s="16">
        <f>'BIFUbC-petroleum-diesel pre-CHP'!R6+CHP!R71</f>
        <v>5987915873775.627</v>
      </c>
      <c r="S6" s="16">
        <f>'BIFUbC-petroleum-diesel pre-CHP'!S6+CHP!S71</f>
        <v>6010216360593.748</v>
      </c>
      <c r="T6" s="16">
        <f>'BIFUbC-petroleum-diesel pre-CHP'!T6+CHP!T71</f>
        <v>6032516847411.875</v>
      </c>
      <c r="U6" s="16">
        <f>'BIFUbC-petroleum-diesel pre-CHP'!U6+CHP!U71</f>
        <v>6054817334230</v>
      </c>
      <c r="V6" s="16">
        <f>'BIFUbC-petroleum-diesel pre-CHP'!V6+CHP!V71</f>
        <v>6077117821048.1211</v>
      </c>
      <c r="W6" s="16">
        <f>'BIFUbC-petroleum-diesel pre-CHP'!W6+CHP!W71</f>
        <v>6109117283185.8066</v>
      </c>
      <c r="X6" s="16">
        <f>'BIFUbC-petroleum-diesel pre-CHP'!X6+CHP!X71</f>
        <v>6134503807605.6064</v>
      </c>
      <c r="Y6" s="16">
        <f>'BIFUbC-petroleum-diesel pre-CHP'!Y6+CHP!Y71</f>
        <v>6159890332025.4121</v>
      </c>
      <c r="Z6" s="16">
        <f>'BIFUbC-petroleum-diesel pre-CHP'!Z6+CHP!Z71</f>
        <v>6185276856445.2148</v>
      </c>
      <c r="AA6" s="16">
        <f>'BIFUbC-petroleum-diesel pre-CHP'!AA6+CHP!AA71</f>
        <v>6210663380865.0176</v>
      </c>
      <c r="AB6" s="16">
        <f>'BIFUbC-petroleum-diesel pre-CHP'!AB6+CHP!AB71</f>
        <v>6236049905284.8164</v>
      </c>
      <c r="AC6" s="16">
        <f>'BIFUbC-petroleum-diesel pre-CHP'!AC6+CHP!AC71</f>
        <v>6261436429704.623</v>
      </c>
      <c r="AD6" s="16">
        <f>'BIFUbC-petroleum-diesel pre-CHP'!AD6+CHP!AD71</f>
        <v>6286822954124.4258</v>
      </c>
      <c r="AE6" s="16">
        <f>'BIFUbC-petroleum-diesel pre-CHP'!AE6+CHP!AE71</f>
        <v>6312209478544.2275</v>
      </c>
      <c r="AF6" s="16">
        <f>'BIFUbC-petroleum-diesel pre-CHP'!AF6+CHP!AF71</f>
        <v>6337596002964.0352</v>
      </c>
    </row>
    <row r="7" spans="1:35">
      <c r="A7" t="s">
        <v>7</v>
      </c>
      <c r="B7" s="16">
        <f>'BIFUbC-petroleum-diesel pre-CHP'!B7+CHP!B72</f>
        <v>2351838014130.251</v>
      </c>
      <c r="C7" s="16">
        <f>'BIFUbC-petroleum-diesel pre-CHP'!C7+CHP!C72</f>
        <v>2432251050844.7793</v>
      </c>
      <c r="D7" s="16">
        <f>'BIFUbC-petroleum-diesel pre-CHP'!D7+CHP!D72</f>
        <v>2512664087559.3081</v>
      </c>
      <c r="E7" s="16">
        <f>'BIFUbC-petroleum-diesel pre-CHP'!E7+CHP!E72</f>
        <v>2593077124273.8359</v>
      </c>
      <c r="F7" s="16">
        <f>'BIFUbC-petroleum-diesel pre-CHP'!F7+CHP!F72</f>
        <v>2673490160988.3647</v>
      </c>
      <c r="G7" s="16">
        <f>'BIFUbC-petroleum-diesel pre-CHP'!G7+CHP!G72</f>
        <v>2753903197702.8931</v>
      </c>
      <c r="H7" s="16">
        <f>'BIFUbC-petroleum-diesel pre-CHP'!H7+CHP!H72</f>
        <v>2776620908867.897</v>
      </c>
      <c r="I7" s="16">
        <f>'BIFUbC-petroleum-diesel pre-CHP'!I7+CHP!I72</f>
        <v>2799338620032.9004</v>
      </c>
      <c r="J7" s="16">
        <f>'BIFUbC-petroleum-diesel pre-CHP'!J7+CHP!J72</f>
        <v>2822056331197.9023</v>
      </c>
      <c r="K7" s="16">
        <f>'BIFUbC-petroleum-diesel pre-CHP'!K7+CHP!K72</f>
        <v>2844774042362.9058</v>
      </c>
      <c r="L7" s="16">
        <f>'BIFUbC-petroleum-diesel pre-CHP'!L7+CHP!L72</f>
        <v>2867491753527.9092</v>
      </c>
      <c r="M7" s="16">
        <f>'BIFUbC-petroleum-diesel pre-CHP'!M7+CHP!M72</f>
        <v>2880266869577.3247</v>
      </c>
      <c r="N7" s="16">
        <f>'BIFUbC-petroleum-diesel pre-CHP'!N7+CHP!N72</f>
        <v>2893041985626.7407</v>
      </c>
      <c r="O7" s="16">
        <f>'BIFUbC-petroleum-diesel pre-CHP'!O7+CHP!O72</f>
        <v>2905817101676.1567</v>
      </c>
      <c r="P7" s="16">
        <f>'BIFUbC-petroleum-diesel pre-CHP'!P7+CHP!P72</f>
        <v>2918592217725.5728</v>
      </c>
      <c r="Q7" s="16">
        <f>'BIFUbC-petroleum-diesel pre-CHP'!Q7+CHP!Q72</f>
        <v>2931367333774.9888</v>
      </c>
      <c r="R7" s="16">
        <f>'BIFUbC-petroleum-diesel pre-CHP'!R7+CHP!R72</f>
        <v>2940705400059.3262</v>
      </c>
      <c r="S7" s="16">
        <f>'BIFUbC-petroleum-diesel pre-CHP'!S7+CHP!S72</f>
        <v>2950043466343.6611</v>
      </c>
      <c r="T7" s="16">
        <f>'BIFUbC-petroleum-diesel pre-CHP'!T7+CHP!T72</f>
        <v>2959381532627.9971</v>
      </c>
      <c r="U7" s="16">
        <f>'BIFUbC-petroleum-diesel pre-CHP'!U7+CHP!U72</f>
        <v>2968719598912.3325</v>
      </c>
      <c r="V7" s="16">
        <f>'BIFUbC-petroleum-diesel pre-CHP'!V7+CHP!V72</f>
        <v>2978057665196.6675</v>
      </c>
      <c r="W7" s="16">
        <f>'BIFUbC-petroleum-diesel pre-CHP'!W7+CHP!W72</f>
        <v>2991978464501.1123</v>
      </c>
      <c r="X7" s="16">
        <f>'BIFUbC-petroleum-diesel pre-CHP'!X7+CHP!X72</f>
        <v>3002774673110.0264</v>
      </c>
      <c r="Y7" s="16">
        <f>'BIFUbC-petroleum-diesel pre-CHP'!Y7+CHP!Y72</f>
        <v>3013570881718.9434</v>
      </c>
      <c r="Z7" s="16">
        <f>'BIFUbC-petroleum-diesel pre-CHP'!Z7+CHP!Z72</f>
        <v>3024367090327.8579</v>
      </c>
      <c r="AA7" s="16">
        <f>'BIFUbC-petroleum-diesel pre-CHP'!AA7+CHP!AA72</f>
        <v>3035163298936.7734</v>
      </c>
      <c r="AB7" s="16">
        <f>'BIFUbC-petroleum-diesel pre-CHP'!AB7+CHP!AB72</f>
        <v>3045959507545.6875</v>
      </c>
      <c r="AC7" s="16">
        <f>'BIFUbC-petroleum-diesel pre-CHP'!AC7+CHP!AC72</f>
        <v>3056755716154.6035</v>
      </c>
      <c r="AD7" s="16">
        <f>'BIFUbC-petroleum-diesel pre-CHP'!AD7+CHP!AD72</f>
        <v>3067551924763.5195</v>
      </c>
      <c r="AE7" s="16">
        <f>'BIFUbC-petroleum-diesel pre-CHP'!AE7+CHP!AE72</f>
        <v>3078348133372.4351</v>
      </c>
      <c r="AF7" s="16">
        <f>'BIFUbC-petroleum-diesel pre-CHP'!AF7+CHP!AF72</f>
        <v>3089144341981.3511</v>
      </c>
    </row>
    <row r="8" spans="1:35">
      <c r="A8" t="s">
        <v>8</v>
      </c>
      <c r="B8" s="16">
        <f>'BIFUbC-petroleum-diesel pre-CHP'!B8+CHP!B73</f>
        <v>390206857177.38568</v>
      </c>
      <c r="C8" s="16">
        <f>'BIFUbC-petroleum-diesel pre-CHP'!C8+CHP!C73</f>
        <v>403604969441.31854</v>
      </c>
      <c r="D8" s="16">
        <f>'BIFUbC-petroleum-diesel pre-CHP'!D8+CHP!D73</f>
        <v>417003081705.25146</v>
      </c>
      <c r="E8" s="16">
        <f>'BIFUbC-petroleum-diesel pre-CHP'!E8+CHP!E73</f>
        <v>430401193969.18433</v>
      </c>
      <c r="F8" s="16">
        <f>'BIFUbC-petroleum-diesel pre-CHP'!F8+CHP!F73</f>
        <v>443799306233.11719</v>
      </c>
      <c r="G8" s="16">
        <f>'BIFUbC-petroleum-diesel pre-CHP'!G8+CHP!G73</f>
        <v>457197418497.05011</v>
      </c>
      <c r="H8" s="16">
        <f>'BIFUbC-petroleum-diesel pre-CHP'!H8+CHP!H73</f>
        <v>460963860779.05658</v>
      </c>
      <c r="I8" s="16">
        <f>'BIFUbC-petroleum-diesel pre-CHP'!I8+CHP!I73</f>
        <v>464730303061.06274</v>
      </c>
      <c r="J8" s="16">
        <f>'BIFUbC-petroleum-diesel pre-CHP'!J8+CHP!J73</f>
        <v>468496745343.06903</v>
      </c>
      <c r="K8" s="16">
        <f>'BIFUbC-petroleum-diesel pre-CHP'!K8+CHP!K73</f>
        <v>472263187625.07526</v>
      </c>
      <c r="L8" s="16">
        <f>'BIFUbC-petroleum-diesel pre-CHP'!L8+CHP!L73</f>
        <v>476029629907.08154</v>
      </c>
      <c r="M8" s="16">
        <f>'BIFUbC-petroleum-diesel pre-CHP'!M8+CHP!M73</f>
        <v>478140508142.54767</v>
      </c>
      <c r="N8" s="16">
        <f>'BIFUbC-petroleum-diesel pre-CHP'!N8+CHP!N73</f>
        <v>480251386378.01392</v>
      </c>
      <c r="O8" s="16">
        <f>'BIFUbC-petroleum-diesel pre-CHP'!O8+CHP!O73</f>
        <v>482362264613.48004</v>
      </c>
      <c r="P8" s="16">
        <f>'BIFUbC-petroleum-diesel pre-CHP'!P8+CHP!P73</f>
        <v>484473142848.94617</v>
      </c>
      <c r="Q8" s="16">
        <f>'BIFUbC-petroleum-diesel pre-CHP'!Q8+CHP!Q73</f>
        <v>486584021084.41254</v>
      </c>
      <c r="R8" s="16">
        <f>'BIFUbC-petroleum-diesel pre-CHP'!R8+CHP!R73</f>
        <v>488125133405.45374</v>
      </c>
      <c r="S8" s="16">
        <f>'BIFUbC-petroleum-diesel pre-CHP'!S8+CHP!S73</f>
        <v>489666245726.49469</v>
      </c>
      <c r="T8" s="16">
        <f>'BIFUbC-petroleum-diesel pre-CHP'!T8+CHP!T73</f>
        <v>491207358047.53589</v>
      </c>
      <c r="U8" s="16">
        <f>'BIFUbC-petroleum-diesel pre-CHP'!U8+CHP!U73</f>
        <v>492748470368.57703</v>
      </c>
      <c r="V8" s="16">
        <f>'BIFUbC-petroleum-diesel pre-CHP'!V8+CHP!V73</f>
        <v>494289582689.61792</v>
      </c>
      <c r="W8" s="16">
        <f>'BIFUbC-petroleum-diesel pre-CHP'!W8+CHP!W73</f>
        <v>496590382896.55951</v>
      </c>
      <c r="X8" s="16">
        <f>'BIFUbC-petroleum-diesel pre-CHP'!X8+CHP!X73</f>
        <v>498373214090.38666</v>
      </c>
      <c r="Y8" s="16">
        <f>'BIFUbC-petroleum-diesel pre-CHP'!Y8+CHP!Y73</f>
        <v>500156045284.21442</v>
      </c>
      <c r="Z8" s="16">
        <f>'BIFUbC-petroleum-diesel pre-CHP'!Z8+CHP!Z73</f>
        <v>501938876478.04199</v>
      </c>
      <c r="AA8" s="16">
        <f>'BIFUbC-petroleum-diesel pre-CHP'!AA8+CHP!AA73</f>
        <v>503721707671.86951</v>
      </c>
      <c r="AB8" s="16">
        <f>'BIFUbC-petroleum-diesel pre-CHP'!AB8+CHP!AB73</f>
        <v>505504538865.69672</v>
      </c>
      <c r="AC8" s="16">
        <f>'BIFUbC-petroleum-diesel pre-CHP'!AC8+CHP!AC73</f>
        <v>507287370059.52441</v>
      </c>
      <c r="AD8" s="16">
        <f>'BIFUbC-petroleum-diesel pre-CHP'!AD8+CHP!AD73</f>
        <v>509070201253.35199</v>
      </c>
      <c r="AE8" s="16">
        <f>'BIFUbC-petroleum-diesel pre-CHP'!AE8+CHP!AE73</f>
        <v>510853032447.17957</v>
      </c>
      <c r="AF8" s="16">
        <f>'BIFUbC-petroleum-diesel pre-CHP'!AF8+CHP!AF73</f>
        <v>512635863641.00732</v>
      </c>
    </row>
    <row r="9" spans="1:35">
      <c r="A9" t="s">
        <v>9</v>
      </c>
      <c r="B9" s="16">
        <f>'BIFUbC-petroleum-diesel pre-CHP'!B9+CHP!B74</f>
        <v>2059160131010.7529</v>
      </c>
      <c r="C9" s="16">
        <f>'BIFUbC-petroleum-diesel pre-CHP'!C9+CHP!C74</f>
        <v>2131911154985.207</v>
      </c>
      <c r="D9" s="16">
        <f>'BIFUbC-petroleum-diesel pre-CHP'!D9+CHP!D74</f>
        <v>2204662178959.6611</v>
      </c>
      <c r="E9" s="16">
        <f>'BIFUbC-petroleum-diesel pre-CHP'!E9+CHP!E74</f>
        <v>2277413202934.1147</v>
      </c>
      <c r="F9" s="16">
        <f>'BIFUbC-petroleum-diesel pre-CHP'!F9+CHP!F74</f>
        <v>2350164226908.5688</v>
      </c>
      <c r="G9" s="16">
        <f>'BIFUbC-petroleum-diesel pre-CHP'!G9+CHP!G74</f>
        <v>2422915250883.022</v>
      </c>
      <c r="H9" s="16">
        <f>'BIFUbC-petroleum-diesel pre-CHP'!H9+CHP!H74</f>
        <v>2442689967497.9639</v>
      </c>
      <c r="I9" s="16">
        <f>'BIFUbC-petroleum-diesel pre-CHP'!I9+CHP!I74</f>
        <v>2462464684112.9053</v>
      </c>
      <c r="J9" s="16">
        <f>'BIFUbC-petroleum-diesel pre-CHP'!J9+CHP!J74</f>
        <v>2482239400727.8462</v>
      </c>
      <c r="K9" s="16">
        <f>'BIFUbC-petroleum-diesel pre-CHP'!K9+CHP!K74</f>
        <v>2502014117342.7871</v>
      </c>
      <c r="L9" s="16">
        <f>'BIFUbC-petroleum-diesel pre-CHP'!L9+CHP!L74</f>
        <v>2521788833957.7285</v>
      </c>
      <c r="M9" s="16">
        <f>'BIFUbC-petroleum-diesel pre-CHP'!M9+CHP!M74</f>
        <v>2532611329066.52</v>
      </c>
      <c r="N9" s="16">
        <f>'BIFUbC-petroleum-diesel pre-CHP'!N9+CHP!N74</f>
        <v>2543433824175.313</v>
      </c>
      <c r="O9" s="16">
        <f>'BIFUbC-petroleum-diesel pre-CHP'!O9+CHP!O74</f>
        <v>2554256319284.105</v>
      </c>
      <c r="P9" s="16">
        <f>'BIFUbC-petroleum-diesel pre-CHP'!P9+CHP!P74</f>
        <v>2565078814392.8965</v>
      </c>
      <c r="Q9" s="16">
        <f>'BIFUbC-petroleum-diesel pre-CHP'!Q9+CHP!Q74</f>
        <v>2575901309501.689</v>
      </c>
      <c r="R9" s="16">
        <f>'BIFUbC-petroleum-diesel pre-CHP'!R9+CHP!R74</f>
        <v>2583735076162.3003</v>
      </c>
      <c r="S9" s="16">
        <f>'BIFUbC-petroleum-diesel pre-CHP'!S9+CHP!S74</f>
        <v>2591568842822.9116</v>
      </c>
      <c r="T9" s="16">
        <f>'BIFUbC-petroleum-diesel pre-CHP'!T9+CHP!T74</f>
        <v>2599402609483.5234</v>
      </c>
      <c r="U9" s="16">
        <f>'BIFUbC-petroleum-diesel pre-CHP'!U9+CHP!U74</f>
        <v>2607236376144.1343</v>
      </c>
      <c r="V9" s="16">
        <f>'BIFUbC-petroleum-diesel pre-CHP'!V9+CHP!V74</f>
        <v>2615070142804.7446</v>
      </c>
      <c r="W9" s="16">
        <f>'BIFUbC-petroleum-diesel pre-CHP'!W9+CHP!W74</f>
        <v>2626888880729.5991</v>
      </c>
      <c r="X9" s="16">
        <f>'BIFUbC-petroleum-diesel pre-CHP'!X9+CHP!X74</f>
        <v>2635990592792.4673</v>
      </c>
      <c r="Y9" s="16">
        <f>'BIFUbC-petroleum-diesel pre-CHP'!Y9+CHP!Y74</f>
        <v>2645092304855.3384</v>
      </c>
      <c r="Z9" s="16">
        <f>'BIFUbC-petroleum-diesel pre-CHP'!Z9+CHP!Z74</f>
        <v>2654194016918.208</v>
      </c>
      <c r="AA9" s="16">
        <f>'BIFUbC-petroleum-diesel pre-CHP'!AA9+CHP!AA74</f>
        <v>2663295728981.0781</v>
      </c>
      <c r="AB9" s="16">
        <f>'BIFUbC-petroleum-diesel pre-CHP'!AB9+CHP!AB74</f>
        <v>2672397441043.9468</v>
      </c>
      <c r="AC9" s="16">
        <f>'BIFUbC-petroleum-diesel pre-CHP'!AC9+CHP!AC74</f>
        <v>2681499153106.8169</v>
      </c>
      <c r="AD9" s="16">
        <f>'BIFUbC-petroleum-diesel pre-CHP'!AD9+CHP!AD74</f>
        <v>2690600865169.6875</v>
      </c>
      <c r="AE9" s="16">
        <f>'BIFUbC-petroleum-diesel pre-CHP'!AE9+CHP!AE74</f>
        <v>2699702577232.5571</v>
      </c>
      <c r="AF9" s="16">
        <f>'BIFUbC-petroleum-diesel pre-CHP'!AF9+CHP!AF74</f>
        <v>2708804289295.4282</v>
      </c>
    </row>
    <row r="10" spans="1:35">
      <c r="A10" t="s">
        <v>10</v>
      </c>
      <c r="B10" s="16">
        <f>'BIFUbC-petroleum-diesel pre-CHP'!B10+CHP!B75</f>
        <v>0</v>
      </c>
      <c r="C10" s="16">
        <f>'BIFUbC-petroleum-diesel pre-CHP'!C10+CHP!C75</f>
        <v>0</v>
      </c>
      <c r="D10" s="16">
        <f>'BIFUbC-petroleum-diesel pre-CHP'!D10+CHP!D75</f>
        <v>0</v>
      </c>
      <c r="E10" s="16">
        <f>'BIFUbC-petroleum-diesel pre-CHP'!E10+CHP!E75</f>
        <v>0</v>
      </c>
      <c r="F10" s="16">
        <f>'BIFUbC-petroleum-diesel pre-CHP'!F10+CHP!F75</f>
        <v>0</v>
      </c>
      <c r="G10" s="16">
        <f>'BIFUbC-petroleum-diesel pre-CHP'!G10+CHP!G75</f>
        <v>0</v>
      </c>
      <c r="H10" s="16">
        <f>'BIFUbC-petroleum-diesel pre-CHP'!H10+CHP!H75</f>
        <v>0</v>
      </c>
      <c r="I10" s="16">
        <f>'BIFUbC-petroleum-diesel pre-CHP'!I10+CHP!I75</f>
        <v>0</v>
      </c>
      <c r="J10" s="16">
        <f>'BIFUbC-petroleum-diesel pre-CHP'!J10+CHP!J75</f>
        <v>0</v>
      </c>
      <c r="K10" s="16">
        <f>'BIFUbC-petroleum-diesel pre-CHP'!K10+CHP!K75</f>
        <v>0</v>
      </c>
      <c r="L10" s="16">
        <f>'BIFUbC-petroleum-diesel pre-CHP'!L10+CHP!L75</f>
        <v>0</v>
      </c>
      <c r="M10" s="16">
        <f>'BIFUbC-petroleum-diesel pre-CHP'!M10+CHP!M75</f>
        <v>0</v>
      </c>
      <c r="N10" s="16">
        <f>'BIFUbC-petroleum-diesel pre-CHP'!N10+CHP!N75</f>
        <v>0</v>
      </c>
      <c r="O10" s="16">
        <f>'BIFUbC-petroleum-diesel pre-CHP'!O10+CHP!O75</f>
        <v>0</v>
      </c>
      <c r="P10" s="16">
        <f>'BIFUbC-petroleum-diesel pre-CHP'!P10+CHP!P75</f>
        <v>0</v>
      </c>
      <c r="Q10" s="16">
        <f>'BIFUbC-petroleum-diesel pre-CHP'!Q10+CHP!Q75</f>
        <v>0</v>
      </c>
      <c r="R10" s="16">
        <f>'BIFUbC-petroleum-diesel pre-CHP'!R10+CHP!R75</f>
        <v>0</v>
      </c>
      <c r="S10" s="16">
        <f>'BIFUbC-petroleum-diesel pre-CHP'!S10+CHP!S75</f>
        <v>0</v>
      </c>
      <c r="T10" s="16">
        <f>'BIFUbC-petroleum-diesel pre-CHP'!T10+CHP!T75</f>
        <v>0</v>
      </c>
      <c r="U10" s="16">
        <f>'BIFUbC-petroleum-diesel pre-CHP'!U10+CHP!U75</f>
        <v>0</v>
      </c>
      <c r="V10" s="16">
        <f>'BIFUbC-petroleum-diesel pre-CHP'!V10+CHP!V75</f>
        <v>0</v>
      </c>
      <c r="W10" s="16">
        <f>'BIFUbC-petroleum-diesel pre-CHP'!W10+CHP!W75</f>
        <v>0</v>
      </c>
      <c r="X10" s="16">
        <f>'BIFUbC-petroleum-diesel pre-CHP'!X10+CHP!X75</f>
        <v>0</v>
      </c>
      <c r="Y10" s="16">
        <f>'BIFUbC-petroleum-diesel pre-CHP'!Y10+CHP!Y75</f>
        <v>0</v>
      </c>
      <c r="Z10" s="16">
        <f>'BIFUbC-petroleum-diesel pre-CHP'!Z10+CHP!Z75</f>
        <v>0</v>
      </c>
      <c r="AA10" s="16">
        <f>'BIFUbC-petroleum-diesel pre-CHP'!AA10+CHP!AA75</f>
        <v>0</v>
      </c>
      <c r="AB10" s="16">
        <f>'BIFUbC-petroleum-diesel pre-CHP'!AB10+CHP!AB75</f>
        <v>0</v>
      </c>
      <c r="AC10" s="16">
        <f>'BIFUbC-petroleum-diesel pre-CHP'!AC10+CHP!AC75</f>
        <v>0</v>
      </c>
      <c r="AD10" s="16">
        <f>'BIFUbC-petroleum-diesel pre-CHP'!AD10+CHP!AD75</f>
        <v>0</v>
      </c>
      <c r="AE10" s="16">
        <f>'BIFUbC-petroleum-diesel pre-CHP'!AE10+CHP!AE75</f>
        <v>0</v>
      </c>
      <c r="AF10" s="16">
        <f>'BIFUbC-petroleum-diesel pre-CHP'!AF10+CHP!AF75</f>
        <v>0</v>
      </c>
    </row>
    <row r="11" spans="1:35">
      <c r="A11" t="s">
        <v>11</v>
      </c>
      <c r="B11" s="16">
        <f>'BIFUbC-petroleum-diesel pre-CHP'!B11+CHP!B76</f>
        <v>80528704147324.406</v>
      </c>
      <c r="C11" s="16">
        <f>'BIFUbC-petroleum-diesel pre-CHP'!C11+CHP!C76</f>
        <v>88694539044803.156</v>
      </c>
      <c r="D11" s="16">
        <f>'BIFUbC-petroleum-diesel pre-CHP'!D11+CHP!D76</f>
        <v>83713101402299.734</v>
      </c>
      <c r="E11" s="16">
        <f>'BIFUbC-petroleum-diesel pre-CHP'!E11+CHP!E76</f>
        <v>77902607416200.109</v>
      </c>
      <c r="F11" s="16">
        <f>'BIFUbC-petroleum-diesel pre-CHP'!F11+CHP!F76</f>
        <v>75479302474191.234</v>
      </c>
      <c r="G11" s="16">
        <f>'BIFUbC-petroleum-diesel pre-CHP'!G11+CHP!G76</f>
        <v>74162138193397.406</v>
      </c>
      <c r="H11" s="16">
        <f>'BIFUbC-petroleum-diesel pre-CHP'!H11+CHP!H76</f>
        <v>72743974696491.547</v>
      </c>
      <c r="I11" s="16">
        <f>'BIFUbC-petroleum-diesel pre-CHP'!I11+CHP!I76</f>
        <v>71227928544147.313</v>
      </c>
      <c r="J11" s="16">
        <f>'BIFUbC-petroleum-diesel pre-CHP'!J11+CHP!J76</f>
        <v>69607936203270.164</v>
      </c>
      <c r="K11" s="16">
        <f>'BIFUbC-petroleum-diesel pre-CHP'!K11+CHP!K76</f>
        <v>67469907080782.688</v>
      </c>
      <c r="L11" s="16">
        <f>'BIFUbC-petroleum-diesel pre-CHP'!L11+CHP!L76</f>
        <v>63431018160362.625</v>
      </c>
      <c r="M11" s="16">
        <f>'BIFUbC-petroleum-diesel pre-CHP'!M11+CHP!M76</f>
        <v>62972400097015.734</v>
      </c>
      <c r="N11" s="16">
        <f>'BIFUbC-petroleum-diesel pre-CHP'!N11+CHP!N76</f>
        <v>62512409192804.102</v>
      </c>
      <c r="O11" s="16">
        <f>'BIFUbC-petroleum-diesel pre-CHP'!O11+CHP!O76</f>
        <v>62051021975271.328</v>
      </c>
      <c r="P11" s="16">
        <f>'BIFUbC-petroleum-diesel pre-CHP'!P11+CHP!P76</f>
        <v>61588214288164.063</v>
      </c>
      <c r="Q11" s="16">
        <f>'BIFUbC-petroleum-diesel pre-CHP'!Q11+CHP!Q76</f>
        <v>60735217458509.891</v>
      </c>
      <c r="R11" s="16">
        <f>'BIFUbC-petroleum-diesel pre-CHP'!R11+CHP!R76</f>
        <v>60617032202635.086</v>
      </c>
      <c r="S11" s="16">
        <f>'BIFUbC-petroleum-diesel pre-CHP'!S11+CHP!S76</f>
        <v>60498846946760.336</v>
      </c>
      <c r="T11" s="16">
        <f>'BIFUbC-petroleum-diesel pre-CHP'!T11+CHP!T76</f>
        <v>60380661690885.531</v>
      </c>
      <c r="U11" s="16">
        <f>'BIFUbC-petroleum-diesel pre-CHP'!U11+CHP!U76</f>
        <v>60262476435010.734</v>
      </c>
      <c r="V11" s="16">
        <f>'BIFUbC-petroleum-diesel pre-CHP'!V11+CHP!V76</f>
        <v>60144291179135.969</v>
      </c>
      <c r="W11" s="16">
        <f>'BIFUbC-petroleum-diesel pre-CHP'!W11+CHP!W76</f>
        <v>60045192970527</v>
      </c>
      <c r="X11" s="16">
        <f>'BIFUbC-petroleum-diesel pre-CHP'!X11+CHP!X76</f>
        <v>59946094761918.047</v>
      </c>
      <c r="Y11" s="16">
        <f>'BIFUbC-petroleum-diesel pre-CHP'!Y11+CHP!Y76</f>
        <v>59846996553309.109</v>
      </c>
      <c r="Z11" s="16">
        <f>'BIFUbC-petroleum-diesel pre-CHP'!Z11+CHP!Z76</f>
        <v>59747898344700.141</v>
      </c>
      <c r="AA11" s="16">
        <f>'BIFUbC-petroleum-diesel pre-CHP'!AA11+CHP!AA76</f>
        <v>59648800136091.227</v>
      </c>
      <c r="AB11" s="16">
        <f>'BIFUbC-petroleum-diesel pre-CHP'!AB11+CHP!AB76</f>
        <v>59549701927482.266</v>
      </c>
      <c r="AC11" s="16">
        <f>'BIFUbC-petroleum-diesel pre-CHP'!AC11+CHP!AC76</f>
        <v>59450603718873.336</v>
      </c>
      <c r="AD11" s="16">
        <f>'BIFUbC-petroleum-diesel pre-CHP'!AD11+CHP!AD76</f>
        <v>59351505510264.367</v>
      </c>
      <c r="AE11" s="16">
        <f>'BIFUbC-petroleum-diesel pre-CHP'!AE11+CHP!AE76</f>
        <v>59252407301655.398</v>
      </c>
      <c r="AF11" s="16">
        <f>'BIFUbC-petroleum-diesel pre-CHP'!AF11+CHP!AF76</f>
        <v>59153309093046.484</v>
      </c>
    </row>
    <row r="12" spans="1:35">
      <c r="A12" t="s">
        <v>12</v>
      </c>
      <c r="B12" s="16">
        <f>'BIFUbC-petroleum-diesel pre-CHP'!B12+CHP!B77</f>
        <v>43676156600028.75</v>
      </c>
      <c r="C12" s="16">
        <f>'BIFUbC-petroleum-diesel pre-CHP'!C12+CHP!C77</f>
        <v>47703990577531.039</v>
      </c>
      <c r="D12" s="16">
        <f>'BIFUbC-petroleum-diesel pre-CHP'!D12+CHP!D77</f>
        <v>45037676584098.367</v>
      </c>
      <c r="E12" s="16">
        <f>'BIFUbC-petroleum-diesel pre-CHP'!E12+CHP!E77</f>
        <v>41926498990710.281</v>
      </c>
      <c r="F12" s="16">
        <f>'BIFUbC-petroleum-diesel pre-CHP'!F12+CHP!F77</f>
        <v>40632666004838.156</v>
      </c>
      <c r="G12" s="16">
        <f>'BIFUbC-petroleum-diesel pre-CHP'!G12+CHP!G77</f>
        <v>39933751298638.203</v>
      </c>
      <c r="H12" s="16">
        <f>'BIFUbC-petroleum-diesel pre-CHP'!H12+CHP!H77</f>
        <v>39180043358645.547</v>
      </c>
      <c r="I12" s="16">
        <f>'BIFUbC-petroleum-diesel pre-CHP'!I12+CHP!I77</f>
        <v>38373182029026.328</v>
      </c>
      <c r="J12" s="16">
        <f>'BIFUbC-petroleum-diesel pre-CHP'!J12+CHP!J77</f>
        <v>37509862203090.477</v>
      </c>
      <c r="K12" s="16">
        <f>'BIFUbC-petroleum-diesel pre-CHP'!K12+CHP!K77</f>
        <v>36375560168651.992</v>
      </c>
      <c r="L12" s="16">
        <f>'BIFUbC-petroleum-diesel pre-CHP'!L12+CHP!L77</f>
        <v>34254062610955.934</v>
      </c>
      <c r="M12" s="16">
        <f>'BIFUbC-petroleum-diesel pre-CHP'!M12+CHP!M77</f>
        <v>34006399364928.82</v>
      </c>
      <c r="N12" s="16">
        <f>'BIFUbC-petroleum-diesel pre-CHP'!N12+CHP!N77</f>
        <v>33757994756421.664</v>
      </c>
      <c r="O12" s="16">
        <f>'BIFUbC-petroleum-diesel pre-CHP'!O12+CHP!O77</f>
        <v>33508836109822.191</v>
      </c>
      <c r="P12" s="16">
        <f>'BIFUbC-petroleum-diesel pre-CHP'!P12+CHP!P77</f>
        <v>33258910380253.648</v>
      </c>
      <c r="Q12" s="16">
        <f>'BIFUbC-petroleum-diesel pre-CHP'!Q12+CHP!Q77</f>
        <v>32806890382326.484</v>
      </c>
      <c r="R12" s="16">
        <f>'BIFUbC-petroleum-diesel pre-CHP'!R12+CHP!R77</f>
        <v>32744779540353.957</v>
      </c>
      <c r="S12" s="16">
        <f>'BIFUbC-petroleum-diesel pre-CHP'!S12+CHP!S77</f>
        <v>32682668698381.449</v>
      </c>
      <c r="T12" s="16">
        <f>'BIFUbC-petroleum-diesel pre-CHP'!T12+CHP!T77</f>
        <v>32620557856408.918</v>
      </c>
      <c r="U12" s="16">
        <f>'BIFUbC-petroleum-diesel pre-CHP'!U12+CHP!U77</f>
        <v>32558447014436.395</v>
      </c>
      <c r="V12" s="16">
        <f>'BIFUbC-petroleum-diesel pre-CHP'!V12+CHP!V77</f>
        <v>32496336172463.883</v>
      </c>
      <c r="W12" s="16">
        <f>'BIFUbC-petroleum-diesel pre-CHP'!W12+CHP!W77</f>
        <v>32443653777893.379</v>
      </c>
      <c r="X12" s="16">
        <f>'BIFUbC-petroleum-diesel pre-CHP'!X12+CHP!X77</f>
        <v>32390971383322.883</v>
      </c>
      <c r="Y12" s="16">
        <f>'BIFUbC-petroleum-diesel pre-CHP'!Y12+CHP!Y77</f>
        <v>32338288988752.395</v>
      </c>
      <c r="Z12" s="16">
        <f>'BIFUbC-petroleum-diesel pre-CHP'!Z12+CHP!Z77</f>
        <v>32285606594181.887</v>
      </c>
      <c r="AA12" s="16">
        <f>'BIFUbC-petroleum-diesel pre-CHP'!AA12+CHP!AA77</f>
        <v>32232924199611.41</v>
      </c>
      <c r="AB12" s="16">
        <f>'BIFUbC-petroleum-diesel pre-CHP'!AB12+CHP!AB77</f>
        <v>32180241805040.906</v>
      </c>
      <c r="AC12" s="16">
        <f>'BIFUbC-petroleum-diesel pre-CHP'!AC12+CHP!AC77</f>
        <v>32127559410470.426</v>
      </c>
      <c r="AD12" s="16">
        <f>'BIFUbC-petroleum-diesel pre-CHP'!AD12+CHP!AD77</f>
        <v>32074877015899.918</v>
      </c>
      <c r="AE12" s="16">
        <f>'BIFUbC-petroleum-diesel pre-CHP'!AE12+CHP!AE77</f>
        <v>32022194621329.414</v>
      </c>
      <c r="AF12" s="16">
        <f>'BIFUbC-petroleum-diesel pre-CHP'!AF12+CHP!AF77</f>
        <v>31969512226758.938</v>
      </c>
    </row>
    <row r="13" spans="1:35">
      <c r="A13" t="s">
        <v>13</v>
      </c>
      <c r="B13" s="16">
        <f>'BIFUbC-petroleum-diesel pre-CHP'!B13+CHP!B78</f>
        <v>696068877853.00439</v>
      </c>
      <c r="C13" s="16">
        <f>'BIFUbC-petroleum-diesel pre-CHP'!C13+CHP!C78</f>
        <v>720615129339.31958</v>
      </c>
      <c r="D13" s="16">
        <f>'BIFUbC-petroleum-diesel pre-CHP'!D13+CHP!D78</f>
        <v>745161380825.63477</v>
      </c>
      <c r="E13" s="16">
        <f>'BIFUbC-petroleum-diesel pre-CHP'!E13+CHP!E78</f>
        <v>769707632311.94995</v>
      </c>
      <c r="F13" s="16">
        <f>'BIFUbC-petroleum-diesel pre-CHP'!F13+CHP!F78</f>
        <v>794253883798.26526</v>
      </c>
      <c r="G13" s="16">
        <f>'BIFUbC-petroleum-diesel pre-CHP'!G13+CHP!G78</f>
        <v>818800135284.58044</v>
      </c>
      <c r="H13" s="16">
        <f>'BIFUbC-petroleum-diesel pre-CHP'!H13+CHP!H78</f>
        <v>825486968884.21484</v>
      </c>
      <c r="I13" s="16">
        <f>'BIFUbC-petroleum-diesel pre-CHP'!I13+CHP!I78</f>
        <v>832173802483.84888</v>
      </c>
      <c r="J13" s="16">
        <f>'BIFUbC-petroleum-diesel pre-CHP'!J13+CHP!J78</f>
        <v>838860636083.48303</v>
      </c>
      <c r="K13" s="16">
        <f>'BIFUbC-petroleum-diesel pre-CHP'!K13+CHP!K78</f>
        <v>845547469683.11707</v>
      </c>
      <c r="L13" s="16">
        <f>'BIFUbC-petroleum-diesel pre-CHP'!L13+CHP!L78</f>
        <v>852234303282.75122</v>
      </c>
      <c r="M13" s="16">
        <f>'BIFUbC-petroleum-diesel pre-CHP'!M13+CHP!M78</f>
        <v>855899831043.42749</v>
      </c>
      <c r="N13" s="16">
        <f>'BIFUbC-petroleum-diesel pre-CHP'!N13+CHP!N78</f>
        <v>859565358804.10364</v>
      </c>
      <c r="O13" s="16">
        <f>'BIFUbC-petroleum-diesel pre-CHP'!O13+CHP!O78</f>
        <v>863230886564.77991</v>
      </c>
      <c r="P13" s="16">
        <f>'BIFUbC-petroleum-diesel pre-CHP'!P13+CHP!P78</f>
        <v>866896414325.45605</v>
      </c>
      <c r="Q13" s="16">
        <f>'BIFUbC-petroleum-diesel pre-CHP'!Q13+CHP!Q78</f>
        <v>870561942086.13232</v>
      </c>
      <c r="R13" s="16">
        <f>'BIFUbC-petroleum-diesel pre-CHP'!R13+CHP!R78</f>
        <v>873216768652.89465</v>
      </c>
      <c r="S13" s="16">
        <f>'BIFUbC-petroleum-diesel pre-CHP'!S13+CHP!S78</f>
        <v>875871595219.65698</v>
      </c>
      <c r="T13" s="16">
        <f>'BIFUbC-petroleum-diesel pre-CHP'!T13+CHP!T78</f>
        <v>878526421786.41919</v>
      </c>
      <c r="U13" s="16">
        <f>'BIFUbC-petroleum-diesel pre-CHP'!U13+CHP!U78</f>
        <v>881181248353.18152</v>
      </c>
      <c r="V13" s="16">
        <f>'BIFUbC-petroleum-diesel pre-CHP'!V13+CHP!V78</f>
        <v>883836074919.9436</v>
      </c>
      <c r="W13" s="16">
        <f>'BIFUbC-petroleum-diesel pre-CHP'!W13+CHP!W78</f>
        <v>887838503078.5918</v>
      </c>
      <c r="X13" s="16">
        <f>'BIFUbC-petroleum-diesel pre-CHP'!X13+CHP!X78</f>
        <v>890922111970.04419</v>
      </c>
      <c r="Y13" s="16">
        <f>'BIFUbC-petroleum-diesel pre-CHP'!Y13+CHP!Y78</f>
        <v>894005720861.49756</v>
      </c>
      <c r="Z13" s="16">
        <f>'BIFUbC-petroleum-diesel pre-CHP'!Z13+CHP!Z78</f>
        <v>897089329752.95068</v>
      </c>
      <c r="AA13" s="16">
        <f>'BIFUbC-petroleum-diesel pre-CHP'!AA13+CHP!AA78</f>
        <v>900172938644.40393</v>
      </c>
      <c r="AB13" s="16">
        <f>'BIFUbC-petroleum-diesel pre-CHP'!AB13+CHP!AB78</f>
        <v>903256547535.85645</v>
      </c>
      <c r="AC13" s="16">
        <f>'BIFUbC-petroleum-diesel pre-CHP'!AC13+CHP!AC78</f>
        <v>906340156427.30969</v>
      </c>
      <c r="AD13" s="16">
        <f>'BIFUbC-petroleum-diesel pre-CHP'!AD13+CHP!AD78</f>
        <v>909423765318.76282</v>
      </c>
      <c r="AE13" s="16">
        <f>'BIFUbC-petroleum-diesel pre-CHP'!AE13+CHP!AE78</f>
        <v>912507374210.21619</v>
      </c>
      <c r="AF13" s="16">
        <f>'BIFUbC-petroleum-diesel pre-CHP'!AF13+CHP!AF78</f>
        <v>915590983101.66943</v>
      </c>
    </row>
    <row r="14" spans="1:35">
      <c r="A14" t="s">
        <v>14</v>
      </c>
      <c r="B14" s="16">
        <f>'BIFUbC-petroleum-diesel pre-CHP'!B14+CHP!B79</f>
        <v>9781245907959.6797</v>
      </c>
      <c r="C14" s="16">
        <f>'BIFUbC-petroleum-diesel pre-CHP'!C14+CHP!C79</f>
        <v>10021196981353.131</v>
      </c>
      <c r="D14" s="16">
        <f>'BIFUbC-petroleum-diesel pre-CHP'!D14+CHP!D79</f>
        <v>10261148054746.582</v>
      </c>
      <c r="E14" s="16">
        <f>'BIFUbC-petroleum-diesel pre-CHP'!E14+CHP!E79</f>
        <v>10501099128140.035</v>
      </c>
      <c r="F14" s="16">
        <f>'BIFUbC-petroleum-diesel pre-CHP'!F14+CHP!F79</f>
        <v>10741050201533.488</v>
      </c>
      <c r="G14" s="16">
        <f>'BIFUbC-petroleum-diesel pre-CHP'!G14+CHP!G79</f>
        <v>10981001274926.939</v>
      </c>
      <c r="H14" s="16">
        <f>'BIFUbC-petroleum-diesel pre-CHP'!H14+CHP!H79</f>
        <v>11080151653828.564</v>
      </c>
      <c r="I14" s="16">
        <f>'BIFUbC-petroleum-diesel pre-CHP'!I14+CHP!I79</f>
        <v>11179302032730.162</v>
      </c>
      <c r="J14" s="16">
        <f>'BIFUbC-petroleum-diesel pre-CHP'!J14+CHP!J79</f>
        <v>11278452411631.762</v>
      </c>
      <c r="K14" s="16">
        <f>'BIFUbC-petroleum-diesel pre-CHP'!K14+CHP!K79</f>
        <v>11377602790533.359</v>
      </c>
      <c r="L14" s="16">
        <f>'BIFUbC-petroleum-diesel pre-CHP'!L14+CHP!L79</f>
        <v>11476753169434.977</v>
      </c>
      <c r="M14" s="16">
        <f>'BIFUbC-petroleum-diesel pre-CHP'!M14+CHP!M79</f>
        <v>11544502085285.813</v>
      </c>
      <c r="N14" s="16">
        <f>'BIFUbC-petroleum-diesel pre-CHP'!N14+CHP!N79</f>
        <v>11612251001136.67</v>
      </c>
      <c r="O14" s="16">
        <f>'BIFUbC-petroleum-diesel pre-CHP'!O14+CHP!O79</f>
        <v>11679999916987.527</v>
      </c>
      <c r="P14" s="16">
        <f>'BIFUbC-petroleum-diesel pre-CHP'!P14+CHP!P79</f>
        <v>11747748832838.381</v>
      </c>
      <c r="Q14" s="16">
        <f>'BIFUbC-petroleum-diesel pre-CHP'!Q14+CHP!Q79</f>
        <v>11815497748689.234</v>
      </c>
      <c r="R14" s="16">
        <f>'BIFUbC-petroleum-diesel pre-CHP'!R14+CHP!R79</f>
        <v>11868122358387.123</v>
      </c>
      <c r="S14" s="16">
        <f>'BIFUbC-petroleum-diesel pre-CHP'!S14+CHP!S79</f>
        <v>11920746968084.977</v>
      </c>
      <c r="T14" s="16">
        <f>'BIFUbC-petroleum-diesel pre-CHP'!T14+CHP!T79</f>
        <v>11973371577782.844</v>
      </c>
      <c r="U14" s="16">
        <f>'BIFUbC-petroleum-diesel pre-CHP'!U14+CHP!U79</f>
        <v>12025996187480.713</v>
      </c>
      <c r="V14" s="16">
        <f>'BIFUbC-petroleum-diesel pre-CHP'!V14+CHP!V79</f>
        <v>12078620797178.566</v>
      </c>
      <c r="W14" s="16">
        <f>'BIFUbC-petroleum-diesel pre-CHP'!W14+CHP!W79</f>
        <v>12151411148413.756</v>
      </c>
      <c r="X14" s="16">
        <f>'BIFUbC-petroleum-diesel pre-CHP'!X14+CHP!X79</f>
        <v>12210452130418.945</v>
      </c>
      <c r="Y14" s="16">
        <f>'BIFUbC-petroleum-diesel pre-CHP'!Y14+CHP!Y79</f>
        <v>12269493112424.156</v>
      </c>
      <c r="Z14" s="16">
        <f>'BIFUbC-petroleum-diesel pre-CHP'!Z14+CHP!Z79</f>
        <v>12328534094429.35</v>
      </c>
      <c r="AA14" s="16">
        <f>'BIFUbC-petroleum-diesel pre-CHP'!AA14+CHP!AA79</f>
        <v>12387575076434.539</v>
      </c>
      <c r="AB14" s="16">
        <f>'BIFUbC-petroleum-diesel pre-CHP'!AB14+CHP!AB79</f>
        <v>12446616058439.729</v>
      </c>
      <c r="AC14" s="16">
        <f>'BIFUbC-petroleum-diesel pre-CHP'!AC14+CHP!AC79</f>
        <v>12505657040444.938</v>
      </c>
      <c r="AD14" s="16">
        <f>'BIFUbC-petroleum-diesel pre-CHP'!AD14+CHP!AD79</f>
        <v>12564698022450.131</v>
      </c>
      <c r="AE14" s="16">
        <f>'BIFUbC-petroleum-diesel pre-CHP'!AE14+CHP!AE79</f>
        <v>12623739004455.322</v>
      </c>
      <c r="AF14" s="16">
        <f>'BIFUbC-petroleum-diesel pre-CHP'!AF14+CHP!AF79</f>
        <v>12682779986460.531</v>
      </c>
    </row>
    <row r="15" spans="1:35">
      <c r="A15" t="s">
        <v>15</v>
      </c>
      <c r="B15" s="16">
        <f>'BIFUbC-petroleum-diesel pre-CHP'!B15+CHP!B80</f>
        <v>5325011634194.9434</v>
      </c>
      <c r="C15" s="16">
        <f>'BIFUbC-petroleum-diesel pre-CHP'!C15+CHP!C80</f>
        <v>5617903245997.2744</v>
      </c>
      <c r="D15" s="16">
        <f>'BIFUbC-petroleum-diesel pre-CHP'!D15+CHP!D80</f>
        <v>5181141906072.7578</v>
      </c>
      <c r="E15" s="16">
        <f>'BIFUbC-petroleum-diesel pre-CHP'!E15+CHP!E80</f>
        <v>5019305537371.0098</v>
      </c>
      <c r="F15" s="16">
        <f>'BIFUbC-petroleum-diesel pre-CHP'!F15+CHP!F80</f>
        <v>5155531364542.2793</v>
      </c>
      <c r="G15" s="16">
        <f>'BIFUbC-petroleum-diesel pre-CHP'!G15+CHP!G80</f>
        <v>5155531364542.2793</v>
      </c>
      <c r="H15" s="16">
        <f>'BIFUbC-petroleum-diesel pre-CHP'!H15+CHP!H80</f>
        <v>5155531364542.2793</v>
      </c>
      <c r="I15" s="16">
        <f>'BIFUbC-petroleum-diesel pre-CHP'!I15+CHP!I80</f>
        <v>4852961447492.4375</v>
      </c>
      <c r="J15" s="16">
        <f>'BIFUbC-petroleum-diesel pre-CHP'!J15+CHP!J80</f>
        <v>5148628383448.2773</v>
      </c>
      <c r="K15" s="16">
        <f>'BIFUbC-petroleum-diesel pre-CHP'!K15+CHP!K80</f>
        <v>5198228785818.7129</v>
      </c>
      <c r="L15" s="16">
        <f>'BIFUbC-petroleum-diesel pre-CHP'!L15+CHP!L80</f>
        <v>5725538750490.125</v>
      </c>
      <c r="M15" s="16">
        <f>'BIFUbC-petroleum-diesel pre-CHP'!M15+CHP!M80</f>
        <v>5995561150968.0313</v>
      </c>
      <c r="N15" s="16">
        <f>'BIFUbC-petroleum-diesel pre-CHP'!N15+CHP!N80</f>
        <v>6258826724611.4395</v>
      </c>
      <c r="O15" s="16">
        <f>'BIFUbC-petroleum-diesel pre-CHP'!O15+CHP!O80</f>
        <v>6831880694242.3506</v>
      </c>
      <c r="P15" s="16">
        <f>'BIFUbC-petroleum-diesel pre-CHP'!P15+CHP!P80</f>
        <v>6551723363640.6455</v>
      </c>
      <c r="Q15" s="16">
        <f>'BIFUbC-petroleum-diesel pre-CHP'!Q15+CHP!Q80</f>
        <v>8935936669753.5117</v>
      </c>
      <c r="R15" s="16">
        <f>'BIFUbC-petroleum-diesel pre-CHP'!R15+CHP!R80</f>
        <v>8935936669753.5117</v>
      </c>
      <c r="S15" s="16">
        <f>'BIFUbC-petroleum-diesel pre-CHP'!S15+CHP!S80</f>
        <v>8935936669753.5117</v>
      </c>
      <c r="T15" s="16">
        <f>'BIFUbC-petroleum-diesel pre-CHP'!T15+CHP!T80</f>
        <v>8927949525285.8867</v>
      </c>
      <c r="U15" s="16">
        <f>'BIFUbC-petroleum-diesel pre-CHP'!U15+CHP!U80</f>
        <v>8427542126994.4111</v>
      </c>
      <c r="V15" s="16">
        <f>'BIFUbC-petroleum-diesel pre-CHP'!V15+CHP!V80</f>
        <v>9382632076379.2637</v>
      </c>
      <c r="W15" s="16">
        <f>'BIFUbC-petroleum-diesel pre-CHP'!W15+CHP!W80</f>
        <v>9904916962156.4688</v>
      </c>
      <c r="X15" s="16">
        <f>'BIFUbC-petroleum-diesel pre-CHP'!X15+CHP!X80</f>
        <v>9514656587991.2969</v>
      </c>
      <c r="Y15" s="16">
        <f>'BIFUbC-petroleum-diesel pre-CHP'!Y15+CHP!Y80</f>
        <v>9571445826780.5176</v>
      </c>
      <c r="Z15" s="16">
        <f>'BIFUbC-petroleum-diesel pre-CHP'!Z15+CHP!Z80</f>
        <v>9571445826780.5176</v>
      </c>
      <c r="AA15" s="16">
        <f>'BIFUbC-petroleum-diesel pre-CHP'!AA15+CHP!AA80</f>
        <v>9953481806534.4609</v>
      </c>
      <c r="AB15" s="16">
        <f>'BIFUbC-petroleum-diesel pre-CHP'!AB15+CHP!AB80</f>
        <v>9953481806534.4609</v>
      </c>
      <c r="AC15" s="16">
        <f>'BIFUbC-petroleum-diesel pre-CHP'!AC15+CHP!AC80</f>
        <v>10526535776165.375</v>
      </c>
      <c r="AD15" s="16">
        <f>'BIFUbC-petroleum-diesel pre-CHP'!AD15+CHP!AD80</f>
        <v>10526535776165.375</v>
      </c>
      <c r="AE15" s="16">
        <f>'BIFUbC-petroleum-diesel pre-CHP'!AE15+CHP!AE80</f>
        <v>10526535776165.375</v>
      </c>
      <c r="AF15" s="16">
        <f>'BIFUbC-petroleum-diesel pre-CHP'!AF15+CHP!AF80</f>
        <v>10526535776165.375</v>
      </c>
    </row>
    <row r="16" spans="1:35">
      <c r="A16" t="s">
        <v>16</v>
      </c>
      <c r="B16" s="16">
        <f>'BIFUbC-petroleum-diesel pre-CHP'!B16+CHP!B81</f>
        <v>1055929412409.3114</v>
      </c>
      <c r="C16" s="16">
        <f>'BIFUbC-petroleum-diesel pre-CHP'!C16+CHP!C81</f>
        <v>1085256324839.8776</v>
      </c>
      <c r="D16" s="16">
        <f>'BIFUbC-petroleum-diesel pre-CHP'!D16+CHP!D81</f>
        <v>1202563974562.1421</v>
      </c>
      <c r="E16" s="16">
        <f>'BIFUbC-petroleum-diesel pre-CHP'!E16+CHP!E81</f>
        <v>1143910149701.01</v>
      </c>
      <c r="F16" s="16">
        <f>'BIFUbC-petroleum-diesel pre-CHP'!F16+CHP!F81</f>
        <v>1173237062131.5759</v>
      </c>
      <c r="G16" s="16">
        <f>'BIFUbC-petroleum-diesel pre-CHP'!G16+CHP!G81</f>
        <v>1202563974562.1421</v>
      </c>
      <c r="H16" s="16">
        <f>'BIFUbC-petroleum-diesel pre-CHP'!H16+CHP!H81</f>
        <v>1209561057768.9646</v>
      </c>
      <c r="I16" s="16">
        <f>'BIFUbC-petroleum-diesel pre-CHP'!I16+CHP!I81</f>
        <v>1216558140975.7871</v>
      </c>
      <c r="J16" s="16">
        <f>'BIFUbC-petroleum-diesel pre-CHP'!J16+CHP!J81</f>
        <v>1223555224182.6096</v>
      </c>
      <c r="K16" s="16">
        <f>'BIFUbC-petroleum-diesel pre-CHP'!K16+CHP!K81</f>
        <v>1230552307389.4321</v>
      </c>
      <c r="L16" s="16">
        <f>'BIFUbC-petroleum-diesel pre-CHP'!L16+CHP!L81</f>
        <v>1237549390596.2546</v>
      </c>
      <c r="M16" s="16">
        <f>'BIFUbC-petroleum-diesel pre-CHP'!M16+CHP!M81</f>
        <v>1242765176432.8352</v>
      </c>
      <c r="N16" s="16">
        <f>'BIFUbC-petroleum-diesel pre-CHP'!N16+CHP!N81</f>
        <v>1247980962269.416</v>
      </c>
      <c r="O16" s="16">
        <f>'BIFUbC-petroleum-diesel pre-CHP'!O16+CHP!O81</f>
        <v>1253196748105.9968</v>
      </c>
      <c r="P16" s="16">
        <f>'BIFUbC-petroleum-diesel pre-CHP'!P16+CHP!P81</f>
        <v>1258412533942.5774</v>
      </c>
      <c r="Q16" s="16">
        <f>'BIFUbC-petroleum-diesel pre-CHP'!Q16+CHP!Q81</f>
        <v>1263628319779.1582</v>
      </c>
      <c r="R16" s="16">
        <f>'BIFUbC-petroleum-diesel pre-CHP'!R16+CHP!R81</f>
        <v>1269917362861.4819</v>
      </c>
      <c r="S16" s="16">
        <f>'BIFUbC-petroleum-diesel pre-CHP'!S16+CHP!S81</f>
        <v>1276206405943.8057</v>
      </c>
      <c r="T16" s="16">
        <f>'BIFUbC-petroleum-diesel pre-CHP'!T16+CHP!T81</f>
        <v>1282495449026.1294</v>
      </c>
      <c r="U16" s="16">
        <f>'BIFUbC-petroleum-diesel pre-CHP'!U16+CHP!U81</f>
        <v>1288784492108.4531</v>
      </c>
      <c r="V16" s="16">
        <f>'BIFUbC-petroleum-diesel pre-CHP'!V16+CHP!V81</f>
        <v>1295073535190.7769</v>
      </c>
      <c r="W16" s="16">
        <f>'BIFUbC-petroleum-diesel pre-CHP'!W16+CHP!W81</f>
        <v>1299931568612.1099</v>
      </c>
      <c r="X16" s="16">
        <f>'BIFUbC-petroleum-diesel pre-CHP'!X16+CHP!X81</f>
        <v>1305765290438.6633</v>
      </c>
      <c r="Y16" s="16">
        <f>'BIFUbC-petroleum-diesel pre-CHP'!Y16+CHP!Y81</f>
        <v>1311599012265.2168</v>
      </c>
      <c r="Z16" s="16">
        <f>'BIFUbC-petroleum-diesel pre-CHP'!Z16+CHP!Z81</f>
        <v>1317432734091.7705</v>
      </c>
      <c r="AA16" s="16">
        <f>'BIFUbC-petroleum-diesel pre-CHP'!AA16+CHP!AA81</f>
        <v>1323266455918.324</v>
      </c>
      <c r="AB16" s="16">
        <f>'BIFUbC-petroleum-diesel pre-CHP'!AB16+CHP!AB81</f>
        <v>1329100177744.8799</v>
      </c>
      <c r="AC16" s="16">
        <f>'BIFUbC-petroleum-diesel pre-CHP'!AC16+CHP!AC81</f>
        <v>1334933899571.4333</v>
      </c>
      <c r="AD16" s="16">
        <f>'BIFUbC-petroleum-diesel pre-CHP'!AD16+CHP!AD81</f>
        <v>1340767621397.9868</v>
      </c>
      <c r="AE16" s="16">
        <f>'BIFUbC-petroleum-diesel pre-CHP'!AE16+CHP!AE81</f>
        <v>1346601343224.5405</v>
      </c>
      <c r="AF16" s="16">
        <f>'BIFUbC-petroleum-diesel pre-CHP'!AF16+CHP!AF81</f>
        <v>1352435065051.094</v>
      </c>
    </row>
    <row r="17" spans="1:33">
      <c r="A17" t="s">
        <v>17</v>
      </c>
      <c r="B17" s="16">
        <f>'BIFUbC-petroleum-diesel pre-CHP'!B17+CHP!B82</f>
        <v>3711842302077.9048</v>
      </c>
      <c r="C17" s="16">
        <f>'BIFUbC-petroleum-diesel pre-CHP'!C17+CHP!C82</f>
        <v>3792742699501.3408</v>
      </c>
      <c r="D17" s="16">
        <f>'BIFUbC-petroleum-diesel pre-CHP'!D17+CHP!D82</f>
        <v>4116344289195.085</v>
      </c>
      <c r="E17" s="16">
        <f>'BIFUbC-petroleum-diesel pre-CHP'!E17+CHP!E82</f>
        <v>3954543494348.2129</v>
      </c>
      <c r="F17" s="16">
        <f>'BIFUbC-petroleum-diesel pre-CHP'!F17+CHP!F82</f>
        <v>4035443891771.6489</v>
      </c>
      <c r="G17" s="16">
        <f>'BIFUbC-petroleum-diesel pre-CHP'!G17+CHP!G82</f>
        <v>4116344289195.085</v>
      </c>
      <c r="H17" s="16">
        <f>'BIFUbC-petroleum-diesel pre-CHP'!H17+CHP!H82</f>
        <v>4129382196926.4277</v>
      </c>
      <c r="I17" s="16">
        <f>'BIFUbC-petroleum-diesel pre-CHP'!I17+CHP!I82</f>
        <v>4142420104657.772</v>
      </c>
      <c r="J17" s="16">
        <f>'BIFUbC-petroleum-diesel pre-CHP'!J17+CHP!J82</f>
        <v>4155458012389.1147</v>
      </c>
      <c r="K17" s="16">
        <f>'BIFUbC-petroleum-diesel pre-CHP'!K17+CHP!K82</f>
        <v>4168495920120.458</v>
      </c>
      <c r="L17" s="16">
        <f>'BIFUbC-petroleum-diesel pre-CHP'!L17+CHP!L82</f>
        <v>4181533827851.8018</v>
      </c>
      <c r="M17" s="16">
        <f>'BIFUbC-petroleum-diesel pre-CHP'!M17+CHP!M82</f>
        <v>4187873853304.5708</v>
      </c>
      <c r="N17" s="16">
        <f>'BIFUbC-petroleum-diesel pre-CHP'!N17+CHP!N82</f>
        <v>4194213878757.3413</v>
      </c>
      <c r="O17" s="16">
        <f>'BIFUbC-petroleum-diesel pre-CHP'!O17+CHP!O82</f>
        <v>4200553904210.1108</v>
      </c>
      <c r="P17" s="16">
        <f>'BIFUbC-petroleum-diesel pre-CHP'!P17+CHP!P82</f>
        <v>4206893929662.8799</v>
      </c>
      <c r="Q17" s="16">
        <f>'BIFUbC-petroleum-diesel pre-CHP'!Q17+CHP!Q82</f>
        <v>4213233955115.6504</v>
      </c>
      <c r="R17" s="16">
        <f>'BIFUbC-petroleum-diesel pre-CHP'!R17+CHP!R82</f>
        <v>4225530487644.0552</v>
      </c>
      <c r="S17" s="16">
        <f>'BIFUbC-petroleum-diesel pre-CHP'!S17+CHP!S82</f>
        <v>4237827020172.46</v>
      </c>
      <c r="T17" s="16">
        <f>'BIFUbC-petroleum-diesel pre-CHP'!T17+CHP!T82</f>
        <v>4250123552700.8652</v>
      </c>
      <c r="U17" s="16">
        <f>'BIFUbC-petroleum-diesel pre-CHP'!U17+CHP!U82</f>
        <v>4262420085229.27</v>
      </c>
      <c r="V17" s="16">
        <f>'BIFUbC-petroleum-diesel pre-CHP'!V17+CHP!V82</f>
        <v>4274716617757.6748</v>
      </c>
      <c r="W17" s="16">
        <f>'BIFUbC-petroleum-diesel pre-CHP'!W17+CHP!W82</f>
        <v>4279071140851.8994</v>
      </c>
      <c r="X17" s="16">
        <f>'BIFUbC-petroleum-diesel pre-CHP'!X17+CHP!X82</f>
        <v>4288840670378.5195</v>
      </c>
      <c r="Y17" s="16">
        <f>'BIFUbC-petroleum-diesel pre-CHP'!Y17+CHP!Y82</f>
        <v>4298610199905.1387</v>
      </c>
      <c r="Z17" s="16">
        <f>'BIFUbC-petroleum-diesel pre-CHP'!Z17+CHP!Z82</f>
        <v>4308379729431.7578</v>
      </c>
      <c r="AA17" s="16">
        <f>'BIFUbC-petroleum-diesel pre-CHP'!AA17+CHP!AA82</f>
        <v>4318149258958.377</v>
      </c>
      <c r="AB17" s="16">
        <f>'BIFUbC-petroleum-diesel pre-CHP'!AB17+CHP!AB82</f>
        <v>4327918788485.001</v>
      </c>
      <c r="AC17" s="16">
        <f>'BIFUbC-petroleum-diesel pre-CHP'!AC17+CHP!AC82</f>
        <v>4337688318011.6206</v>
      </c>
      <c r="AD17" s="16">
        <f>'BIFUbC-petroleum-diesel pre-CHP'!AD17+CHP!AD82</f>
        <v>4347457847538.2402</v>
      </c>
      <c r="AE17" s="16">
        <f>'BIFUbC-petroleum-diesel pre-CHP'!AE17+CHP!AE82</f>
        <v>4357227377064.8594</v>
      </c>
      <c r="AF17" s="16">
        <f>'BIFUbC-petroleum-diesel pre-CHP'!AF17+CHP!AF82</f>
        <v>4366996906591.479</v>
      </c>
    </row>
    <row r="18" spans="1:33">
      <c r="A18" t="s">
        <v>18</v>
      </c>
      <c r="B18" s="16">
        <f>'BIFUbC-petroleum-diesel pre-CHP'!B18+CHP!B83</f>
        <v>11574581998335.951</v>
      </c>
      <c r="C18" s="16">
        <f>'BIFUbC-petroleum-diesel pre-CHP'!C18+CHP!C83</f>
        <v>12100980384141.652</v>
      </c>
      <c r="D18" s="16">
        <f>'BIFUbC-petroleum-diesel pre-CHP'!D18+CHP!D83</f>
        <v>14206573927364.455</v>
      </c>
      <c r="E18" s="16">
        <f>'BIFUbC-petroleum-diesel pre-CHP'!E18+CHP!E83</f>
        <v>13153777155753.055</v>
      </c>
      <c r="F18" s="16">
        <f>'BIFUbC-petroleum-diesel pre-CHP'!F18+CHP!F83</f>
        <v>13680175541558.754</v>
      </c>
      <c r="G18" s="16">
        <f>'BIFUbC-petroleum-diesel pre-CHP'!G18+CHP!G83</f>
        <v>14206573927364.455</v>
      </c>
      <c r="H18" s="16">
        <f>'BIFUbC-petroleum-diesel pre-CHP'!H18+CHP!H83</f>
        <v>14464346507231.893</v>
      </c>
      <c r="I18" s="16">
        <f>'BIFUbC-petroleum-diesel pre-CHP'!I18+CHP!I83</f>
        <v>14722119087099.398</v>
      </c>
      <c r="J18" s="16">
        <f>'BIFUbC-petroleum-diesel pre-CHP'!J18+CHP!J83</f>
        <v>14979891666966.902</v>
      </c>
      <c r="K18" s="16">
        <f>'BIFUbC-petroleum-diesel pre-CHP'!K18+CHP!K83</f>
        <v>15237664246834.408</v>
      </c>
      <c r="L18" s="16">
        <f>'BIFUbC-petroleum-diesel pre-CHP'!L18+CHP!L83</f>
        <v>15495436826701.979</v>
      </c>
      <c r="M18" s="16">
        <f>'BIFUbC-petroleum-diesel pre-CHP'!M18+CHP!M83</f>
        <v>15710643883124.693</v>
      </c>
      <c r="N18" s="16">
        <f>'BIFUbC-petroleum-diesel pre-CHP'!N18+CHP!N83</f>
        <v>15925850939547.41</v>
      </c>
      <c r="O18" s="16">
        <f>'BIFUbC-petroleum-diesel pre-CHP'!O18+CHP!O83</f>
        <v>16141057995970.127</v>
      </c>
      <c r="P18" s="16">
        <f>'BIFUbC-petroleum-diesel pre-CHP'!P18+CHP!P83</f>
        <v>16356265052392.846</v>
      </c>
      <c r="Q18" s="16">
        <f>'BIFUbC-petroleum-diesel pre-CHP'!Q18+CHP!Q83</f>
        <v>16571472108815.561</v>
      </c>
      <c r="R18" s="16">
        <f>'BIFUbC-petroleum-diesel pre-CHP'!R18+CHP!R83</f>
        <v>16793024336435.014</v>
      </c>
      <c r="S18" s="16">
        <f>'BIFUbC-petroleum-diesel pre-CHP'!S18+CHP!S83</f>
        <v>17014576564054.469</v>
      </c>
      <c r="T18" s="16">
        <f>'BIFUbC-petroleum-diesel pre-CHP'!T18+CHP!T83</f>
        <v>17236128791673.926</v>
      </c>
      <c r="U18" s="16">
        <f>'BIFUbC-petroleum-diesel pre-CHP'!U18+CHP!U83</f>
        <v>17457681019293.381</v>
      </c>
      <c r="V18" s="16">
        <f>'BIFUbC-petroleum-diesel pre-CHP'!V18+CHP!V83</f>
        <v>17679233246912.832</v>
      </c>
      <c r="W18" s="16">
        <f>'BIFUbC-petroleum-diesel pre-CHP'!W18+CHP!W83</f>
        <v>17892325246269.973</v>
      </c>
      <c r="X18" s="16">
        <f>'BIFUbC-petroleum-diesel pre-CHP'!X18+CHP!X83</f>
        <v>18111185583078.684</v>
      </c>
      <c r="Y18" s="16">
        <f>'BIFUbC-petroleum-diesel pre-CHP'!Y18+CHP!Y83</f>
        <v>18330045919887.461</v>
      </c>
      <c r="Z18" s="16">
        <f>'BIFUbC-petroleum-diesel pre-CHP'!Z18+CHP!Z83</f>
        <v>18548906256696.172</v>
      </c>
      <c r="AA18" s="16">
        <f>'BIFUbC-petroleum-diesel pre-CHP'!AA18+CHP!AA83</f>
        <v>18767766593504.883</v>
      </c>
      <c r="AB18" s="16">
        <f>'BIFUbC-petroleum-diesel pre-CHP'!AB18+CHP!AB83</f>
        <v>18986626930313.594</v>
      </c>
      <c r="AC18" s="16">
        <f>'BIFUbC-petroleum-diesel pre-CHP'!AC18+CHP!AC83</f>
        <v>19205487267122.305</v>
      </c>
      <c r="AD18" s="16">
        <f>'BIFUbC-petroleum-diesel pre-CHP'!AD18+CHP!AD83</f>
        <v>19424347603931.016</v>
      </c>
      <c r="AE18" s="16">
        <f>'BIFUbC-petroleum-diesel pre-CHP'!AE18+CHP!AE83</f>
        <v>19643207940739.73</v>
      </c>
      <c r="AF18" s="16">
        <f>'BIFUbC-petroleum-diesel pre-CHP'!AF18+CHP!AF83</f>
        <v>19862068277548.438</v>
      </c>
    </row>
    <row r="19" spans="1:33">
      <c r="A19" t="s">
        <v>19</v>
      </c>
      <c r="B19" s="16">
        <f>'BIFUbC-petroleum-diesel pre-CHP'!B19+CHP!B84</f>
        <v>2015596800541.4402</v>
      </c>
      <c r="C19" s="16">
        <f>'BIFUbC-petroleum-diesel pre-CHP'!C19+CHP!C84</f>
        <v>2107263774121.3662</v>
      </c>
      <c r="D19" s="16">
        <f>'BIFUbC-petroleum-diesel pre-CHP'!D19+CHP!D84</f>
        <v>2473931668441.0703</v>
      </c>
      <c r="E19" s="16">
        <f>'BIFUbC-petroleum-diesel pre-CHP'!E19+CHP!E84</f>
        <v>2290597721281.2183</v>
      </c>
      <c r="F19" s="16">
        <f>'BIFUbC-petroleum-diesel pre-CHP'!F19+CHP!F84</f>
        <v>2382264694861.1445</v>
      </c>
      <c r="G19" s="16">
        <f>'BIFUbC-petroleum-diesel pre-CHP'!G19+CHP!G84</f>
        <v>2473931668441.0703</v>
      </c>
      <c r="H19" s="16">
        <f>'BIFUbC-petroleum-diesel pre-CHP'!H19+CHP!H84</f>
        <v>2518820165263.0562</v>
      </c>
      <c r="I19" s="16">
        <f>'BIFUbC-petroleum-diesel pre-CHP'!I19+CHP!I84</f>
        <v>2563708662085.0537</v>
      </c>
      <c r="J19" s="16">
        <f>'BIFUbC-petroleum-diesel pre-CHP'!J19+CHP!J84</f>
        <v>2608597158907.0518</v>
      </c>
      <c r="K19" s="16">
        <f>'BIFUbC-petroleum-diesel pre-CHP'!K19+CHP!K84</f>
        <v>2653485655729.0493</v>
      </c>
      <c r="L19" s="16">
        <f>'BIFUbC-petroleum-diesel pre-CHP'!L19+CHP!L84</f>
        <v>2698374152551.0586</v>
      </c>
      <c r="M19" s="16">
        <f>'BIFUbC-petroleum-diesel pre-CHP'!M19+CHP!M84</f>
        <v>2735850292461.937</v>
      </c>
      <c r="N19" s="16">
        <f>'BIFUbC-petroleum-diesel pre-CHP'!N19+CHP!N84</f>
        <v>2773326432372.8145</v>
      </c>
      <c r="O19" s="16">
        <f>'BIFUbC-petroleum-diesel pre-CHP'!O19+CHP!O84</f>
        <v>2810802572283.6929</v>
      </c>
      <c r="P19" s="16">
        <f>'BIFUbC-petroleum-diesel pre-CHP'!P19+CHP!P84</f>
        <v>2848278712194.5708</v>
      </c>
      <c r="Q19" s="16">
        <f>'BIFUbC-petroleum-diesel pre-CHP'!Q19+CHP!Q84</f>
        <v>2885754852105.4492</v>
      </c>
      <c r="R19" s="16">
        <f>'BIFUbC-petroleum-diesel pre-CHP'!R19+CHP!R84</f>
        <v>2924335939630.4067</v>
      </c>
      <c r="S19" s="16">
        <f>'BIFUbC-petroleum-diesel pre-CHP'!S19+CHP!S84</f>
        <v>2962917027155.3647</v>
      </c>
      <c r="T19" s="16">
        <f>'BIFUbC-petroleum-diesel pre-CHP'!T19+CHP!T84</f>
        <v>3001498114680.3228</v>
      </c>
      <c r="U19" s="16">
        <f>'BIFUbC-petroleum-diesel pre-CHP'!U19+CHP!U84</f>
        <v>3040079202205.2808</v>
      </c>
      <c r="V19" s="16">
        <f>'BIFUbC-petroleum-diesel pre-CHP'!V19+CHP!V84</f>
        <v>3078660289730.2388</v>
      </c>
      <c r="W19" s="16">
        <f>'BIFUbC-petroleum-diesel pre-CHP'!W19+CHP!W84</f>
        <v>3115768113769.7568</v>
      </c>
      <c r="X19" s="16">
        <f>'BIFUbC-petroleum-diesel pre-CHP'!X19+CHP!X84</f>
        <v>3153880435640.2554</v>
      </c>
      <c r="Y19" s="16">
        <f>'BIFUbC-petroleum-diesel pre-CHP'!Y19+CHP!Y84</f>
        <v>3191992757510.7656</v>
      </c>
      <c r="Z19" s="16">
        <f>'BIFUbC-petroleum-diesel pre-CHP'!Z19+CHP!Z84</f>
        <v>3230105079381.2646</v>
      </c>
      <c r="AA19" s="16">
        <f>'BIFUbC-petroleum-diesel pre-CHP'!AA19+CHP!AA84</f>
        <v>3268217401251.7632</v>
      </c>
      <c r="AB19" s="16">
        <f>'BIFUbC-petroleum-diesel pre-CHP'!AB19+CHP!AB84</f>
        <v>3306329723122.2622</v>
      </c>
      <c r="AC19" s="16">
        <f>'BIFUbC-petroleum-diesel pre-CHP'!AC19+CHP!AC84</f>
        <v>3344442044992.7607</v>
      </c>
      <c r="AD19" s="16">
        <f>'BIFUbC-petroleum-diesel pre-CHP'!AD19+CHP!AD84</f>
        <v>3382554366863.2598</v>
      </c>
      <c r="AE19" s="16">
        <f>'BIFUbC-petroleum-diesel pre-CHP'!AE19+CHP!AE84</f>
        <v>3420666688733.7583</v>
      </c>
      <c r="AF19" s="16">
        <f>'BIFUbC-petroleum-diesel pre-CHP'!AF19+CHP!AF84</f>
        <v>3458779010604.2568</v>
      </c>
    </row>
    <row r="20" spans="1:33">
      <c r="A20" t="s">
        <v>20</v>
      </c>
      <c r="B20" s="16">
        <f>'BIFUbC-petroleum-diesel pre-CHP'!B20+CHP!B85</f>
        <v>3146597285809.4561</v>
      </c>
      <c r="C20" s="16">
        <f>'BIFUbC-petroleum-diesel pre-CHP'!C20+CHP!C85</f>
        <v>3289700832206.9692</v>
      </c>
      <c r="D20" s="16">
        <f>'BIFUbC-petroleum-diesel pre-CHP'!D20+CHP!D85</f>
        <v>3862115017797.0249</v>
      </c>
      <c r="E20" s="16">
        <f>'BIFUbC-petroleum-diesel pre-CHP'!E20+CHP!E85</f>
        <v>3575907925001.9976</v>
      </c>
      <c r="F20" s="16">
        <f>'BIFUbC-petroleum-diesel pre-CHP'!F20+CHP!F85</f>
        <v>3719011471399.5112</v>
      </c>
      <c r="G20" s="16">
        <f>'BIFUbC-petroleum-diesel pre-CHP'!G20+CHP!G85</f>
        <v>3862115017797.0249</v>
      </c>
      <c r="H20" s="16">
        <f>'BIFUbC-petroleum-diesel pre-CHP'!H20+CHP!H85</f>
        <v>3932191544127.1851</v>
      </c>
      <c r="I20" s="16">
        <f>'BIFUbC-petroleum-diesel pre-CHP'!I20+CHP!I85</f>
        <v>4002268070457.3628</v>
      </c>
      <c r="J20" s="16">
        <f>'BIFUbC-petroleum-diesel pre-CHP'!J20+CHP!J85</f>
        <v>4072344596787.54</v>
      </c>
      <c r="K20" s="16">
        <f>'BIFUbC-petroleum-diesel pre-CHP'!K20+CHP!K85</f>
        <v>4142421123117.7178</v>
      </c>
      <c r="L20" s="16">
        <f>'BIFUbC-petroleum-diesel pre-CHP'!L20+CHP!L85</f>
        <v>4212497649447.9141</v>
      </c>
      <c r="M20" s="16">
        <f>'BIFUbC-petroleum-diesel pre-CHP'!M20+CHP!M85</f>
        <v>4271002564763.5703</v>
      </c>
      <c r="N20" s="16">
        <f>'BIFUbC-petroleum-diesel pre-CHP'!N20+CHP!N85</f>
        <v>4329507480079.2256</v>
      </c>
      <c r="O20" s="16">
        <f>'BIFUbC-petroleum-diesel pre-CHP'!O20+CHP!O85</f>
        <v>4388012395394.8818</v>
      </c>
      <c r="P20" s="16">
        <f>'BIFUbC-petroleum-diesel pre-CHP'!P20+CHP!P85</f>
        <v>4446517310710.5371</v>
      </c>
      <c r="Q20" s="16">
        <f>'BIFUbC-petroleum-diesel pre-CHP'!Q20+CHP!Q85</f>
        <v>4505022226026.1943</v>
      </c>
      <c r="R20" s="16">
        <f>'BIFUbC-petroleum-diesel pre-CHP'!R20+CHP!R85</f>
        <v>4565252101989.9766</v>
      </c>
      <c r="S20" s="16">
        <f>'BIFUbC-petroleum-diesel pre-CHP'!S20+CHP!S85</f>
        <v>4625481977953.7607</v>
      </c>
      <c r="T20" s="16">
        <f>'BIFUbC-petroleum-diesel pre-CHP'!T20+CHP!T85</f>
        <v>4685711853917.5439</v>
      </c>
      <c r="U20" s="16">
        <f>'BIFUbC-petroleum-diesel pre-CHP'!U20+CHP!U85</f>
        <v>4745941729881.3281</v>
      </c>
      <c r="V20" s="16">
        <f>'BIFUbC-petroleum-diesel pre-CHP'!V20+CHP!V85</f>
        <v>4806171605845.1123</v>
      </c>
      <c r="W20" s="16">
        <f>'BIFUbC-petroleum-diesel pre-CHP'!W20+CHP!W85</f>
        <v>4864101534278.0586</v>
      </c>
      <c r="X20" s="16">
        <f>'BIFUbC-petroleum-diesel pre-CHP'!X20+CHP!X85</f>
        <v>4923599608754.7568</v>
      </c>
      <c r="Y20" s="16">
        <f>'BIFUbC-petroleum-diesel pre-CHP'!Y20+CHP!Y85</f>
        <v>4983097683231.4717</v>
      </c>
      <c r="Z20" s="16">
        <f>'BIFUbC-petroleum-diesel pre-CHP'!Z20+CHP!Z85</f>
        <v>5042595757708.1689</v>
      </c>
      <c r="AA20" s="16">
        <f>'BIFUbC-petroleum-diesel pre-CHP'!AA20+CHP!AA85</f>
        <v>5102093832184.8662</v>
      </c>
      <c r="AB20" s="16">
        <f>'BIFUbC-petroleum-diesel pre-CHP'!AB20+CHP!AB85</f>
        <v>5161591906661.5645</v>
      </c>
      <c r="AC20" s="16">
        <f>'BIFUbC-petroleum-diesel pre-CHP'!AC20+CHP!AC85</f>
        <v>5221089981138.2607</v>
      </c>
      <c r="AD20" s="16">
        <f>'BIFUbC-petroleum-diesel pre-CHP'!AD20+CHP!AD85</f>
        <v>5280588055614.959</v>
      </c>
      <c r="AE20" s="16">
        <f>'BIFUbC-petroleum-diesel pre-CHP'!AE20+CHP!AE85</f>
        <v>5340086130091.6563</v>
      </c>
      <c r="AF20" s="16">
        <f>'BIFUbC-petroleum-diesel pre-CHP'!AF20+CHP!AF85</f>
        <v>5399584204568.3535</v>
      </c>
    </row>
    <row r="21" spans="1:33">
      <c r="A21" t="s">
        <v>21</v>
      </c>
      <c r="B21" s="16">
        <f>'BIFUbC-petroleum-diesel pre-CHP'!B21+CHP!B86</f>
        <v>3285299850047.1919</v>
      </c>
      <c r="C21" s="16">
        <f>'BIFUbC-petroleum-diesel pre-CHP'!C21+CHP!C86</f>
        <v>3434711426050.6431</v>
      </c>
      <c r="D21" s="16">
        <f>'BIFUbC-petroleum-diesel pre-CHP'!D21+CHP!D86</f>
        <v>4032357730064.4492</v>
      </c>
      <c r="E21" s="16">
        <f>'BIFUbC-petroleum-diesel pre-CHP'!E21+CHP!E86</f>
        <v>3733534578057.5459</v>
      </c>
      <c r="F21" s="16">
        <f>'BIFUbC-petroleum-diesel pre-CHP'!F21+CHP!F86</f>
        <v>3882946154060.998</v>
      </c>
      <c r="G21" s="16">
        <f>'BIFUbC-petroleum-diesel pre-CHP'!G21+CHP!G86</f>
        <v>4032357730064.4492</v>
      </c>
      <c r="H21" s="16">
        <f>'BIFUbC-petroleum-diesel pre-CHP'!H21+CHP!H86</f>
        <v>4105523242054.9917</v>
      </c>
      <c r="I21" s="16">
        <f>'BIFUbC-petroleum-diesel pre-CHP'!I21+CHP!I86</f>
        <v>4178688754045.5537</v>
      </c>
      <c r="J21" s="16">
        <f>'BIFUbC-petroleum-diesel pre-CHP'!J21+CHP!J86</f>
        <v>4251854266036.1157</v>
      </c>
      <c r="K21" s="16">
        <f>'BIFUbC-petroleum-diesel pre-CHP'!K21+CHP!K86</f>
        <v>4325019778026.6772</v>
      </c>
      <c r="L21" s="16">
        <f>'BIFUbC-petroleum-diesel pre-CHP'!L21+CHP!L86</f>
        <v>4398185290017.2578</v>
      </c>
      <c r="M21" s="16">
        <f>'BIFUbC-petroleum-diesel pre-CHP'!M21+CHP!M86</f>
        <v>4459269112335.5322</v>
      </c>
      <c r="N21" s="16">
        <f>'BIFUbC-petroleum-diesel pre-CHP'!N21+CHP!N86</f>
        <v>4520352934653.8057</v>
      </c>
      <c r="O21" s="16">
        <f>'BIFUbC-petroleum-diesel pre-CHP'!O21+CHP!O86</f>
        <v>4581436756972.0801</v>
      </c>
      <c r="P21" s="16">
        <f>'BIFUbC-petroleum-diesel pre-CHP'!P21+CHP!P86</f>
        <v>4642520579290.3545</v>
      </c>
      <c r="Q21" s="16">
        <f>'BIFUbC-petroleum-diesel pre-CHP'!Q21+CHP!Q86</f>
        <v>4703604401608.6279</v>
      </c>
      <c r="R21" s="16">
        <f>'BIFUbC-petroleum-diesel pre-CHP'!R21+CHP!R86</f>
        <v>4766489221145.1328</v>
      </c>
      <c r="S21" s="16">
        <f>'BIFUbC-petroleum-diesel pre-CHP'!S21+CHP!S86</f>
        <v>4829374040681.6348</v>
      </c>
      <c r="T21" s="16">
        <f>'BIFUbC-petroleum-diesel pre-CHP'!T21+CHP!T86</f>
        <v>4892258860218.1396</v>
      </c>
      <c r="U21" s="16">
        <f>'BIFUbC-petroleum-diesel pre-CHP'!U21+CHP!U86</f>
        <v>4955143679754.6426</v>
      </c>
      <c r="V21" s="16">
        <f>'BIFUbC-petroleum-diesel pre-CHP'!V21+CHP!V86</f>
        <v>5018028499291.1455</v>
      </c>
      <c r="W21" s="16">
        <f>'BIFUbC-petroleum-diesel pre-CHP'!W21+CHP!W86</f>
        <v>5078511989203.3428</v>
      </c>
      <c r="X21" s="16">
        <f>'BIFUbC-petroleum-diesel pre-CHP'!X21+CHP!X86</f>
        <v>5140632749313.9297</v>
      </c>
      <c r="Y21" s="16">
        <f>'BIFUbC-petroleum-diesel pre-CHP'!Y21+CHP!Y86</f>
        <v>5202753509424.5342</v>
      </c>
      <c r="Z21" s="16">
        <f>'BIFUbC-petroleum-diesel pre-CHP'!Z21+CHP!Z86</f>
        <v>5264874269535.1211</v>
      </c>
      <c r="AA21" s="16">
        <f>'BIFUbC-petroleum-diesel pre-CHP'!AA21+CHP!AA86</f>
        <v>5326995029645.707</v>
      </c>
      <c r="AB21" s="16">
        <f>'BIFUbC-petroleum-diesel pre-CHP'!AB21+CHP!AB86</f>
        <v>5389115789756.293</v>
      </c>
      <c r="AC21" s="16">
        <f>'BIFUbC-petroleum-diesel pre-CHP'!AC21+CHP!AC86</f>
        <v>5451236549866.8799</v>
      </c>
      <c r="AD21" s="16">
        <f>'BIFUbC-petroleum-diesel pre-CHP'!AD21+CHP!AD86</f>
        <v>5513357309977.4658</v>
      </c>
      <c r="AE21" s="16">
        <f>'BIFUbC-petroleum-diesel pre-CHP'!AE21+CHP!AE86</f>
        <v>5575478070088.0518</v>
      </c>
      <c r="AF21" s="16">
        <f>'BIFUbC-petroleum-diesel pre-CHP'!AF21+CHP!AF86</f>
        <v>5637598830198.6387</v>
      </c>
    </row>
    <row r="22" spans="1:33">
      <c r="A22" t="s">
        <v>22</v>
      </c>
      <c r="B22" s="16">
        <f>'BIFUbC-petroleum-diesel pre-CHP'!B22+CHP!B87</f>
        <v>841301873257.02112</v>
      </c>
      <c r="C22" s="16">
        <f>'BIFUbC-petroleum-diesel pre-CHP'!C22+CHP!C87</f>
        <v>879563293679.93372</v>
      </c>
      <c r="D22" s="16">
        <f>'BIFUbC-petroleum-diesel pre-CHP'!D22+CHP!D87</f>
        <v>1032608975371.5842</v>
      </c>
      <c r="E22" s="16">
        <f>'BIFUbC-petroleum-diesel pre-CHP'!E22+CHP!E87</f>
        <v>956086134525.75903</v>
      </c>
      <c r="F22" s="16">
        <f>'BIFUbC-petroleum-diesel pre-CHP'!F22+CHP!F87</f>
        <v>994347554948.67175</v>
      </c>
      <c r="G22" s="16">
        <f>'BIFUbC-petroleum-diesel pre-CHP'!G22+CHP!G87</f>
        <v>1032608975371.5842</v>
      </c>
      <c r="H22" s="16">
        <f>'BIFUbC-petroleum-diesel pre-CHP'!H22+CHP!H87</f>
        <v>1051345250629.5547</v>
      </c>
      <c r="I22" s="16">
        <f>'BIFUbC-petroleum-diesel pre-CHP'!I22+CHP!I87</f>
        <v>1070081525887.5298</v>
      </c>
      <c r="J22" s="16">
        <f>'BIFUbC-petroleum-diesel pre-CHP'!J22+CHP!J87</f>
        <v>1088817801145.5048</v>
      </c>
      <c r="K22" s="16">
        <f>'BIFUbC-petroleum-diesel pre-CHP'!K22+CHP!K87</f>
        <v>1107554076403.4802</v>
      </c>
      <c r="L22" s="16">
        <f>'BIFUbC-petroleum-diesel pre-CHP'!L22+CHP!L87</f>
        <v>1126290351661.4602</v>
      </c>
      <c r="M22" s="16">
        <f>'BIFUbC-petroleum-diesel pre-CHP'!M22+CHP!M87</f>
        <v>1141932739415.2976</v>
      </c>
      <c r="N22" s="16">
        <f>'BIFUbC-petroleum-diesel pre-CHP'!N22+CHP!N87</f>
        <v>1157575127169.1355</v>
      </c>
      <c r="O22" s="16">
        <f>'BIFUbC-petroleum-diesel pre-CHP'!O22+CHP!O87</f>
        <v>1173217514922.9734</v>
      </c>
      <c r="P22" s="16">
        <f>'BIFUbC-petroleum-diesel pre-CHP'!P22+CHP!P87</f>
        <v>1188859902676.811</v>
      </c>
      <c r="Q22" s="16">
        <f>'BIFUbC-petroleum-diesel pre-CHP'!Q22+CHP!Q87</f>
        <v>1204502290430.6487</v>
      </c>
      <c r="R22" s="16">
        <f>'BIFUbC-petroleum-diesel pre-CHP'!R22+CHP!R87</f>
        <v>1220605878806.2209</v>
      </c>
      <c r="S22" s="16">
        <f>'BIFUbC-petroleum-diesel pre-CHP'!S22+CHP!S87</f>
        <v>1236709467181.7937</v>
      </c>
      <c r="T22" s="16">
        <f>'BIFUbC-petroleum-diesel pre-CHP'!T22+CHP!T87</f>
        <v>1252813055557.3662</v>
      </c>
      <c r="U22" s="16">
        <f>'BIFUbC-petroleum-diesel pre-CHP'!U22+CHP!U87</f>
        <v>1268916643932.9385</v>
      </c>
      <c r="V22" s="16">
        <f>'BIFUbC-petroleum-diesel pre-CHP'!V22+CHP!V87</f>
        <v>1285020232308.511</v>
      </c>
      <c r="W22" s="16">
        <f>'BIFUbC-petroleum-diesel pre-CHP'!W22+CHP!W87</f>
        <v>1300508886521.7705</v>
      </c>
      <c r="X22" s="16">
        <f>'BIFUbC-petroleum-diesel pre-CHP'!X22+CHP!X87</f>
        <v>1316416814027.5156</v>
      </c>
      <c r="Y22" s="16">
        <f>'BIFUbC-petroleum-diesel pre-CHP'!Y22+CHP!Y87</f>
        <v>1332324741533.2656</v>
      </c>
      <c r="Z22" s="16">
        <f>'BIFUbC-petroleum-diesel pre-CHP'!Z22+CHP!Z87</f>
        <v>1348232669039.011</v>
      </c>
      <c r="AA22" s="16">
        <f>'BIFUbC-petroleum-diesel pre-CHP'!AA22+CHP!AA87</f>
        <v>1364140596544.7561</v>
      </c>
      <c r="AB22" s="16">
        <f>'BIFUbC-petroleum-diesel pre-CHP'!AB22+CHP!AB87</f>
        <v>1380048524050.5015</v>
      </c>
      <c r="AC22" s="16">
        <f>'BIFUbC-petroleum-diesel pre-CHP'!AC22+CHP!AC87</f>
        <v>1395956451556.2463</v>
      </c>
      <c r="AD22" s="16">
        <f>'BIFUbC-petroleum-diesel pre-CHP'!AD22+CHP!AD87</f>
        <v>1411864379061.9915</v>
      </c>
      <c r="AE22" s="16">
        <f>'BIFUbC-petroleum-diesel pre-CHP'!AE22+CHP!AE87</f>
        <v>1427772306567.7368</v>
      </c>
      <c r="AF22" s="16">
        <f>'BIFUbC-petroleum-diesel pre-CHP'!AF22+CHP!AF87</f>
        <v>1443680234073.4819</v>
      </c>
    </row>
    <row r="23" spans="1:33">
      <c r="A23" t="s">
        <v>23</v>
      </c>
      <c r="B23" s="16">
        <f>'BIFUbC-petroleum-diesel pre-CHP'!B23+CHP!B88</f>
        <v>12853397861491.633</v>
      </c>
      <c r="C23" s="16">
        <f>'BIFUbC-petroleum-diesel pre-CHP'!C23+CHP!C88</f>
        <v>13150509728041.039</v>
      </c>
      <c r="D23" s="16">
        <f>'BIFUbC-petroleum-diesel pre-CHP'!D23+CHP!D88</f>
        <v>13447621594590.443</v>
      </c>
      <c r="E23" s="16">
        <f>'BIFUbC-petroleum-diesel pre-CHP'!E23+CHP!E88</f>
        <v>13744733461139.85</v>
      </c>
      <c r="F23" s="16">
        <f>'BIFUbC-petroleum-diesel pre-CHP'!F23+CHP!F88</f>
        <v>14041845327689.254</v>
      </c>
      <c r="G23" s="16">
        <f>'BIFUbC-petroleum-diesel pre-CHP'!G23+CHP!G88</f>
        <v>14338957194238.658</v>
      </c>
      <c r="H23" s="16">
        <f>'BIFUbC-petroleum-diesel pre-CHP'!H23+CHP!H88</f>
        <v>14470148677309.236</v>
      </c>
      <c r="I23" s="16">
        <f>'BIFUbC-petroleum-diesel pre-CHP'!I23+CHP!I88</f>
        <v>14601340160379.775</v>
      </c>
      <c r="J23" s="16">
        <f>'BIFUbC-petroleum-diesel pre-CHP'!J23+CHP!J88</f>
        <v>14732531643450.316</v>
      </c>
      <c r="K23" s="16">
        <f>'BIFUbC-petroleum-diesel pre-CHP'!K23+CHP!K88</f>
        <v>14863723126520.855</v>
      </c>
      <c r="L23" s="16">
        <f>'BIFUbC-petroleum-diesel pre-CHP'!L23+CHP!L88</f>
        <v>14994914609591.42</v>
      </c>
      <c r="M23" s="16">
        <f>'BIFUbC-petroleum-diesel pre-CHP'!M23+CHP!M88</f>
        <v>15086758860500.98</v>
      </c>
      <c r="N23" s="16">
        <f>'BIFUbC-petroleum-diesel pre-CHP'!N23+CHP!N88</f>
        <v>15178603111410.566</v>
      </c>
      <c r="O23" s="16">
        <f>'BIFUbC-petroleum-diesel pre-CHP'!O23+CHP!O88</f>
        <v>15270447362320.152</v>
      </c>
      <c r="P23" s="16">
        <f>'BIFUbC-petroleum-diesel pre-CHP'!P23+CHP!P88</f>
        <v>15362291613229.736</v>
      </c>
      <c r="Q23" s="16">
        <f>'BIFUbC-petroleum-diesel pre-CHP'!Q23+CHP!Q88</f>
        <v>15454135864139.316</v>
      </c>
      <c r="R23" s="16">
        <f>'BIFUbC-petroleum-diesel pre-CHP'!R23+CHP!R88</f>
        <v>15525945620763.004</v>
      </c>
      <c r="S23" s="16">
        <f>'BIFUbC-petroleum-diesel pre-CHP'!S23+CHP!S88</f>
        <v>15597755377386.637</v>
      </c>
      <c r="T23" s="16">
        <f>'BIFUbC-petroleum-diesel pre-CHP'!T23+CHP!T88</f>
        <v>15669565134010.291</v>
      </c>
      <c r="U23" s="16">
        <f>'BIFUbC-petroleum-diesel pre-CHP'!U23+CHP!U88</f>
        <v>15741374890633.951</v>
      </c>
      <c r="V23" s="16">
        <f>'BIFUbC-petroleum-diesel pre-CHP'!V23+CHP!V88</f>
        <v>15813184647257.582</v>
      </c>
      <c r="W23" s="16">
        <f>'BIFUbC-petroleum-diesel pre-CHP'!W23+CHP!W88</f>
        <v>15911707062929.152</v>
      </c>
      <c r="X23" s="16">
        <f>'BIFUbC-petroleum-diesel pre-CHP'!X23+CHP!X88</f>
        <v>15992016301977.131</v>
      </c>
      <c r="Y23" s="16">
        <f>'BIFUbC-petroleum-diesel pre-CHP'!Y23+CHP!Y88</f>
        <v>16072325541025.139</v>
      </c>
      <c r="Z23" s="16">
        <f>'BIFUbC-petroleum-diesel pre-CHP'!Z23+CHP!Z88</f>
        <v>16152634780073.125</v>
      </c>
      <c r="AA23" s="16">
        <f>'BIFUbC-petroleum-diesel pre-CHP'!AA23+CHP!AA88</f>
        <v>16232944019121.107</v>
      </c>
      <c r="AB23" s="16">
        <f>'BIFUbC-petroleum-diesel pre-CHP'!AB23+CHP!AB88</f>
        <v>16313253258169.086</v>
      </c>
      <c r="AC23" s="16">
        <f>'BIFUbC-petroleum-diesel pre-CHP'!AC23+CHP!AC88</f>
        <v>16393562497217.094</v>
      </c>
      <c r="AD23" s="16">
        <f>'BIFUbC-petroleum-diesel pre-CHP'!AD23+CHP!AD88</f>
        <v>16473871736265.078</v>
      </c>
      <c r="AE23" s="16">
        <f>'BIFUbC-petroleum-diesel pre-CHP'!AE23+CHP!AE88</f>
        <v>16554180975313.063</v>
      </c>
      <c r="AF23" s="16">
        <f>'BIFUbC-petroleum-diesel pre-CHP'!AF23+CHP!AF88</f>
        <v>16634490214361.068</v>
      </c>
    </row>
    <row r="24" spans="1:33">
      <c r="A24" t="s">
        <v>24</v>
      </c>
      <c r="B24" s="16">
        <f>'BIFUbC-petroleum-diesel pre-CHP'!B24+CHP!B89</f>
        <v>0</v>
      </c>
      <c r="C24" s="16">
        <f>'BIFUbC-petroleum-diesel pre-CHP'!C24+CHP!C89</f>
        <v>0</v>
      </c>
      <c r="D24" s="16">
        <f>'BIFUbC-petroleum-diesel pre-CHP'!D24+CHP!D89</f>
        <v>0</v>
      </c>
      <c r="E24" s="16">
        <f>'BIFUbC-petroleum-diesel pre-CHP'!E24+CHP!E89</f>
        <v>0</v>
      </c>
      <c r="F24" s="16">
        <f>'BIFUbC-petroleum-diesel pre-CHP'!F24+CHP!F89</f>
        <v>0</v>
      </c>
      <c r="G24" s="16">
        <f>'BIFUbC-petroleum-diesel pre-CHP'!G24+CHP!G89</f>
        <v>0</v>
      </c>
      <c r="H24" s="16">
        <f>'BIFUbC-petroleum-diesel pre-CHP'!H24+CHP!H89</f>
        <v>0</v>
      </c>
      <c r="I24" s="16">
        <f>'BIFUbC-petroleum-diesel pre-CHP'!I24+CHP!I89</f>
        <v>0</v>
      </c>
      <c r="J24" s="16">
        <f>'BIFUbC-petroleum-diesel pre-CHP'!J24+CHP!J89</f>
        <v>0</v>
      </c>
      <c r="K24" s="16">
        <f>'BIFUbC-petroleum-diesel pre-CHP'!K24+CHP!K89</f>
        <v>0</v>
      </c>
      <c r="L24" s="16">
        <f>'BIFUbC-petroleum-diesel pre-CHP'!L24+CHP!L89</f>
        <v>0</v>
      </c>
      <c r="M24" s="16">
        <f>'BIFUbC-petroleum-diesel pre-CHP'!M24+CHP!M89</f>
        <v>0</v>
      </c>
      <c r="N24" s="16">
        <f>'BIFUbC-petroleum-diesel pre-CHP'!N24+CHP!N89</f>
        <v>0</v>
      </c>
      <c r="O24" s="16">
        <f>'BIFUbC-petroleum-diesel pre-CHP'!O24+CHP!O89</f>
        <v>0</v>
      </c>
      <c r="P24" s="16">
        <f>'BIFUbC-petroleum-diesel pre-CHP'!P24+CHP!P89</f>
        <v>0</v>
      </c>
      <c r="Q24" s="16">
        <f>'BIFUbC-petroleum-diesel pre-CHP'!Q24+CHP!Q89</f>
        <v>0</v>
      </c>
      <c r="R24" s="16">
        <f>'BIFUbC-petroleum-diesel pre-CHP'!R24+CHP!R89</f>
        <v>0</v>
      </c>
      <c r="S24" s="16">
        <f>'BIFUbC-petroleum-diesel pre-CHP'!S24+CHP!S89</f>
        <v>0</v>
      </c>
      <c r="T24" s="16">
        <f>'BIFUbC-petroleum-diesel pre-CHP'!T24+CHP!T89</f>
        <v>0</v>
      </c>
      <c r="U24" s="16">
        <f>'BIFUbC-petroleum-diesel pre-CHP'!U24+CHP!U89</f>
        <v>0</v>
      </c>
      <c r="V24" s="16">
        <f>'BIFUbC-petroleum-diesel pre-CHP'!V24+CHP!V89</f>
        <v>0</v>
      </c>
      <c r="W24" s="16">
        <f>'BIFUbC-petroleum-diesel pre-CHP'!W24+CHP!W89</f>
        <v>0</v>
      </c>
      <c r="X24" s="16">
        <f>'BIFUbC-petroleum-diesel pre-CHP'!X24+CHP!X89</f>
        <v>0</v>
      </c>
      <c r="Y24" s="16">
        <f>'BIFUbC-petroleum-diesel pre-CHP'!Y24+CHP!Y89</f>
        <v>0</v>
      </c>
      <c r="Z24" s="16">
        <f>'BIFUbC-petroleum-diesel pre-CHP'!Z24+CHP!Z89</f>
        <v>0</v>
      </c>
      <c r="AA24" s="16">
        <f>'BIFUbC-petroleum-diesel pre-CHP'!AA24+CHP!AA89</f>
        <v>0</v>
      </c>
      <c r="AB24" s="16">
        <f>'BIFUbC-petroleum-diesel pre-CHP'!AB24+CHP!AB89</f>
        <v>0</v>
      </c>
      <c r="AC24" s="16">
        <f>'BIFUbC-petroleum-diesel pre-CHP'!AC24+CHP!AC89</f>
        <v>0</v>
      </c>
      <c r="AD24" s="16">
        <f>'BIFUbC-petroleum-diesel pre-CHP'!AD24+CHP!AD89</f>
        <v>0</v>
      </c>
      <c r="AE24" s="16">
        <f>'BIFUbC-petroleum-diesel pre-CHP'!AE24+CHP!AE89</f>
        <v>0</v>
      </c>
      <c r="AF24" s="16">
        <f>'BIFUbC-petroleum-diesel pre-CHP'!AF24+CHP!AF89</f>
        <v>0</v>
      </c>
    </row>
    <row r="25" spans="1:33">
      <c r="A25" t="s">
        <v>25</v>
      </c>
      <c r="B25" s="16">
        <f>'BIFUbC-petroleum-diesel pre-CHP'!B25+CHP!B90</f>
        <v>599397223333.35132</v>
      </c>
      <c r="C25" s="16">
        <f>'BIFUbC-petroleum-diesel pre-CHP'!C25+CHP!C90</f>
        <v>599996620556.68457</v>
      </c>
      <c r="D25" s="16">
        <f>'BIFUbC-petroleum-diesel pre-CHP'!D25+CHP!D90</f>
        <v>600596617177.24121</v>
      </c>
      <c r="E25" s="16">
        <f>'BIFUbC-petroleum-diesel pre-CHP'!E25+CHP!E90</f>
        <v>601197213794.41846</v>
      </c>
      <c r="F25" s="16">
        <f>'BIFUbC-petroleum-diesel pre-CHP'!F25+CHP!F90</f>
        <v>601798411008.21277</v>
      </c>
      <c r="G25" s="16">
        <f>'BIFUbC-petroleum-diesel pre-CHP'!G25+CHP!G90</f>
        <v>602400209419.22095</v>
      </c>
      <c r="H25" s="16">
        <f>'BIFUbC-petroleum-diesel pre-CHP'!H25+CHP!H90</f>
        <v>603002609628.64014</v>
      </c>
      <c r="I25" s="16">
        <f>'BIFUbC-petroleum-diesel pre-CHP'!I25+CHP!I90</f>
        <v>603605612238.26868</v>
      </c>
      <c r="J25" s="16">
        <f>'BIFUbC-petroleum-diesel pre-CHP'!J25+CHP!J90</f>
        <v>604209217850.50696</v>
      </c>
      <c r="K25" s="16">
        <f>'BIFUbC-petroleum-diesel pre-CHP'!K25+CHP!K90</f>
        <v>604813427068.35742</v>
      </c>
      <c r="L25" s="16">
        <f>'BIFUbC-petroleum-diesel pre-CHP'!L25+CHP!L90</f>
        <v>605418240495.42566</v>
      </c>
      <c r="M25" s="16">
        <f>'BIFUbC-petroleum-diesel pre-CHP'!M25+CHP!M90</f>
        <v>606023658735.92102</v>
      </c>
      <c r="N25" s="16">
        <f>'BIFUbC-petroleum-diesel pre-CHP'!N25+CHP!N90</f>
        <v>606629682394.65686</v>
      </c>
      <c r="O25" s="16">
        <f>'BIFUbC-petroleum-diesel pre-CHP'!O25+CHP!O90</f>
        <v>607236312077.05139</v>
      </c>
      <c r="P25" s="16">
        <f>'BIFUbC-petroleum-diesel pre-CHP'!P25+CHP!P90</f>
        <v>607843548389.12842</v>
      </c>
      <c r="Q25" s="16">
        <f>'BIFUbC-petroleum-diesel pre-CHP'!Q25+CHP!Q90</f>
        <v>608451391937.51746</v>
      </c>
      <c r="R25" s="16">
        <f>'BIFUbC-petroleum-diesel pre-CHP'!R25+CHP!R90</f>
        <v>609059843329.45483</v>
      </c>
      <c r="S25" s="16">
        <f>'BIFUbC-petroleum-diesel pre-CHP'!S25+CHP!S90</f>
        <v>609668903172.78418</v>
      </c>
      <c r="T25" s="16">
        <f>'BIFUbC-petroleum-diesel pre-CHP'!T25+CHP!T90</f>
        <v>610278572075.95691</v>
      </c>
      <c r="U25" s="16">
        <f>'BIFUbC-petroleum-diesel pre-CHP'!U25+CHP!U90</f>
        <v>610888850648.03284</v>
      </c>
      <c r="V25" s="16">
        <f>'BIFUbC-petroleum-diesel pre-CHP'!V25+CHP!V90</f>
        <v>611499739498.68079</v>
      </c>
      <c r="W25" s="16">
        <f>'BIFUbC-petroleum-diesel pre-CHP'!W25+CHP!W90</f>
        <v>608442240801.18738</v>
      </c>
      <c r="X25" s="16">
        <f>'BIFUbC-petroleum-diesel pre-CHP'!X25+CHP!X90</f>
        <v>605400029597.1814</v>
      </c>
      <c r="Y25" s="16">
        <f>'BIFUbC-petroleum-diesel pre-CHP'!Y25+CHP!Y90</f>
        <v>602373029449.19543</v>
      </c>
      <c r="Z25" s="16">
        <f>'BIFUbC-petroleum-diesel pre-CHP'!Z25+CHP!Z90</f>
        <v>599361164301.94946</v>
      </c>
      <c r="AA25" s="16">
        <f>'BIFUbC-petroleum-diesel pre-CHP'!AA25+CHP!AA90</f>
        <v>596364358480.4397</v>
      </c>
      <c r="AB25" s="16">
        <f>'BIFUbC-petroleum-diesel pre-CHP'!AB25+CHP!AB90</f>
        <v>593382536688.0376</v>
      </c>
      <c r="AC25" s="16">
        <f>'BIFUbC-petroleum-diesel pre-CHP'!AC25+CHP!AC90</f>
        <v>590415624004.59741</v>
      </c>
      <c r="AD25" s="16">
        <f>'BIFUbC-petroleum-diesel pre-CHP'!AD25+CHP!AD90</f>
        <v>587463545884.57434</v>
      </c>
      <c r="AE25" s="16">
        <f>'BIFUbC-petroleum-diesel pre-CHP'!AE25+CHP!AE90</f>
        <v>584526228155.15149</v>
      </c>
      <c r="AF25" s="16">
        <f>'BIFUbC-petroleum-diesel pre-CHP'!AF25+CHP!AF90</f>
        <v>581603597014.37573</v>
      </c>
    </row>
    <row r="26" spans="1:33">
      <c r="A26" t="s">
        <v>26</v>
      </c>
      <c r="B26" s="16">
        <f>'BIFUbC-petroleum-diesel pre-CHP'!B26+CHP!B91</f>
        <v>42983193579344.18</v>
      </c>
      <c r="C26" s="16">
        <f>'BIFUbC-petroleum-diesel pre-CHP'!C26+CHP!C91</f>
        <v>43936858717088.711</v>
      </c>
      <c r="D26" s="16">
        <f>'BIFUbC-petroleum-diesel pre-CHP'!D26+CHP!D91</f>
        <v>44890523854833.25</v>
      </c>
      <c r="E26" s="16">
        <f>'BIFUbC-petroleum-diesel pre-CHP'!E26+CHP!E91</f>
        <v>45844188992577.781</v>
      </c>
      <c r="F26" s="16">
        <f>'BIFUbC-petroleum-diesel pre-CHP'!F26+CHP!F91</f>
        <v>46797854130322.32</v>
      </c>
      <c r="G26" s="16">
        <f>'BIFUbC-petroleum-diesel pre-CHP'!G26+CHP!G91</f>
        <v>47751519268066.852</v>
      </c>
      <c r="H26" s="16">
        <f>'BIFUbC-petroleum-diesel pre-CHP'!H26+CHP!H91</f>
        <v>48192209885947.727</v>
      </c>
      <c r="I26" s="16">
        <f>'BIFUbC-petroleum-diesel pre-CHP'!I26+CHP!I91</f>
        <v>48632900503828.461</v>
      </c>
      <c r="J26" s="16">
        <f>'BIFUbC-petroleum-diesel pre-CHP'!J26+CHP!J91</f>
        <v>49073591121709.203</v>
      </c>
      <c r="K26" s="16">
        <f>'BIFUbC-petroleum-diesel pre-CHP'!K26+CHP!K91</f>
        <v>49514281739589.945</v>
      </c>
      <c r="L26" s="16">
        <f>'BIFUbC-petroleum-diesel pre-CHP'!L26+CHP!L91</f>
        <v>49954972357470.773</v>
      </c>
      <c r="M26" s="16">
        <f>'BIFUbC-petroleum-diesel pre-CHP'!M26+CHP!M91</f>
        <v>50268284104592.039</v>
      </c>
      <c r="N26" s="16">
        <f>'BIFUbC-petroleum-diesel pre-CHP'!N26+CHP!N91</f>
        <v>50581595851713.391</v>
      </c>
      <c r="O26" s="16">
        <f>'BIFUbC-petroleum-diesel pre-CHP'!O26+CHP!O91</f>
        <v>50894907598834.742</v>
      </c>
      <c r="P26" s="16">
        <f>'BIFUbC-petroleum-diesel pre-CHP'!P26+CHP!P91</f>
        <v>51208219345956.102</v>
      </c>
      <c r="Q26" s="16">
        <f>'BIFUbC-petroleum-diesel pre-CHP'!Q26+CHP!Q91</f>
        <v>51521531093077.43</v>
      </c>
      <c r="R26" s="16">
        <f>'BIFUbC-petroleum-diesel pre-CHP'!R26+CHP!R91</f>
        <v>51767494805059.883</v>
      </c>
      <c r="S26" s="16">
        <f>'BIFUbC-petroleum-diesel pre-CHP'!S26+CHP!S91</f>
        <v>52013458517042.141</v>
      </c>
      <c r="T26" s="16">
        <f>'BIFUbC-petroleum-diesel pre-CHP'!T26+CHP!T91</f>
        <v>52259422229024.477</v>
      </c>
      <c r="U26" s="16">
        <f>'BIFUbC-petroleum-diesel pre-CHP'!U26+CHP!U91</f>
        <v>52505385941006.836</v>
      </c>
      <c r="V26" s="16">
        <f>'BIFUbC-petroleum-diesel pre-CHP'!V26+CHP!V91</f>
        <v>52751349652989.086</v>
      </c>
      <c r="W26" s="16">
        <f>'BIFUbC-petroleum-diesel pre-CHP'!W26+CHP!W91</f>
        <v>53087110745156.797</v>
      </c>
      <c r="X26" s="16">
        <f>'BIFUbC-petroleum-diesel pre-CHP'!X26+CHP!X91</f>
        <v>53361646350834.453</v>
      </c>
      <c r="Y26" s="16">
        <f>'BIFUbC-petroleum-diesel pre-CHP'!Y26+CHP!Y91</f>
        <v>53636181956512.188</v>
      </c>
      <c r="Z26" s="16">
        <f>'BIFUbC-petroleum-diesel pre-CHP'!Z26+CHP!Z91</f>
        <v>53910717562189.852</v>
      </c>
      <c r="AA26" s="16">
        <f>'BIFUbC-petroleum-diesel pre-CHP'!AA26+CHP!AA91</f>
        <v>54185253167867.5</v>
      </c>
      <c r="AB26" s="16">
        <f>'BIFUbC-petroleum-diesel pre-CHP'!AB26+CHP!AB91</f>
        <v>54459788773545.156</v>
      </c>
      <c r="AC26" s="16">
        <f>'BIFUbC-petroleum-diesel pre-CHP'!AC26+CHP!AC91</f>
        <v>54734324379222.898</v>
      </c>
      <c r="AD26" s="16">
        <f>'BIFUbC-petroleum-diesel pre-CHP'!AD26+CHP!AD91</f>
        <v>55008859984900.563</v>
      </c>
      <c r="AE26" s="16">
        <f>'BIFUbC-petroleum-diesel pre-CHP'!AE26+CHP!AE91</f>
        <v>55283395590578.203</v>
      </c>
      <c r="AF26" s="16">
        <f>'BIFUbC-petroleum-diesel pre-CHP'!AF26+CHP!AF91</f>
        <v>55557931196255.953</v>
      </c>
    </row>
    <row r="30" spans="1:33">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row>
    <row r="31" spans="1:33">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row>
    <row r="32" spans="1:33">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row>
    <row r="33" spans="2:33">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row>
    <row r="34" spans="2:33">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row>
    <row r="35" spans="2:33">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row>
    <row r="36" spans="2:33">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row>
    <row r="37" spans="2:33">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row>
    <row r="39" spans="2:33">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row>
    <row r="40" spans="2:33">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row>
    <row r="41" spans="2:33">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row>
    <row r="42" spans="2:33">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row>
    <row r="43" spans="2:33">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row>
    <row r="44" spans="2:33">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row>
    <row r="45" spans="2:33">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row>
    <row r="46" spans="2:33">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row>
    <row r="47" spans="2:33">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row>
    <row r="48" spans="2:33">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row>
    <row r="49" spans="2:33">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row>
    <row r="50" spans="2:33">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row>
    <row r="51" spans="2:33">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row>
    <row r="54" spans="2:33">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row>
    <row r="56" spans="2:33">
      <c r="B56" s="21"/>
    </row>
    <row r="57" spans="2:33">
      <c r="B57" s="21"/>
    </row>
    <row r="58" spans="2:33">
      <c r="B58" s="21"/>
    </row>
    <row r="59" spans="2:33">
      <c r="B59" s="21"/>
    </row>
    <row r="60" spans="2:33">
      <c r="B60" s="21"/>
    </row>
    <row r="61" spans="2:33">
      <c r="B61" s="21"/>
    </row>
    <row r="62" spans="2:33">
      <c r="B62" s="21"/>
    </row>
    <row r="63" spans="2:33">
      <c r="B63" s="21"/>
    </row>
    <row r="64" spans="2:33">
      <c r="B64" s="21"/>
    </row>
    <row r="65" spans="2:2">
      <c r="B65" s="21"/>
    </row>
    <row r="66" spans="2:2">
      <c r="B66" s="21"/>
    </row>
    <row r="67" spans="2:2">
      <c r="B67" s="21"/>
    </row>
    <row r="68" spans="2:2">
      <c r="B68" s="21"/>
    </row>
    <row r="69" spans="2:2">
      <c r="B69" s="21"/>
    </row>
    <row r="70" spans="2:2">
      <c r="B70" s="21"/>
    </row>
    <row r="71" spans="2:2">
      <c r="B71" s="21"/>
    </row>
    <row r="72" spans="2:2">
      <c r="B72" s="21"/>
    </row>
    <row r="73" spans="2:2">
      <c r="B73" s="21"/>
    </row>
    <row r="74" spans="2:2">
      <c r="B74" s="21"/>
    </row>
    <row r="75" spans="2:2">
      <c r="B75" s="21"/>
    </row>
    <row r="76" spans="2:2">
      <c r="B76" s="21"/>
    </row>
    <row r="77" spans="2:2">
      <c r="B77" s="21"/>
    </row>
    <row r="78" spans="2:2">
      <c r="B78" s="21"/>
    </row>
    <row r="79" spans="2:2">
      <c r="B79" s="21"/>
    </row>
    <row r="80" spans="2:2">
      <c r="B80" s="21"/>
    </row>
  </sheetData>
  <phoneticPr fontId="37"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I151"/>
  <sheetViews>
    <sheetView zoomScale="57" zoomScaleNormal="57" workbookViewId="0">
      <pane xSplit="1" ySplit="1" topLeftCell="I2" activePane="bottomRight" state="frozen"/>
      <selection pane="topRight" activeCell="B1" sqref="B1"/>
      <selection pane="bottomLeft" activeCell="A2" sqref="A2"/>
      <selection pane="bottomRight" sqref="A1:AF26"/>
    </sheetView>
  </sheetViews>
  <sheetFormatPr defaultRowHeight="16.5"/>
  <cols>
    <col min="1" max="1" width="39.875" customWidth="1"/>
    <col min="2" max="2" width="17.875" style="16" customWidth="1"/>
    <col min="3" max="3" width="9.5" customWidth="1"/>
    <col min="4" max="35" width="9.5" bestFit="1" customWidth="1"/>
  </cols>
  <sheetData>
    <row r="1" spans="1:35">
      <c r="A1" s="24" t="s">
        <v>27</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H1" s="1"/>
      <c r="AI1" s="1"/>
    </row>
    <row r="2" spans="1:35">
      <c r="A2" t="s">
        <v>2</v>
      </c>
      <c r="B2" s="16">
        <f>'KEEI BAU - Industry'!R55*'Others Split'!$E$6</f>
        <v>54056671663803.742</v>
      </c>
      <c r="C2" s="16">
        <f>'KEEI BAU - Industry'!S55*'Others Split'!$E$6</f>
        <v>56043161122822.438</v>
      </c>
      <c r="D2" s="16">
        <f>'KEEI BAU - Industry'!T55*'Others Split'!$E$6</f>
        <v>58029650581841.125</v>
      </c>
      <c r="E2" s="16">
        <f>'KEEI BAU - Industry'!U55*'Others Split'!$E$6</f>
        <v>60016140040859.813</v>
      </c>
      <c r="F2" s="16">
        <f>'KEEI BAU - Industry'!V55*'Others Split'!$E$6</f>
        <v>62002629499878.508</v>
      </c>
      <c r="G2" s="16">
        <f>'KEEI BAU - Industry'!W55*'Others Split'!$E$6</f>
        <v>63989118958897.195</v>
      </c>
      <c r="H2" s="16">
        <f>'KEEI BAU - Industry'!X55*'Others Split'!$E$6</f>
        <v>64504454516536.094</v>
      </c>
      <c r="I2" s="16">
        <f>'KEEI BAU - Industry'!Y55*'Others Split'!$E$6</f>
        <v>65019790074174.984</v>
      </c>
      <c r="J2" s="16">
        <f>'KEEI BAU - Industry'!Z55*'Others Split'!$E$6</f>
        <v>65535125631813.875</v>
      </c>
      <c r="K2" s="16">
        <f>'KEEI BAU - Industry'!AA55*'Others Split'!$E$6</f>
        <v>66050461189452.773</v>
      </c>
      <c r="L2" s="16">
        <f>'KEEI BAU - Industry'!AB55*'Others Split'!$E$6</f>
        <v>66565796747091.664</v>
      </c>
      <c r="M2" s="16">
        <f>'KEEI BAU - Industry'!AC55*'Others Split'!$E$6</f>
        <v>66838049494523.531</v>
      </c>
      <c r="N2" s="16">
        <f>'KEEI BAU - Industry'!AD55*'Others Split'!$E$6</f>
        <v>67110302241955.398</v>
      </c>
      <c r="O2" s="16">
        <f>'KEEI BAU - Industry'!AE55*'Others Split'!$E$6</f>
        <v>67382554989387.266</v>
      </c>
      <c r="P2" s="16">
        <f>'KEEI BAU - Industry'!AF55*'Others Split'!$E$6</f>
        <v>67654807736819.133</v>
      </c>
      <c r="Q2" s="16">
        <f>'KEEI BAU - Industry'!AG55*'Others Split'!$E$6</f>
        <v>67927060484251.008</v>
      </c>
      <c r="R2" s="16">
        <f>'KEEI BAU - Industry'!AH55*'Others Split'!$E$6</f>
        <v>68121526732416.625</v>
      </c>
      <c r="S2" s="16">
        <f>'KEEI BAU - Industry'!AI55*'Others Split'!$E$6</f>
        <v>68315992980582.242</v>
      </c>
      <c r="T2" s="16">
        <f>'KEEI BAU - Industry'!AJ55*'Others Split'!$E$6</f>
        <v>68510459228747.859</v>
      </c>
      <c r="U2" s="16">
        <f>'KEEI BAU - Industry'!AK55*'Others Split'!$E$6</f>
        <v>68704925476913.484</v>
      </c>
      <c r="V2" s="16">
        <f>'KEEI BAU - Industry'!AL55*'Others Split'!$E$6</f>
        <v>68899391725079.086</v>
      </c>
      <c r="W2" s="16">
        <f>'KEEI BAU - Industry'!AM55*'Others Split'!$E$6</f>
        <v>69197573305599.758</v>
      </c>
      <c r="X2" s="16">
        <f>'KEEI BAU - Industry'!AN55*'Others Split'!$E$6</f>
        <v>69425039886787.375</v>
      </c>
      <c r="Y2" s="16">
        <f>'KEEI BAU - Industry'!AO55*'Others Split'!$E$6</f>
        <v>69652506467975.055</v>
      </c>
      <c r="Z2" s="16">
        <f>'KEEI BAU - Industry'!AP55*'Others Split'!$E$6</f>
        <v>69879973049162.727</v>
      </c>
      <c r="AA2" s="16">
        <f>'KEEI BAU - Industry'!AQ55*'Others Split'!$E$6</f>
        <v>70107439630350.406</v>
      </c>
      <c r="AB2" s="16">
        <f>'KEEI BAU - Industry'!AR55*'Others Split'!$E$6</f>
        <v>70334906211538.023</v>
      </c>
      <c r="AC2" s="16">
        <f>'KEEI BAU - Industry'!AS55*'Others Split'!$E$6</f>
        <v>70562372792725.703</v>
      </c>
      <c r="AD2" s="16">
        <f>'KEEI BAU - Industry'!AT55*'Others Split'!$E$6</f>
        <v>70789839373913.375</v>
      </c>
      <c r="AE2" s="16">
        <f>'KEEI BAU - Industry'!AU55*'Others Split'!$E$6</f>
        <v>71017305955101.063</v>
      </c>
      <c r="AF2" s="16">
        <f>'KEEI BAU - Industry'!AV55*'Others Split'!$E$6</f>
        <v>71244772536288.734</v>
      </c>
      <c r="AG2" s="14"/>
    </row>
    <row r="3" spans="1:35">
      <c r="A3" t="s">
        <v>3</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c r="AC3" s="16">
        <v>0</v>
      </c>
      <c r="AD3" s="16">
        <v>0</v>
      </c>
      <c r="AE3" s="16">
        <v>0</v>
      </c>
      <c r="AF3" s="16">
        <v>0</v>
      </c>
    </row>
    <row r="4" spans="1:35">
      <c r="A4" t="s">
        <v>4</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c r="AC4" s="16">
        <v>0</v>
      </c>
      <c r="AD4" s="16">
        <v>0</v>
      </c>
      <c r="AE4" s="16">
        <v>0</v>
      </c>
      <c r="AF4" s="16">
        <v>0</v>
      </c>
    </row>
    <row r="5" spans="1:35">
      <c r="A5" t="s">
        <v>5</v>
      </c>
      <c r="B5" s="16">
        <f>'KEEI BAU - Industry'!R$55*'Others Split'!$E$7</f>
        <v>4662339393723.8271</v>
      </c>
      <c r="C5" s="16">
        <f>'KEEI BAU - Industry'!S$55*'Others Split'!$E$7</f>
        <v>4833672325902.8828</v>
      </c>
      <c r="D5" s="16">
        <f>'KEEI BAU - Industry'!T$55*'Others Split'!$E$7</f>
        <v>5005005258081.9385</v>
      </c>
      <c r="E5" s="16">
        <f>'KEEI BAU - Industry'!U$55*'Others Split'!$E$7</f>
        <v>5176338190260.9941</v>
      </c>
      <c r="F5" s="16">
        <f>'KEEI BAU - Industry'!V$55*'Others Split'!$E$7</f>
        <v>5347671122440.0508</v>
      </c>
      <c r="G5" s="16">
        <f>'KEEI BAU - Industry'!W$55*'Others Split'!$E$7</f>
        <v>5519004054619.1055</v>
      </c>
      <c r="H5" s="16">
        <f>'KEEI BAU - Industry'!X$55*'Others Split'!$E$7</f>
        <v>5563451283747.6299</v>
      </c>
      <c r="I5" s="16">
        <f>'KEEI BAU - Industry'!Y$55*'Others Split'!$E$7</f>
        <v>5607898512876.1533</v>
      </c>
      <c r="J5" s="16">
        <f>'KEEI BAU - Industry'!Z$55*'Others Split'!$E$7</f>
        <v>5652345742004.6768</v>
      </c>
      <c r="K5" s="16">
        <f>'KEEI BAU - Industry'!AA$55*'Others Split'!$E$7</f>
        <v>5696792971133.2002</v>
      </c>
      <c r="L5" s="16">
        <f>'KEEI BAU - Industry'!AB$55*'Others Split'!$E$7</f>
        <v>5741240200261.7236</v>
      </c>
      <c r="M5" s="16">
        <f>'KEEI BAU - Industry'!AC$55*'Others Split'!$E$7</f>
        <v>5764721755273.0195</v>
      </c>
      <c r="N5" s="16">
        <f>'KEEI BAU - Industry'!AD$55*'Others Split'!$E$7</f>
        <v>5788203310284.3145</v>
      </c>
      <c r="O5" s="16">
        <f>'KEEI BAU - Industry'!AE$55*'Others Split'!$E$7</f>
        <v>5811684865295.6104</v>
      </c>
      <c r="P5" s="16">
        <f>'KEEI BAU - Industry'!AF$55*'Others Split'!$E$7</f>
        <v>5835166420306.9053</v>
      </c>
      <c r="Q5" s="16">
        <f>'KEEI BAU - Industry'!AG$55*'Others Split'!$E$7</f>
        <v>5858647975318.2012</v>
      </c>
      <c r="R5" s="16">
        <f>'KEEI BAU - Industry'!AH$55*'Others Split'!$E$7</f>
        <v>5875420514611.9834</v>
      </c>
      <c r="S5" s="16">
        <f>'KEEI BAU - Industry'!AI$55*'Others Split'!$E$7</f>
        <v>5892193053905.7656</v>
      </c>
      <c r="T5" s="16">
        <f>'KEEI BAU - Industry'!AJ$55*'Others Split'!$E$7</f>
        <v>5908965593199.5479</v>
      </c>
      <c r="U5" s="16">
        <f>'KEEI BAU - Industry'!AK$55*'Others Split'!$E$7</f>
        <v>5925738132493.3301</v>
      </c>
      <c r="V5" s="16">
        <f>'KEEI BAU - Industry'!AL$55*'Others Split'!$E$7</f>
        <v>5942510671787.1113</v>
      </c>
      <c r="W5" s="16">
        <f>'KEEI BAU - Industry'!AM$55*'Others Split'!$E$7</f>
        <v>5968228565370.916</v>
      </c>
      <c r="X5" s="16">
        <f>'KEEI BAU - Industry'!AN$55*'Others Split'!$E$7</f>
        <v>5987847353756.9727</v>
      </c>
      <c r="Y5" s="16">
        <f>'KEEI BAU - Industry'!AO$55*'Others Split'!$E$7</f>
        <v>6007466142143.0342</v>
      </c>
      <c r="Z5" s="16">
        <f>'KEEI BAU - Industry'!AP$55*'Others Split'!$E$7</f>
        <v>6027084930529.0957</v>
      </c>
      <c r="AA5" s="16">
        <f>'KEEI BAU - Industry'!AQ$55*'Others Split'!$E$7</f>
        <v>6046703718915.1582</v>
      </c>
      <c r="AB5" s="16">
        <f>'KEEI BAU - Industry'!AR$55*'Others Split'!$E$7</f>
        <v>6066322507301.2139</v>
      </c>
      <c r="AC5" s="16">
        <f>'KEEI BAU - Industry'!AS$55*'Others Split'!$E$7</f>
        <v>6085941295687.2764</v>
      </c>
      <c r="AD5" s="16">
        <f>'KEEI BAU - Industry'!AT$55*'Others Split'!$E$7</f>
        <v>6105560084073.3379</v>
      </c>
      <c r="AE5" s="16">
        <f>'KEEI BAU - Industry'!AU$55*'Others Split'!$E$7</f>
        <v>6125178872459.3994</v>
      </c>
      <c r="AF5" s="16">
        <f>'KEEI BAU - Industry'!AV$55*'Others Split'!$E$7</f>
        <v>6144797660845.4609</v>
      </c>
    </row>
    <row r="6" spans="1:35">
      <c r="A6" t="s">
        <v>6</v>
      </c>
      <c r="B6" s="16">
        <f>'KEEI BAU - Industry'!R$55*'Others Split'!$E$8</f>
        <v>42826280355774.883</v>
      </c>
      <c r="C6" s="16">
        <f>'KEEI BAU - Industry'!S$55*'Others Split'!$E$8</f>
        <v>44400072301842.688</v>
      </c>
      <c r="D6" s="16">
        <f>'KEEI BAU - Industry'!T$55*'Others Split'!$E$8</f>
        <v>45973864247910.492</v>
      </c>
      <c r="E6" s="16">
        <f>'KEEI BAU - Industry'!U$55*'Others Split'!$E$8</f>
        <v>47547656193978.297</v>
      </c>
      <c r="F6" s="16">
        <f>'KEEI BAU - Industry'!V$55*'Others Split'!$E$8</f>
        <v>49121448140046.102</v>
      </c>
      <c r="G6" s="16">
        <f>'KEEI BAU - Industry'!W$55*'Others Split'!$E$8</f>
        <v>50695240086113.906</v>
      </c>
      <c r="H6" s="16">
        <f>'KEEI BAU - Industry'!X$55*'Others Split'!$E$8</f>
        <v>51103513558924.125</v>
      </c>
      <c r="I6" s="16">
        <f>'KEEI BAU - Industry'!Y$55*'Others Split'!$E$8</f>
        <v>51511787031734.344</v>
      </c>
      <c r="J6" s="16">
        <f>'KEEI BAU - Industry'!Z$55*'Others Split'!$E$8</f>
        <v>51920060504544.563</v>
      </c>
      <c r="K6" s="16">
        <f>'KEEI BAU - Industry'!AA$55*'Others Split'!$E$8</f>
        <v>52328333977354.773</v>
      </c>
      <c r="L6" s="16">
        <f>'KEEI BAU - Industry'!AB$55*'Others Split'!$E$8</f>
        <v>52736607450164.992</v>
      </c>
      <c r="M6" s="16">
        <f>'KEEI BAU - Industry'!AC$55*'Others Split'!$E$8</f>
        <v>52952299096177.938</v>
      </c>
      <c r="N6" s="16">
        <f>'KEEI BAU - Industry'!AD$55*'Others Split'!$E$8</f>
        <v>53167990742190.883</v>
      </c>
      <c r="O6" s="16">
        <f>'KEEI BAU - Industry'!AE$55*'Others Split'!$E$8</f>
        <v>53383682388203.828</v>
      </c>
      <c r="P6" s="16">
        <f>'KEEI BAU - Industry'!AF$55*'Others Split'!$E$8</f>
        <v>53599374034216.773</v>
      </c>
      <c r="Q6" s="16">
        <f>'KEEI BAU - Industry'!AG$55*'Others Split'!$E$8</f>
        <v>53815065680229.727</v>
      </c>
      <c r="R6" s="16">
        <f>'KEEI BAU - Industry'!AH$55*'Others Split'!$E$8</f>
        <v>53969131141667.531</v>
      </c>
      <c r="S6" s="16">
        <f>'KEEI BAU - Industry'!AI$55*'Others Split'!$E$8</f>
        <v>54123196603105.352</v>
      </c>
      <c r="T6" s="16">
        <f>'KEEI BAU - Industry'!AJ$55*'Others Split'!$E$8</f>
        <v>54277262064543.172</v>
      </c>
      <c r="U6" s="16">
        <f>'KEEI BAU - Industry'!AK$55*'Others Split'!$E$8</f>
        <v>54431327525980.984</v>
      </c>
      <c r="V6" s="16">
        <f>'KEEI BAU - Industry'!AL$55*'Others Split'!$E$8</f>
        <v>54585392987418.797</v>
      </c>
      <c r="W6" s="16">
        <f>'KEEI BAU - Industry'!AM$55*'Others Split'!$E$8</f>
        <v>54821626694956.828</v>
      </c>
      <c r="X6" s="16">
        <f>'KEEI BAU - Industry'!AN$55*'Others Split'!$E$8</f>
        <v>55001836598335.57</v>
      </c>
      <c r="Y6" s="16">
        <f>'KEEI BAU - Industry'!AO$55*'Others Split'!$E$8</f>
        <v>55182046501714.359</v>
      </c>
      <c r="Z6" s="16">
        <f>'KEEI BAU - Industry'!AP$55*'Others Split'!$E$8</f>
        <v>55362256405093.148</v>
      </c>
      <c r="AA6" s="16">
        <f>'KEEI BAU - Industry'!AQ$55*'Others Split'!$E$8</f>
        <v>55542466308471.938</v>
      </c>
      <c r="AB6" s="16">
        <f>'KEEI BAU - Industry'!AR$55*'Others Split'!$E$8</f>
        <v>55722676211850.68</v>
      </c>
      <c r="AC6" s="16">
        <f>'KEEI BAU - Industry'!AS$55*'Others Split'!$E$8</f>
        <v>55902886115229.477</v>
      </c>
      <c r="AD6" s="16">
        <f>'KEEI BAU - Industry'!AT$55*'Others Split'!$E$8</f>
        <v>56083096018608.266</v>
      </c>
      <c r="AE6" s="16">
        <f>'KEEI BAU - Industry'!AU$55*'Others Split'!$E$8</f>
        <v>56263305921987.055</v>
      </c>
      <c r="AF6" s="16">
        <f>'KEEI BAU - Industry'!AV$55*'Others Split'!$E$8</f>
        <v>56443515825365.844</v>
      </c>
    </row>
    <row r="7" spans="1:35">
      <c r="A7" t="s">
        <v>7</v>
      </c>
      <c r="B7" s="16">
        <f>'KEEI BAU - Industry'!R$55*'Others Split'!$E$9</f>
        <v>32269617358653.113</v>
      </c>
      <c r="C7" s="16">
        <f>'KEEI BAU - Industry'!S$55*'Others Split'!$E$9</f>
        <v>33455470145302.844</v>
      </c>
      <c r="D7" s="16">
        <f>'KEEI BAU - Industry'!T$55*'Others Split'!$E$9</f>
        <v>34641322931952.57</v>
      </c>
      <c r="E7" s="16">
        <f>'KEEI BAU - Industry'!U$55*'Others Split'!$E$9</f>
        <v>35827175718602.297</v>
      </c>
      <c r="F7" s="16">
        <f>'KEEI BAU - Industry'!V$55*'Others Split'!$E$9</f>
        <v>37013028505252.023</v>
      </c>
      <c r="G7" s="16">
        <f>'KEEI BAU - Industry'!W$55*'Others Split'!$E$9</f>
        <v>38198881291901.75</v>
      </c>
      <c r="H7" s="16">
        <f>'KEEI BAU - Industry'!X$55*'Others Split'!$E$9</f>
        <v>38506515497717.094</v>
      </c>
      <c r="I7" s="16">
        <f>'KEEI BAU - Industry'!Y$55*'Others Split'!$E$9</f>
        <v>38814149703532.445</v>
      </c>
      <c r="J7" s="16">
        <f>'KEEI BAU - Industry'!Z$55*'Others Split'!$E$9</f>
        <v>39121783909347.789</v>
      </c>
      <c r="K7" s="16">
        <f>'KEEI BAU - Industry'!AA$55*'Others Split'!$E$9</f>
        <v>39429418115163.133</v>
      </c>
      <c r="L7" s="16">
        <f>'KEEI BAU - Industry'!AB$55*'Others Split'!$E$9</f>
        <v>39737052320978.484</v>
      </c>
      <c r="M7" s="16">
        <f>'KEEI BAU - Industry'!AC$55*'Others Split'!$E$9</f>
        <v>39899576052352.625</v>
      </c>
      <c r="N7" s="16">
        <f>'KEEI BAU - Industry'!AD$55*'Others Split'!$E$9</f>
        <v>40062099783726.773</v>
      </c>
      <c r="O7" s="16">
        <f>'KEEI BAU - Industry'!AE$55*'Others Split'!$E$9</f>
        <v>40224623515100.914</v>
      </c>
      <c r="P7" s="16">
        <f>'KEEI BAU - Industry'!AF$55*'Others Split'!$E$9</f>
        <v>40387147246475.063</v>
      </c>
      <c r="Q7" s="16">
        <f>'KEEI BAU - Industry'!AG$55*'Others Split'!$E$9</f>
        <v>40549670977849.211</v>
      </c>
      <c r="R7" s="16">
        <f>'KEEI BAU - Industry'!AH$55*'Others Split'!$E$9</f>
        <v>40665759357402.172</v>
      </c>
      <c r="S7" s="16">
        <f>'KEEI BAU - Industry'!AI$55*'Others Split'!$E$9</f>
        <v>40781847736955.133</v>
      </c>
      <c r="T7" s="16">
        <f>'KEEI BAU - Industry'!AJ$55*'Others Split'!$E$9</f>
        <v>40897936116508.086</v>
      </c>
      <c r="U7" s="16">
        <f>'KEEI BAU - Industry'!AK$55*'Others Split'!$E$9</f>
        <v>41014024496061.047</v>
      </c>
      <c r="V7" s="16">
        <f>'KEEI BAU - Industry'!AL$55*'Others Split'!$E$9</f>
        <v>41130112875614</v>
      </c>
      <c r="W7" s="16">
        <f>'KEEI BAU - Industry'!AM$55*'Others Split'!$E$9</f>
        <v>41308115057595.242</v>
      </c>
      <c r="X7" s="16">
        <f>'KEEI BAU - Industry'!AN$55*'Others Split'!$E$9</f>
        <v>41443903283375.344</v>
      </c>
      <c r="Y7" s="16">
        <f>'KEEI BAU - Industry'!AO$55*'Others Split'!$E$9</f>
        <v>41579691509155.484</v>
      </c>
      <c r="Z7" s="16">
        <f>'KEEI BAU - Industry'!AP$55*'Others Split'!$E$9</f>
        <v>41715479734935.617</v>
      </c>
      <c r="AA7" s="16">
        <f>'KEEI BAU - Industry'!AQ$55*'Others Split'!$E$9</f>
        <v>41851267960715.758</v>
      </c>
      <c r="AB7" s="16">
        <f>'KEEI BAU - Industry'!AR$55*'Others Split'!$E$9</f>
        <v>41987056186495.859</v>
      </c>
      <c r="AC7" s="16">
        <f>'KEEI BAU - Industry'!AS$55*'Others Split'!$E$9</f>
        <v>42122844412275.992</v>
      </c>
      <c r="AD7" s="16">
        <f>'KEEI BAU - Industry'!AT$55*'Others Split'!$E$9</f>
        <v>42258632638056.133</v>
      </c>
      <c r="AE7" s="16">
        <f>'KEEI BAU - Industry'!AU$55*'Others Split'!$E$9</f>
        <v>42394420863836.273</v>
      </c>
      <c r="AF7" s="16">
        <f>'KEEI BAU - Industry'!AV$55*'Others Split'!$E$9</f>
        <v>42530209089616.406</v>
      </c>
    </row>
    <row r="8" spans="1:35">
      <c r="A8" t="s">
        <v>8</v>
      </c>
      <c r="B8" s="16">
        <f>'KEEI BAU - Industry'!R$55*'Others Split'!$E$10</f>
        <v>5418413083152.9258</v>
      </c>
      <c r="C8" s="16">
        <f>'KEEI BAU - Industry'!S$55*'Others Split'!$E$10</f>
        <v>5617530419514.9346</v>
      </c>
      <c r="D8" s="16">
        <f>'KEEI BAU - Industry'!T$55*'Others Split'!$E$10</f>
        <v>5816647755876.9424</v>
      </c>
      <c r="E8" s="16">
        <f>'KEEI BAU - Industry'!U$55*'Others Split'!$E$10</f>
        <v>6015765092238.9502</v>
      </c>
      <c r="F8" s="16">
        <f>'KEEI BAU - Industry'!V$55*'Others Split'!$E$10</f>
        <v>6214882428600.959</v>
      </c>
      <c r="G8" s="16">
        <f>'KEEI BAU - Industry'!W$55*'Others Split'!$E$10</f>
        <v>6413999764962.9668</v>
      </c>
      <c r="H8" s="16">
        <f>'KEEI BAU - Industry'!X$55*'Others Split'!$E$10</f>
        <v>6465654830689.0029</v>
      </c>
      <c r="I8" s="16">
        <f>'KEEI BAU - Industry'!Y$55*'Others Split'!$E$10</f>
        <v>6517309896415.0381</v>
      </c>
      <c r="J8" s="16">
        <f>'KEEI BAU - Industry'!Z$55*'Others Split'!$E$10</f>
        <v>6568964962141.0732</v>
      </c>
      <c r="K8" s="16">
        <f>'KEEI BAU - Industry'!AA$55*'Others Split'!$E$10</f>
        <v>6620620027867.1084</v>
      </c>
      <c r="L8" s="16">
        <f>'KEEI BAU - Industry'!AB$55*'Others Split'!$E$10</f>
        <v>6672275093593.1436</v>
      </c>
      <c r="M8" s="16">
        <f>'KEEI BAU - Industry'!AC$55*'Others Split'!$E$10</f>
        <v>6699564562278.5957</v>
      </c>
      <c r="N8" s="16">
        <f>'KEEI BAU - Industry'!AD$55*'Others Split'!$E$10</f>
        <v>6726854030964.0488</v>
      </c>
      <c r="O8" s="16">
        <f>'KEEI BAU - Industry'!AE$55*'Others Split'!$E$10</f>
        <v>6754143499649.501</v>
      </c>
      <c r="P8" s="16">
        <f>'KEEI BAU - Industry'!AF$55*'Others Split'!$E$10</f>
        <v>6781432968334.9531</v>
      </c>
      <c r="Q8" s="16">
        <f>'KEEI BAU - Industry'!AG$55*'Others Split'!$E$10</f>
        <v>6808722437020.4072</v>
      </c>
      <c r="R8" s="16">
        <f>'KEEI BAU - Industry'!AH$55*'Others Split'!$E$10</f>
        <v>6828214914652.8721</v>
      </c>
      <c r="S8" s="16">
        <f>'KEEI BAU - Industry'!AI$55*'Others Split'!$E$10</f>
        <v>6847707392285.3379</v>
      </c>
      <c r="T8" s="16">
        <f>'KEEI BAU - Industry'!AJ$55*'Others Split'!$E$10</f>
        <v>6867199869917.8047</v>
      </c>
      <c r="U8" s="16">
        <f>'KEEI BAU - Industry'!AK$55*'Others Split'!$E$10</f>
        <v>6886692347550.2705</v>
      </c>
      <c r="V8" s="16">
        <f>'KEEI BAU - Industry'!AL$55*'Others Split'!$E$10</f>
        <v>6906184825182.7354</v>
      </c>
      <c r="W8" s="16">
        <f>'KEEI BAU - Industry'!AM$55*'Others Split'!$E$10</f>
        <v>6936073290885.8555</v>
      </c>
      <c r="X8" s="16">
        <f>'KEEI BAU - Industry'!AN$55*'Others Split'!$E$10</f>
        <v>6958873582904.4316</v>
      </c>
      <c r="Y8" s="16">
        <f>'KEEI BAU - Industry'!AO$55*'Others Split'!$E$10</f>
        <v>6981673874923.0146</v>
      </c>
      <c r="Z8" s="16">
        <f>'KEEI BAU - Industry'!AP$55*'Others Split'!$E$10</f>
        <v>7004474166941.5977</v>
      </c>
      <c r="AA8" s="16">
        <f>'KEEI BAU - Industry'!AQ$55*'Others Split'!$E$10</f>
        <v>7027274458960.1807</v>
      </c>
      <c r="AB8" s="16">
        <f>'KEEI BAU - Industry'!AR$55*'Others Split'!$E$10</f>
        <v>7050074750978.7568</v>
      </c>
      <c r="AC8" s="16">
        <f>'KEEI BAU - Industry'!AS$55*'Others Split'!$E$10</f>
        <v>7072875042997.3398</v>
      </c>
      <c r="AD8" s="16">
        <f>'KEEI BAU - Industry'!AT$55*'Others Split'!$E$10</f>
        <v>7095675335015.9229</v>
      </c>
      <c r="AE8" s="16">
        <f>'KEEI BAU - Industry'!AU$55*'Others Split'!$E$10</f>
        <v>7118475627034.5059</v>
      </c>
      <c r="AF8" s="16">
        <f>'KEEI BAU - Industry'!AV$55*'Others Split'!$E$10</f>
        <v>7141275919053.0889</v>
      </c>
    </row>
    <row r="9" spans="1:35">
      <c r="A9" t="s">
        <v>9</v>
      </c>
      <c r="B9" s="16">
        <f>'KEEI BAU - Industry'!R$55*'Others Split'!$E$11</f>
        <v>30934038521919.098</v>
      </c>
      <c r="C9" s="16">
        <f>'KEEI BAU - Industry'!S$55*'Others Split'!$E$11</f>
        <v>32070811089620.813</v>
      </c>
      <c r="D9" s="16">
        <f>'KEEI BAU - Industry'!T$55*'Others Split'!$E$11</f>
        <v>33207583657322.52</v>
      </c>
      <c r="E9" s="16">
        <f>'KEEI BAU - Industry'!U$55*'Others Split'!$E$11</f>
        <v>34344356225024.227</v>
      </c>
      <c r="F9" s="16">
        <f>'KEEI BAU - Industry'!V$55*'Others Split'!$E$11</f>
        <v>35481128792725.938</v>
      </c>
      <c r="G9" s="16">
        <f>'KEEI BAU - Industry'!W$55*'Others Split'!$E$11</f>
        <v>36617901360427.641</v>
      </c>
      <c r="H9" s="16">
        <f>'KEEI BAU - Industry'!X$55*'Others Split'!$E$11</f>
        <v>36912803164424.406</v>
      </c>
      <c r="I9" s="16">
        <f>'KEEI BAU - Industry'!Y$55*'Others Split'!$E$11</f>
        <v>37207704968421.164</v>
      </c>
      <c r="J9" s="16">
        <f>'KEEI BAU - Industry'!Z$55*'Others Split'!$E$11</f>
        <v>37502606772417.922</v>
      </c>
      <c r="K9" s="16">
        <f>'KEEI BAU - Industry'!AA$55*'Others Split'!$E$11</f>
        <v>37797508576414.68</v>
      </c>
      <c r="L9" s="16">
        <f>'KEEI BAU - Industry'!AB$55*'Others Split'!$E$11</f>
        <v>38092410380411.438</v>
      </c>
      <c r="M9" s="16">
        <f>'KEEI BAU - Industry'!AC$55*'Others Split'!$E$11</f>
        <v>38248207559881.422</v>
      </c>
      <c r="N9" s="16">
        <f>'KEEI BAU - Industry'!AD$55*'Others Split'!$E$11</f>
        <v>38404004739351.414</v>
      </c>
      <c r="O9" s="16">
        <f>'KEEI BAU - Industry'!AE$55*'Others Split'!$E$11</f>
        <v>38559801918821.398</v>
      </c>
      <c r="P9" s="16">
        <f>'KEEI BAU - Industry'!AF$55*'Others Split'!$E$11</f>
        <v>38715599098291.383</v>
      </c>
      <c r="Q9" s="16">
        <f>'KEEI BAU - Industry'!AG$55*'Others Split'!$E$11</f>
        <v>38871396277761.375</v>
      </c>
      <c r="R9" s="16">
        <f>'KEEI BAU - Industry'!AH$55*'Others Split'!$E$11</f>
        <v>38982679977382.781</v>
      </c>
      <c r="S9" s="16">
        <f>'KEEI BAU - Industry'!AI$55*'Others Split'!$E$11</f>
        <v>39093963677004.203</v>
      </c>
      <c r="T9" s="16">
        <f>'KEEI BAU - Industry'!AJ$55*'Others Split'!$E$11</f>
        <v>39205247376625.625</v>
      </c>
      <c r="U9" s="16">
        <f>'KEEI BAU - Industry'!AK$55*'Others Split'!$E$11</f>
        <v>39316531076247.039</v>
      </c>
      <c r="V9" s="16">
        <f>'KEEI BAU - Industry'!AL$55*'Others Split'!$E$11</f>
        <v>39427814775868.445</v>
      </c>
      <c r="W9" s="16">
        <f>'KEEI BAU - Industry'!AM$55*'Others Split'!$E$11</f>
        <v>39598449781954.656</v>
      </c>
      <c r="X9" s="16">
        <f>'KEEI BAU - Industry'!AN$55*'Others Split'!$E$11</f>
        <v>39728617988178.469</v>
      </c>
      <c r="Y9" s="16">
        <f>'KEEI BAU - Industry'!AO$55*'Others Split'!$E$11</f>
        <v>39858786194402.32</v>
      </c>
      <c r="Z9" s="16">
        <f>'KEEI BAU - Industry'!AP$55*'Others Split'!$E$11</f>
        <v>39988954400626.164</v>
      </c>
      <c r="AA9" s="16">
        <f>'KEEI BAU - Industry'!AQ$55*'Others Split'!$E$11</f>
        <v>40119122606850.016</v>
      </c>
      <c r="AB9" s="16">
        <f>'KEEI BAU - Industry'!AR$55*'Others Split'!$E$11</f>
        <v>40249290813073.828</v>
      </c>
      <c r="AC9" s="16">
        <f>'KEEI BAU - Industry'!AS$55*'Others Split'!$E$11</f>
        <v>40379459019297.672</v>
      </c>
      <c r="AD9" s="16">
        <f>'KEEI BAU - Industry'!AT$55*'Others Split'!$E$11</f>
        <v>40509627225521.523</v>
      </c>
      <c r="AE9" s="16">
        <f>'KEEI BAU - Industry'!AU$55*'Others Split'!$E$11</f>
        <v>40639795431745.367</v>
      </c>
      <c r="AF9" s="16">
        <f>'KEEI BAU - Industry'!AV$55*'Others Split'!$E$11</f>
        <v>40769963637969.219</v>
      </c>
      <c r="AG9" s="14"/>
    </row>
    <row r="10" spans="1:35">
      <c r="A10" t="s">
        <v>648</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c r="AC10" s="16">
        <v>0</v>
      </c>
      <c r="AD10" s="16">
        <v>0</v>
      </c>
      <c r="AE10" s="16">
        <v>0</v>
      </c>
      <c r="AF10" s="16">
        <v>0</v>
      </c>
    </row>
    <row r="11" spans="1:35">
      <c r="A11" t="s">
        <v>124</v>
      </c>
      <c r="B11" s="16">
        <f>'KEEI BAU - Industry'!R$13*'Petrochemicals Split'!$E$6</f>
        <v>111955077231096.38</v>
      </c>
      <c r="C11" s="16">
        <f>'KEEI BAU - Industry'!S$13*'Petrochemicals Split'!$E$6</f>
        <v>100559755918088.89</v>
      </c>
      <c r="D11" s="16">
        <f>'KEEI BAU - Industry'!T$13*'Petrochemicals Split'!$E$6</f>
        <v>95645412317937.953</v>
      </c>
      <c r="E11" s="16">
        <f>'KEEI BAU - Industry'!U$13*'Petrochemicals Split'!$E$6</f>
        <v>89850146300619.234</v>
      </c>
      <c r="F11" s="16">
        <f>'KEEI BAU - Industry'!V$13*'Petrochemicals Split'!$E$6</f>
        <v>87643297723511.703</v>
      </c>
      <c r="G11" s="16">
        <f>'KEEI BAU - Industry'!W$13*'Petrochemicals Split'!$E$6</f>
        <v>86689720232902.375</v>
      </c>
      <c r="H11" s="16">
        <f>'KEEI BAU - Industry'!X$13*'Petrochemicals Split'!$E$6</f>
        <v>85594904052370.609</v>
      </c>
      <c r="I11" s="16">
        <f>'KEEI BAU - Industry'!Y$13*'Petrochemicals Split'!$E$6</f>
        <v>84360318872550.813</v>
      </c>
      <c r="J11" s="16">
        <f>'KEEI BAU - Industry'!Z$13*'Petrochemicals Split'!$E$6</f>
        <v>82976602199737.656</v>
      </c>
      <c r="K11" s="16">
        <f>'KEEI BAU - Industry'!AA$13*'Petrochemicals Split'!$E$6</f>
        <v>81438992845457.984</v>
      </c>
      <c r="L11" s="16">
        <f>'KEEI BAU - Industry'!AB$13*'Petrochemicals Split'!$E$6</f>
        <v>79741334421243.578</v>
      </c>
      <c r="M11" s="16">
        <f>'KEEI BAU - Industry'!AC$13*'Petrochemicals Split'!$E$6</f>
        <v>79164789736614.5</v>
      </c>
      <c r="N11" s="16">
        <f>'KEEI BAU - Industry'!AD$13*'Petrochemicals Split'!$E$6</f>
        <v>78586519206087.344</v>
      </c>
      <c r="O11" s="16">
        <f>'KEEI BAU - Industry'!AE$13*'Petrochemicals Split'!$E$6</f>
        <v>78006493321622.547</v>
      </c>
      <c r="P11" s="16">
        <f>'KEEI BAU - Industry'!AF$13*'Petrochemicals Split'!$E$6</f>
        <v>77424681715555.594</v>
      </c>
      <c r="Q11" s="16">
        <f>'KEEI BAU - Industry'!AG$13*'Petrochemicals Split'!$E$6</f>
        <v>76841053124981.594</v>
      </c>
      <c r="R11" s="16">
        <f>'KEEI BAU - Industry'!AH$13*'Petrochemicals Split'!$E$6</f>
        <v>76789564070708.719</v>
      </c>
      <c r="S11" s="16">
        <f>'KEEI BAU - Industry'!AI$13*'Petrochemicals Split'!$E$6</f>
        <v>76738075016435.859</v>
      </c>
      <c r="T11" s="16">
        <f>'KEEI BAU - Industry'!AJ$13*'Petrochemicals Split'!$E$6</f>
        <v>76686585962163.016</v>
      </c>
      <c r="U11" s="16">
        <f>'KEEI BAU - Industry'!AK$13*'Petrochemicals Split'!$E$6</f>
        <v>76635096907890.188</v>
      </c>
      <c r="V11" s="16">
        <f>'KEEI BAU - Industry'!AL$13*'Petrochemicals Split'!$E$6</f>
        <v>76583607853617.344</v>
      </c>
      <c r="W11" s="16">
        <f>'KEEI BAU - Industry'!AM$13*'Petrochemicals Split'!$E$6</f>
        <v>76506258854325.172</v>
      </c>
      <c r="X11" s="16">
        <f>'KEEI BAU - Industry'!AN$13*'Petrochemicals Split'!$E$6</f>
        <v>76428909855033</v>
      </c>
      <c r="Y11" s="16">
        <f>'KEEI BAU - Industry'!AO$13*'Petrochemicals Split'!$E$6</f>
        <v>76351560855740.828</v>
      </c>
      <c r="Z11" s="16">
        <f>'KEEI BAU - Industry'!AP$13*'Petrochemicals Split'!$E$6</f>
        <v>76274211856448.656</v>
      </c>
      <c r="AA11" s="16">
        <f>'KEEI BAU - Industry'!AQ$13*'Petrochemicals Split'!$E$6</f>
        <v>76196862857156.484</v>
      </c>
      <c r="AB11" s="16">
        <f>'KEEI BAU - Industry'!AR$13*'Petrochemicals Split'!$E$6</f>
        <v>76119513857864.313</v>
      </c>
      <c r="AC11" s="16">
        <f>'KEEI BAU - Industry'!AS$13*'Petrochemicals Split'!$E$6</f>
        <v>76042164858572.141</v>
      </c>
      <c r="AD11" s="16">
        <f>'KEEI BAU - Industry'!AT$13*'Petrochemicals Split'!$E$6</f>
        <v>75964815859279.953</v>
      </c>
      <c r="AE11" s="16">
        <f>'KEEI BAU - Industry'!AU$13*'Petrochemicals Split'!$E$6</f>
        <v>75887466859987.781</v>
      </c>
      <c r="AF11" s="16">
        <f>'KEEI BAU - Industry'!AV$13*'Petrochemicals Split'!$E$6</f>
        <v>75810117860695.578</v>
      </c>
    </row>
    <row r="12" spans="1:35">
      <c r="A12" t="s">
        <v>12</v>
      </c>
      <c r="B12" s="16">
        <f>'KEEI BAU - Industry'!R$13*'Petrochemicals Split'!$E$7</f>
        <v>90826797801985.109</v>
      </c>
      <c r="C12" s="16">
        <f>'KEEI BAU - Industry'!S$13*'Petrochemicals Split'!$E$7</f>
        <v>81582013461845.297</v>
      </c>
      <c r="D12" s="16">
        <f>'KEEI BAU - Industry'!T$13*'Petrochemicals Split'!$E$7</f>
        <v>77595109932860.813</v>
      </c>
      <c r="E12" s="16">
        <f>'KEEI BAU - Industry'!U$13*'Petrochemicals Split'!$E$7</f>
        <v>72893532587894.094</v>
      </c>
      <c r="F12" s="16">
        <f>'KEEI BAU - Industry'!V$13*'Petrochemicals Split'!$E$7</f>
        <v>71103162785559.922</v>
      </c>
      <c r="G12" s="16">
        <f>'KEEI BAU - Industry'!W$13*'Petrochemicals Split'!$E$7</f>
        <v>70329545437689.953</v>
      </c>
      <c r="H12" s="16">
        <f>'KEEI BAU - Industry'!X$13*'Petrochemicals Split'!$E$7</f>
        <v>69441344113383.43</v>
      </c>
      <c r="I12" s="16">
        <f>'KEEI BAU - Industry'!Y$13*'Petrochemicals Split'!$E$7</f>
        <v>68439751141718.945</v>
      </c>
      <c r="J12" s="16">
        <f>'KEEI BAU - Industry'!Z$13*'Petrochemicals Split'!$E$7</f>
        <v>67317170928608.891</v>
      </c>
      <c r="K12" s="16">
        <f>'KEEI BAU - Industry'!AA$13*'Petrochemicals Split'!$E$7</f>
        <v>66069740822055.313</v>
      </c>
      <c r="L12" s="16">
        <f>'KEEI BAU - Industry'!AB$13*'Petrochemicals Split'!$E$7</f>
        <v>64692466273669.492</v>
      </c>
      <c r="M12" s="16">
        <f>'KEEI BAU - Industry'!AC$13*'Petrochemicals Split'!$E$7</f>
        <v>64224727705756.914</v>
      </c>
      <c r="N12" s="16">
        <f>'KEEI BAU - Industry'!AD$13*'Petrochemicals Split'!$E$7</f>
        <v>63755588995391.688</v>
      </c>
      <c r="O12" s="16">
        <f>'KEEI BAU - Industry'!AE$13*'Petrochemicals Split'!$E$7</f>
        <v>63285026203322.359</v>
      </c>
      <c r="P12" s="16">
        <f>'KEEI BAU - Industry'!AF$13*'Petrochemicals Split'!$E$7</f>
        <v>62813014692901.875</v>
      </c>
      <c r="Q12" s="16">
        <f>'KEEI BAU - Industry'!AG$13*'Petrochemicals Split'!$E$7</f>
        <v>62339529101193.5</v>
      </c>
      <c r="R12" s="16">
        <f>'KEEI BAU - Industry'!AH$13*'Petrochemicals Split'!$E$7</f>
        <v>62297757115169.109</v>
      </c>
      <c r="S12" s="16">
        <f>'KEEI BAU - Industry'!AI$13*'Petrochemicals Split'!$E$7</f>
        <v>62255985129144.719</v>
      </c>
      <c r="T12" s="16">
        <f>'KEEI BAU - Industry'!AJ$13*'Petrochemicals Split'!$E$7</f>
        <v>62214213143120.352</v>
      </c>
      <c r="U12" s="16">
        <f>'KEEI BAU - Industry'!AK$13*'Petrochemicals Split'!$E$7</f>
        <v>62172441157095.984</v>
      </c>
      <c r="V12" s="16">
        <f>'KEEI BAU - Industry'!AL$13*'Petrochemicals Split'!$E$7</f>
        <v>62130669171071.609</v>
      </c>
      <c r="W12" s="16">
        <f>'KEEI BAU - Industry'!AM$13*'Petrochemicals Split'!$E$7</f>
        <v>62067917555935.891</v>
      </c>
      <c r="X12" s="16">
        <f>'KEEI BAU - Industry'!AN$13*'Petrochemicals Split'!$E$7</f>
        <v>62005165940800.172</v>
      </c>
      <c r="Y12" s="16">
        <f>'KEEI BAU - Industry'!AO$13*'Petrochemicals Split'!$E$7</f>
        <v>61942414325664.445</v>
      </c>
      <c r="Z12" s="16">
        <f>'KEEI BAU - Industry'!AP$13*'Petrochemicals Split'!$E$7</f>
        <v>61879662710528.719</v>
      </c>
      <c r="AA12" s="16">
        <f>'KEEI BAU - Industry'!AQ$13*'Petrochemicals Split'!$E$7</f>
        <v>61816911095392.992</v>
      </c>
      <c r="AB12" s="16">
        <f>'KEEI BAU - Industry'!AR$13*'Petrochemicals Split'!$E$7</f>
        <v>61754159480257.273</v>
      </c>
      <c r="AC12" s="16">
        <f>'KEEI BAU - Industry'!AS$13*'Petrochemicals Split'!$E$7</f>
        <v>61691407865121.547</v>
      </c>
      <c r="AD12" s="16">
        <f>'KEEI BAU - Industry'!AT$13*'Petrochemicals Split'!$E$7</f>
        <v>61628656249985.813</v>
      </c>
      <c r="AE12" s="16">
        <f>'KEEI BAU - Industry'!AU$13*'Petrochemicals Split'!$E$7</f>
        <v>61565904634850.086</v>
      </c>
      <c r="AF12" s="16">
        <f>'KEEI BAU - Industry'!AV$13*'Petrochemicals Split'!$E$7</f>
        <v>61503153019714.336</v>
      </c>
    </row>
    <row r="13" spans="1:35">
      <c r="A13" t="s">
        <v>13</v>
      </c>
      <c r="B13" s="16">
        <f>'KEEI BAU - Industry'!R$55*'Others Split'!$E$12</f>
        <v>10404035147059.492</v>
      </c>
      <c r="C13" s="16">
        <f>'KEEI BAU - Industry'!S$55*'Others Split'!$E$12</f>
        <v>10786365496205.508</v>
      </c>
      <c r="D13" s="16">
        <f>'KEEI BAU - Industry'!T$55*'Others Split'!$E$12</f>
        <v>11168695845351.523</v>
      </c>
      <c r="E13" s="16">
        <f>'KEEI BAU - Industry'!U$55*'Others Split'!$E$12</f>
        <v>11551026194497.539</v>
      </c>
      <c r="F13" s="16">
        <f>'KEEI BAU - Industry'!V$55*'Others Split'!$E$12</f>
        <v>11933356543643.557</v>
      </c>
      <c r="G13" s="16">
        <f>'KEEI BAU - Industry'!W$55*'Others Split'!$E$12</f>
        <v>12315686892789.572</v>
      </c>
      <c r="H13" s="16">
        <f>'KEEI BAU - Industry'!X$55*'Others Split'!$E$12</f>
        <v>12414871120918.711</v>
      </c>
      <c r="I13" s="16">
        <f>'KEEI BAU - Industry'!Y$55*'Others Split'!$E$12</f>
        <v>12514055349047.848</v>
      </c>
      <c r="J13" s="16">
        <f>'KEEI BAU - Industry'!Z$55*'Others Split'!$E$12</f>
        <v>12613239577176.984</v>
      </c>
      <c r="K13" s="16">
        <f>'KEEI BAU - Industry'!AA$55*'Others Split'!$E$12</f>
        <v>12712423805306.121</v>
      </c>
      <c r="L13" s="16">
        <f>'KEEI BAU - Industry'!AB$55*'Others Split'!$E$12</f>
        <v>12811608033435.256</v>
      </c>
      <c r="M13" s="16">
        <f>'KEEI BAU - Industry'!AC$55*'Others Split'!$E$12</f>
        <v>12864007248295.934</v>
      </c>
      <c r="N13" s="16">
        <f>'KEEI BAU - Industry'!AD$55*'Others Split'!$E$12</f>
        <v>12916406463156.609</v>
      </c>
      <c r="O13" s="16">
        <f>'KEEI BAU - Industry'!AE$55*'Others Split'!$E$12</f>
        <v>12968805678017.285</v>
      </c>
      <c r="P13" s="16">
        <f>'KEEI BAU - Industry'!AF$55*'Others Split'!$E$12</f>
        <v>13021204892877.961</v>
      </c>
      <c r="Q13" s="16">
        <f>'KEEI BAU - Industry'!AG$55*'Others Split'!$E$12</f>
        <v>13073604107738.639</v>
      </c>
      <c r="R13" s="16">
        <f>'KEEI BAU - Industry'!AH$55*'Others Split'!$E$12</f>
        <v>13111032118353.404</v>
      </c>
      <c r="S13" s="16">
        <f>'KEEI BAU - Industry'!AI$55*'Others Split'!$E$12</f>
        <v>13148460128968.174</v>
      </c>
      <c r="T13" s="16">
        <f>'KEEI BAU - Industry'!AJ$55*'Others Split'!$E$12</f>
        <v>13185888139582.941</v>
      </c>
      <c r="U13" s="16">
        <f>'KEEI BAU - Industry'!AK$55*'Others Split'!$E$12</f>
        <v>13223316150197.711</v>
      </c>
      <c r="V13" s="16">
        <f>'KEEI BAU - Industry'!AL$55*'Others Split'!$E$12</f>
        <v>13260744160812.477</v>
      </c>
      <c r="W13" s="16">
        <f>'KEEI BAU - Industry'!AM$55*'Others Split'!$E$12</f>
        <v>13318133777088.465</v>
      </c>
      <c r="X13" s="16">
        <f>'KEEI BAU - Industry'!AN$55*'Others Split'!$E$12</f>
        <v>13361913207686.336</v>
      </c>
      <c r="Y13" s="16">
        <f>'KEEI BAU - Industry'!AO$55*'Others Split'!$E$12</f>
        <v>13405692638284.219</v>
      </c>
      <c r="Z13" s="16">
        <f>'KEEI BAU - Industry'!AP$55*'Others Split'!$E$12</f>
        <v>13449472068882.104</v>
      </c>
      <c r="AA13" s="16">
        <f>'KEEI BAU - Industry'!AQ$55*'Others Split'!$E$12</f>
        <v>13493251499479.986</v>
      </c>
      <c r="AB13" s="16">
        <f>'KEEI BAU - Industry'!AR$55*'Others Split'!$E$12</f>
        <v>13537030930077.857</v>
      </c>
      <c r="AC13" s="16">
        <f>'KEEI BAU - Industry'!AS$55*'Others Split'!$E$12</f>
        <v>13580810360675.74</v>
      </c>
      <c r="AD13" s="16">
        <f>'KEEI BAU - Industry'!AT$55*'Others Split'!$E$12</f>
        <v>13624589791273.623</v>
      </c>
      <c r="AE13" s="16">
        <f>'KEEI BAU - Industry'!AU$55*'Others Split'!$E$12</f>
        <v>13668369221871.508</v>
      </c>
      <c r="AF13" s="16">
        <f>'KEEI BAU - Industry'!AV$55*'Others Split'!$E$12</f>
        <v>13712148652469.391</v>
      </c>
    </row>
    <row r="14" spans="1:35">
      <c r="A14" t="s">
        <v>14</v>
      </c>
      <c r="B14" s="16">
        <f>'KEEI BAU - Industry'!R$55*'Others Split'!$E$13</f>
        <v>26220007280777.914</v>
      </c>
      <c r="C14" s="16">
        <f>'KEEI BAU - Industry'!S$55*'Others Split'!$E$13</f>
        <v>27183547330054.297</v>
      </c>
      <c r="D14" s="16">
        <f>'KEEI BAU - Industry'!T$55*'Others Split'!$E$13</f>
        <v>28147087379330.68</v>
      </c>
      <c r="E14" s="16">
        <f>'KEEI BAU - Industry'!U$55*'Others Split'!$E$13</f>
        <v>29110627428607.059</v>
      </c>
      <c r="F14" s="16">
        <f>'KEEI BAU - Industry'!V$55*'Others Split'!$E$13</f>
        <v>30074167477883.441</v>
      </c>
      <c r="G14" s="16">
        <f>'KEEI BAU - Industry'!W$55*'Others Split'!$E$13</f>
        <v>31037707527159.824</v>
      </c>
      <c r="H14" s="16">
        <f>'KEEI BAU - Industry'!X$55*'Others Split'!$E$13</f>
        <v>31287669310922.094</v>
      </c>
      <c r="I14" s="16">
        <f>'KEEI BAU - Industry'!Y$55*'Others Split'!$E$13</f>
        <v>31537631094684.359</v>
      </c>
      <c r="J14" s="16">
        <f>'KEEI BAU - Industry'!Z$55*'Others Split'!$E$13</f>
        <v>31787592878446.625</v>
      </c>
      <c r="K14" s="16">
        <f>'KEEI BAU - Industry'!AA$55*'Others Split'!$E$13</f>
        <v>32037554662208.891</v>
      </c>
      <c r="L14" s="16">
        <f>'KEEI BAU - Industry'!AB$55*'Others Split'!$E$13</f>
        <v>32287516445971.156</v>
      </c>
      <c r="M14" s="16">
        <f>'KEEI BAU - Industry'!AC$55*'Others Split'!$E$13</f>
        <v>32419571727958.766</v>
      </c>
      <c r="N14" s="16">
        <f>'KEEI BAU - Industry'!AD$55*'Others Split'!$E$13</f>
        <v>32551627009946.379</v>
      </c>
      <c r="O14" s="16">
        <f>'KEEI BAU - Industry'!AE$55*'Others Split'!$E$13</f>
        <v>32683682291933.992</v>
      </c>
      <c r="P14" s="16">
        <f>'KEEI BAU - Industry'!AF$55*'Others Split'!$E$13</f>
        <v>32815737573921.602</v>
      </c>
      <c r="Q14" s="16">
        <f>'KEEI BAU - Industry'!AG$55*'Others Split'!$E$13</f>
        <v>32947792855909.219</v>
      </c>
      <c r="R14" s="16">
        <f>'KEEI BAU - Industry'!AH$55*'Others Split'!$E$13</f>
        <v>33042118057328.938</v>
      </c>
      <c r="S14" s="16">
        <f>'KEEI BAU - Industry'!AI$55*'Others Split'!$E$13</f>
        <v>33136443258748.66</v>
      </c>
      <c r="T14" s="16">
        <f>'KEEI BAU - Industry'!AJ$55*'Others Split'!$E$13</f>
        <v>33230768460168.383</v>
      </c>
      <c r="U14" s="16">
        <f>'KEEI BAU - Industry'!AK$55*'Others Split'!$E$13</f>
        <v>33325093661588.105</v>
      </c>
      <c r="V14" s="16">
        <f>'KEEI BAU - Industry'!AL$55*'Others Split'!$E$13</f>
        <v>33419418863007.824</v>
      </c>
      <c r="W14" s="16">
        <f>'KEEI BAU - Industry'!AM$55*'Others Split'!$E$13</f>
        <v>33564050838518.09</v>
      </c>
      <c r="X14" s="16">
        <f>'KEEI BAU - Industry'!AN$55*'Others Split'!$E$13</f>
        <v>33674382740784.773</v>
      </c>
      <c r="Y14" s="16">
        <f>'KEEI BAU - Industry'!AO$55*'Others Split'!$E$13</f>
        <v>33784714643051.488</v>
      </c>
      <c r="Z14" s="16">
        <f>'KEEI BAU - Industry'!AP$55*'Others Split'!$E$13</f>
        <v>33895046545318.199</v>
      </c>
      <c r="AA14" s="16">
        <f>'KEEI BAU - Industry'!AQ$55*'Others Split'!$E$13</f>
        <v>34005378447584.91</v>
      </c>
      <c r="AB14" s="16">
        <f>'KEEI BAU - Industry'!AR$55*'Others Split'!$E$13</f>
        <v>34115710349851.594</v>
      </c>
      <c r="AC14" s="16">
        <f>'KEEI BAU - Industry'!AS$55*'Others Split'!$E$13</f>
        <v>34226042252118.309</v>
      </c>
      <c r="AD14" s="16">
        <f>'KEEI BAU - Industry'!AT$55*'Others Split'!$E$13</f>
        <v>34336374154385.02</v>
      </c>
      <c r="AE14" s="16">
        <f>'KEEI BAU - Industry'!AU$55*'Others Split'!$E$13</f>
        <v>34446706056651.73</v>
      </c>
      <c r="AF14" s="16">
        <f>'KEEI BAU - Industry'!AV$55*'Others Split'!$E$13</f>
        <v>34557037958918.445</v>
      </c>
    </row>
    <row r="15" spans="1:35">
      <c r="A15" t="s">
        <v>15</v>
      </c>
      <c r="B15" s="16">
        <f>'KEEI BAU - Industry'!R27</f>
        <v>88624821284395.469</v>
      </c>
      <c r="C15" s="16">
        <f>'KEEI BAU - Industry'!S27</f>
        <v>93499452277686.141</v>
      </c>
      <c r="D15" s="16">
        <f>'KEEI BAU - Industry'!T27</f>
        <v>86230379765960.953</v>
      </c>
      <c r="E15" s="16">
        <f>'KEEI BAU - Industry'!U27</f>
        <v>83536917246291.469</v>
      </c>
      <c r="F15" s="16">
        <f>'KEEI BAU - Industry'!V27</f>
        <v>85804140384330.297</v>
      </c>
      <c r="G15" s="16">
        <f>'KEEI BAU - Industry'!W27</f>
        <v>85804140384330.297</v>
      </c>
      <c r="H15" s="16">
        <f>'KEEI BAU - Industry'!X27</f>
        <v>85804140384330.297</v>
      </c>
      <c r="I15" s="16">
        <f>'KEEI BAU - Industry'!Y27</f>
        <v>80768432170590.281</v>
      </c>
      <c r="J15" s="16">
        <f>'KEEI BAU - Industry'!Z27</f>
        <v>85689253223923.563</v>
      </c>
      <c r="K15" s="16">
        <f>'KEEI BAU - Industry'!AA27</f>
        <v>86514758799814.859</v>
      </c>
      <c r="L15" s="16">
        <f>'KEEI BAU - Industry'!AB27</f>
        <v>95290843171234.266</v>
      </c>
      <c r="M15" s="16">
        <f>'KEEI BAU - Industry'!AC27</f>
        <v>99784859077502.953</v>
      </c>
      <c r="N15" s="16">
        <f>'KEEI BAU - Industry'!AD27</f>
        <v>104166420286619.14</v>
      </c>
      <c r="O15" s="16">
        <f>'KEEI BAU - Industry'!AE27</f>
        <v>113703827739162.86</v>
      </c>
      <c r="P15" s="16">
        <f>'KEEI BAU - Industry'!AF27</f>
        <v>109041134948662.86</v>
      </c>
      <c r="Q15" s="16">
        <f>'KEEI BAU - Industry'!AG27</f>
        <v>148721889221808.34</v>
      </c>
      <c r="R15" s="16">
        <f>'KEEI BAU - Industry'!AH27</f>
        <v>148721889221808.34</v>
      </c>
      <c r="S15" s="16">
        <f>'KEEI BAU - Industry'!AI27</f>
        <v>148721889221808.34</v>
      </c>
      <c r="T15" s="16">
        <f>'KEEI BAU - Industry'!AJ27</f>
        <v>148588958197494.66</v>
      </c>
      <c r="U15" s="16">
        <f>'KEEI BAU - Industry'!AK27</f>
        <v>140260616535631.56</v>
      </c>
      <c r="V15" s="16">
        <f>'KEEI BAU - Industry'!AL27</f>
        <v>156156295623204.44</v>
      </c>
      <c r="W15" s="16">
        <f>'KEEI BAU - Industry'!AM27</f>
        <v>164848746990692.16</v>
      </c>
      <c r="X15" s="16">
        <f>'KEEI BAU - Industry'!AN27</f>
        <v>158353595751459.47</v>
      </c>
      <c r="Y15" s="16">
        <f>'KEEI BAU - Industry'!AO27</f>
        <v>159298746012963.53</v>
      </c>
      <c r="Z15" s="16">
        <f>'KEEI BAU - Industry'!AP27</f>
        <v>159298746012963.53</v>
      </c>
      <c r="AA15" s="16">
        <f>'KEEI BAU - Industry'!AQ27</f>
        <v>165657017647992.75</v>
      </c>
      <c r="AB15" s="16">
        <f>'KEEI BAU - Industry'!AR27</f>
        <v>165657017647992.75</v>
      </c>
      <c r="AC15" s="16">
        <f>'KEEI BAU - Industry'!AS27</f>
        <v>175194425100536.5</v>
      </c>
      <c r="AD15" s="16">
        <f>'KEEI BAU - Industry'!AT27</f>
        <v>175194425100536.5</v>
      </c>
      <c r="AE15" s="16">
        <f>'KEEI BAU - Industry'!AU27</f>
        <v>175194425100536.5</v>
      </c>
      <c r="AF15" s="16">
        <f>'KEEI BAU - Industry'!AV27</f>
        <v>175194425100536.5</v>
      </c>
      <c r="AG15" s="14"/>
    </row>
    <row r="16" spans="1:35">
      <c r="A16" t="s">
        <v>16</v>
      </c>
      <c r="B16" s="16">
        <f>'KEEI BAU - Industry'!R$20*'Non-ferrous Metals Split'!$E$6</f>
        <v>13385046457348.111</v>
      </c>
      <c r="C16" s="16">
        <f>'KEEI BAU - Industry'!S$20*'Non-ferrous Metals Split'!$E$6</f>
        <v>13813226839212.182</v>
      </c>
      <c r="D16" s="16">
        <f>'KEEI BAU - Industry'!T$20*'Non-ferrous Metals Split'!$E$6</f>
        <v>15525948366668.449</v>
      </c>
      <c r="E16" s="16">
        <f>'KEEI BAU - Industry'!U$20*'Non-ferrous Metals Split'!$E$6</f>
        <v>14669587602940.316</v>
      </c>
      <c r="F16" s="16">
        <f>'KEEI BAU - Industry'!V$20*'Non-ferrous Metals Split'!$E$6</f>
        <v>15097767984804.383</v>
      </c>
      <c r="G16" s="16">
        <f>'KEEI BAU - Industry'!W$20*'Non-ferrous Metals Split'!$E$6</f>
        <v>15525948366668.449</v>
      </c>
      <c r="H16" s="16">
        <f>'KEEI BAU - Industry'!X$20*'Non-ferrous Metals Split'!$E$6</f>
        <v>15644036824427.035</v>
      </c>
      <c r="I16" s="16">
        <f>'KEEI BAU - Industry'!Y$20*'Non-ferrous Metals Split'!$E$6</f>
        <v>15762125282185.619</v>
      </c>
      <c r="J16" s="16">
        <f>'KEEI BAU - Industry'!Z$20*'Non-ferrous Metals Split'!$E$6</f>
        <v>15880213739944.203</v>
      </c>
      <c r="K16" s="16">
        <f>'KEEI BAU - Industry'!AA$20*'Non-ferrous Metals Split'!$E$6</f>
        <v>15998302197702.789</v>
      </c>
      <c r="L16" s="16">
        <f>'KEEI BAU - Industry'!AB$20*'Non-ferrous Metals Split'!$E$6</f>
        <v>16116390655461.373</v>
      </c>
      <c r="M16" s="16">
        <f>'KEEI BAU - Industry'!AC$20*'Non-ferrous Metals Split'!$E$6</f>
        <v>16213008484536.578</v>
      </c>
      <c r="N16" s="16">
        <f>'KEEI BAU - Industry'!AD$20*'Non-ferrous Metals Split'!$E$6</f>
        <v>16309626313611.783</v>
      </c>
      <c r="O16" s="16">
        <f>'KEEI BAU - Industry'!AE$20*'Non-ferrous Metals Split'!$E$6</f>
        <v>16406244142686.99</v>
      </c>
      <c r="P16" s="16">
        <f>'KEEI BAU - Industry'!AF$20*'Non-ferrous Metals Split'!$E$6</f>
        <v>16502861971762.195</v>
      </c>
      <c r="Q16" s="16">
        <f>'KEEI BAU - Industry'!AG$20*'Non-ferrous Metals Split'!$E$6</f>
        <v>16599479800837.402</v>
      </c>
      <c r="R16" s="16">
        <f>'KEEI BAU - Industry'!AH$20*'Non-ferrous Metals Split'!$E$6</f>
        <v>16704149115668.873</v>
      </c>
      <c r="S16" s="16">
        <f>'KEEI BAU - Industry'!AI$20*'Non-ferrous Metals Split'!$E$6</f>
        <v>16808818430500.346</v>
      </c>
      <c r="T16" s="16">
        <f>'KEEI BAU - Industry'!AJ$20*'Non-ferrous Metals Split'!$E$6</f>
        <v>16913487745331.818</v>
      </c>
      <c r="U16" s="16">
        <f>'KEEI BAU - Industry'!AK$20*'Non-ferrous Metals Split'!$E$6</f>
        <v>17018157060163.291</v>
      </c>
      <c r="V16" s="16">
        <f>'KEEI BAU - Industry'!AL$20*'Non-ferrous Metals Split'!$E$6</f>
        <v>17122826374994.764</v>
      </c>
      <c r="W16" s="16">
        <f>'KEEI BAU - Industry'!AM$20*'Non-ferrous Metals Split'!$E$6</f>
        <v>17216760375484.547</v>
      </c>
      <c r="X16" s="16">
        <f>'KEEI BAU - Industry'!AN$20*'Non-ferrous Metals Split'!$E$6</f>
        <v>17318013908480.02</v>
      </c>
      <c r="Y16" s="16">
        <f>'KEEI BAU - Industry'!AO$20*'Non-ferrous Metals Split'!$E$6</f>
        <v>17419267441475.492</v>
      </c>
      <c r="Z16" s="16">
        <f>'KEEI BAU - Industry'!AP$20*'Non-ferrous Metals Split'!$E$6</f>
        <v>17520520974470.967</v>
      </c>
      <c r="AA16" s="16">
        <f>'KEEI BAU - Industry'!AQ$20*'Non-ferrous Metals Split'!$E$6</f>
        <v>17621774507466.438</v>
      </c>
      <c r="AB16" s="16">
        <f>'KEEI BAU - Industry'!AR$20*'Non-ferrous Metals Split'!$E$6</f>
        <v>17723028040461.953</v>
      </c>
      <c r="AC16" s="16">
        <f>'KEEI BAU - Industry'!AS$20*'Non-ferrous Metals Split'!$E$6</f>
        <v>17824281573457.426</v>
      </c>
      <c r="AD16" s="16">
        <f>'KEEI BAU - Industry'!AT$20*'Non-ferrous Metals Split'!$E$6</f>
        <v>17925535106452.898</v>
      </c>
      <c r="AE16" s="16">
        <f>'KEEI BAU - Industry'!AU$20*'Non-ferrous Metals Split'!$E$6</f>
        <v>18026788639448.371</v>
      </c>
      <c r="AF16" s="16">
        <f>'KEEI BAU - Industry'!AV$20*'Non-ferrous Metals Split'!$E$6</f>
        <v>18128042172443.844</v>
      </c>
    </row>
    <row r="17" spans="1:33">
      <c r="A17" t="s">
        <v>17</v>
      </c>
      <c r="B17" s="16">
        <f>'KEEI BAU - Industry'!R$20*'Non-ferrous Metals Split'!$E$7</f>
        <v>26170858905322.965</v>
      </c>
      <c r="C17" s="16">
        <f>'KEEI BAU - Industry'!S$20*'Non-ferrous Metals Split'!$E$7</f>
        <v>27008050497858.688</v>
      </c>
      <c r="D17" s="16">
        <f>'KEEI BAU - Industry'!T$20*'Non-ferrous Metals Split'!$E$7</f>
        <v>30356816868001.551</v>
      </c>
      <c r="E17" s="16">
        <f>'KEEI BAU - Industry'!U$20*'Non-ferrous Metals Split'!$E$7</f>
        <v>28682433682930.121</v>
      </c>
      <c r="F17" s="16">
        <f>'KEEI BAU - Industry'!V$20*'Non-ferrous Metals Split'!$E$7</f>
        <v>29519625275465.836</v>
      </c>
      <c r="G17" s="16">
        <f>'KEEI BAU - Industry'!W$20*'Non-ferrous Metals Split'!$E$7</f>
        <v>30356816868001.551</v>
      </c>
      <c r="H17" s="16">
        <f>'KEEI BAU - Industry'!X$20*'Non-ferrous Metals Split'!$E$7</f>
        <v>30587707091370.965</v>
      </c>
      <c r="I17" s="16">
        <f>'KEEI BAU - Industry'!Y$20*'Non-ferrous Metals Split'!$E$7</f>
        <v>30818597314740.383</v>
      </c>
      <c r="J17" s="16">
        <f>'KEEI BAU - Industry'!Z$20*'Non-ferrous Metals Split'!$E$7</f>
        <v>31049487538109.797</v>
      </c>
      <c r="K17" s="16">
        <f>'KEEI BAU - Industry'!AA$20*'Non-ferrous Metals Split'!$E$7</f>
        <v>31280377761479.211</v>
      </c>
      <c r="L17" s="16">
        <f>'KEEI BAU - Industry'!AB$20*'Non-ferrous Metals Split'!$E$7</f>
        <v>31511267984848.629</v>
      </c>
      <c r="M17" s="16">
        <f>'KEEI BAU - Industry'!AC$20*'Non-ferrous Metals Split'!$E$7</f>
        <v>31700178167605.422</v>
      </c>
      <c r="N17" s="16">
        <f>'KEEI BAU - Industry'!AD$20*'Non-ferrous Metals Split'!$E$7</f>
        <v>31889088350362.215</v>
      </c>
      <c r="O17" s="16">
        <f>'KEEI BAU - Industry'!AE$20*'Non-ferrous Metals Split'!$E$7</f>
        <v>32077998533119.012</v>
      </c>
      <c r="P17" s="16">
        <f>'KEEI BAU - Industry'!AF$20*'Non-ferrous Metals Split'!$E$7</f>
        <v>32266908715875.805</v>
      </c>
      <c r="Q17" s="16">
        <f>'KEEI BAU - Industry'!AG$20*'Non-ferrous Metals Split'!$E$7</f>
        <v>32455818898632.605</v>
      </c>
      <c r="R17" s="16">
        <f>'KEEI BAU - Industry'!AH$20*'Non-ferrous Metals Split'!$E$7</f>
        <v>32660471596619.125</v>
      </c>
      <c r="S17" s="16">
        <f>'KEEI BAU - Industry'!AI$20*'Non-ferrous Metals Split'!$E$7</f>
        <v>32865124294605.652</v>
      </c>
      <c r="T17" s="16">
        <f>'KEEI BAU - Industry'!AJ$20*'Non-ferrous Metals Split'!$E$7</f>
        <v>33069776992592.18</v>
      </c>
      <c r="U17" s="16">
        <f>'KEEI BAU - Industry'!AK$20*'Non-ferrous Metals Split'!$E$7</f>
        <v>33274429690578.707</v>
      </c>
      <c r="V17" s="16">
        <f>'KEEI BAU - Industry'!AL$20*'Non-ferrous Metals Split'!$E$7</f>
        <v>33479082388565.234</v>
      </c>
      <c r="W17" s="16">
        <f>'KEEI BAU - Industry'!AM$20*'Non-ferrous Metals Split'!$E$7</f>
        <v>33662745066245.453</v>
      </c>
      <c r="X17" s="16">
        <f>'KEEI BAU - Industry'!AN$20*'Non-ferrous Metals Split'!$E$7</f>
        <v>33860719121407.23</v>
      </c>
      <c r="Y17" s="16">
        <f>'KEEI BAU - Industry'!AO$20*'Non-ferrous Metals Split'!$E$7</f>
        <v>34058693176569.008</v>
      </c>
      <c r="Z17" s="16">
        <f>'KEEI BAU - Industry'!AP$20*'Non-ferrous Metals Split'!$E$7</f>
        <v>34256667231730.785</v>
      </c>
      <c r="AA17" s="16">
        <f>'KEEI BAU - Industry'!AQ$20*'Non-ferrous Metals Split'!$E$7</f>
        <v>34454641286892.563</v>
      </c>
      <c r="AB17" s="16">
        <f>'KEEI BAU - Industry'!AR$20*'Non-ferrous Metals Split'!$E$7</f>
        <v>34652615342054.422</v>
      </c>
      <c r="AC17" s="16">
        <f>'KEEI BAU - Industry'!AS$20*'Non-ferrous Metals Split'!$E$7</f>
        <v>34850589397216.199</v>
      </c>
      <c r="AD17" s="16">
        <f>'KEEI BAU - Industry'!AT$20*'Non-ferrous Metals Split'!$E$7</f>
        <v>35048563452377.977</v>
      </c>
      <c r="AE17" s="16">
        <f>'KEEI BAU - Industry'!AU$20*'Non-ferrous Metals Split'!$E$7</f>
        <v>35246537507539.75</v>
      </c>
      <c r="AF17" s="16">
        <f>'KEEI BAU - Industry'!AV$20*'Non-ferrous Metals Split'!$E$7</f>
        <v>35444511562701.531</v>
      </c>
    </row>
    <row r="18" spans="1:33">
      <c r="A18" t="s">
        <v>18</v>
      </c>
      <c r="B18" s="16">
        <f>'KEEI BAU - Industry'!R$34*'Machinery Split'!$E6</f>
        <v>192637186829205.59</v>
      </c>
      <c r="C18" s="16">
        <f>'KEEI BAU - Industry'!S$34*'Machinery Split'!$E6</f>
        <v>201398099681835.91</v>
      </c>
      <c r="D18" s="16">
        <f>'KEEI BAU - Industry'!T$34*'Machinery Split'!$E6</f>
        <v>236441751092357.22</v>
      </c>
      <c r="E18" s="16">
        <f>'KEEI BAU - Industry'!U$34*'Machinery Split'!$E6</f>
        <v>218919925387096.59</v>
      </c>
      <c r="F18" s="16">
        <f>'KEEI BAU - Industry'!V$34*'Machinery Split'!$E6</f>
        <v>227680838239726.91</v>
      </c>
      <c r="G18" s="16">
        <f>'KEEI BAU - Industry'!W$34*'Machinery Split'!$E6</f>
        <v>236441751092357.22</v>
      </c>
      <c r="H18" s="16">
        <f>'KEEI BAU - Industry'!X$34*'Machinery Split'!$E6</f>
        <v>240731891732814.81</v>
      </c>
      <c r="I18" s="16">
        <f>'KEEI BAU - Industry'!Y$34*'Machinery Split'!$E6</f>
        <v>245022032373273.53</v>
      </c>
      <c r="J18" s="16">
        <f>'KEEI BAU - Industry'!Z$34*'Machinery Split'!$E6</f>
        <v>249312173013732.22</v>
      </c>
      <c r="K18" s="16">
        <f>'KEEI BAU - Industry'!AA$34*'Machinery Split'!$E6</f>
        <v>253602313654190.94</v>
      </c>
      <c r="L18" s="16">
        <f>'KEEI BAU - Industry'!AB$34*'Machinery Split'!$E6</f>
        <v>257892454294650.75</v>
      </c>
      <c r="M18" s="16">
        <f>'KEEI BAU - Industry'!AC$34*'Machinery Split'!$E6</f>
        <v>261474171711402.94</v>
      </c>
      <c r="N18" s="16">
        <f>'KEEI BAU - Industry'!AD$34*'Machinery Split'!$E6</f>
        <v>265055889128155.13</v>
      </c>
      <c r="O18" s="16">
        <f>'KEEI BAU - Industry'!AE$34*'Machinery Split'!$E6</f>
        <v>268637606544907.31</v>
      </c>
      <c r="P18" s="16">
        <f>'KEEI BAU - Industry'!AF$34*'Machinery Split'!$E6</f>
        <v>272219323961659.5</v>
      </c>
      <c r="Q18" s="16">
        <f>'KEEI BAU - Industry'!AG$34*'Machinery Split'!$E6</f>
        <v>275801041378411.69</v>
      </c>
      <c r="R18" s="16">
        <f>'KEEI BAU - Industry'!AH$34*'Machinery Split'!$E6</f>
        <v>279488362257082.84</v>
      </c>
      <c r="S18" s="16">
        <f>'KEEI BAU - Industry'!AI$34*'Machinery Split'!$E6</f>
        <v>283175683135754</v>
      </c>
      <c r="T18" s="16">
        <f>'KEEI BAU - Industry'!AJ$34*'Machinery Split'!$E6</f>
        <v>286863004014425.19</v>
      </c>
      <c r="U18" s="16">
        <f>'KEEI BAU - Industry'!AK$34*'Machinery Split'!$E6</f>
        <v>290550324893096.38</v>
      </c>
      <c r="V18" s="16">
        <f>'KEEI BAU - Industry'!AL$34*'Machinery Split'!$E6</f>
        <v>294237645771767.5</v>
      </c>
      <c r="W18" s="16">
        <f>'KEEI BAU - Industry'!AM$34*'Machinery Split'!$E6</f>
        <v>297784162034546.75</v>
      </c>
      <c r="X18" s="16">
        <f>'KEEI BAU - Industry'!AN$34*'Machinery Split'!$E6</f>
        <v>301426681444524.88</v>
      </c>
      <c r="Y18" s="16">
        <f>'KEEI BAU - Industry'!AO$34*'Machinery Split'!$E6</f>
        <v>305069200854504.19</v>
      </c>
      <c r="Z18" s="16">
        <f>'KEEI BAU - Industry'!AP$34*'Machinery Split'!$E6</f>
        <v>308711720264482.31</v>
      </c>
      <c r="AA18" s="16">
        <f>'KEEI BAU - Industry'!AQ$34*'Machinery Split'!$E6</f>
        <v>312354239674460.5</v>
      </c>
      <c r="AB18" s="16">
        <f>'KEEI BAU - Industry'!AR$34*'Machinery Split'!$E6</f>
        <v>315996759084438.69</v>
      </c>
      <c r="AC18" s="16">
        <f>'KEEI BAU - Industry'!AS$34*'Machinery Split'!$E6</f>
        <v>319639278494416.81</v>
      </c>
      <c r="AD18" s="16">
        <f>'KEEI BAU - Industry'!AT$34*'Machinery Split'!$E6</f>
        <v>323281797904395</v>
      </c>
      <c r="AE18" s="16">
        <f>'KEEI BAU - Industry'!AU$34*'Machinery Split'!$E6</f>
        <v>326924317314373.19</v>
      </c>
      <c r="AF18" s="16">
        <f>'KEEI BAU - Industry'!AV$34*'Machinery Split'!$E6</f>
        <v>330566836724351.31</v>
      </c>
      <c r="AG18" s="16"/>
    </row>
    <row r="19" spans="1:33">
      <c r="A19" t="s">
        <v>19</v>
      </c>
      <c r="B19" s="16">
        <f>'KEEI BAU - Industry'!R$34*'Machinery Split'!$E7</f>
        <v>33545824591684.805</v>
      </c>
      <c r="C19" s="16">
        <f>'KEEI BAU - Industry'!S$34*'Machinery Split'!$E7</f>
        <v>35071449268076.813</v>
      </c>
      <c r="D19" s="16">
        <f>'KEEI BAU - Industry'!T$34*'Machinery Split'!$E7</f>
        <v>41173947973644.852</v>
      </c>
      <c r="E19" s="16">
        <f>'KEEI BAU - Industry'!U$34*'Machinery Split'!$E7</f>
        <v>38122698620860.836</v>
      </c>
      <c r="F19" s="16">
        <f>'KEEI BAU - Industry'!V$34*'Machinery Split'!$E7</f>
        <v>39648323297252.844</v>
      </c>
      <c r="G19" s="16">
        <f>'KEEI BAU - Industry'!W$34*'Machinery Split'!$E7</f>
        <v>41173947973644.852</v>
      </c>
      <c r="H19" s="16">
        <f>'KEEI BAU - Industry'!X$34*'Machinery Split'!$E7</f>
        <v>41921032727981.75</v>
      </c>
      <c r="I19" s="16">
        <f>'KEEI BAU - Industry'!Y$34*'Machinery Split'!$E7</f>
        <v>42668117482318.844</v>
      </c>
      <c r="J19" s="16">
        <f>'KEEI BAU - Industry'!Z$34*'Machinery Split'!$E7</f>
        <v>43415202236655.938</v>
      </c>
      <c r="K19" s="16">
        <f>'KEEI BAU - Industry'!AA$34*'Machinery Split'!$E7</f>
        <v>44162286990993.031</v>
      </c>
      <c r="L19" s="16">
        <f>'KEEI BAU - Industry'!AB$34*'Machinery Split'!$E7</f>
        <v>44909371745330.32</v>
      </c>
      <c r="M19" s="16">
        <f>'KEEI BAU - Industry'!AC$34*'Machinery Split'!$E7</f>
        <v>45533091735105.086</v>
      </c>
      <c r="N19" s="16">
        <f>'KEEI BAU - Industry'!AD$34*'Machinery Split'!$E7</f>
        <v>46156811724879.844</v>
      </c>
      <c r="O19" s="16">
        <f>'KEEI BAU - Industry'!AE$34*'Machinery Split'!$E7</f>
        <v>46780531714654.609</v>
      </c>
      <c r="P19" s="16">
        <f>'KEEI BAU - Industry'!AF$34*'Machinery Split'!$E7</f>
        <v>47404251704429.375</v>
      </c>
      <c r="Q19" s="16">
        <f>'KEEI BAU - Industry'!AG$34*'Machinery Split'!$E7</f>
        <v>48027971694204.141</v>
      </c>
      <c r="R19" s="16">
        <f>'KEEI BAU - Industry'!AH$34*'Machinery Split'!$E7</f>
        <v>48670081462547.195</v>
      </c>
      <c r="S19" s="16">
        <f>'KEEI BAU - Industry'!AI$34*'Machinery Split'!$E7</f>
        <v>49312191230890.258</v>
      </c>
      <c r="T19" s="16">
        <f>'KEEI BAU - Industry'!AJ$34*'Machinery Split'!$E7</f>
        <v>49954300999233.32</v>
      </c>
      <c r="U19" s="16">
        <f>'KEEI BAU - Industry'!AK$34*'Machinery Split'!$E7</f>
        <v>50596410767576.383</v>
      </c>
      <c r="V19" s="16">
        <f>'KEEI BAU - Industry'!AL$34*'Machinery Split'!$E7</f>
        <v>51238520535919.445</v>
      </c>
      <c r="W19" s="16">
        <f>'KEEI BAU - Industry'!AM$34*'Machinery Split'!$E7</f>
        <v>51856110599504.773</v>
      </c>
      <c r="X19" s="16">
        <f>'KEEI BAU - Industry'!AN$34*'Machinery Split'!$E7</f>
        <v>52490418643606.719</v>
      </c>
      <c r="Y19" s="16">
        <f>'KEEI BAU - Industry'!AO$34*'Machinery Split'!$E7</f>
        <v>53124726687708.859</v>
      </c>
      <c r="Z19" s="16">
        <f>'KEEI BAU - Industry'!AP$34*'Machinery Split'!$E7</f>
        <v>53759034731810.813</v>
      </c>
      <c r="AA19" s="16">
        <f>'KEEI BAU - Industry'!AQ$34*'Machinery Split'!$E7</f>
        <v>54393342775912.758</v>
      </c>
      <c r="AB19" s="16">
        <f>'KEEI BAU - Industry'!AR$34*'Machinery Split'!$E7</f>
        <v>55027650820014.703</v>
      </c>
      <c r="AC19" s="16">
        <f>'KEEI BAU - Industry'!AS$34*'Machinery Split'!$E7</f>
        <v>55661958864116.648</v>
      </c>
      <c r="AD19" s="16">
        <f>'KEEI BAU - Industry'!AT$34*'Machinery Split'!$E7</f>
        <v>56296266908218.602</v>
      </c>
      <c r="AE19" s="16">
        <f>'KEEI BAU - Industry'!AU$34*'Machinery Split'!$E7</f>
        <v>56930574952320.547</v>
      </c>
      <c r="AF19" s="16">
        <f>'KEEI BAU - Industry'!AV$34*'Machinery Split'!$E7</f>
        <v>57564882996422.492</v>
      </c>
    </row>
    <row r="20" spans="1:33">
      <c r="A20" t="s">
        <v>20</v>
      </c>
      <c r="B20" s="16">
        <f>'KEEI BAU - Industry'!R$34*'Machinery Split'!$E8</f>
        <v>52369204288318.344</v>
      </c>
      <c r="C20" s="16">
        <f>'KEEI BAU - Industry'!S$34*'Machinery Split'!$E8</f>
        <v>54750894150402.602</v>
      </c>
      <c r="D20" s="16">
        <f>'KEEI BAU - Industry'!T$34*'Machinery Split'!$E8</f>
        <v>64277653598739.664</v>
      </c>
      <c r="E20" s="16">
        <f>'KEEI BAU - Industry'!U$34*'Machinery Split'!$E8</f>
        <v>59514273874571.141</v>
      </c>
      <c r="F20" s="16">
        <f>'KEEI BAU - Industry'!V$34*'Machinery Split'!$E8</f>
        <v>61895963736655.398</v>
      </c>
      <c r="G20" s="16">
        <f>'KEEI BAU - Industry'!W$34*'Machinery Split'!$E8</f>
        <v>64277653598739.664</v>
      </c>
      <c r="H20" s="16">
        <f>'KEEI BAU - Industry'!X$34*'Machinery Split'!$E8</f>
        <v>65443945815335.086</v>
      </c>
      <c r="I20" s="16">
        <f>'KEEI BAU - Industry'!Y$34*'Machinery Split'!$E8</f>
        <v>66610238031930.813</v>
      </c>
      <c r="J20" s="16">
        <f>'KEEI BAU - Industry'!Z$34*'Machinery Split'!$E8</f>
        <v>67776530248526.531</v>
      </c>
      <c r="K20" s="16">
        <f>'KEEI BAU - Industry'!AA$34*'Machinery Split'!$E8</f>
        <v>68942822465122.258</v>
      </c>
      <c r="L20" s="16">
        <f>'KEEI BAU - Industry'!AB$34*'Machinery Split'!$E8</f>
        <v>70109114681718.281</v>
      </c>
      <c r="M20" s="16">
        <f>'KEEI BAU - Industry'!AC$34*'Machinery Split'!$E8</f>
        <v>71082819157932.563</v>
      </c>
      <c r="N20" s="16">
        <f>'KEEI BAU - Industry'!AD$34*'Machinery Split'!$E8</f>
        <v>72056523634146.828</v>
      </c>
      <c r="O20" s="16">
        <f>'KEEI BAU - Industry'!AE$34*'Machinery Split'!$E8</f>
        <v>73030228110361.109</v>
      </c>
      <c r="P20" s="16">
        <f>'KEEI BAU - Industry'!AF$34*'Machinery Split'!$E8</f>
        <v>74003932586575.375</v>
      </c>
      <c r="Q20" s="16">
        <f>'KEEI BAU - Industry'!AG$34*'Machinery Split'!$E8</f>
        <v>74977637062789.656</v>
      </c>
      <c r="R20" s="16">
        <f>'KEEI BAU - Industry'!AH$34*'Machinery Split'!$E8</f>
        <v>75980050270489.359</v>
      </c>
      <c r="S20" s="16">
        <f>'KEEI BAU - Industry'!AI$34*'Machinery Split'!$E8</f>
        <v>76982463478189.078</v>
      </c>
      <c r="T20" s="16">
        <f>'KEEI BAU - Industry'!AJ$34*'Machinery Split'!$E8</f>
        <v>77984876685888.781</v>
      </c>
      <c r="U20" s="16">
        <f>'KEEI BAU - Industry'!AK$34*'Machinery Split'!$E8</f>
        <v>78987289893588.484</v>
      </c>
      <c r="V20" s="16">
        <f>'KEEI BAU - Industry'!AL$34*'Machinery Split'!$E8</f>
        <v>79989703101288.203</v>
      </c>
      <c r="W20" s="16">
        <f>'KEEI BAU - Industry'!AM$34*'Machinery Split'!$E8</f>
        <v>80953838000340.656</v>
      </c>
      <c r="X20" s="16">
        <f>'KEEI BAU - Industry'!AN$34*'Machinery Split'!$E8</f>
        <v>81944071746198.047</v>
      </c>
      <c r="Y20" s="16">
        <f>'KEEI BAU - Industry'!AO$34*'Machinery Split'!$E8</f>
        <v>82934305492055.719</v>
      </c>
      <c r="Z20" s="16">
        <f>'KEEI BAU - Industry'!AP$34*'Machinery Split'!$E8</f>
        <v>83924539237913.094</v>
      </c>
      <c r="AA20" s="16">
        <f>'KEEI BAU - Industry'!AQ$34*'Machinery Split'!$E8</f>
        <v>84914772983770.469</v>
      </c>
      <c r="AB20" s="16">
        <f>'KEEI BAU - Industry'!AR$34*'Machinery Split'!$E8</f>
        <v>85905006729627.844</v>
      </c>
      <c r="AC20" s="16">
        <f>'KEEI BAU - Industry'!AS$34*'Machinery Split'!$E8</f>
        <v>86895240475485.219</v>
      </c>
      <c r="AD20" s="16">
        <f>'KEEI BAU - Industry'!AT$34*'Machinery Split'!$E8</f>
        <v>87885474221342.594</v>
      </c>
      <c r="AE20" s="16">
        <f>'KEEI BAU - Industry'!AU$34*'Machinery Split'!$E8</f>
        <v>88875707967199.969</v>
      </c>
      <c r="AF20" s="16">
        <f>'KEEI BAU - Industry'!AV$34*'Machinery Split'!$E8</f>
        <v>89865941713057.344</v>
      </c>
      <c r="AG20" s="14"/>
    </row>
    <row r="21" spans="1:33">
      <c r="A21" t="s">
        <v>21</v>
      </c>
      <c r="B21" s="16">
        <f>'KEEI BAU - Industry'!R$34*'Machinery Split'!$E9</f>
        <v>54677648064913.984</v>
      </c>
      <c r="C21" s="16">
        <f>'KEEI BAU - Industry'!S$34*'Machinery Split'!$E9</f>
        <v>57164323236869.289</v>
      </c>
      <c r="D21" s="16">
        <f>'KEEI BAU - Industry'!T$34*'Machinery Split'!$E9</f>
        <v>67111023924690.547</v>
      </c>
      <c r="E21" s="16">
        <f>'KEEI BAU - Industry'!U$34*'Machinery Split'!$E9</f>
        <v>62137673580779.922</v>
      </c>
      <c r="F21" s="16">
        <f>'KEEI BAU - Industry'!V$34*'Machinery Split'!$E9</f>
        <v>64624348752735.234</v>
      </c>
      <c r="G21" s="16">
        <f>'KEEI BAU - Industry'!W$34*'Machinery Split'!$E9</f>
        <v>67111023924690.547</v>
      </c>
      <c r="H21" s="16">
        <f>'KEEI BAU - Industry'!X$34*'Machinery Split'!$E9</f>
        <v>68328726508231.188</v>
      </c>
      <c r="I21" s="16">
        <f>'KEEI BAU - Industry'!Y$34*'Machinery Split'!$E9</f>
        <v>69546429091772.148</v>
      </c>
      <c r="J21" s="16">
        <f>'KEEI BAU - Industry'!Z$34*'Machinery Split'!$E9</f>
        <v>70764131675313.109</v>
      </c>
      <c r="K21" s="16">
        <f>'KEEI BAU - Industry'!AA$34*'Machinery Split'!$E9</f>
        <v>71981834258854.063</v>
      </c>
      <c r="L21" s="16">
        <f>'KEEI BAU - Industry'!AB$34*'Machinery Split'!$E9</f>
        <v>73199536842395.328</v>
      </c>
      <c r="M21" s="16">
        <f>'KEEI BAU - Industry'!AC$34*'Machinery Split'!$E9</f>
        <v>74216162383936.188</v>
      </c>
      <c r="N21" s="16">
        <f>'KEEI BAU - Industry'!AD$34*'Machinery Split'!$E9</f>
        <v>75232787925477.047</v>
      </c>
      <c r="O21" s="16">
        <f>'KEEI BAU - Industry'!AE$34*'Machinery Split'!$E9</f>
        <v>76249413467017.906</v>
      </c>
      <c r="P21" s="16">
        <f>'KEEI BAU - Industry'!AF$34*'Machinery Split'!$E9</f>
        <v>77266039008558.766</v>
      </c>
      <c r="Q21" s="16">
        <f>'KEEI BAU - Industry'!AG$34*'Machinery Split'!$E9</f>
        <v>78282664550099.625</v>
      </c>
      <c r="R21" s="16">
        <f>'KEEI BAU - Industry'!AH$34*'Machinery Split'!$E9</f>
        <v>79329264309081.5</v>
      </c>
      <c r="S21" s="16">
        <f>'KEEI BAU - Industry'!AI$34*'Machinery Split'!$E9</f>
        <v>80375864068063.359</v>
      </c>
      <c r="T21" s="16">
        <f>'KEEI BAU - Industry'!AJ$34*'Machinery Split'!$E9</f>
        <v>81422463827045.234</v>
      </c>
      <c r="U21" s="16">
        <f>'KEEI BAU - Industry'!AK$34*'Machinery Split'!$E9</f>
        <v>82469063586027.109</v>
      </c>
      <c r="V21" s="16">
        <f>'KEEI BAU - Industry'!AL$34*'Machinery Split'!$E9</f>
        <v>83515663345008.969</v>
      </c>
      <c r="W21" s="16">
        <f>'KEEI BAU - Industry'!AM$34*'Machinery Split'!$E9</f>
        <v>84522297480736.156</v>
      </c>
      <c r="X21" s="16">
        <f>'KEEI BAU - Industry'!AN$34*'Machinery Split'!$E9</f>
        <v>85556180905046.063</v>
      </c>
      <c r="Y21" s="16">
        <f>'KEEI BAU - Industry'!AO$34*'Machinery Split'!$E9</f>
        <v>86590064329356.266</v>
      </c>
      <c r="Z21" s="16">
        <f>'KEEI BAU - Industry'!AP$34*'Machinery Split'!$E9</f>
        <v>87623947753666.172</v>
      </c>
      <c r="AA21" s="16">
        <f>'KEEI BAU - Industry'!AQ$34*'Machinery Split'!$E9</f>
        <v>88657831177976.063</v>
      </c>
      <c r="AB21" s="16">
        <f>'KEEI BAU - Industry'!AR$34*'Machinery Split'!$E9</f>
        <v>89691714602285.953</v>
      </c>
      <c r="AC21" s="16">
        <f>'KEEI BAU - Industry'!AS$34*'Machinery Split'!$E9</f>
        <v>90725598026595.859</v>
      </c>
      <c r="AD21" s="16">
        <f>'KEEI BAU - Industry'!AT$34*'Machinery Split'!$E9</f>
        <v>91759481450905.75</v>
      </c>
      <c r="AE21" s="16">
        <f>'KEEI BAU - Industry'!AU$34*'Machinery Split'!$E9</f>
        <v>92793364875215.641</v>
      </c>
      <c r="AF21" s="16">
        <f>'KEEI BAU - Industry'!AV$34*'Machinery Split'!$E9</f>
        <v>93827248299525.547</v>
      </c>
    </row>
    <row r="22" spans="1:33">
      <c r="A22" t="s">
        <v>22</v>
      </c>
      <c r="B22" s="16">
        <f>'KEEI BAU - Industry'!R$34*'Machinery Split'!$E10</f>
        <v>14001890190217.949</v>
      </c>
      <c r="C22" s="16">
        <f>'KEEI BAU - Industry'!S$34*'Machinery Split'!$E10</f>
        <v>14638679699801.885</v>
      </c>
      <c r="D22" s="16">
        <f>'KEEI BAU - Industry'!T$34*'Machinery Split'!$E10</f>
        <v>17185837738137.629</v>
      </c>
      <c r="E22" s="16">
        <f>'KEEI BAU - Industry'!U$34*'Machinery Split'!$E10</f>
        <v>15912258718969.758</v>
      </c>
      <c r="F22" s="16">
        <f>'KEEI BAU - Industry'!V$34*'Machinery Split'!$E10</f>
        <v>16549048228553.693</v>
      </c>
      <c r="G22" s="16">
        <f>'KEEI BAU - Industry'!W$34*'Machinery Split'!$E10</f>
        <v>17185837738137.629</v>
      </c>
      <c r="H22" s="16">
        <f>'KEEI BAU - Industry'!X$34*'Machinery Split'!$E10</f>
        <v>17497667863655.074</v>
      </c>
      <c r="I22" s="16">
        <f>'KEEI BAU - Industry'!Y$34*'Machinery Split'!$E10</f>
        <v>17809497989172.598</v>
      </c>
      <c r="J22" s="16">
        <f>'KEEI BAU - Industry'!Z$34*'Machinery Split'!$E10</f>
        <v>18121328114690.121</v>
      </c>
      <c r="K22" s="16">
        <f>'KEEI BAU - Industry'!AA$34*'Machinery Split'!$E10</f>
        <v>18433158240207.648</v>
      </c>
      <c r="L22" s="16">
        <f>'KEEI BAU - Industry'!AB$34*'Machinery Split'!$E10</f>
        <v>18744988365725.254</v>
      </c>
      <c r="M22" s="16">
        <f>'KEEI BAU - Industry'!AC$34*'Machinery Split'!$E10</f>
        <v>19005326542311.164</v>
      </c>
      <c r="N22" s="16">
        <f>'KEEI BAU - Industry'!AD$34*'Machinery Split'!$E10</f>
        <v>19265664718897.078</v>
      </c>
      <c r="O22" s="16">
        <f>'KEEI BAU - Industry'!AE$34*'Machinery Split'!$E10</f>
        <v>19526002895482.992</v>
      </c>
      <c r="P22" s="16">
        <f>'KEEI BAU - Industry'!AF$34*'Machinery Split'!$E10</f>
        <v>19786341072068.906</v>
      </c>
      <c r="Q22" s="16">
        <f>'KEEI BAU - Industry'!AG$34*'Machinery Split'!$E10</f>
        <v>20046679248654.816</v>
      </c>
      <c r="R22" s="16">
        <f>'KEEI BAU - Industry'!AH$34*'Machinery Split'!$E10</f>
        <v>20314693243715.008</v>
      </c>
      <c r="S22" s="16">
        <f>'KEEI BAU - Industry'!AI$34*'Machinery Split'!$E10</f>
        <v>20582707238775.199</v>
      </c>
      <c r="T22" s="16">
        <f>'KEEI BAU - Industry'!AJ$34*'Machinery Split'!$E10</f>
        <v>20850721233835.391</v>
      </c>
      <c r="U22" s="16">
        <f>'KEEI BAU - Industry'!AK$34*'Machinery Split'!$E10</f>
        <v>21118735228895.578</v>
      </c>
      <c r="V22" s="16">
        <f>'KEEI BAU - Industry'!AL$34*'Machinery Split'!$E10</f>
        <v>21386749223955.77</v>
      </c>
      <c r="W22" s="16">
        <f>'KEEI BAU - Industry'!AM$34*'Machinery Split'!$E10</f>
        <v>21644528794383.59</v>
      </c>
      <c r="X22" s="16">
        <f>'KEEI BAU - Industry'!AN$34*'Machinery Split'!$E10</f>
        <v>21909286381606.199</v>
      </c>
      <c r="Y22" s="16">
        <f>'KEEI BAU - Industry'!AO$34*'Machinery Split'!$E10</f>
        <v>22174043968828.891</v>
      </c>
      <c r="Z22" s="16">
        <f>'KEEI BAU - Industry'!AP$34*'Machinery Split'!$E10</f>
        <v>22438801556051.504</v>
      </c>
      <c r="AA22" s="16">
        <f>'KEEI BAU - Industry'!AQ$34*'Machinery Split'!$E10</f>
        <v>22703559143274.113</v>
      </c>
      <c r="AB22" s="16">
        <f>'KEEI BAU - Industry'!AR$34*'Machinery Split'!$E10</f>
        <v>22968316730496.727</v>
      </c>
      <c r="AC22" s="16">
        <f>'KEEI BAU - Industry'!AS$34*'Machinery Split'!$E10</f>
        <v>23233074317719.336</v>
      </c>
      <c r="AD22" s="16">
        <f>'KEEI BAU - Industry'!AT$34*'Machinery Split'!$E10</f>
        <v>23497831904941.945</v>
      </c>
      <c r="AE22" s="16">
        <f>'KEEI BAU - Industry'!AU$34*'Machinery Split'!$E10</f>
        <v>23762589492164.559</v>
      </c>
      <c r="AF22" s="16">
        <f>'KEEI BAU - Industry'!AV$34*'Machinery Split'!$E10</f>
        <v>24027347079387.168</v>
      </c>
    </row>
    <row r="23" spans="1:33">
      <c r="A23" t="s">
        <v>23</v>
      </c>
      <c r="B23" s="16">
        <f>'KEEI BAU - Industry'!R$55*'Others Split'!$E$14</f>
        <v>13649136967668.264</v>
      </c>
      <c r="C23" s="16">
        <f>'KEEI BAU - Industry'!S$55*'Others Split'!$E$14</f>
        <v>14150719212309.693</v>
      </c>
      <c r="D23" s="16">
        <f>'KEEI BAU - Industry'!T$55*'Others Split'!$E$14</f>
        <v>14652301456951.119</v>
      </c>
      <c r="E23" s="16">
        <f>'KEEI BAU - Industry'!U$55*'Others Split'!$E$14</f>
        <v>15153883701592.547</v>
      </c>
      <c r="F23" s="16">
        <f>'KEEI BAU - Industry'!V$55*'Others Split'!$E$14</f>
        <v>15655465946233.975</v>
      </c>
      <c r="G23" s="16">
        <f>'KEEI BAU - Industry'!W$55*'Others Split'!$E$14</f>
        <v>16157048190875.402</v>
      </c>
      <c r="H23" s="16">
        <f>'KEEI BAU - Industry'!X$55*'Others Split'!$E$14</f>
        <v>16287168773479.324</v>
      </c>
      <c r="I23" s="16">
        <f>'KEEI BAU - Industry'!Y$55*'Others Split'!$E$14</f>
        <v>16417289356083.244</v>
      </c>
      <c r="J23" s="16">
        <f>'KEEI BAU - Industry'!Z$55*'Others Split'!$E$14</f>
        <v>16547409938687.164</v>
      </c>
      <c r="K23" s="16">
        <f>'KEEI BAU - Industry'!AA$55*'Others Split'!$E$14</f>
        <v>16677530521291.084</v>
      </c>
      <c r="L23" s="16">
        <f>'KEEI BAU - Industry'!AB$55*'Others Split'!$E$14</f>
        <v>16807651103895.004</v>
      </c>
      <c r="M23" s="16">
        <f>'KEEI BAU - Industry'!AC$55*'Others Split'!$E$14</f>
        <v>16876394053195.188</v>
      </c>
      <c r="N23" s="16">
        <f>'KEEI BAU - Industry'!AD$55*'Others Split'!$E$14</f>
        <v>16945137002495.371</v>
      </c>
      <c r="O23" s="16">
        <f>'KEEI BAU - Industry'!AE$55*'Others Split'!$E$14</f>
        <v>17013879951795.555</v>
      </c>
      <c r="P23" s="16">
        <f>'KEEI BAU - Industry'!AF$55*'Others Split'!$E$14</f>
        <v>17082622901095.74</v>
      </c>
      <c r="Q23" s="16">
        <f>'KEEI BAU - Industry'!AG$55*'Others Split'!$E$14</f>
        <v>17151365850395.926</v>
      </c>
      <c r="R23" s="16">
        <f>'KEEI BAU - Industry'!AH$55*'Others Split'!$E$14</f>
        <v>17200467957038.912</v>
      </c>
      <c r="S23" s="16">
        <f>'KEEI BAU - Industry'!AI$55*'Others Split'!$E$14</f>
        <v>17249570063681.9</v>
      </c>
      <c r="T23" s="16">
        <f>'KEEI BAU - Industry'!AJ$55*'Others Split'!$E$14</f>
        <v>17298672170324.889</v>
      </c>
      <c r="U23" s="16">
        <f>'KEEI BAU - Industry'!AK$55*'Others Split'!$E$14</f>
        <v>17347774276967.877</v>
      </c>
      <c r="V23" s="16">
        <f>'KEEI BAU - Industry'!AL$55*'Others Split'!$E$14</f>
        <v>17396876383610.863</v>
      </c>
      <c r="W23" s="16">
        <f>'KEEI BAU - Industry'!AM$55*'Others Split'!$E$14</f>
        <v>17472166280463.459</v>
      </c>
      <c r="X23" s="16">
        <f>'KEEI BAU - Industry'!AN$55*'Others Split'!$E$14</f>
        <v>17529600865809.488</v>
      </c>
      <c r="Y23" s="16">
        <f>'KEEI BAU - Industry'!AO$55*'Others Split'!$E$14</f>
        <v>17587035451155.533</v>
      </c>
      <c r="Z23" s="16">
        <f>'KEEI BAU - Industry'!AP$55*'Others Split'!$E$14</f>
        <v>17644470036501.578</v>
      </c>
      <c r="AA23" s="16">
        <f>'KEEI BAU - Industry'!AQ$55*'Others Split'!$E$14</f>
        <v>17701904621847.621</v>
      </c>
      <c r="AB23" s="16">
        <f>'KEEI BAU - Industry'!AR$55*'Others Split'!$E$14</f>
        <v>17759339207193.652</v>
      </c>
      <c r="AC23" s="16">
        <f>'KEEI BAU - Industry'!AS$55*'Others Split'!$E$14</f>
        <v>17816773792539.695</v>
      </c>
      <c r="AD23" s="16">
        <f>'KEEI BAU - Industry'!AT$55*'Others Split'!$E$14</f>
        <v>17874208377885.738</v>
      </c>
      <c r="AE23" s="16">
        <f>'KEEI BAU - Industry'!AU$55*'Others Split'!$E$14</f>
        <v>17931642963231.785</v>
      </c>
      <c r="AF23" s="16">
        <f>'KEEI BAU - Industry'!AV$55*'Others Split'!$E$14</f>
        <v>17989077548577.828</v>
      </c>
    </row>
    <row r="24" spans="1:33">
      <c r="A24" t="s">
        <v>24</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row>
    <row r="25" spans="1:33">
      <c r="A25" t="s">
        <v>25</v>
      </c>
      <c r="B25" s="16">
        <f>'Water and Waste'!C34*(1+'Water and Waste'!D40)*(1+'Water and Waste'!E40)</f>
        <v>4053972007121.0981</v>
      </c>
      <c r="C25" s="16">
        <f>B25*(1+'Water and Waste'!F40)</f>
        <v>4058025979128.2188</v>
      </c>
      <c r="D25" s="16">
        <f>C25*(1+'Water and Waste'!G40)</f>
        <v>4062084005107.3467</v>
      </c>
      <c r="E25" s="16">
        <f>D25*(1+'Water and Waste'!H40)</f>
        <v>4066146089112.4536</v>
      </c>
      <c r="F25" s="16">
        <f>E25*(1+'Water and Waste'!I40)</f>
        <v>4070212235201.5654</v>
      </c>
      <c r="G25" s="16">
        <f>F25*(1+'Water and Waste'!J40)</f>
        <v>4074282447436.7666</v>
      </c>
      <c r="H25" s="16">
        <f>G25*(1+'Water and Waste'!K40)</f>
        <v>4078356729884.2031</v>
      </c>
      <c r="I25" s="16">
        <f>H25*(1+'Water and Waste'!L40)</f>
        <v>4082435086614.0869</v>
      </c>
      <c r="J25" s="16">
        <f>I25*(1+'Water and Waste'!M40)</f>
        <v>4086517521700.7007</v>
      </c>
      <c r="K25" s="16">
        <f>J25*(1+'Water and Waste'!N40)</f>
        <v>4090604039222.4009</v>
      </c>
      <c r="L25" s="16">
        <f>K25*(1+'Water and Waste'!O40)</f>
        <v>4094694643261.623</v>
      </c>
      <c r="M25" s="16">
        <f>L25*(1+'Water and Waste'!P40)</f>
        <v>4098789337904.8843</v>
      </c>
      <c r="N25" s="16">
        <f>M25*(1+'Water and Waste'!Q40)</f>
        <v>4102888127242.7886</v>
      </c>
      <c r="O25" s="16">
        <f>N25*(1+'Water and Waste'!R40)</f>
        <v>4106991015370.0308</v>
      </c>
      <c r="P25" s="16">
        <f>O25*(1+'Water and Waste'!S40)</f>
        <v>4111098006385.4004</v>
      </c>
      <c r="Q25" s="16">
        <f>P25*(1+'Water and Waste'!T40)</f>
        <v>4115209104391.7852</v>
      </c>
      <c r="R25" s="16">
        <f>Q25*(1+'Water and Waste'!U40)</f>
        <v>4119324313496.1763</v>
      </c>
      <c r="S25" s="16">
        <f>R25*(1+'Water and Waste'!V40)</f>
        <v>4123443637809.6719</v>
      </c>
      <c r="T25" s="16">
        <f>S25*(1+'Water and Waste'!W40)</f>
        <v>4127567081447.481</v>
      </c>
      <c r="U25" s="16">
        <f>T25*(1+'Water and Waste'!X40)</f>
        <v>4131694648528.9282</v>
      </c>
      <c r="V25" s="16">
        <f>U25*(1+'Water and Waste'!Y40)</f>
        <v>4135826343177.4565</v>
      </c>
      <c r="W25" s="16">
        <f>V25*(1+'Water and Waste'!Z40)</f>
        <v>4115147211461.5693</v>
      </c>
      <c r="X25" s="16">
        <f>W25*(1+'Water and Waste'!AA40)</f>
        <v>4094571475404.2612</v>
      </c>
      <c r="Y25" s="16">
        <f>X25*(1+'Water and Waste'!AB40)</f>
        <v>4074098618027.2397</v>
      </c>
      <c r="Z25" s="16">
        <f>Y25*(1+'Water and Waste'!AC40)</f>
        <v>4053728124937.1035</v>
      </c>
      <c r="AA25" s="16">
        <f>Z25*(1+'Water and Waste'!AD40)</f>
        <v>4033459484312.418</v>
      </c>
      <c r="AB25" s="16">
        <f>AA25*(1+'Water and Waste'!AE40)</f>
        <v>4013292186890.856</v>
      </c>
      <c r="AC25" s="16">
        <f>AB25*(1+'Water and Waste'!AF40)</f>
        <v>3993225725956.4019</v>
      </c>
      <c r="AD25" s="16">
        <f>AC25*(1+'Water and Waste'!AG40)</f>
        <v>3973259597326.6196</v>
      </c>
      <c r="AE25" s="16">
        <f>AD25*(1+'Water and Waste'!AH40)</f>
        <v>3953393299339.9863</v>
      </c>
      <c r="AF25" s="16">
        <f>AE25*(1+'Water and Waste'!AI40)</f>
        <v>3933626332843.2861</v>
      </c>
    </row>
    <row r="26" spans="1:33">
      <c r="A26" t="s">
        <v>26</v>
      </c>
      <c r="B26" s="16">
        <f>'KEEI BAU - Industry'!R$55*'Others Split'!$E$15</f>
        <v>30366447483.196106</v>
      </c>
      <c r="C26" s="16">
        <f>'KEEI BAU - Industry'!S$55*'Others Split'!$E$15</f>
        <v>31482362059.076401</v>
      </c>
      <c r="D26" s="16">
        <f>'KEEI BAU - Industry'!T$55*'Others Split'!$E$15</f>
        <v>32598276634.956688</v>
      </c>
      <c r="E26" s="16">
        <f>'KEEI BAU - Industry'!U$55*'Others Split'!$E$15</f>
        <v>33714191210.836979</v>
      </c>
      <c r="F26" s="16">
        <f>'KEEI BAU - Industry'!V$55*'Others Split'!$E$15</f>
        <v>34830105786.71727</v>
      </c>
      <c r="G26" s="16">
        <f>'KEEI BAU - Industry'!W$55*'Others Split'!$E$15</f>
        <v>35946020362.597565</v>
      </c>
      <c r="H26" s="16">
        <f>'KEEI BAU - Industry'!X$55*'Others Split'!$E$15</f>
        <v>36235511181.503151</v>
      </c>
      <c r="I26" s="16">
        <f>'KEEI BAU - Industry'!Y$55*'Others Split'!$E$15</f>
        <v>36525002000.408737</v>
      </c>
      <c r="J26" s="16">
        <f>'KEEI BAU - Industry'!Z$55*'Others Split'!$E$15</f>
        <v>36814492819.314331</v>
      </c>
      <c r="K26" s="16">
        <f>'KEEI BAU - Industry'!AA$55*'Others Split'!$E$15</f>
        <v>37103983638.219917</v>
      </c>
      <c r="L26" s="16">
        <f>'KEEI BAU - Industry'!AB$55*'Others Split'!$E$15</f>
        <v>37393474457.125504</v>
      </c>
      <c r="M26" s="16">
        <f>'KEEI BAU - Industry'!AC$55*'Others Split'!$E$15</f>
        <v>37546413002.962418</v>
      </c>
      <c r="N26" s="16">
        <f>'KEEI BAU - Industry'!AD$55*'Others Split'!$E$15</f>
        <v>37699351548.799332</v>
      </c>
      <c r="O26" s="16">
        <f>'KEEI BAU - Industry'!AE$55*'Others Split'!$E$15</f>
        <v>37852290094.636246</v>
      </c>
      <c r="P26" s="16">
        <f>'KEEI BAU - Industry'!AF$55*'Others Split'!$E$15</f>
        <v>38005228640.47316</v>
      </c>
      <c r="Q26" s="16">
        <f>'KEEI BAU - Industry'!AG$55*'Others Split'!$E$15</f>
        <v>38158167186.310074</v>
      </c>
      <c r="R26" s="16">
        <f>'KEEI BAU - Industry'!AH$55*'Others Split'!$E$15</f>
        <v>38267409004.765015</v>
      </c>
      <c r="S26" s="16">
        <f>'KEEI BAU - Industry'!AI$55*'Others Split'!$E$15</f>
        <v>38376650823.219948</v>
      </c>
      <c r="T26" s="16">
        <f>'KEEI BAU - Industry'!AJ$55*'Others Split'!$E$15</f>
        <v>38485892641.674889</v>
      </c>
      <c r="U26" s="16">
        <f>'KEEI BAU - Industry'!AK$55*'Others Split'!$E$15</f>
        <v>38595134460.129829</v>
      </c>
      <c r="V26" s="16">
        <f>'KEEI BAU - Industry'!AL$55*'Others Split'!$E$15</f>
        <v>38704376278.584755</v>
      </c>
      <c r="W26" s="16">
        <f>'KEEI BAU - Industry'!AM$55*'Others Split'!$E$15</f>
        <v>38871880400.215698</v>
      </c>
      <c r="X26" s="16">
        <f>'KEEI BAU - Industry'!AN$55*'Others Split'!$E$15</f>
        <v>38999660224.226593</v>
      </c>
      <c r="Y26" s="16">
        <f>'KEEI BAU - Industry'!AO$55*'Others Split'!$E$15</f>
        <v>39127440048.237534</v>
      </c>
      <c r="Z26" s="16">
        <f>'KEEI BAU - Industry'!AP$55*'Others Split'!$E$15</f>
        <v>39255219872.248466</v>
      </c>
      <c r="AA26" s="16">
        <f>'KEEI BAU - Industry'!AQ$55*'Others Split'!$E$15</f>
        <v>39382999696.259407</v>
      </c>
      <c r="AB26" s="16">
        <f>'KEEI BAU - Industry'!AR$55*'Others Split'!$E$15</f>
        <v>39510779520.270302</v>
      </c>
      <c r="AC26" s="16">
        <f>'KEEI BAU - Industry'!AS$55*'Others Split'!$E$15</f>
        <v>39638559344.281242</v>
      </c>
      <c r="AD26" s="16">
        <f>'KEEI BAU - Industry'!AT$55*'Others Split'!$E$15</f>
        <v>39766339168.292175</v>
      </c>
      <c r="AE26" s="16">
        <f>'KEEI BAU - Industry'!AU$55*'Others Split'!$E$15</f>
        <v>39894118992.303108</v>
      </c>
      <c r="AF26" s="16">
        <f>'KEEI BAU - Industry'!AV$55*'Others Split'!$E$15</f>
        <v>40021898816.314049</v>
      </c>
    </row>
    <row r="28" spans="1:33">
      <c r="A28" s="1"/>
    </row>
    <row r="30" spans="1:33">
      <c r="A30" s="1"/>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row>
    <row r="31" spans="1:33">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row>
    <row r="32" spans="1:33">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row>
    <row r="33" spans="1:35">
      <c r="A33" s="1"/>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row>
    <row r="34" spans="1:35">
      <c r="A34" s="5"/>
      <c r="B34" s="2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row>
    <row r="35" spans="1:35">
      <c r="A35" s="5"/>
      <c r="B35" s="2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row>
    <row r="36" spans="1:35">
      <c r="A36" s="5"/>
      <c r="B36" s="2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row>
    <row r="37" spans="1:35">
      <c r="A37" s="5"/>
      <c r="B37" s="2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row>
    <row r="38" spans="1:35">
      <c r="A38" s="5"/>
      <c r="B38" s="2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row>
    <row r="39" spans="1:35">
      <c r="A39" s="5"/>
      <c r="B39" s="2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row>
    <row r="40" spans="1:35">
      <c r="A40" s="5"/>
      <c r="B40" s="2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row>
    <row r="41" spans="1:35">
      <c r="A41" s="5"/>
      <c r="B41" s="2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row>
    <row r="42" spans="1:35">
      <c r="A42" s="5"/>
      <c r="B42" s="2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row>
    <row r="43" spans="1:35">
      <c r="A43" s="5"/>
      <c r="B43" s="2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row>
    <row r="44" spans="1:35">
      <c r="A44" s="5"/>
      <c r="B44" s="2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row>
    <row r="45" spans="1:35">
      <c r="A45" s="5"/>
      <c r="B45" s="2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row>
    <row r="46" spans="1:35">
      <c r="A46" s="7"/>
      <c r="B46" s="27"/>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row>
    <row r="47" spans="1:35">
      <c r="A47" s="1"/>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row>
    <row r="48" spans="1:35">
      <c r="A48" s="5"/>
      <c r="B48" s="2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row>
    <row r="49" spans="1:35">
      <c r="A49" s="5"/>
      <c r="B49" s="2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row>
    <row r="50" spans="1:35">
      <c r="A50" s="15"/>
      <c r="B50" s="2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row>
    <row r="51" spans="1:35">
      <c r="A51" s="5"/>
      <c r="B51" s="2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row>
    <row r="52" spans="1:35">
      <c r="A52" s="5"/>
      <c r="B52" s="2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row>
    <row r="53" spans="1:35">
      <c r="A53" s="5"/>
      <c r="B53" s="2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row>
    <row r="54" spans="1:35">
      <c r="A54" s="5"/>
      <c r="B54" s="2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row>
    <row r="55" spans="1:35">
      <c r="A55" s="5"/>
      <c r="B55" s="2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row>
    <row r="56" spans="1:35">
      <c r="A56" s="5"/>
      <c r="B56" s="25"/>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row>
    <row r="57" spans="1:35">
      <c r="A57" s="5"/>
      <c r="B57" s="25"/>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row>
    <row r="58" spans="1:35">
      <c r="A58" s="5"/>
      <c r="B58" s="25"/>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row>
    <row r="59" spans="1:35">
      <c r="A59" s="5"/>
      <c r="B59" s="25"/>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row>
    <row r="60" spans="1:35">
      <c r="A60" s="5"/>
      <c r="B60" s="25"/>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row>
    <row r="61" spans="1:35">
      <c r="A61" s="5"/>
      <c r="B61" s="25"/>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row>
    <row r="62" spans="1:35">
      <c r="A62" s="7"/>
      <c r="B62" s="25"/>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row>
    <row r="63" spans="1:35">
      <c r="A63" s="12"/>
      <c r="B63" s="25"/>
    </row>
    <row r="64" spans="1:35">
      <c r="A64" s="5"/>
      <c r="B64" s="25"/>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row>
    <row r="65" spans="1:35">
      <c r="A65" s="5"/>
      <c r="B65" s="25"/>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row>
    <row r="66" spans="1:35">
      <c r="A66" s="5"/>
      <c r="B66" s="25"/>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row>
    <row r="67" spans="1:35">
      <c r="A67" s="5"/>
      <c r="B67" s="25"/>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row>
    <row r="68" spans="1:35">
      <c r="A68" s="5"/>
      <c r="B68" s="25"/>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row>
    <row r="69" spans="1:35">
      <c r="A69" s="5"/>
      <c r="B69" s="25"/>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row>
    <row r="70" spans="1:35">
      <c r="A70" s="5"/>
      <c r="B70" s="25"/>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row>
    <row r="71" spans="1:35">
      <c r="A71" s="5"/>
      <c r="B71" s="25"/>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row>
    <row r="72" spans="1:35">
      <c r="A72" s="5"/>
      <c r="B72" s="25"/>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row>
    <row r="73" spans="1:35">
      <c r="A73" s="5"/>
      <c r="B73" s="25"/>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row>
    <row r="74" spans="1:35">
      <c r="A74" s="5"/>
      <c r="B74" s="25"/>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row>
    <row r="75" spans="1:35">
      <c r="A75" s="5"/>
      <c r="B75" s="25"/>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row>
    <row r="76" spans="1:35">
      <c r="A76" s="7"/>
      <c r="B76" s="25"/>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row>
    <row r="77" spans="1:35">
      <c r="A77" s="12"/>
      <c r="B77" s="25"/>
    </row>
    <row r="78" spans="1:35">
      <c r="A78" s="12"/>
      <c r="B78" s="25"/>
    </row>
    <row r="79" spans="1:35">
      <c r="A79" s="5"/>
      <c r="B79" s="25"/>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row>
    <row r="80" spans="1:35">
      <c r="A80" s="5"/>
      <c r="B80" s="25"/>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row>
    <row r="81" spans="1:35">
      <c r="A81" s="5"/>
      <c r="B81" s="25"/>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row>
    <row r="82" spans="1:35">
      <c r="A82" s="5"/>
      <c r="B82" s="2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row>
    <row r="83" spans="1:35">
      <c r="A83" s="5"/>
      <c r="B83" s="2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row>
    <row r="84" spans="1:35">
      <c r="A84" s="5"/>
      <c r="B84" s="2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row>
    <row r="85" spans="1:35">
      <c r="A85" s="5"/>
      <c r="B85" s="2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row>
    <row r="86" spans="1:35">
      <c r="A86" s="5"/>
      <c r="B86" s="2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row>
    <row r="87" spans="1:35">
      <c r="A87" s="5"/>
      <c r="B87" s="2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row>
    <row r="88" spans="1:35">
      <c r="A88" s="5"/>
      <c r="B88" s="2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row>
    <row r="89" spans="1:35">
      <c r="A89" s="5"/>
      <c r="B89" s="2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row>
    <row r="90" spans="1:35">
      <c r="A90" s="13"/>
      <c r="B90" s="2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row>
    <row r="91" spans="1:35">
      <c r="A91" s="15"/>
      <c r="B91" s="2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row>
    <row r="92" spans="1:35">
      <c r="A92" s="5"/>
      <c r="B92" s="2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row>
    <row r="93" spans="1:35">
      <c r="A93" s="5"/>
      <c r="B93" s="2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row>
    <row r="94" spans="1:35">
      <c r="A94" s="5"/>
      <c r="B94" s="2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row>
    <row r="95" spans="1:35">
      <c r="A95" s="12"/>
    </row>
    <row r="96" spans="1:35">
      <c r="A96" s="5"/>
      <c r="B96" s="2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row>
    <row r="97" spans="1:35">
      <c r="A97" s="5"/>
      <c r="B97" s="2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row>
    <row r="98" spans="1:35">
      <c r="A98" s="5"/>
      <c r="B98" s="2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row>
    <row r="99" spans="1:35">
      <c r="A99" s="5"/>
      <c r="B99" s="2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row>
    <row r="100" spans="1:35">
      <c r="A100" s="5"/>
      <c r="B100" s="2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row>
    <row r="101" spans="1:35">
      <c r="A101" s="5"/>
      <c r="B101" s="2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row>
    <row r="102" spans="1:35">
      <c r="A102" s="5"/>
      <c r="B102" s="2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row>
    <row r="103" spans="1:35">
      <c r="A103" s="5"/>
      <c r="B103" s="2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row>
    <row r="104" spans="1:35">
      <c r="A104" s="5"/>
      <c r="B104" s="2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row>
    <row r="105" spans="1:35">
      <c r="A105" s="5"/>
      <c r="B105" s="2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row>
    <row r="106" spans="1:35">
      <c r="A106" s="5"/>
      <c r="B106" s="2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row>
    <row r="107" spans="1:35">
      <c r="A107" s="7"/>
      <c r="B107" s="27"/>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row>
    <row r="108" spans="1:35">
      <c r="A108" s="1"/>
    </row>
    <row r="109" spans="1:35">
      <c r="A109" s="4"/>
      <c r="B109" s="28"/>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row>
    <row r="110" spans="1:35">
      <c r="A110" s="4"/>
      <c r="B110" s="2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35">
      <c r="A111" s="4"/>
      <c r="B111" s="2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35">
      <c r="A112" s="4"/>
      <c r="B112" s="2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row>
    <row r="113" spans="1:35">
      <c r="A113" s="1"/>
    </row>
    <row r="114" spans="1:35">
      <c r="A114" s="5"/>
      <c r="B114" s="2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row>
    <row r="115" spans="1:35">
      <c r="A115" s="5"/>
      <c r="B115" s="2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row>
    <row r="116" spans="1:35">
      <c r="A116" s="5"/>
      <c r="B116" s="2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row>
    <row r="117" spans="1:35">
      <c r="A117" s="5"/>
      <c r="B117" s="2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row>
    <row r="118" spans="1:35">
      <c r="A118" s="5"/>
      <c r="B118" s="2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row>
    <row r="119" spans="1:35">
      <c r="A119" s="5"/>
      <c r="B119" s="2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row>
    <row r="120" spans="1:35">
      <c r="A120" s="5"/>
      <c r="B120" s="2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row>
    <row r="121" spans="1:35">
      <c r="A121" s="5"/>
      <c r="B121" s="2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row>
    <row r="122" spans="1:35">
      <c r="A122" s="5"/>
      <c r="B122" s="2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row>
    <row r="123" spans="1:35">
      <c r="A123" s="5"/>
      <c r="B123" s="2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row>
    <row r="124" spans="1:35">
      <c r="A124" s="7"/>
      <c r="B124" s="27"/>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row>
    <row r="125" spans="1:35">
      <c r="A125" s="1"/>
    </row>
    <row r="126" spans="1:35">
      <c r="A126" s="15"/>
      <c r="B126" s="26"/>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row>
    <row r="127" spans="1:35">
      <c r="A127" s="5"/>
      <c r="B127" s="26"/>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row>
    <row r="128" spans="1:35">
      <c r="A128" s="5"/>
      <c r="B128" s="26"/>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row>
    <row r="129" spans="1:35">
      <c r="A129" s="5"/>
      <c r="B129" s="26"/>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row>
    <row r="130" spans="1:35">
      <c r="A130" s="5"/>
      <c r="B130" s="26"/>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row>
    <row r="131" spans="1:35">
      <c r="A131" s="5"/>
      <c r="B131" s="26"/>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row>
    <row r="132" spans="1:35">
      <c r="A132" s="5"/>
      <c r="B132" s="26"/>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row>
    <row r="133" spans="1:35">
      <c r="A133" s="5"/>
      <c r="B133" s="26"/>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row>
    <row r="134" spans="1:35">
      <c r="A134" s="5"/>
      <c r="B134" s="26"/>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row>
    <row r="135" spans="1:35">
      <c r="A135" s="5"/>
      <c r="B135" s="26"/>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row>
    <row r="136" spans="1:35">
      <c r="A136" s="5"/>
      <c r="B136" s="26"/>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row>
    <row r="137" spans="1:35">
      <c r="A137" s="5"/>
      <c r="B137" s="26"/>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row>
    <row r="138" spans="1:35">
      <c r="A138" s="5"/>
      <c r="B138" s="26"/>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row>
    <row r="139" spans="1:35">
      <c r="A139" s="5"/>
      <c r="B139" s="26"/>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row>
    <row r="140" spans="1:35">
      <c r="A140" s="5"/>
      <c r="B140" s="26"/>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row>
    <row r="141" spans="1:35">
      <c r="A141" s="5"/>
      <c r="B141" s="26"/>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row>
    <row r="142" spans="1:35">
      <c r="A142" s="5"/>
      <c r="B142" s="26"/>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row>
    <row r="143" spans="1:35">
      <c r="A143" s="5"/>
      <c r="B143" s="26"/>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row>
    <row r="144" spans="1:35">
      <c r="A144" s="5"/>
      <c r="B144" s="26"/>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row>
    <row r="145" spans="1:35">
      <c r="A145" s="5"/>
      <c r="B145" s="26"/>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row>
    <row r="146" spans="1:35">
      <c r="A146" s="7"/>
      <c r="B146" s="27"/>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row>
    <row r="147" spans="1:35">
      <c r="A147" s="5"/>
      <c r="B147" s="26"/>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row>
    <row r="148" spans="1:35">
      <c r="A148" s="7"/>
      <c r="B148" s="27"/>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row>
    <row r="150" spans="1:35">
      <c r="C150" s="20"/>
      <c r="D150" s="20"/>
      <c r="E150" s="20"/>
      <c r="F150" s="20"/>
      <c r="G150" s="20"/>
      <c r="H150" s="20"/>
      <c r="I150" s="20"/>
      <c r="J150" s="20"/>
      <c r="K150" s="20"/>
      <c r="L150" s="20"/>
    </row>
    <row r="151" spans="1:35">
      <c r="C151" s="20"/>
      <c r="D151" s="20"/>
      <c r="E151" s="20"/>
      <c r="F151" s="20"/>
      <c r="G151" s="20"/>
      <c r="H151" s="20"/>
      <c r="I151" s="20"/>
      <c r="J151" s="20"/>
      <c r="K151" s="20"/>
      <c r="L151" s="20"/>
    </row>
  </sheetData>
  <phoneticPr fontId="37" type="noConversion"/>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28"/>
  <sheetViews>
    <sheetView zoomScale="55" zoomScaleNormal="55" workbookViewId="0">
      <pane xSplit="1" ySplit="1" topLeftCell="B2" activePane="bottomRight" state="frozen"/>
      <selection pane="topRight" activeCell="B1" sqref="B1"/>
      <selection pane="bottomLeft" activeCell="A2" sqref="A2"/>
      <selection pane="bottomRight" activeCell="AF26" sqref="A1:AF26"/>
    </sheetView>
  </sheetViews>
  <sheetFormatPr defaultColWidth="9.125" defaultRowHeight="16.5"/>
  <cols>
    <col min="1" max="1" width="39.875" customWidth="1"/>
  </cols>
  <sheetData>
    <row r="1" spans="1:35">
      <c r="A1" s="24" t="s">
        <v>27</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c r="A2" t="s">
        <v>2</v>
      </c>
      <c r="B2" s="16">
        <f>'2019 KESIS Energy Balance'!BI51*(1+'KEEI BAU - Industry'!$AW$51)</f>
        <v>0</v>
      </c>
      <c r="C2" s="16">
        <f>B2*(1+'KEEI BAU - Industry'!$AW$51)</f>
        <v>0</v>
      </c>
      <c r="D2" s="16">
        <f>C2*(1+'KEEI BAU - Industry'!$AW$51)</f>
        <v>0</v>
      </c>
      <c r="E2" s="16">
        <f>D2*(1+'KEEI BAU - Industry'!$AW$51)</f>
        <v>0</v>
      </c>
      <c r="F2" s="16">
        <f>E2*(1+'KEEI BAU - Industry'!$AW$51)</f>
        <v>0</v>
      </c>
      <c r="G2" s="16">
        <f>F2*(1+'KEEI BAU - Industry'!$AW$51)</f>
        <v>0</v>
      </c>
      <c r="H2" s="16">
        <f>G2*(1+'KEEI BAU - Industry'!$AW$51)</f>
        <v>0</v>
      </c>
      <c r="I2" s="16">
        <f>H2*(1+'KEEI BAU - Industry'!$AW$51)</f>
        <v>0</v>
      </c>
      <c r="J2" s="16">
        <f>I2*(1+'KEEI BAU - Industry'!$AW$51)</f>
        <v>0</v>
      </c>
      <c r="K2" s="16">
        <f>J2*(1+'KEEI BAU - Industry'!$AW$51)</f>
        <v>0</v>
      </c>
      <c r="L2" s="16">
        <f>K2*(1+'KEEI BAU - Industry'!$AW$51)</f>
        <v>0</v>
      </c>
      <c r="M2" s="16">
        <f>L2*(1+'KEEI BAU - Industry'!$AW$51)</f>
        <v>0</v>
      </c>
      <c r="N2" s="16">
        <f>M2*(1+'KEEI BAU - Industry'!$AW$51)</f>
        <v>0</v>
      </c>
      <c r="O2" s="16">
        <f>N2*(1+'KEEI BAU - Industry'!$AW$51)</f>
        <v>0</v>
      </c>
      <c r="P2" s="16">
        <f>O2*(1+'KEEI BAU - Industry'!$AW$51)</f>
        <v>0</v>
      </c>
      <c r="Q2" s="16">
        <f>P2*(1+'KEEI BAU - Industry'!$AW$51)</f>
        <v>0</v>
      </c>
      <c r="R2" s="16">
        <f>Q2*(1+'KEEI BAU - Industry'!$AW$51)</f>
        <v>0</v>
      </c>
      <c r="S2" s="16">
        <f>R2*(1+'KEEI BAU - Industry'!$AW$51)</f>
        <v>0</v>
      </c>
      <c r="T2" s="16">
        <f>S2*(1+'KEEI BAU - Industry'!$AW$51)</f>
        <v>0</v>
      </c>
      <c r="U2" s="16">
        <f>T2*(1+'KEEI BAU - Industry'!$AW$51)</f>
        <v>0</v>
      </c>
      <c r="V2" s="16">
        <f>U2*(1+'KEEI BAU - Industry'!$AW$51)</f>
        <v>0</v>
      </c>
      <c r="W2" s="16">
        <f>V2*(1+'KEEI BAU - Industry'!$AW$51)</f>
        <v>0</v>
      </c>
      <c r="X2" s="16">
        <f>W2*(1+'KEEI BAU - Industry'!$AW$51)</f>
        <v>0</v>
      </c>
      <c r="Y2" s="16">
        <f>X2*(1+'KEEI BAU - Industry'!$AW$51)</f>
        <v>0</v>
      </c>
      <c r="Z2" s="16">
        <f>Y2*(1+'KEEI BAU - Industry'!$AW$51)</f>
        <v>0</v>
      </c>
      <c r="AA2" s="16">
        <f>Z2*(1+'KEEI BAU - Industry'!$AW$51)</f>
        <v>0</v>
      </c>
      <c r="AB2" s="16">
        <f>AA2*(1+'KEEI BAU - Industry'!$AW$51)</f>
        <v>0</v>
      </c>
      <c r="AC2" s="16">
        <f>AB2*(1+'KEEI BAU - Industry'!$AW$51)</f>
        <v>0</v>
      </c>
      <c r="AD2" s="16">
        <f>AC2*(1+'KEEI BAU - Industry'!$AW$51)</f>
        <v>0</v>
      </c>
      <c r="AE2" s="16">
        <f>AD2*(1+'KEEI BAU - Industry'!$AW$51)</f>
        <v>0</v>
      </c>
      <c r="AF2" s="16">
        <f>AE2*(1+'KEEI BAU - Industry'!$AW$51)</f>
        <v>0</v>
      </c>
    </row>
    <row r="3" spans="1:35">
      <c r="A3" t="s">
        <v>3</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c r="AC3" s="16">
        <v>0</v>
      </c>
      <c r="AD3" s="16">
        <v>0</v>
      </c>
      <c r="AE3" s="16">
        <v>0</v>
      </c>
      <c r="AF3" s="16">
        <v>0</v>
      </c>
    </row>
    <row r="4" spans="1:35">
      <c r="A4" t="s">
        <v>4</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c r="AC4" s="16">
        <v>0</v>
      </c>
      <c r="AD4" s="16">
        <v>0</v>
      </c>
      <c r="AE4" s="16">
        <v>0</v>
      </c>
      <c r="AF4" s="16">
        <v>0</v>
      </c>
    </row>
    <row r="5" spans="1:35">
      <c r="A5" t="s">
        <v>5</v>
      </c>
      <c r="B5" s="16">
        <f>'2019 KESIS Energy Balance'!BI53*(1+'KEEI BAU - Industry'!$AW$51)</f>
        <v>0</v>
      </c>
      <c r="C5" s="16">
        <f>B5*(1+'KEEI BAU - Industry'!$AW$51)</f>
        <v>0</v>
      </c>
      <c r="D5" s="16">
        <f>C5*(1+'KEEI BAU - Industry'!$AW$51)</f>
        <v>0</v>
      </c>
      <c r="E5" s="16">
        <f>D5*(1+'KEEI BAU - Industry'!$AW$51)</f>
        <v>0</v>
      </c>
      <c r="F5" s="16">
        <f>E5*(1+'KEEI BAU - Industry'!$AW$51)</f>
        <v>0</v>
      </c>
      <c r="G5" s="16">
        <f>F5*(1+'KEEI BAU - Industry'!$AW$51)</f>
        <v>0</v>
      </c>
      <c r="H5" s="16">
        <f>G5*(1+'KEEI BAU - Industry'!$AW$51)</f>
        <v>0</v>
      </c>
      <c r="I5" s="16">
        <f>H5*(1+'KEEI BAU - Industry'!$AW$51)</f>
        <v>0</v>
      </c>
      <c r="J5" s="16">
        <f>I5*(1+'KEEI BAU - Industry'!$AW$51)</f>
        <v>0</v>
      </c>
      <c r="K5" s="16">
        <f>J5*(1+'KEEI BAU - Industry'!$AW$51)</f>
        <v>0</v>
      </c>
      <c r="L5" s="16">
        <f>K5*(1+'KEEI BAU - Industry'!$AW$51)</f>
        <v>0</v>
      </c>
      <c r="M5" s="16">
        <f>L5*(1+'KEEI BAU - Industry'!$AW$51)</f>
        <v>0</v>
      </c>
      <c r="N5" s="16">
        <f>M5*(1+'KEEI BAU - Industry'!$AW$51)</f>
        <v>0</v>
      </c>
      <c r="O5" s="16">
        <f>N5*(1+'KEEI BAU - Industry'!$AW$51)</f>
        <v>0</v>
      </c>
      <c r="P5" s="16">
        <f>O5*(1+'KEEI BAU - Industry'!$AW$51)</f>
        <v>0</v>
      </c>
      <c r="Q5" s="16">
        <f>P5*(1+'KEEI BAU - Industry'!$AW$51)</f>
        <v>0</v>
      </c>
      <c r="R5" s="16">
        <f>Q5*(1+'KEEI BAU - Industry'!$AW$51)</f>
        <v>0</v>
      </c>
      <c r="S5" s="16">
        <f>R5*(1+'KEEI BAU - Industry'!$AW$51)</f>
        <v>0</v>
      </c>
      <c r="T5" s="16">
        <f>S5*(1+'KEEI BAU - Industry'!$AW$51)</f>
        <v>0</v>
      </c>
      <c r="U5" s="16">
        <f>T5*(1+'KEEI BAU - Industry'!$AW$51)</f>
        <v>0</v>
      </c>
      <c r="V5" s="16">
        <f>U5*(1+'KEEI BAU - Industry'!$AW$51)</f>
        <v>0</v>
      </c>
      <c r="W5" s="16">
        <f>V5*(1+'KEEI BAU - Industry'!$AW$51)</f>
        <v>0</v>
      </c>
      <c r="X5" s="16">
        <f>W5*(1+'KEEI BAU - Industry'!$AW$51)</f>
        <v>0</v>
      </c>
      <c r="Y5" s="16">
        <f>X5*(1+'KEEI BAU - Industry'!$AW$51)</f>
        <v>0</v>
      </c>
      <c r="Z5" s="16">
        <f>Y5*(1+'KEEI BAU - Industry'!$AW$51)</f>
        <v>0</v>
      </c>
      <c r="AA5" s="16">
        <f>Z5*(1+'KEEI BAU - Industry'!$AW$51)</f>
        <v>0</v>
      </c>
      <c r="AB5" s="16">
        <f>AA5*(1+'KEEI BAU - Industry'!$AW$51)</f>
        <v>0</v>
      </c>
      <c r="AC5" s="16">
        <f>AB5*(1+'KEEI BAU - Industry'!$AW$51)</f>
        <v>0</v>
      </c>
      <c r="AD5" s="16">
        <f>AC5*(1+'KEEI BAU - Industry'!$AW$51)</f>
        <v>0</v>
      </c>
      <c r="AE5" s="16">
        <f>AD5*(1+'KEEI BAU - Industry'!$AW$51)</f>
        <v>0</v>
      </c>
      <c r="AF5" s="16">
        <f>AE5*(1+'KEEI BAU - Industry'!$AW$51)</f>
        <v>0</v>
      </c>
    </row>
    <row r="6" spans="1:35">
      <c r="A6" t="s">
        <v>6</v>
      </c>
      <c r="B6" s="16">
        <f>'2019 KESIS Energy Balance'!BI55*(1+'KEEI BAU - Industry'!$AW$51)</f>
        <v>136.05075463216477</v>
      </c>
      <c r="C6" s="16">
        <f>B6*(1+'KEEI BAU - Industry'!$AW$51)</f>
        <v>138.14423449672361</v>
      </c>
      <c r="D6" s="16">
        <f>C6*(1+'KEEI BAU - Industry'!$AW$51)</f>
        <v>140.26992776542832</v>
      </c>
      <c r="E6" s="16">
        <f>D6*(1+'KEEI BAU - Industry'!$AW$51)</f>
        <v>142.42833012176942</v>
      </c>
      <c r="F6" s="16">
        <f>E6*(1+'KEEI BAU - Industry'!$AW$51)</f>
        <v>144.6199448765631</v>
      </c>
      <c r="G6" s="16">
        <f>F6*(1+'KEEI BAU - Industry'!$AW$51)</f>
        <v>146.84528308531654</v>
      </c>
      <c r="H6" s="16">
        <f>G6*(1+'KEEI BAU - Industry'!$AW$51)</f>
        <v>149.10486366739937</v>
      </c>
      <c r="I6" s="16">
        <f>H6*(1+'KEEI BAU - Industry'!$AW$51)</f>
        <v>151.39921352704872</v>
      </c>
      <c r="J6" s="16">
        <f>I6*(1+'KEEI BAU - Industry'!$AW$51)</f>
        <v>153.72886767623629</v>
      </c>
      <c r="K6" s="16">
        <f>J6*(1+'KEEI BAU - Industry'!$AW$51)</f>
        <v>156.09436935942614</v>
      </c>
      <c r="L6" s="16">
        <f>K6*(1+'KEEI BAU - Industry'!$AW$51)</f>
        <v>158.49627018025197</v>
      </c>
      <c r="M6" s="16">
        <f>L6*(1+'KEEI BAU - Industry'!$AW$51)</f>
        <v>160.9351302301439</v>
      </c>
      <c r="N6" s="16">
        <f>M6*(1+'KEEI BAU - Industry'!$AW$51)</f>
        <v>163.4115182189343</v>
      </c>
      <c r="O6" s="16">
        <f>N6*(1+'KEEI BAU - Industry'!$AW$51)</f>
        <v>165.92601160747338</v>
      </c>
      <c r="P6" s="16">
        <f>O6*(1+'KEEI BAU - Industry'!$AW$51)</f>
        <v>168.47919674228544</v>
      </c>
      <c r="Q6" s="16">
        <f>P6*(1+'KEEI BAU - Industry'!$AW$51)</f>
        <v>171.07166899229705</v>
      </c>
      <c r="R6" s="16">
        <f>Q6*(1+'KEEI BAU - Industry'!$AW$51)</f>
        <v>173.70403288766923</v>
      </c>
      <c r="S6" s="16">
        <f>R6*(1+'KEEI BAU - Industry'!$AW$51)</f>
        <v>176.37690226076592</v>
      </c>
      <c r="T6" s="16">
        <f>S6*(1+'KEEI BAU - Industry'!$AW$51)</f>
        <v>179.09090038929142</v>
      </c>
      <c r="U6" s="16">
        <f>T6*(1+'KEEI BAU - Industry'!$AW$51)</f>
        <v>181.84666014163062</v>
      </c>
      <c r="V6" s="16">
        <f>U6*(1+'KEEI BAU - Industry'!$AW$51)</f>
        <v>184.64482412442544</v>
      </c>
      <c r="W6" s="16">
        <f>V6*(1+'KEEI BAU - Industry'!$AW$51)</f>
        <v>187.48604483242221</v>
      </c>
      <c r="X6" s="16">
        <f>W6*(1+'KEEI BAU - Industry'!$AW$51)</f>
        <v>190.3709848006248</v>
      </c>
      <c r="Y6" s="16">
        <f>X6*(1+'KEEI BAU - Industry'!$AW$51)</f>
        <v>193.30031675878894</v>
      </c>
      <c r="Z6" s="16">
        <f>Y6*(1+'KEEI BAU - Industry'!$AW$51)</f>
        <v>196.27472378829395</v>
      </c>
      <c r="AA6" s="16">
        <f>Z6*(1+'KEEI BAU - Industry'!$AW$51)</f>
        <v>199.29489948142827</v>
      </c>
      <c r="AB6" s="16">
        <f>AA6*(1+'KEEI BAU - Industry'!$AW$51)</f>
        <v>202.3615481031259</v>
      </c>
      <c r="AC6" s="16">
        <f>AB6*(1+'KEEI BAU - Industry'!$AW$51)</f>
        <v>205.47538475519175</v>
      </c>
      <c r="AD6" s="16">
        <f>AC6*(1+'KEEI BAU - Industry'!$AW$51)</f>
        <v>208.63713554305383</v>
      </c>
      <c r="AE6" s="16">
        <f>AD6*(1+'KEEI BAU - Industry'!$AW$51)</f>
        <v>211.84753774508144</v>
      </c>
      <c r="AF6" s="16">
        <f>AE6*(1+'KEEI BAU - Industry'!$AW$51)</f>
        <v>215.10733998450871</v>
      </c>
    </row>
    <row r="7" spans="1:35">
      <c r="A7" t="s">
        <v>7</v>
      </c>
      <c r="B7" s="16">
        <f>'2019 KESIS Energy Balance'!BI56*(1+'KEEI BAU - Industry'!$AW$51)</f>
        <v>256.94075862500199</v>
      </c>
      <c r="C7" s="16">
        <f>B7*(1+'KEEI BAU - Industry'!$AW$51)</f>
        <v>260.89443242872488</v>
      </c>
      <c r="D7" s="16">
        <f>C7*(1+'KEEI BAU - Industry'!$AW$51)</f>
        <v>264.90894335548694</v>
      </c>
      <c r="E7" s="16">
        <f>D7*(1+'KEEI BAU - Industry'!$AW$51)</f>
        <v>268.98522753601702</v>
      </c>
      <c r="F7" s="16">
        <f>E7*(1+'KEEI BAU - Industry'!$AW$51)</f>
        <v>273.12423550574795</v>
      </c>
      <c r="G7" s="16">
        <f>F7*(1+'KEEI BAU - Industry'!$AW$51)</f>
        <v>277.32693242646855</v>
      </c>
      <c r="H7" s="16">
        <f>G7*(1+'KEEI BAU - Industry'!$AW$51)</f>
        <v>281.59429831138681</v>
      </c>
      <c r="I7" s="16">
        <f>H7*(1+'KEEI BAU - Industry'!$AW$51)</f>
        <v>285.92732825365584</v>
      </c>
      <c r="J7" s="16">
        <f>I7*(1+'KEEI BAU - Industry'!$AW$51)</f>
        <v>290.32703265841644</v>
      </c>
      <c r="K7" s="16">
        <f>J7*(1+'KEEI BAU - Industry'!$AW$51)</f>
        <v>294.79443747841015</v>
      </c>
      <c r="L7" s="16">
        <f>K7*(1+'KEEI BAU - Industry'!$AW$51)</f>
        <v>299.33058445321791</v>
      </c>
      <c r="M7" s="16">
        <f>L7*(1+'KEEI BAU - Industry'!$AW$51)</f>
        <v>303.93653135217983</v>
      </c>
      <c r="N7" s="16">
        <f>M7*(1+'KEEI BAU - Industry'!$AW$51)</f>
        <v>308.61335222105299</v>
      </c>
      <c r="O7" s="16">
        <f>N7*(1+'KEEI BAU - Industry'!$AW$51)</f>
        <v>313.36213763246474</v>
      </c>
      <c r="P7" s="16">
        <f>O7*(1+'KEEI BAU - Industry'!$AW$51)</f>
        <v>318.18399494021975</v>
      </c>
      <c r="Q7" s="16">
        <f>P7*(1+'KEEI BAU - Industry'!$AW$51)</f>
        <v>323.08004853752016</v>
      </c>
      <c r="R7" s="16">
        <f>Q7*(1+'KEEI BAU - Industry'!$AW$51)</f>
        <v>328.05144011915928</v>
      </c>
      <c r="S7" s="16">
        <f>R7*(1+'KEEI BAU - Industry'!$AW$51)</f>
        <v>333.09932894774965</v>
      </c>
      <c r="T7" s="16">
        <f>S7*(1+'KEEI BAU - Industry'!$AW$51)</f>
        <v>338.22489212404764</v>
      </c>
      <c r="U7" s="16">
        <f>T7*(1+'KEEI BAU - Industry'!$AW$51)</f>
        <v>343.42932486143786</v>
      </c>
      <c r="V7" s="16">
        <f>U7*(1+'KEEI BAU - Industry'!$AW$51)</f>
        <v>348.71384076464096</v>
      </c>
      <c r="W7" s="16">
        <f>V7*(1+'KEEI BAU - Industry'!$AW$51)</f>
        <v>354.07967211271028</v>
      </c>
      <c r="X7" s="16">
        <f>W7*(1+'KEEI BAU - Industry'!$AW$51)</f>
        <v>359.5280701463829</v>
      </c>
      <c r="Y7" s="16">
        <f>X7*(1+'KEEI BAU - Industry'!$AW$51)</f>
        <v>365.06030535985235</v>
      </c>
      <c r="Z7" s="16">
        <f>Y7*(1+'KEEI BAU - Industry'!$AW$51)</f>
        <v>370.67766779703118</v>
      </c>
      <c r="AA7" s="16">
        <f>Z7*(1+'KEEI BAU - Industry'!$AW$51)</f>
        <v>376.38146735237194</v>
      </c>
      <c r="AB7" s="16">
        <f>AA7*(1+'KEEI BAU - Industry'!$AW$51)</f>
        <v>382.17303407631732</v>
      </c>
      <c r="AC7" s="16">
        <f>AB7*(1+'KEEI BAU - Industry'!$AW$51)</f>
        <v>388.05371848545019</v>
      </c>
      <c r="AD7" s="16">
        <f>AC7*(1+'KEEI BAU - Industry'!$AW$51)</f>
        <v>394.02489187741622</v>
      </c>
      <c r="AE7" s="16">
        <f>AD7*(1+'KEEI BAU - Industry'!$AW$51)</f>
        <v>400.08794665069223</v>
      </c>
      <c r="AF7" s="16">
        <f>AE7*(1+'KEEI BAU - Industry'!$AW$51)</f>
        <v>406.2442966292752</v>
      </c>
    </row>
    <row r="8" spans="1:35">
      <c r="A8" t="s">
        <v>8</v>
      </c>
      <c r="B8" s="16">
        <f>'2019 KESIS Energy Balance'!BI57*(1+'KEEI BAU - Industry'!$AW$51)</f>
        <v>8.8765174528833288</v>
      </c>
      <c r="C8" s="16">
        <f>B8*(1+'KEEI BAU - Industry'!$AW$51)</f>
        <v>9.0131047919632046</v>
      </c>
      <c r="D8" s="16">
        <f>C8*(1+'KEEI BAU - Industry'!$AW$51)</f>
        <v>9.1517938675964015</v>
      </c>
      <c r="E8" s="16">
        <f>D8*(1+'KEEI BAU - Industry'!$AW$51)</f>
        <v>9.292617020236797</v>
      </c>
      <c r="F8" s="16">
        <f>E8*(1+'KEEI BAU - Industry'!$AW$51)</f>
        <v>9.4356070879767326</v>
      </c>
      <c r="G8" s="16">
        <f>F8*(1+'KEEI BAU - Industry'!$AW$51)</f>
        <v>9.5807974142044277</v>
      </c>
      <c r="H8" s="16">
        <f>G8*(1+'KEEI BAU - Industry'!$AW$51)</f>
        <v>9.7282218553792106</v>
      </c>
      <c r="I8" s="16">
        <f>H8*(1+'KEEI BAU - Industry'!$AW$51)</f>
        <v>9.8779147889264003</v>
      </c>
      <c r="J8" s="16">
        <f>I8*(1+'KEEI BAU - Industry'!$AW$51)</f>
        <v>10.029911121253663</v>
      </c>
      <c r="K8" s="16">
        <f>J8*(1+'KEEI BAU - Industry'!$AW$51)</f>
        <v>10.184246295890727</v>
      </c>
      <c r="L8" s="16">
        <f>K8*(1+'KEEI BAU - Industry'!$AW$51)</f>
        <v>10.340956301754339</v>
      </c>
      <c r="M8" s="16">
        <f>L8*(1+'KEEI BAU - Industry'!$AW$51)</f>
        <v>10.500077681540406</v>
      </c>
      <c r="N8" s="16">
        <f>M8*(1+'KEEI BAU - Industry'!$AW$51)</f>
        <v>10.661647540245268</v>
      </c>
      <c r="O8" s="16">
        <f>N8*(1+'KEEI BAU - Industry'!$AW$51)</f>
        <v>10.825703553818087</v>
      </c>
      <c r="P8" s="16">
        <f>O8*(1+'KEEI BAU - Industry'!$AW$51)</f>
        <v>10.992283977946387</v>
      </c>
      <c r="Q8" s="16">
        <f>P8*(1+'KEEI BAU - Industry'!$AW$51)</f>
        <v>11.161427656976766</v>
      </c>
      <c r="R8" s="16">
        <f>Q8*(1+'KEEI BAU - Industry'!$AW$51)</f>
        <v>11.333174032972883</v>
      </c>
      <c r="S8" s="16">
        <f>R8*(1+'KEEI BAU - Industry'!$AW$51)</f>
        <v>11.507563154912827</v>
      </c>
      <c r="T8" s="16">
        <f>S8*(1+'KEEI BAU - Industry'!$AW$51)</f>
        <v>11.684635688028008</v>
      </c>
      <c r="U8" s="16">
        <f>T8*(1+'KEEI BAU - Industry'!$AW$51)</f>
        <v>11.864432923285749</v>
      </c>
      <c r="V8" s="16">
        <f>U8*(1+'KEEI BAU - Industry'!$AW$51)</f>
        <v>12.04699678701779</v>
      </c>
      <c r="W8" s="16">
        <f>V8*(1+'KEEI BAU - Industry'!$AW$51)</f>
        <v>12.232369850696957</v>
      </c>
      <c r="X8" s="16">
        <f>W8*(1+'KEEI BAU - Industry'!$AW$51)</f>
        <v>12.420595340864262</v>
      </c>
      <c r="Y8" s="16">
        <f>X8*(1+'KEEI BAU - Industry'!$AW$51)</f>
        <v>12.61171714920876</v>
      </c>
      <c r="Z8" s="16">
        <f>Y8*(1+'KEEI BAU - Industry'!$AW$51)</f>
        <v>12.805779842802508</v>
      </c>
      <c r="AA8" s="16">
        <f>Z8*(1+'KEEI BAU - Industry'!$AW$51)</f>
        <v>13.002828674493021</v>
      </c>
      <c r="AB8" s="16">
        <f>AA8*(1+'KEEI BAU - Industry'!$AW$51)</f>
        <v>13.202909593455628</v>
      </c>
      <c r="AC8" s="16">
        <f>AB8*(1+'KEEI BAU - Industry'!$AW$51)</f>
        <v>13.406069255908214</v>
      </c>
      <c r="AD8" s="16">
        <f>AC8*(1+'KEEI BAU - Industry'!$AW$51)</f>
        <v>13.612355035990834</v>
      </c>
      <c r="AE8" s="16">
        <f>AD8*(1+'KEEI BAU - Industry'!$AW$51)</f>
        <v>13.821815036812733</v>
      </c>
      <c r="AF8" s="16">
        <f>AE8*(1+'KEEI BAU - Industry'!$AW$51)</f>
        <v>14.03449810166935</v>
      </c>
    </row>
    <row r="9" spans="1:35">
      <c r="A9" t="s">
        <v>9</v>
      </c>
      <c r="B9" s="16">
        <f>'2019 KESIS Energy Balance'!BI58*(1+'KEEI BAU - Industry'!$AW$51)</f>
        <v>259.40713484246407</v>
      </c>
      <c r="C9" s="16">
        <f>B9*(1+'KEEI BAU - Industry'!$AW$51)</f>
        <v>263.39875998988691</v>
      </c>
      <c r="D9" s="16">
        <f>C9*(1+'KEEI BAU - Industry'!$AW$51)</f>
        <v>267.45180623633701</v>
      </c>
      <c r="E9" s="16">
        <f>D9*(1+'KEEI BAU - Industry'!$AW$51)</f>
        <v>271.56721869846893</v>
      </c>
      <c r="F9" s="16">
        <f>E9*(1+'KEEI BAU - Industry'!$AW$51)</f>
        <v>275.74595703591206</v>
      </c>
      <c r="G9" s="16">
        <f>F9*(1+'KEEI BAU - Industry'!$AW$51)</f>
        <v>279.98899567505032</v>
      </c>
      <c r="H9" s="16">
        <f>G9*(1+'KEEI BAU - Industry'!$AW$51)</f>
        <v>284.29732403624558</v>
      </c>
      <c r="I9" s="16">
        <f>H9*(1+'KEEI BAU - Industry'!$AW$51)</f>
        <v>288.67194676455739</v>
      </c>
      <c r="J9" s="16">
        <f>I9*(1+'KEEI BAU - Industry'!$AW$51)</f>
        <v>293.11388396401287</v>
      </c>
      <c r="K9" s="16">
        <f>J9*(1+'KEEI BAU - Industry'!$AW$51)</f>
        <v>297.62417143548146</v>
      </c>
      <c r="L9" s="16">
        <f>K9*(1+'KEEI BAU - Industry'!$AW$51)</f>
        <v>302.2038609182099</v>
      </c>
      <c r="M9" s="16">
        <f>L9*(1+'KEEI BAU - Industry'!$AW$51)</f>
        <v>306.85402033507393</v>
      </c>
      <c r="N9" s="16">
        <f>M9*(1+'KEEI BAU - Industry'!$AW$51)</f>
        <v>311.57573404160371</v>
      </c>
      <c r="O9" s="16">
        <f>N9*(1+'KEEI BAU - Industry'!$AW$51)</f>
        <v>316.37010307884117</v>
      </c>
      <c r="P9" s="16">
        <f>O9*(1+'KEEI BAU - Industry'!$AW$51)</f>
        <v>321.23824543008823</v>
      </c>
      <c r="Q9" s="16">
        <f>P9*(1+'KEEI BAU - Industry'!$AW$51)</f>
        <v>326.18129628160563</v>
      </c>
      <c r="R9" s="16">
        <f>Q9*(1+'KEEI BAU - Industry'!$AW$51)</f>
        <v>331.20040828732328</v>
      </c>
      <c r="S9" s="16">
        <f>R9*(1+'KEEI BAU - Industry'!$AW$51)</f>
        <v>336.29675183762402</v>
      </c>
      <c r="T9" s="16">
        <f>S9*(1+'KEEI BAU - Industry'!$AW$51)</f>
        <v>341.47151533226298</v>
      </c>
      <c r="U9" s="16">
        <f>T9*(1+'KEEI BAU - Industry'!$AW$51)</f>
        <v>346.72590545748676</v>
      </c>
      <c r="V9" s="16">
        <f>U9*(1+'KEEI BAU - Industry'!$AW$51)</f>
        <v>352.06114746741662</v>
      </c>
      <c r="W9" s="16">
        <f>V9*(1+'KEEI BAU - Industry'!$AW$51)</f>
        <v>357.47848546976149</v>
      </c>
      <c r="X9" s="16">
        <f>W9*(1+'KEEI BAU - Industry'!$AW$51)</f>
        <v>362.97918271592738</v>
      </c>
      <c r="Y9" s="16">
        <f>X9*(1+'KEEI BAU - Industry'!$AW$51)</f>
        <v>368.56452189559093</v>
      </c>
      <c r="Z9" s="16">
        <f>Y9*(1+'KEEI BAU - Industry'!$AW$51)</f>
        <v>374.23580543580562</v>
      </c>
      <c r="AA9" s="16">
        <f>Z9*(1+'KEEI BAU - Industry'!$AW$51)</f>
        <v>379.99435580471038</v>
      </c>
      <c r="AB9" s="16">
        <f>AA9*(1+'KEEI BAU - Industry'!$AW$51)</f>
        <v>385.84151581991182</v>
      </c>
      <c r="AC9" s="16">
        <f>AB9*(1+'KEEI BAU - Industry'!$AW$51)</f>
        <v>391.77864896161134</v>
      </c>
      <c r="AD9" s="16">
        <f>AC9*(1+'KEEI BAU - Industry'!$AW$51)</f>
        <v>397.80713969055068</v>
      </c>
      <c r="AE9" s="16">
        <f>AD9*(1+'KEEI BAU - Industry'!$AW$51)</f>
        <v>403.92839377084982</v>
      </c>
      <c r="AF9" s="16">
        <f>AE9*(1+'KEEI BAU - Industry'!$AW$51)</f>
        <v>410.14383859781265</v>
      </c>
    </row>
    <row r="10" spans="1:35">
      <c r="A10" t="s">
        <v>10</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c r="AC10" s="16">
        <v>0</v>
      </c>
      <c r="AD10" s="16">
        <v>0</v>
      </c>
      <c r="AE10" s="16">
        <v>0</v>
      </c>
      <c r="AF10" s="16">
        <v>0</v>
      </c>
    </row>
    <row r="11" spans="1:35">
      <c r="A11" t="s">
        <v>11</v>
      </c>
      <c r="B11" s="16">
        <f>'2019 KESIS Energy Balance'!BI59*(1+'KEEI BAU - Industry'!$AW$9)*'Petrochemicals Split'!$J$6</f>
        <v>1365.6492884908789</v>
      </c>
      <c r="C11" s="16">
        <f>B11*(1+'KEEI BAU - Industry'!$AW$9)</f>
        <v>1355.7474447257659</v>
      </c>
      <c r="D11" s="16">
        <f>C11*(1+'KEEI BAU - Industry'!$AW$9)</f>
        <v>1345.9173957550961</v>
      </c>
      <c r="E11" s="16">
        <f>D11*(1+'KEEI BAU - Industry'!$AW$9)</f>
        <v>1336.1586210200089</v>
      </c>
      <c r="F11" s="16">
        <f>E11*(1+'KEEI BAU - Industry'!$AW$9)</f>
        <v>1326.4706037360331</v>
      </c>
      <c r="G11" s="16">
        <f>F11*(1+'KEEI BAU - Industry'!$AW$9)</f>
        <v>1316.8528308657205</v>
      </c>
      <c r="H11" s="16">
        <f>G11*(1+'KEEI BAU - Industry'!$AW$9)</f>
        <v>1307.3047930914774</v>
      </c>
      <c r="I11" s="16">
        <f>H11*(1+'KEEI BAU - Industry'!$AW$9)</f>
        <v>1297.8259847885934</v>
      </c>
      <c r="J11" s="16">
        <f>I11*(1+'KEEI BAU - Industry'!$AW$9)</f>
        <v>1288.415903998465</v>
      </c>
      <c r="K11" s="16">
        <f>J11*(1+'KEEI BAU - Industry'!$AW$9)</f>
        <v>1279.0740524020148</v>
      </c>
      <c r="L11" s="16">
        <f>K11*(1+'KEEI BAU - Industry'!$AW$9)</f>
        <v>1269.799935293302</v>
      </c>
      <c r="M11" s="16">
        <f>L11*(1+'KEEI BAU - Industry'!$AW$9)</f>
        <v>1260.5930615533252</v>
      </c>
      <c r="N11" s="16">
        <f>M11*(1+'KEEI BAU - Industry'!$AW$9)</f>
        <v>1251.4529436240141</v>
      </c>
      <c r="O11" s="16">
        <f>N11*(1+'KEEI BAU - Industry'!$AW$9)</f>
        <v>1242.3790974824112</v>
      </c>
      <c r="P11" s="16">
        <f>O11*(1+'KEEI BAU - Industry'!$AW$9)</f>
        <v>1233.3710426150396</v>
      </c>
      <c r="Q11" s="16">
        <f>P11*(1+'KEEI BAU - Industry'!$AW$9)</f>
        <v>1224.4283019924569</v>
      </c>
      <c r="R11" s="16">
        <f>Q11*(1+'KEEI BAU - Industry'!$AW$9)</f>
        <v>1215.5504020439937</v>
      </c>
      <c r="S11" s="16">
        <f>R11*(1+'KEEI BAU - Industry'!$AW$9)</f>
        <v>1206.7368726326756</v>
      </c>
      <c r="T11" s="16">
        <f>S11*(1+'KEEI BAU - Industry'!$AW$9)</f>
        <v>1197.9872470303264</v>
      </c>
      <c r="U11" s="16">
        <f>T11*(1+'KEEI BAU - Industry'!$AW$9)</f>
        <v>1189.301061892852</v>
      </c>
      <c r="V11" s="16">
        <f>U11*(1+'KEEI BAU - Industry'!$AW$9)</f>
        <v>1180.6778572357036</v>
      </c>
      <c r="W11" s="16">
        <f>V11*(1+'KEEI BAU - Industry'!$AW$9)</f>
        <v>1172.1171764095193</v>
      </c>
      <c r="X11" s="16">
        <f>W11*(1+'KEEI BAU - Industry'!$AW$9)</f>
        <v>1163.6185660759411</v>
      </c>
      <c r="Y11" s="16">
        <f>X11*(1+'KEEI BAU - Industry'!$AW$9)</f>
        <v>1155.1815761836085</v>
      </c>
      <c r="Z11" s="16">
        <f>Y11*(1+'KEEI BAU - Industry'!$AW$9)</f>
        <v>1146.8057599443257</v>
      </c>
      <c r="AA11" s="16">
        <f>Z11*(1+'KEEI BAU - Industry'!$AW$9)</f>
        <v>1138.490673809401</v>
      </c>
      <c r="AB11" s="16">
        <f>AA11*(1+'KEEI BAU - Industry'!$AW$9)</f>
        <v>1130.2358774461586</v>
      </c>
      <c r="AC11" s="16">
        <f>AB11*(1+'KEEI BAU - Industry'!$AW$9)</f>
        <v>1122.0409337146209</v>
      </c>
      <c r="AD11" s="16">
        <f>AC11*(1+'KEEI BAU - Industry'!$AW$9)</f>
        <v>1113.9054086443584</v>
      </c>
      <c r="AE11" s="16">
        <f>AD11*(1+'KEEI BAU - Industry'!$AW$9)</f>
        <v>1105.8288714115092</v>
      </c>
      <c r="AF11" s="16">
        <f>AE11*(1+'KEEI BAU - Industry'!$AW$9)</f>
        <v>1097.8108943159637</v>
      </c>
    </row>
    <row r="12" spans="1:35">
      <c r="A12" t="s">
        <v>12</v>
      </c>
      <c r="B12" s="16">
        <f>'2019 KESIS Energy Balance'!BI59*(1+'KEEI BAU - Industry'!$AW$9)*'Petrochemicals Split'!$J$7</f>
        <v>975.02038486735148</v>
      </c>
      <c r="C12" s="16">
        <f>B12*(1+'KEEI BAU - Industry'!$AW$9)</f>
        <v>967.9508542051816</v>
      </c>
      <c r="D12" s="16">
        <f>C12*(1+'KEEI BAU - Industry'!$AW$9)</f>
        <v>960.93258222904433</v>
      </c>
      <c r="E12" s="16">
        <f>D12*(1+'KEEI BAU - Industry'!$AW$9)</f>
        <v>953.96519728019473</v>
      </c>
      <c r="F12" s="16">
        <f>E12*(1+'KEEI BAU - Industry'!$AW$9)</f>
        <v>947.04833039465484</v>
      </c>
      <c r="G12" s="16">
        <f>F12*(1+'KEEI BAU - Industry'!$AW$9)</f>
        <v>940.18161528367523</v>
      </c>
      <c r="H12" s="16">
        <f>G12*(1+'KEEI BAU - Industry'!$AW$9)</f>
        <v>933.3646883143374</v>
      </c>
      <c r="I12" s="16">
        <f>H12*(1+'KEEI BAU - Industry'!$AW$9)</f>
        <v>926.59718849029775</v>
      </c>
      <c r="J12" s="16">
        <f>I12*(1+'KEEI BAU - Industry'!$AW$9)</f>
        <v>919.87875743267034</v>
      </c>
      <c r="K12" s="16">
        <f>J12*(1+'KEEI BAU - Industry'!$AW$9)</f>
        <v>913.20903936104889</v>
      </c>
      <c r="L12" s="16">
        <f>K12*(1+'KEEI BAU - Industry'!$AW$9)</f>
        <v>906.58768107466597</v>
      </c>
      <c r="M12" s="16">
        <f>L12*(1+'KEEI BAU - Industry'!$AW$9)</f>
        <v>900.01433193368894</v>
      </c>
      <c r="N12" s="16">
        <f>M12*(1+'KEEI BAU - Industry'!$AW$9)</f>
        <v>893.48864384065155</v>
      </c>
      <c r="O12" s="16">
        <f>N12*(1+'KEEI BAU - Industry'!$AW$9)</f>
        <v>887.01027122202015</v>
      </c>
      <c r="P12" s="16">
        <f>O12*(1+'KEEI BAU - Industry'!$AW$9)</f>
        <v>880.57887100989342</v>
      </c>
      <c r="Q12" s="16">
        <f>P12*(1+'KEEI BAU - Industry'!$AW$9)</f>
        <v>874.19410262383519</v>
      </c>
      <c r="R12" s="16">
        <f>Q12*(1+'KEEI BAU - Industry'!$AW$9)</f>
        <v>867.85562795283829</v>
      </c>
      <c r="S12" s="16">
        <f>R12*(1+'KEEI BAU - Industry'!$AW$9)</f>
        <v>861.56311133741997</v>
      </c>
      <c r="T12" s="16">
        <f>S12*(1+'KEEI BAU - Industry'!$AW$9)</f>
        <v>855.31621955184664</v>
      </c>
      <c r="U12" s="16">
        <f>T12*(1+'KEEI BAU - Industry'!$AW$9)</f>
        <v>849.11462178648742</v>
      </c>
      <c r="V12" s="16">
        <f>U12*(1+'KEEI BAU - Industry'!$AW$9)</f>
        <v>842.95798963029608</v>
      </c>
      <c r="W12" s="16">
        <f>V12*(1+'KEEI BAU - Industry'!$AW$9)</f>
        <v>836.84599705341964</v>
      </c>
      <c r="X12" s="16">
        <f>W12*(1+'KEEI BAU - Industry'!$AW$9)</f>
        <v>830.77832038993313</v>
      </c>
      <c r="Y12" s="16">
        <f>X12*(1+'KEEI BAU - Industry'!$AW$9)</f>
        <v>824.75463832069954</v>
      </c>
      <c r="Z12" s="16">
        <f>Y12*(1+'KEEI BAU - Industry'!$AW$9)</f>
        <v>818.7746318563544</v>
      </c>
      <c r="AA12" s="16">
        <f>Z12*(1+'KEEI BAU - Industry'!$AW$9)</f>
        <v>812.83798432041306</v>
      </c>
      <c r="AB12" s="16">
        <f>AA12*(1+'KEEI BAU - Industry'!$AW$9)</f>
        <v>806.94438133250083</v>
      </c>
      <c r="AC12" s="16">
        <f>AB12*(1+'KEEI BAU - Industry'!$AW$9)</f>
        <v>801.09351079170494</v>
      </c>
      <c r="AD12" s="16">
        <f>AC12*(1+'KEEI BAU - Industry'!$AW$9)</f>
        <v>795.28506286004676</v>
      </c>
      <c r="AE12" s="16">
        <f>AD12*(1+'KEEI BAU - Industry'!$AW$9)</f>
        <v>789.51872994607413</v>
      </c>
      <c r="AF12" s="16">
        <f>AE12*(1+'KEEI BAU - Industry'!$AW$9)</f>
        <v>783.79420668857267</v>
      </c>
    </row>
    <row r="13" spans="1:35">
      <c r="A13" t="s">
        <v>13</v>
      </c>
      <c r="B13" s="16">
        <f>'2019 KESIS Energy Balance'!BI60*'Others Split'!$J$12*(1+'KEEI BAU - Industry'!$AW$51)</f>
        <v>7.9252755017212131E-6</v>
      </c>
      <c r="C13" s="16">
        <f>B13*(1+'KEEI BAU - Industry'!$AW$51)</f>
        <v>8.0472256131248021E-6</v>
      </c>
      <c r="D13" s="16">
        <f>C13*(1+'KEEI BAU - Industry'!$AW$51)</f>
        <v>8.1710522308615936E-6</v>
      </c>
      <c r="E13" s="16">
        <f>D13*(1+'KEEI BAU - Industry'!$AW$51)</f>
        <v>8.2967842296573079E-6</v>
      </c>
      <c r="F13" s="16">
        <f>E13*(1+'KEEI BAU - Industry'!$AW$51)</f>
        <v>8.4244509285472716E-6</v>
      </c>
      <c r="G13" s="16">
        <f>F13*(1+'KEEI BAU - Industry'!$AW$51)</f>
        <v>8.5540820977132252E-6</v>
      </c>
      <c r="H13" s="16">
        <f>G13*(1+'KEEI BAU - Industry'!$AW$51)</f>
        <v>8.6857079654253339E-6</v>
      </c>
      <c r="I13" s="16">
        <f>H13*(1+'KEEI BAU - Industry'!$AW$51)</f>
        <v>8.8193592250910234E-6</v>
      </c>
      <c r="J13" s="16">
        <f>I13*(1+'KEEI BAU - Industry'!$AW$51)</f>
        <v>8.9550670424122693E-6</v>
      </c>
      <c r="K13" s="16">
        <f>J13*(1+'KEEI BAU - Industry'!$AW$51)</f>
        <v>9.0928630626530309E-6</v>
      </c>
      <c r="L13" s="16">
        <f>K13*(1+'KEEI BAU - Industry'!$AW$51)</f>
        <v>9.2327794180185064E-6</v>
      </c>
      <c r="M13" s="16">
        <f>L13*(1+'KEEI BAU - Industry'!$AW$51)</f>
        <v>9.374848735147935E-6</v>
      </c>
      <c r="N13" s="16">
        <f>M13*(1+'KEEI BAU - Industry'!$AW$51)</f>
        <v>9.5191041427226996E-6</v>
      </c>
      <c r="O13" s="16">
        <f>N13*(1+'KEEI BAU - Industry'!$AW$51)</f>
        <v>9.665579279191494E-6</v>
      </c>
      <c r="P13" s="16">
        <f>O13*(1+'KEEI BAU - Industry'!$AW$51)</f>
        <v>9.8143083006143617E-6</v>
      </c>
      <c r="Q13" s="16">
        <f>P13*(1+'KEEI BAU - Industry'!$AW$51)</f>
        <v>9.965325888627443E-6</v>
      </c>
      <c r="R13" s="16">
        <f>Q13*(1+'KEEI BAU - Industry'!$AW$51)</f>
        <v>1.0118667258530263E-5</v>
      </c>
      <c r="S13" s="16">
        <f>R13*(1+'KEEI BAU - Industry'!$AW$51)</f>
        <v>1.0274368167497481E-5</v>
      </c>
      <c r="T13" s="16">
        <f>S13*(1+'KEEI BAU - Industry'!$AW$51)</f>
        <v>1.0432464922916986E-5</v>
      </c>
      <c r="U13" s="16">
        <f>T13*(1+'KEEI BAU - Industry'!$AW$51)</f>
        <v>1.0592994390856298E-5</v>
      </c>
      <c r="V13" s="16">
        <f>U13*(1+'KEEI BAU - Industry'!$AW$51)</f>
        <v>1.0755994004659246E-5</v>
      </c>
      <c r="W13" s="16">
        <f>V13*(1+'KEEI BAU - Industry'!$AW$51)</f>
        <v>1.092150177367493E-5</v>
      </c>
      <c r="X13" s="16">
        <f>W13*(1+'KEEI BAU - Industry'!$AW$51)</f>
        <v>1.1089556292120995E-5</v>
      </c>
      <c r="Y13" s="16">
        <f>X13*(1+'KEEI BAU - Industry'!$AW$51)</f>
        <v>1.1260196748083292E-5</v>
      </c>
      <c r="Z13" s="16">
        <f>Y13*(1+'KEEI BAU - Industry'!$AW$51)</f>
        <v>1.143346293265402E-5</v>
      </c>
      <c r="AA13" s="16">
        <f>Z13*(1+'KEEI BAU - Industry'!$AW$51)</f>
        <v>1.160939524921048E-5</v>
      </c>
      <c r="AB13" s="16">
        <f>AA13*(1+'KEEI BAU - Industry'!$AW$51)</f>
        <v>1.1788034722836609E-5</v>
      </c>
      <c r="AC13" s="16">
        <f>AB13*(1+'KEEI BAU - Industry'!$AW$51)</f>
        <v>1.1969423009889481E-5</v>
      </c>
      <c r="AD13" s="16">
        <f>AC13*(1+'KEEI BAU - Industry'!$AW$51)</f>
        <v>1.2153602407713026E-5</v>
      </c>
      <c r="AE13" s="16">
        <f>AD13*(1+'KEEI BAU - Industry'!$AW$51)</f>
        <v>1.2340615864501204E-5</v>
      </c>
      <c r="AF13" s="16">
        <f>AE13*(1+'KEEI BAU - Industry'!$AW$51)</f>
        <v>1.2530506989312952E-5</v>
      </c>
    </row>
    <row r="14" spans="1:35">
      <c r="A14" t="s">
        <v>14</v>
      </c>
      <c r="B14" s="16">
        <f>'2019 KESIS Energy Balance'!BI60*'Others Split'!$J$13*(1+'KEEI BAU - Industry'!$AW$51)</f>
        <v>1.6590243383603068E-4</v>
      </c>
      <c r="C14" s="16">
        <f>B14*(1+'KEEI BAU - Industry'!$AW$51)</f>
        <v>1.6845525616807915E-4</v>
      </c>
      <c r="D14" s="16">
        <f>C14*(1+'KEEI BAU - Industry'!$AW$51)</f>
        <v>1.7104736003270264E-4</v>
      </c>
      <c r="E14" s="16">
        <f>D14*(1+'KEEI BAU - Industry'!$AW$51)</f>
        <v>1.7367934987415961E-4</v>
      </c>
      <c r="F14" s="16">
        <f>E14*(1+'KEEI BAU - Industry'!$AW$51)</f>
        <v>1.7635183943758953E-4</v>
      </c>
      <c r="G14" s="16">
        <f>F14*(1+'KEEI BAU - Industry'!$AW$51)</f>
        <v>1.7906545191213017E-4</v>
      </c>
      <c r="H14" s="16">
        <f>G14*(1+'KEEI BAU - Industry'!$AW$51)</f>
        <v>1.81820820076237E-4</v>
      </c>
      <c r="I14" s="16">
        <f>H14*(1+'KEEI BAU - Industry'!$AW$51)</f>
        <v>1.8461858644523875E-4</v>
      </c>
      <c r="J14" s="16">
        <f>I14*(1+'KEEI BAU - Industry'!$AW$51)</f>
        <v>1.8745940342116348E-4</v>
      </c>
      <c r="K14" s="16">
        <f>J14*(1+'KEEI BAU - Industry'!$AW$51)</f>
        <v>1.9034393344487008E-4</v>
      </c>
      <c r="L14" s="16">
        <f>K14*(1+'KEEI BAU - Industry'!$AW$51)</f>
        <v>1.9327284915052071E-4</v>
      </c>
      <c r="M14" s="16">
        <f>L14*(1+'KEEI BAU - Industry'!$AW$51)</f>
        <v>1.9624683352243008E-4</v>
      </c>
      <c r="N14" s="16">
        <f>M14*(1+'KEEI BAU - Industry'!$AW$51)</f>
        <v>1.9926658005432849E-4</v>
      </c>
      <c r="O14" s="16">
        <f>N14*(1+'KEEI BAU - Industry'!$AW$51)</f>
        <v>2.0233279291107523E-4</v>
      </c>
      <c r="P14" s="16">
        <f>O14*(1+'KEEI BAU - Industry'!$AW$51)</f>
        <v>2.0544618709286062E-4</v>
      </c>
      <c r="Q14" s="16">
        <f>P14*(1+'KEEI BAU - Industry'!$AW$51)</f>
        <v>2.0860748860193444E-4</v>
      </c>
      <c r="R14" s="16">
        <f>Q14*(1+'KEEI BAU - Industry'!$AW$51)</f>
        <v>2.1181743461190015E-4</v>
      </c>
      <c r="S14" s="16">
        <f>R14*(1+'KEEI BAU - Industry'!$AW$51)</f>
        <v>2.150767736396139E-4</v>
      </c>
      <c r="T14" s="16">
        <f>S14*(1+'KEEI BAU - Industry'!$AW$51)</f>
        <v>2.1838626571972887E-4</v>
      </c>
      <c r="U14" s="16">
        <f>T14*(1+'KEEI BAU - Industry'!$AW$51)</f>
        <v>2.2174668258192513E-4</v>
      </c>
      <c r="V14" s="16">
        <f>U14*(1+'KEEI BAU - Industry'!$AW$51)</f>
        <v>2.2515880783086686E-4</v>
      </c>
      <c r="W14" s="16">
        <f>V14*(1+'KEEI BAU - Industry'!$AW$51)</f>
        <v>2.2862343712892852E-4</v>
      </c>
      <c r="X14" s="16">
        <f>W14*(1+'KEEI BAU - Industry'!$AW$51)</f>
        <v>2.3214137838173282E-4</v>
      </c>
      <c r="Y14" s="16">
        <f>X14*(1+'KEEI BAU - Industry'!$AW$51)</f>
        <v>2.3571345192654358E-4</v>
      </c>
      <c r="Z14" s="16">
        <f>Y14*(1+'KEEI BAU - Industry'!$AW$51)</f>
        <v>2.3934049072355749E-4</v>
      </c>
      <c r="AA14" s="16">
        <f>Z14*(1+'KEEI BAU - Industry'!$AW$51)</f>
        <v>2.4302334055013937E-4</v>
      </c>
      <c r="AB14" s="16">
        <f>AA14*(1+'KEEI BAU - Industry'!$AW$51)</f>
        <v>2.4676286019804629E-4</v>
      </c>
      <c r="AC14" s="16">
        <f>AB14*(1+'KEEI BAU - Industry'!$AW$51)</f>
        <v>2.505599216736864E-4</v>
      </c>
      <c r="AD14" s="16">
        <f>AC14*(1+'KEEI BAU - Industry'!$AW$51)</f>
        <v>2.5441541040145926E-4</v>
      </c>
      <c r="AE14" s="16">
        <f>AD14*(1+'KEEI BAU - Industry'!$AW$51)</f>
        <v>2.5833022543022508E-4</v>
      </c>
      <c r="AF14" s="16">
        <f>AE14*(1+'KEEI BAU - Industry'!$AW$51)</f>
        <v>2.62305279642951E-4</v>
      </c>
    </row>
    <row r="15" spans="1:35">
      <c r="A15" t="s">
        <v>15</v>
      </c>
      <c r="B15" s="16">
        <f>'2019 KESIS Energy Balance'!BI61*(1+'KEEI BAU - Industry'!$AW$23)</f>
        <v>5.997194132467051</v>
      </c>
      <c r="C15" s="16">
        <f>B15*(1+'KEEI BAU - Industry'!$AW$23)</f>
        <v>5.7972819894418484</v>
      </c>
      <c r="D15" s="16">
        <f>'2022 Energy Balance'!BI61*(1+'KEEI BAU - Industry'!$AW$23)</f>
        <v>6.2311272369249862</v>
      </c>
      <c r="E15" s="16">
        <f>D15*(1+'KEEI BAU - Industry'!$AW$23)</f>
        <v>6.0234171025051833</v>
      </c>
      <c r="F15" s="16">
        <f>E15*(1+'KEEI BAU - Industry'!$AW$23)</f>
        <v>5.8226308356779137</v>
      </c>
      <c r="G15" s="16">
        <f>F15*(1+'KEEI BAU - Industry'!$AW$23)</f>
        <v>5.6285376343083993</v>
      </c>
      <c r="H15" s="16">
        <f>G15*(1+'KEEI BAU - Industry'!$AW$23)</f>
        <v>5.4409143898846413</v>
      </c>
      <c r="I15" s="16">
        <f>H15*(1+'KEEI BAU - Industry'!$AW$23)</f>
        <v>5.2595454310560479</v>
      </c>
      <c r="J15" s="16">
        <f>I15*(1+'KEEI BAU - Industry'!$AW$23)</f>
        <v>5.0842222757210216</v>
      </c>
      <c r="K15" s="16">
        <f>J15*(1+'KEEI BAU - Industry'!$AW$23)</f>
        <v>4.9147433913785283</v>
      </c>
      <c r="L15" s="16">
        <f>K15*(1+'KEEI BAU - Industry'!$AW$23)</f>
        <v>4.7509139634681699</v>
      </c>
      <c r="M15" s="16">
        <f>L15*(1+'KEEI BAU - Industry'!$AW$23)</f>
        <v>4.5925456714324779</v>
      </c>
      <c r="N15" s="16">
        <f>M15*(1+'KEEI BAU - Industry'!$AW$23)</f>
        <v>4.4394564722440055</v>
      </c>
      <c r="O15" s="16">
        <f>N15*(1+'KEEI BAU - Industry'!$AW$23)</f>
        <v>4.2914703911483922</v>
      </c>
      <c r="P15" s="16">
        <f>O15*(1+'KEEI BAU - Industry'!$AW$23)</f>
        <v>4.1484173193828529</v>
      </c>
      <c r="Q15" s="16">
        <f>P15*(1+'KEEI BAU - Industry'!$AW$23)</f>
        <v>4.0101328186375786</v>
      </c>
      <c r="R15" s="16">
        <f>Q15*(1+'KEEI BAU - Industry'!$AW$23)</f>
        <v>3.876457932035275</v>
      </c>
      <c r="S15" s="16">
        <f>R15*(1+'KEEI BAU - Industry'!$AW$23)</f>
        <v>3.7472390014115589</v>
      </c>
      <c r="T15" s="16">
        <f>S15*(1+'KEEI BAU - Industry'!$AW$23)</f>
        <v>3.6223274906861853</v>
      </c>
      <c r="U15" s="16">
        <f>T15*(1+'KEEI BAU - Industry'!$AW$23)</f>
        <v>3.5015798151220645</v>
      </c>
      <c r="V15" s="16">
        <f>U15*(1+'KEEI BAU - Industry'!$AW$23)</f>
        <v>3.3848571762758075</v>
      </c>
      <c r="W15" s="16">
        <f>V15*(1+'KEEI BAU - Industry'!$AW$23)</f>
        <v>3.2720254024500752</v>
      </c>
      <c r="X15" s="16">
        <f>W15*(1+'KEEI BAU - Industry'!$AW$23)</f>
        <v>3.1629547944643348</v>
      </c>
      <c r="Y15" s="16">
        <f>X15*(1+'KEEI BAU - Industry'!$AW$23)</f>
        <v>3.0575199765667374</v>
      </c>
      <c r="Z15" s="16">
        <f>Y15*(1+'KEEI BAU - Industry'!$AW$23)</f>
        <v>2.9555997523157371</v>
      </c>
      <c r="AA15" s="16">
        <f>Z15*(1+'KEEI BAU - Industry'!$AW$23)</f>
        <v>2.8570769652657977</v>
      </c>
      <c r="AB15" s="16">
        <f>AA15*(1+'KEEI BAU - Industry'!$AW$23)</f>
        <v>2.7618383642970361</v>
      </c>
      <c r="AC15" s="16">
        <f>AB15*(1+'KEEI BAU - Industry'!$AW$23)</f>
        <v>2.6697744734340079</v>
      </c>
      <c r="AD15" s="16">
        <f>AC15*(1+'KEEI BAU - Industry'!$AW$23)</f>
        <v>2.5807794660039884</v>
      </c>
      <c r="AE15" s="16">
        <f>AD15*(1+'KEEI BAU - Industry'!$AW$23)</f>
        <v>2.4947510429900985</v>
      </c>
      <c r="AF15" s="16">
        <f>AE15*(1+'KEEI BAU - Industry'!$AW$23)</f>
        <v>2.4115903154394385</v>
      </c>
    </row>
    <row r="16" spans="1:35">
      <c r="A16" t="s">
        <v>16</v>
      </c>
      <c r="B16" s="16">
        <f>'2019 KESIS Energy Balance'!BI62*'Non-ferrous Metals Split'!$J$6*(1+'KEEI BAU - Industry'!$AW$16)</f>
        <v>2.3136604185399214</v>
      </c>
      <c r="C16" s="16">
        <f>B16*(1+'KEEI BAU - Industry'!$AW$16)</f>
        <v>2.3104849236533194</v>
      </c>
      <c r="D16" s="16">
        <f>C16*(1+'KEEI BAU - Industry'!$AW$16)</f>
        <v>2.3073137871279075</v>
      </c>
      <c r="E16" s="16">
        <f>D16*(1+'KEEI BAU - Industry'!$AW$16)</f>
        <v>2.3041470029818423</v>
      </c>
      <c r="F16" s="16">
        <f>E16*(1+'KEEI BAU - Industry'!$AW$16)</f>
        <v>2.3009845652414906</v>
      </c>
      <c r="G16" s="16">
        <f>F16*(1+'KEEI BAU - Industry'!$AW$16)</f>
        <v>2.2978264679414186</v>
      </c>
      <c r="H16" s="16">
        <f>G16*(1+'KEEI BAU - Industry'!$AW$16)</f>
        <v>2.2946727051243796</v>
      </c>
      <c r="I16" s="16">
        <f>H16*(1+'KEEI BAU - Industry'!$AW$16)</f>
        <v>2.2915232708413029</v>
      </c>
      <c r="J16" s="16">
        <f>I16*(1+'KEEI BAU - Industry'!$AW$16)</f>
        <v>2.2883781591512831</v>
      </c>
      <c r="K16" s="16">
        <f>J16*(1+'KEEI BAU - Industry'!$AW$16)</f>
        <v>2.2852373641215689</v>
      </c>
      <c r="L16" s="16">
        <f>K16*(1+'KEEI BAU - Industry'!$AW$16)</f>
        <v>2.2821008798275515</v>
      </c>
      <c r="M16" s="16">
        <f>L16*(1+'KEEI BAU - Industry'!$AW$16)</f>
        <v>2.2789687003527539</v>
      </c>
      <c r="N16" s="16">
        <f>M16*(1+'KEEI BAU - Industry'!$AW$16)</f>
        <v>2.2758408197888191</v>
      </c>
      <c r="O16" s="16">
        <f>N16*(1+'KEEI BAU - Industry'!$AW$16)</f>
        <v>2.2727172322354994</v>
      </c>
      <c r="P16" s="16">
        <f>O16*(1+'KEEI BAU - Industry'!$AW$16)</f>
        <v>2.2695979318006452</v>
      </c>
      <c r="Q16" s="16">
        <f>P16*(1+'KEEI BAU - Industry'!$AW$16)</f>
        <v>2.266482912600194</v>
      </c>
      <c r="R16" s="16">
        <f>Q16*(1+'KEEI BAU - Industry'!$AW$16)</f>
        <v>2.2633721687581594</v>
      </c>
      <c r="S16" s="16">
        <f>R16*(1+'KEEI BAU - Industry'!$AW$16)</f>
        <v>2.2602656944066188</v>
      </c>
      <c r="T16" s="16">
        <f>S16*(1+'KEEI BAU - Industry'!$AW$16)</f>
        <v>2.2571634836857042</v>
      </c>
      <c r="U16" s="16">
        <f>T16*(1+'KEEI BAU - Industry'!$AW$16)</f>
        <v>2.2540655307435902</v>
      </c>
      <c r="V16" s="16">
        <f>U16*(1+'KEEI BAU - Industry'!$AW$16)</f>
        <v>2.2509718297364825</v>
      </c>
      <c r="W16" s="16">
        <f>V16*(1+'KEEI BAU - Industry'!$AW$16)</f>
        <v>2.2478823748286079</v>
      </c>
      <c r="X16" s="16">
        <f>W16*(1+'KEEI BAU - Industry'!$AW$16)</f>
        <v>2.2447971601922028</v>
      </c>
      <c r="Y16" s="16">
        <f>X16*(1+'KEEI BAU - Industry'!$AW$16)</f>
        <v>2.2417161800075016</v>
      </c>
      <c r="Z16" s="16">
        <f>Y16*(1+'KEEI BAU - Industry'!$AW$16)</f>
        <v>2.2386394284627271</v>
      </c>
      <c r="AA16" s="16">
        <f>Z16*(1+'KEEI BAU - Industry'!$AW$16)</f>
        <v>2.2355668997540779</v>
      </c>
      <c r="AB16" s="16">
        <f>AA16*(1+'KEEI BAU - Industry'!$AW$16)</f>
        <v>2.2324985880857193</v>
      </c>
      <c r="AC16" s="16">
        <f>AB16*(1+'KEEI BAU - Industry'!$AW$16)</f>
        <v>2.2294344876697707</v>
      </c>
      <c r="AD16" s="16">
        <f>AC16*(1+'KEEI BAU - Industry'!$AW$16)</f>
        <v>2.2263745927262955</v>
      </c>
      <c r="AE16" s="16">
        <f>AD16*(1+'KEEI BAU - Industry'!$AW$16)</f>
        <v>2.2233188974832898</v>
      </c>
      <c r="AF16" s="16">
        <f>AE16*(1+'KEEI BAU - Industry'!$AW$16)</f>
        <v>2.2202673961766721</v>
      </c>
    </row>
    <row r="17" spans="1:32">
      <c r="A17" t="s">
        <v>17</v>
      </c>
      <c r="B17" s="16">
        <f>'2019 KESIS Energy Balance'!BI62*'Non-ferrous Metals Split'!$J$7*(1+'KEEI BAU - Industry'!$AW$16)</f>
        <v>1.6059525258100631</v>
      </c>
      <c r="C17" s="16">
        <f>B17*(1+'KEEI BAU - Industry'!$AW$16)</f>
        <v>1.6037483587711276</v>
      </c>
      <c r="D17" s="16">
        <f>C17*(1+'KEEI BAU - Industry'!$AW$16)</f>
        <v>1.6015472169476064</v>
      </c>
      <c r="E17" s="16">
        <f>D17*(1+'KEEI BAU - Industry'!$AW$16)</f>
        <v>1.5993490961873964</v>
      </c>
      <c r="F17" s="16">
        <f>E17*(1+'KEEI BAU - Industry'!$AW$16)</f>
        <v>1.5971539923440936</v>
      </c>
      <c r="G17" s="16">
        <f>F17*(1+'KEEI BAU - Industry'!$AW$16)</f>
        <v>1.5949619012769849</v>
      </c>
      <c r="H17" s="16">
        <f>G17*(1+'KEEI BAU - Industry'!$AW$16)</f>
        <v>1.5927728188510399</v>
      </c>
      <c r="I17" s="16">
        <f>H17*(1+'KEEI BAU - Industry'!$AW$16)</f>
        <v>1.5905867409369043</v>
      </c>
      <c r="J17" s="16">
        <f>I17*(1+'KEEI BAU - Industry'!$AW$16)</f>
        <v>1.5884036634108907</v>
      </c>
      <c r="K17" s="16">
        <f>J17*(1+'KEEI BAU - Industry'!$AW$16)</f>
        <v>1.5862235821549715</v>
      </c>
      <c r="L17" s="16">
        <f>K17*(1+'KEEI BAU - Industry'!$AW$16)</f>
        <v>1.5840464930567713</v>
      </c>
      <c r="M17" s="16">
        <f>L17*(1+'KEEI BAU - Industry'!$AW$16)</f>
        <v>1.5818723920095588</v>
      </c>
      <c r="N17" s="16">
        <f>M17*(1+'KEEI BAU - Industry'!$AW$16)</f>
        <v>1.5797012749122394</v>
      </c>
      <c r="O17" s="16">
        <f>N17*(1+'KEEI BAU - Industry'!$AW$16)</f>
        <v>1.5775331376693471</v>
      </c>
      <c r="P17" s="16">
        <f>O17*(1+'KEEI BAU - Industry'!$AW$16)</f>
        <v>1.5753679761910366</v>
      </c>
      <c r="Q17" s="16">
        <f>P17*(1+'KEEI BAU - Industry'!$AW$16)</f>
        <v>1.5732057863930766</v>
      </c>
      <c r="R17" s="16">
        <f>Q17*(1+'KEEI BAU - Industry'!$AW$16)</f>
        <v>1.5710465641968407</v>
      </c>
      <c r="S17" s="16">
        <f>R17*(1+'KEEI BAU - Industry'!$AW$16)</f>
        <v>1.5688903055293009</v>
      </c>
      <c r="T17" s="16">
        <f>S17*(1+'KEEI BAU - Industry'!$AW$16)</f>
        <v>1.566737006323019</v>
      </c>
      <c r="U17" s="16">
        <f>T17*(1+'KEEI BAU - Industry'!$AW$16)</f>
        <v>1.5645866625161398</v>
      </c>
      <c r="V17" s="16">
        <f>U17*(1+'KEEI BAU - Industry'!$AW$16)</f>
        <v>1.5624392700523826</v>
      </c>
      <c r="W17" s="16">
        <f>V17*(1+'KEEI BAU - Industry'!$AW$16)</f>
        <v>1.5602948248810344</v>
      </c>
      <c r="X17" s="16">
        <f>W17*(1+'KEEI BAU - Industry'!$AW$16)</f>
        <v>1.5581533229569413</v>
      </c>
      <c r="Y17" s="16">
        <f>X17*(1+'KEEI BAU - Industry'!$AW$16)</f>
        <v>1.5560147602405017</v>
      </c>
      <c r="Z17" s="16">
        <f>Y17*(1+'KEEI BAU - Industry'!$AW$16)</f>
        <v>1.553879132697658</v>
      </c>
      <c r="AA17" s="16">
        <f>Z17*(1+'KEEI BAU - Industry'!$AW$16)</f>
        <v>1.5517464362998898</v>
      </c>
      <c r="AB17" s="16">
        <f>AA17*(1+'KEEI BAU - Industry'!$AW$16)</f>
        <v>1.5496166670242055</v>
      </c>
      <c r="AC17" s="16">
        <f>AB17*(1+'KEEI BAU - Industry'!$AW$16)</f>
        <v>1.5474898208531351</v>
      </c>
      <c r="AD17" s="16">
        <f>AC17*(1+'KEEI BAU - Industry'!$AW$16)</f>
        <v>1.5453658937747228</v>
      </c>
      <c r="AE17" s="16">
        <f>AD17*(1+'KEEI BAU - Industry'!$AW$16)</f>
        <v>1.5432448817825188</v>
      </c>
      <c r="AF17" s="16">
        <f>AE17*(1+'KEEI BAU - Industry'!$AW$16)</f>
        <v>1.5411267808755726</v>
      </c>
    </row>
    <row r="18" spans="1:32">
      <c r="A18" t="s">
        <v>18</v>
      </c>
      <c r="B18" s="16">
        <f>SUM('2019 KESIS Energy Balance'!$BI$63:$BI$64)*'Machinery Split'!$J6*(1+'KEEI BAU - Industry'!$AW$30)</f>
        <v>285.88150584649742</v>
      </c>
      <c r="C18" s="16">
        <f>B18*(1+'KEEI BAU - Industry'!$AW$30)</f>
        <v>289.53683741723381</v>
      </c>
      <c r="D18" s="16">
        <f>C18*(1+'KEEI BAU - Industry'!$AW$30)</f>
        <v>293.23890670488709</v>
      </c>
      <c r="E18" s="16">
        <f>D18*(1+'KEEI BAU - Industry'!$AW$30)</f>
        <v>296.98831130618413</v>
      </c>
      <c r="F18" s="16">
        <f>E18*(1+'KEEI BAU - Industry'!$AW$30)</f>
        <v>300.78565645882958</v>
      </c>
      <c r="G18" s="16">
        <f>F18*(1+'KEEI BAU - Industry'!$AW$30)</f>
        <v>304.63155513920447</v>
      </c>
      <c r="H18" s="16">
        <f>G18*(1+'KEEI BAU - Industry'!$AW$30)</f>
        <v>308.52662816131442</v>
      </c>
      <c r="I18" s="16">
        <f>H18*(1+'KEEI BAU - Industry'!$AW$30)</f>
        <v>312.47150427700285</v>
      </c>
      <c r="J18" s="16">
        <f>I18*(1+'KEEI BAU - Industry'!$AW$30)</f>
        <v>316.46682027744572</v>
      </c>
      <c r="K18" s="16">
        <f>J18*(1+'KEEI BAU - Industry'!$AW$30)</f>
        <v>320.51322109594372</v>
      </c>
      <c r="L18" s="16">
        <f>K18*(1+'KEEI BAU - Industry'!$AW$30)</f>
        <v>324.61135991202889</v>
      </c>
      <c r="M18" s="16">
        <f>L18*(1+'KEEI BAU - Industry'!$AW$30)</f>
        <v>328.76189825690255</v>
      </c>
      <c r="N18" s="16">
        <f>M18*(1+'KEEI BAU - Industry'!$AW$30)</f>
        <v>332.96550612022105</v>
      </c>
      <c r="O18" s="16">
        <f>N18*(1+'KEEI BAU - Industry'!$AW$30)</f>
        <v>337.22286205824724</v>
      </c>
      <c r="P18" s="16">
        <f>O18*(1+'KEEI BAU - Industry'!$AW$30)</f>
        <v>341.53465330338452</v>
      </c>
      <c r="Q18" s="16">
        <f>P18*(1+'KEEI BAU - Industry'!$AW$30)</f>
        <v>345.90157587511146</v>
      </c>
      <c r="R18" s="16">
        <f>Q18*(1+'KEEI BAU - Industry'!$AW$30)</f>
        <v>350.32433469233507</v>
      </c>
      <c r="S18" s="16">
        <f>R18*(1+'KEEI BAU - Industry'!$AW$30)</f>
        <v>354.80364368718028</v>
      </c>
      <c r="T18" s="16">
        <f>S18*(1+'KEEI BAU - Industry'!$AW$30)</f>
        <v>359.34022592023467</v>
      </c>
      <c r="U18" s="16">
        <f>T18*(1+'KEEI BAU - Industry'!$AW$30)</f>
        <v>363.93481369726652</v>
      </c>
      <c r="V18" s="16">
        <f>U18*(1+'KEEI BAU - Industry'!$AW$30)</f>
        <v>368.58814868743542</v>
      </c>
      <c r="W18" s="16">
        <f>V18*(1+'KEEI BAU - Industry'!$AW$30)</f>
        <v>373.30098204301419</v>
      </c>
      <c r="X18" s="16">
        <f>W18*(1+'KEEI BAU - Industry'!$AW$30)</f>
        <v>378.07407452064166</v>
      </c>
      <c r="Y18" s="16">
        <f>X18*(1+'KEEI BAU - Industry'!$AW$30)</f>
        <v>382.90819660412575</v>
      </c>
      <c r="Z18" s="16">
        <f>Y18*(1+'KEEI BAU - Industry'!$AW$30)</f>
        <v>387.8041286288169</v>
      </c>
      <c r="AA18" s="16">
        <f>Z18*(1+'KEEI BAU - Industry'!$AW$30)</f>
        <v>392.7626609075715</v>
      </c>
      <c r="AB18" s="16">
        <f>AA18*(1+'KEEI BAU - Industry'!$AW$30)</f>
        <v>397.7845938583261</v>
      </c>
      <c r="AC18" s="16">
        <f>AB18*(1+'KEEI BAU - Industry'!$AW$30)</f>
        <v>402.87073813330284</v>
      </c>
      <c r="AD18" s="16">
        <f>AC18*(1+'KEEI BAU - Industry'!$AW$30)</f>
        <v>408.02191474986665</v>
      </c>
      <c r="AE18" s="16">
        <f>AD18*(1+'KEEI BAU - Industry'!$AW$30)</f>
        <v>413.238955223056</v>
      </c>
      <c r="AF18" s="16">
        <f>AE18*(1+'KEEI BAU - Industry'!$AW$30)</f>
        <v>418.5227016998079</v>
      </c>
    </row>
    <row r="19" spans="1:32">
      <c r="A19" t="s">
        <v>19</v>
      </c>
      <c r="B19" s="16">
        <f>SUM('2019 KESIS Energy Balance'!$BI$63:$BI$64)*'Machinery Split'!$J7*(1+'KEEI BAU - Industry'!$AW$30)</f>
        <v>58.278874470084887</v>
      </c>
      <c r="C19" s="16">
        <f>B19*(1+'KEEI BAU - Industry'!$AW$30)</f>
        <v>59.024038481750154</v>
      </c>
      <c r="D19" s="16">
        <f>C19*(1+'KEEI BAU - Industry'!$AW$30)</f>
        <v>59.778730292456324</v>
      </c>
      <c r="E19" s="16">
        <f>D19*(1+'KEEI BAU - Industry'!$AW$30)</f>
        <v>60.543071726329558</v>
      </c>
      <c r="F19" s="16">
        <f>E19*(1+'KEEI BAU - Industry'!$AW$30)</f>
        <v>61.317186165160862</v>
      </c>
      <c r="G19" s="16">
        <f>F19*(1+'KEEI BAU - Industry'!$AW$30)</f>
        <v>62.10119856832268</v>
      </c>
      <c r="H19" s="16">
        <f>G19*(1+'KEEI BAU - Industry'!$AW$30)</f>
        <v>62.895235492940131</v>
      </c>
      <c r="I19" s="16">
        <f>H19*(1+'KEEI BAU - Industry'!$AW$30)</f>
        <v>63.699425114320142</v>
      </c>
      <c r="J19" s="16">
        <f>I19*(1+'KEEI BAU - Industry'!$AW$30)</f>
        <v>64.513897246641832</v>
      </c>
      <c r="K19" s="16">
        <f>J19*(1+'KEEI BAU - Industry'!$AW$30)</f>
        <v>65.338783363911389</v>
      </c>
      <c r="L19" s="16">
        <f>K19*(1+'KEEI BAU - Industry'!$AW$30)</f>
        <v>66.174216621184954</v>
      </c>
      <c r="M19" s="16">
        <f>L19*(1+'KEEI BAU - Industry'!$AW$30)</f>
        <v>67.020331876062784</v>
      </c>
      <c r="N19" s="16">
        <f>M19*(1+'KEEI BAU - Industry'!$AW$30)</f>
        <v>67.877265710458289</v>
      </c>
      <c r="O19" s="16">
        <f>N19*(1+'KEEI BAU - Industry'!$AW$30)</f>
        <v>68.745156452645446</v>
      </c>
      <c r="P19" s="16">
        <f>O19*(1+'KEEI BAU - Industry'!$AW$30)</f>
        <v>69.624144199588031</v>
      </c>
      <c r="Q19" s="16">
        <f>P19*(1+'KEEI BAU - Industry'!$AW$30)</f>
        <v>70.514370839554417</v>
      </c>
      <c r="R19" s="16">
        <f>Q19*(1+'KEEI BAU - Industry'!$AW$30)</f>
        <v>71.415980075021494</v>
      </c>
      <c r="S19" s="16">
        <f>R19*(1+'KEEI BAU - Industry'!$AW$30)</f>
        <v>72.329117445871489</v>
      </c>
      <c r="T19" s="16">
        <f>S19*(1+'KEEI BAU - Industry'!$AW$30)</f>
        <v>73.253930352885334</v>
      </c>
      <c r="U19" s="16">
        <f>T19*(1+'KEEI BAU - Industry'!$AW$30)</f>
        <v>74.190568081536455</v>
      </c>
      <c r="V19" s="16">
        <f>U19*(1+'KEEI BAU - Industry'!$AW$30)</f>
        <v>75.139181826088787</v>
      </c>
      <c r="W19" s="16">
        <f>V19*(1+'KEEI BAU - Industry'!$AW$30)</f>
        <v>76.09992471400291</v>
      </c>
      <c r="X19" s="16">
        <f>W19*(1+'KEEI BAU - Industry'!$AW$30)</f>
        <v>77.072951830654233</v>
      </c>
      <c r="Y19" s="16">
        <f>X19*(1+'KEEI BAU - Industry'!$AW$30)</f>
        <v>78.058420244367241</v>
      </c>
      <c r="Z19" s="16">
        <f>Y19*(1+'KEEI BAU - Industry'!$AW$30)</f>
        <v>79.056489031769843</v>
      </c>
      <c r="AA19" s="16">
        <f>Z19*(1+'KEEI BAU - Industry'!$AW$30)</f>
        <v>80.067319303471876</v>
      </c>
      <c r="AB19" s="16">
        <f>AA19*(1+'KEEI BAU - Industry'!$AW$30)</f>
        <v>81.091074230071996</v>
      </c>
      <c r="AC19" s="16">
        <f>AB19*(1+'KEEI BAU - Industry'!$AW$30)</f>
        <v>82.127919068497008</v>
      </c>
      <c r="AD19" s="16">
        <f>AC19*(1+'KEEI BAU - Industry'!$AW$30)</f>
        <v>83.178021188678059</v>
      </c>
      <c r="AE19" s="16">
        <f>AD19*(1+'KEEI BAU - Industry'!$AW$30)</f>
        <v>84.241550100567906</v>
      </c>
      <c r="AF19" s="16">
        <f>AE19*(1+'KEEI BAU - Industry'!$AW$30)</f>
        <v>85.318677481503556</v>
      </c>
    </row>
    <row r="20" spans="1:32">
      <c r="A20" t="s">
        <v>20</v>
      </c>
      <c r="B20" s="16">
        <f>SUM('2019 KESIS Energy Balance'!$BI$63:$BI$64)*'Machinery Split'!$J8*(1+'KEEI BAU - Industry'!$AW$30)</f>
        <v>2.5595451625375119</v>
      </c>
      <c r="C20" s="16">
        <f>B20*(1+'KEEI BAU - Industry'!$AW$30)</f>
        <v>2.5922719603471349</v>
      </c>
      <c r="D20" s="16">
        <f>C20*(1+'KEEI BAU - Industry'!$AW$30)</f>
        <v>2.6254172087903114</v>
      </c>
      <c r="E20" s="16">
        <f>D20*(1+'KEEI BAU - Industry'!$AW$30)</f>
        <v>2.6589862582509602</v>
      </c>
      <c r="F20" s="16">
        <f>E20*(1+'KEEI BAU - Industry'!$AW$30)</f>
        <v>2.6929845275239566</v>
      </c>
      <c r="G20" s="16">
        <f>F20*(1+'KEEI BAU - Industry'!$AW$30)</f>
        <v>2.7274175046898472</v>
      </c>
      <c r="H20" s="16">
        <f>G20*(1+'KEEI BAU - Industry'!$AW$30)</f>
        <v>2.7622907480007486</v>
      </c>
      <c r="I20" s="16">
        <f>H20*(1+'KEEI BAU - Industry'!$AW$30)</f>
        <v>2.7976098867775736</v>
      </c>
      <c r="J20" s="16">
        <f>I20*(1+'KEEI BAU - Industry'!$AW$30)</f>
        <v>2.833380622318729</v>
      </c>
      <c r="K20" s="16">
        <f>J20*(1+'KEEI BAU - Industry'!$AW$30)</f>
        <v>2.8696087288204328</v>
      </c>
      <c r="L20" s="16">
        <f>K20*(1+'KEEI BAU - Industry'!$AW$30)</f>
        <v>2.9063000543087987</v>
      </c>
      <c r="M20" s="16">
        <f>L20*(1+'KEEI BAU - Industry'!$AW$30)</f>
        <v>2.9434605215838383</v>
      </c>
      <c r="N20" s="16">
        <f>M20*(1+'KEEI BAU - Industry'!$AW$30)</f>
        <v>2.9810961291755329</v>
      </c>
      <c r="O20" s="16">
        <f>N20*(1+'KEEI BAU - Industry'!$AW$30)</f>
        <v>3.0192129523121314</v>
      </c>
      <c r="P20" s="16">
        <f>O20*(1+'KEEI BAU - Industry'!$AW$30)</f>
        <v>3.0578171439008259</v>
      </c>
      <c r="Q20" s="16">
        <f>P20*(1+'KEEI BAU - Industry'!$AW$30)</f>
        <v>3.0969149355209709</v>
      </c>
      <c r="R20" s="16">
        <f>Q20*(1+'KEEI BAU - Industry'!$AW$30)</f>
        <v>3.1365126384299975</v>
      </c>
      <c r="S20" s="16">
        <f>R20*(1+'KEEI BAU - Industry'!$AW$30)</f>
        <v>3.1766166445821931</v>
      </c>
      <c r="T20" s="16">
        <f>S20*(1+'KEEI BAU - Industry'!$AW$30)</f>
        <v>3.2172334276605037</v>
      </c>
      <c r="U20" s="16">
        <f>T20*(1+'KEEI BAU - Industry'!$AW$30)</f>
        <v>3.2583695441215328</v>
      </c>
      <c r="V20" s="16">
        <f>U20*(1+'KEEI BAU - Industry'!$AW$30)</f>
        <v>3.3000316342538989</v>
      </c>
      <c r="W20" s="16">
        <f>V20*(1+'KEEI BAU - Industry'!$AW$30)</f>
        <v>3.3422264232501275</v>
      </c>
      <c r="X20" s="16">
        <f>W20*(1+'KEEI BAU - Industry'!$AW$30)</f>
        <v>3.3849607222922464</v>
      </c>
      <c r="Y20" s="16">
        <f>X20*(1+'KEEI BAU - Industry'!$AW$30)</f>
        <v>3.4282414296512638</v>
      </c>
      <c r="Z20" s="16">
        <f>Y20*(1+'KEEI BAU - Industry'!$AW$30)</f>
        <v>3.4720755318007024</v>
      </c>
      <c r="AA20" s="16">
        <f>Z20*(1+'KEEI BAU - Industry'!$AW$30)</f>
        <v>3.5164701045443731</v>
      </c>
      <c r="AB20" s="16">
        <f>AA20*(1+'KEEI BAU - Industry'!$AW$30)</f>
        <v>3.5614323141585675</v>
      </c>
      <c r="AC20" s="16">
        <f>AB20*(1+'KEEI BAU - Industry'!$AW$30)</f>
        <v>3.606969418548855</v>
      </c>
      <c r="AD20" s="16">
        <f>AC20*(1+'KEEI BAU - Industry'!$AW$30)</f>
        <v>3.6530887684216715</v>
      </c>
      <c r="AE20" s="16">
        <f>AD20*(1+'KEEI BAU - Industry'!$AW$30)</f>
        <v>3.6997978084708874</v>
      </c>
      <c r="AF20" s="16">
        <f>AE20*(1+'KEEI BAU - Industry'!$AW$30)</f>
        <v>3.7471040785795475</v>
      </c>
    </row>
    <row r="21" spans="1:32">
      <c r="A21" t="s">
        <v>21</v>
      </c>
      <c r="B21" s="16">
        <f>SUM('2019 KESIS Energy Balance'!$BI$63:$BI$64)*'Machinery Split'!$J9*(1+'KEEI BAU - Industry'!$AW$30)</f>
        <v>10.43506873957601</v>
      </c>
      <c r="C21" s="16">
        <f>B21*(1+'KEEI BAU - Industry'!$AW$30)</f>
        <v>10.568493376799859</v>
      </c>
      <c r="D21" s="16">
        <f>C21*(1+'KEEI BAU - Industry'!$AW$30)</f>
        <v>10.703624005068194</v>
      </c>
      <c r="E21" s="16">
        <f>D21*(1+'KEEI BAU - Industry'!$AW$30)</f>
        <v>10.840482437484685</v>
      </c>
      <c r="F21" s="16">
        <f>E21*(1+'KEEI BAU - Industry'!$AW$30)</f>
        <v>10.979090766059208</v>
      </c>
      <c r="G21" s="16">
        <f>F21*(1+'KEEI BAU - Industry'!$AW$30)</f>
        <v>11.119471365273993</v>
      </c>
      <c r="H21" s="16">
        <f>G21*(1+'KEEI BAU - Industry'!$AW$30)</f>
        <v>11.26164689569536</v>
      </c>
      <c r="I21" s="16">
        <f>H21*(1+'KEEI BAU - Industry'!$AW$30)</f>
        <v>11.405640307631646</v>
      </c>
      <c r="J21" s="16">
        <f>I21*(1+'KEEI BAU - Industry'!$AW$30)</f>
        <v>11.551474844837895</v>
      </c>
      <c r="K21" s="16">
        <f>J21*(1+'KEEI BAU - Industry'!$AW$30)</f>
        <v>11.699174048267917</v>
      </c>
      <c r="L21" s="16">
        <f>K21*(1+'KEEI BAU - Industry'!$AW$30)</f>
        <v>11.848761759874332</v>
      </c>
      <c r="M21" s="16">
        <f>L21*(1+'KEEI BAU - Industry'!$AW$30)</f>
        <v>12.000262126457185</v>
      </c>
      <c r="N21" s="16">
        <f>M21*(1+'KEEI BAU - Industry'!$AW$30)</f>
        <v>12.153699603561787</v>
      </c>
      <c r="O21" s="16">
        <f>N21*(1+'KEEI BAU - Industry'!$AW$30)</f>
        <v>12.309098959426381</v>
      </c>
      <c r="P21" s="16">
        <f>O21*(1+'KEEI BAU - Industry'!$AW$30)</f>
        <v>12.46648527898029</v>
      </c>
      <c r="Q21" s="16">
        <f>P21*(1+'KEEI BAU - Industry'!$AW$30)</f>
        <v>12.62588396789319</v>
      </c>
      <c r="R21" s="16">
        <f>Q21*(1+'KEEI BAU - Industry'!$AW$30)</f>
        <v>12.787320756676145</v>
      </c>
      <c r="S21" s="16">
        <f>R21*(1+'KEEI BAU - Industry'!$AW$30)</f>
        <v>12.950821704835096</v>
      </c>
      <c r="T21" s="16">
        <f>S21*(1+'KEEI BAU - Industry'!$AW$30)</f>
        <v>13.116413205077439</v>
      </c>
      <c r="U21" s="16">
        <f>T21*(1+'KEEI BAU - Industry'!$AW$30)</f>
        <v>13.284121987572403</v>
      </c>
      <c r="V21" s="16">
        <f>U21*(1+'KEEI BAU - Industry'!$AW$30)</f>
        <v>13.453975124265897</v>
      </c>
      <c r="W21" s="16">
        <f>V21*(1+'KEEI BAU - Industry'!$AW$30)</f>
        <v>13.626000033250522</v>
      </c>
      <c r="X21" s="16">
        <f>W21*(1+'KEEI BAU - Industry'!$AW$30)</f>
        <v>13.800224483191469</v>
      </c>
      <c r="Y21" s="16">
        <f>X21*(1+'KEEI BAU - Industry'!$AW$30)</f>
        <v>13.976676597809002</v>
      </c>
      <c r="Z21" s="16">
        <f>Y21*(1+'KEEI BAU - Industry'!$AW$30)</f>
        <v>14.155384860418252</v>
      </c>
      <c r="AA21" s="16">
        <f>Z21*(1+'KEEI BAU - Industry'!$AW$30)</f>
        <v>14.336378118527064</v>
      </c>
      <c r="AB21" s="16">
        <f>AA21*(1+'KEEI BAU - Industry'!$AW$30)</f>
        <v>14.519685588492624</v>
      </c>
      <c r="AC21" s="16">
        <f>AB21*(1+'KEEI BAU - Industry'!$AW$30)</f>
        <v>14.705336860237642</v>
      </c>
      <c r="AD21" s="16">
        <f>AC21*(1+'KEEI BAU - Industry'!$AW$30)</f>
        <v>14.893361902026816</v>
      </c>
      <c r="AE21" s="16">
        <f>AD21*(1+'KEEI BAU - Industry'!$AW$30)</f>
        <v>15.083791065304389</v>
      </c>
      <c r="AF21" s="16">
        <f>AE21*(1+'KEEI BAU - Industry'!$AW$30)</f>
        <v>15.276655089593541</v>
      </c>
    </row>
    <row r="22" spans="1:32">
      <c r="A22" t="s">
        <v>22</v>
      </c>
      <c r="B22" s="16">
        <f>SUM('2019 KESIS Energy Balance'!$BI$63:$BI$64)*'Machinery Split'!$J10*(1+'KEEI BAU - Industry'!$AW$30)</f>
        <v>0</v>
      </c>
      <c r="C22" s="16">
        <f>B22*(1+'KEEI BAU - Industry'!$AW$30)</f>
        <v>0</v>
      </c>
      <c r="D22" s="16">
        <f>C22*(1+'KEEI BAU - Industry'!$AW$30)</f>
        <v>0</v>
      </c>
      <c r="E22" s="16">
        <f>D22*(1+'KEEI BAU - Industry'!$AW$30)</f>
        <v>0</v>
      </c>
      <c r="F22" s="16">
        <f>E22*(1+'KEEI BAU - Industry'!$AW$30)</f>
        <v>0</v>
      </c>
      <c r="G22" s="16">
        <f>F22*(1+'KEEI BAU - Industry'!$AW$30)</f>
        <v>0</v>
      </c>
      <c r="H22" s="16">
        <f>G22*(1+'KEEI BAU - Industry'!$AW$30)</f>
        <v>0</v>
      </c>
      <c r="I22" s="16">
        <f>H22*(1+'KEEI BAU - Industry'!$AW$30)</f>
        <v>0</v>
      </c>
      <c r="J22" s="16">
        <f>I22*(1+'KEEI BAU - Industry'!$AW$30)</f>
        <v>0</v>
      </c>
      <c r="K22" s="16">
        <f>J22*(1+'KEEI BAU - Industry'!$AW$30)</f>
        <v>0</v>
      </c>
      <c r="L22" s="16">
        <f>K22*(1+'KEEI BAU - Industry'!$AW$30)</f>
        <v>0</v>
      </c>
      <c r="M22" s="16">
        <f>L22*(1+'KEEI BAU - Industry'!$AW$30)</f>
        <v>0</v>
      </c>
      <c r="N22" s="16">
        <f>M22*(1+'KEEI BAU - Industry'!$AW$30)</f>
        <v>0</v>
      </c>
      <c r="O22" s="16">
        <f>N22*(1+'KEEI BAU - Industry'!$AW$30)</f>
        <v>0</v>
      </c>
      <c r="P22" s="16">
        <f>O22*(1+'KEEI BAU - Industry'!$AW$30)</f>
        <v>0</v>
      </c>
      <c r="Q22" s="16">
        <f>P22*(1+'KEEI BAU - Industry'!$AW$30)</f>
        <v>0</v>
      </c>
      <c r="R22" s="16">
        <f>Q22*(1+'KEEI BAU - Industry'!$AW$30)</f>
        <v>0</v>
      </c>
      <c r="S22" s="16">
        <f>R22*(1+'KEEI BAU - Industry'!$AW$30)</f>
        <v>0</v>
      </c>
      <c r="T22" s="16">
        <f>S22*(1+'KEEI BAU - Industry'!$AW$30)</f>
        <v>0</v>
      </c>
      <c r="U22" s="16">
        <f>T22*(1+'KEEI BAU - Industry'!$AW$30)</f>
        <v>0</v>
      </c>
      <c r="V22" s="16">
        <f>U22*(1+'KEEI BAU - Industry'!$AW$30)</f>
        <v>0</v>
      </c>
      <c r="W22" s="16">
        <f>V22*(1+'KEEI BAU - Industry'!$AW$30)</f>
        <v>0</v>
      </c>
      <c r="X22" s="16">
        <f>W22*(1+'KEEI BAU - Industry'!$AW$30)</f>
        <v>0</v>
      </c>
      <c r="Y22" s="16">
        <f>X22*(1+'KEEI BAU - Industry'!$AW$30)</f>
        <v>0</v>
      </c>
      <c r="Z22" s="16">
        <f>Y22*(1+'KEEI BAU - Industry'!$AW$30)</f>
        <v>0</v>
      </c>
      <c r="AA22" s="16">
        <f>Z22*(1+'KEEI BAU - Industry'!$AW$30)</f>
        <v>0</v>
      </c>
      <c r="AB22" s="16">
        <f>AA22*(1+'KEEI BAU - Industry'!$AW$30)</f>
        <v>0</v>
      </c>
      <c r="AC22" s="16">
        <f>AB22*(1+'KEEI BAU - Industry'!$AW$30)</f>
        <v>0</v>
      </c>
      <c r="AD22" s="16">
        <f>AC22*(1+'KEEI BAU - Industry'!$AW$30)</f>
        <v>0</v>
      </c>
      <c r="AE22" s="16">
        <f>AD22*(1+'KEEI BAU - Industry'!$AW$30)</f>
        <v>0</v>
      </c>
      <c r="AF22" s="16">
        <f>AE22*(1+'KEEI BAU - Industry'!$AW$30)</f>
        <v>0</v>
      </c>
    </row>
    <row r="23" spans="1:32">
      <c r="A23" t="s">
        <v>23</v>
      </c>
      <c r="B23" s="16">
        <f>'2019 KESIS Energy Balance'!BI65*(1+'KEEI BAU - Industry'!$AW$51)</f>
        <v>4.9753987095777066E-2</v>
      </c>
      <c r="C23" s="16">
        <f>B23*(1+'KEEI BAU - Industry'!$AW$51)</f>
        <v>5.051957616177042E-2</v>
      </c>
      <c r="D23" s="16">
        <f>C23*(1+'KEEI BAU - Industry'!$AW$51)</f>
        <v>5.1296945723201065E-2</v>
      </c>
      <c r="E23" s="16">
        <f>D23*(1+'KEEI BAU - Industry'!$AW$51)</f>
        <v>5.2086277052345351E-2</v>
      </c>
      <c r="F23" s="16">
        <f>E23*(1+'KEEI BAU - Industry'!$AW$51)</f>
        <v>5.2887754210805299E-2</v>
      </c>
      <c r="G23" s="16">
        <f>F23*(1+'KEEI BAU - Industry'!$AW$51)</f>
        <v>5.3701564092429308E-2</v>
      </c>
      <c r="H23" s="16">
        <f>G23*(1+'KEEI BAU - Industry'!$AW$51)</f>
        <v>5.4527896466893322E-2</v>
      </c>
      <c r="I23" s="16">
        <f>H23*(1+'KEEI BAU - Industry'!$AW$51)</f>
        <v>5.5366944023952612E-2</v>
      </c>
      <c r="J23" s="16">
        <f>I23*(1+'KEEI BAU - Industry'!$AW$51)</f>
        <v>5.6218902418374475E-2</v>
      </c>
      <c r="K23" s="16">
        <f>J23*(1+'KEEI BAU - Industry'!$AW$51)</f>
        <v>5.7083970315562317E-2</v>
      </c>
      <c r="L23" s="16">
        <f>K23*(1+'KEEI BAU - Industry'!$AW$51)</f>
        <v>5.7962349437881804E-2</v>
      </c>
      <c r="M23" s="16">
        <f>L23*(1+'KEEI BAU - Industry'!$AW$51)</f>
        <v>5.8854244611699844E-2</v>
      </c>
      <c r="N23" s="16">
        <f>M23*(1+'KEEI BAU - Industry'!$AW$51)</f>
        <v>5.9759863815147363E-2</v>
      </c>
      <c r="O23" s="16">
        <f>N23*(1+'KEEI BAU - Industry'!$AW$51)</f>
        <v>6.0679418226617071E-2</v>
      </c>
      <c r="P23" s="16">
        <f>O23*(1+'KEEI BAU - Industry'!$AW$51)</f>
        <v>6.1613122274007455E-2</v>
      </c>
      <c r="Q23" s="16">
        <f>P23*(1+'KEEI BAU - Industry'!$AW$51)</f>
        <v>6.2561193684724514E-2</v>
      </c>
      <c r="R23" s="16">
        <f>Q23*(1+'KEEI BAU - Industry'!$AW$51)</f>
        <v>6.3523853536452915E-2</v>
      </c>
      <c r="S23" s="16">
        <f>R23*(1+'KEEI BAU - Industry'!$AW$51)</f>
        <v>6.4501326308708376E-2</v>
      </c>
      <c r="T23" s="16">
        <f>S23*(1+'KEEI BAU - Industry'!$AW$51)</f>
        <v>6.5493839935183304E-2</v>
      </c>
      <c r="U23" s="16">
        <f>T23*(1+'KEEI BAU - Industry'!$AW$51)</f>
        <v>6.6501625856897936E-2</v>
      </c>
      <c r="V23" s="16">
        <f>U23*(1+'KEEI BAU - Industry'!$AW$51)</f>
        <v>6.7524919076169268E-2</v>
      </c>
      <c r="W23" s="16">
        <f>V23*(1+'KEEI BAU - Industry'!$AW$51)</f>
        <v>6.8563958211410536E-2</v>
      </c>
      <c r="X23" s="16">
        <f>W23*(1+'KEEI BAU - Industry'!$AW$51)</f>
        <v>6.9618985552773835E-2</v>
      </c>
      <c r="Y23" s="16">
        <f>X23*(1+'KEEI BAU - Industry'!$AW$51)</f>
        <v>7.0690247118648963E-2</v>
      </c>
      <c r="Z23" s="16">
        <f>Y23*(1+'KEEI BAU - Industry'!$AW$51)</f>
        <v>7.1777992713031674E-2</v>
      </c>
      <c r="AA23" s="16">
        <f>Z23*(1+'KEEI BAU - Industry'!$AW$51)</f>
        <v>7.2882475983774647E-2</v>
      </c>
      <c r="AB23" s="16">
        <f>AA23*(1+'KEEI BAU - Industry'!$AW$51)</f>
        <v>7.4003954481734802E-2</v>
      </c>
      <c r="AC23" s="16">
        <f>AB23*(1+'KEEI BAU - Industry'!$AW$51)</f>
        <v>7.5142689720830741E-2</v>
      </c>
      <c r="AD23" s="16">
        <f>AC23*(1+'KEEI BAU - Industry'!$AW$51)</f>
        <v>7.6298947239024334E-2</v>
      </c>
      <c r="AE23" s="16">
        <f>AD23*(1+'KEEI BAU - Industry'!$AW$51)</f>
        <v>7.7472996660240642E-2</v>
      </c>
      <c r="AF23" s="16">
        <f>AE23*(1+'KEEI BAU - Industry'!$AW$51)</f>
        <v>7.8665111757240669E-2</v>
      </c>
    </row>
    <row r="24" spans="1:32">
      <c r="A24" t="s">
        <v>24</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row>
    <row r="25" spans="1:32">
      <c r="A25" t="s">
        <v>25</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row>
    <row r="26" spans="1:32">
      <c r="A26" t="s">
        <v>26</v>
      </c>
      <c r="B26" s="16">
        <f>'2019 KESIS Energy Balance'!BI66*(1+'KEEI BAU - Industry'!$AW$51)</f>
        <v>0</v>
      </c>
      <c r="C26" s="16">
        <f>B26*(1+'KEEI BAU - Industry'!$AW$51)</f>
        <v>0</v>
      </c>
      <c r="D26" s="16">
        <f>C26*(1+'KEEI BAU - Industry'!$AW$51)</f>
        <v>0</v>
      </c>
      <c r="E26" s="16">
        <f>D26*(1+'KEEI BAU - Industry'!$AW$51)</f>
        <v>0</v>
      </c>
      <c r="F26" s="16">
        <f>E26*(1+'KEEI BAU - Industry'!$AW$51)</f>
        <v>0</v>
      </c>
      <c r="G26" s="16">
        <f>F26*(1+'KEEI BAU - Industry'!$AW$51)</f>
        <v>0</v>
      </c>
      <c r="H26" s="16">
        <f>G26*(1+'KEEI BAU - Industry'!$AW$51)</f>
        <v>0</v>
      </c>
      <c r="I26" s="16">
        <f>H26*(1+'KEEI BAU - Industry'!$AW$51)</f>
        <v>0</v>
      </c>
      <c r="J26" s="16">
        <f>I26*(1+'KEEI BAU - Industry'!$AW$51)</f>
        <v>0</v>
      </c>
      <c r="K26" s="16">
        <f>J26*(1+'KEEI BAU - Industry'!$AW$51)</f>
        <v>0</v>
      </c>
      <c r="L26" s="16">
        <f>K26*(1+'KEEI BAU - Industry'!$AW$51)</f>
        <v>0</v>
      </c>
      <c r="M26" s="16">
        <f>L26*(1+'KEEI BAU - Industry'!$AW$51)</f>
        <v>0</v>
      </c>
      <c r="N26" s="16">
        <f>M26*(1+'KEEI BAU - Industry'!$AW$51)</f>
        <v>0</v>
      </c>
      <c r="O26" s="16">
        <f>N26*(1+'KEEI BAU - Industry'!$AW$51)</f>
        <v>0</v>
      </c>
      <c r="P26" s="16">
        <f>O26*(1+'KEEI BAU - Industry'!$AW$51)</f>
        <v>0</v>
      </c>
      <c r="Q26" s="16">
        <f>P26*(1+'KEEI BAU - Industry'!$AW$51)</f>
        <v>0</v>
      </c>
      <c r="R26" s="16">
        <f>Q26*(1+'KEEI BAU - Industry'!$AW$51)</f>
        <v>0</v>
      </c>
      <c r="S26" s="16">
        <f>R26*(1+'KEEI BAU - Industry'!$AW$51)</f>
        <v>0</v>
      </c>
      <c r="T26" s="16">
        <f>S26*(1+'KEEI BAU - Industry'!$AW$51)</f>
        <v>0</v>
      </c>
      <c r="U26" s="16">
        <f>T26*(1+'KEEI BAU - Industry'!$AW$51)</f>
        <v>0</v>
      </c>
      <c r="V26" s="16">
        <f>U26*(1+'KEEI BAU - Industry'!$AW$51)</f>
        <v>0</v>
      </c>
      <c r="W26" s="16">
        <f>V26*(1+'KEEI BAU - Industry'!$AW$51)</f>
        <v>0</v>
      </c>
      <c r="X26" s="16">
        <f>W26*(1+'KEEI BAU - Industry'!$AW$51)</f>
        <v>0</v>
      </c>
      <c r="Y26" s="16">
        <f>X26*(1+'KEEI BAU - Industry'!$AW$51)</f>
        <v>0</v>
      </c>
      <c r="Z26" s="16">
        <f>Y26*(1+'KEEI BAU - Industry'!$AW$51)</f>
        <v>0</v>
      </c>
      <c r="AA26" s="16">
        <f>Z26*(1+'KEEI BAU - Industry'!$AW$51)</f>
        <v>0</v>
      </c>
      <c r="AB26" s="16">
        <f>AA26*(1+'KEEI BAU - Industry'!$AW$51)</f>
        <v>0</v>
      </c>
      <c r="AC26" s="16">
        <f>AB26*(1+'KEEI BAU - Industry'!$AW$51)</f>
        <v>0</v>
      </c>
      <c r="AD26" s="16">
        <f>AC26*(1+'KEEI BAU - Industry'!$AW$51)</f>
        <v>0</v>
      </c>
      <c r="AE26" s="16">
        <f>AD26*(1+'KEEI BAU - Industry'!$AW$51)</f>
        <v>0</v>
      </c>
      <c r="AF26" s="16">
        <f>AE26*(1+'KEEI BAU - Industry'!$AW$51)</f>
        <v>0</v>
      </c>
    </row>
    <row r="28" spans="1:32">
      <c r="A28" s="351"/>
    </row>
  </sheetData>
  <phoneticPr fontId="37"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D53F5-E114-4557-8261-402A0C0A1141}">
  <sheetPr>
    <tabColor rgb="FFFF0000"/>
  </sheetPr>
  <dimension ref="A1:AW105"/>
  <sheetViews>
    <sheetView zoomScale="70" zoomScaleNormal="70" workbookViewId="0">
      <selection activeCell="Y19" sqref="Y19"/>
    </sheetView>
  </sheetViews>
  <sheetFormatPr defaultColWidth="9.125" defaultRowHeight="16.5"/>
  <cols>
    <col min="1" max="1" width="20.625" style="210" customWidth="1"/>
    <col min="2" max="3" width="6.125" style="210" customWidth="1"/>
    <col min="4" max="4" width="6.125" style="210" customWidth="1" collapsed="1"/>
    <col min="5" max="7" width="6.125" style="210" customWidth="1"/>
    <col min="8" max="9" width="5.5" style="210" customWidth="1"/>
    <col min="10" max="10" width="0.625" style="211" customWidth="1"/>
    <col min="11" max="12" width="5.5" style="210" customWidth="1"/>
    <col min="13" max="13" width="4.375" style="30" customWidth="1"/>
    <col min="14" max="14" width="20.625" style="30" customWidth="1"/>
    <col min="15" max="48" width="6.125" style="150" customWidth="1"/>
    <col min="49" max="49" width="9.125" style="30"/>
    <col min="50" max="16384" width="9.125" style="210"/>
  </cols>
  <sheetData>
    <row r="1" spans="1:49" ht="30" customHeight="1">
      <c r="A1" s="505" t="s">
        <v>554</v>
      </c>
      <c r="B1" s="506"/>
      <c r="C1" s="506"/>
      <c r="D1" s="506"/>
      <c r="E1" s="506"/>
      <c r="F1" s="506"/>
      <c r="G1" s="506"/>
      <c r="H1" s="506"/>
      <c r="I1" s="506"/>
      <c r="J1" s="506"/>
      <c r="K1" s="506"/>
      <c r="L1" s="506"/>
      <c r="M1" s="159">
        <v>1</v>
      </c>
      <c r="N1" s="160" t="s">
        <v>40</v>
      </c>
      <c r="O1" s="161" t="s">
        <v>28</v>
      </c>
      <c r="Q1" s="162" t="s">
        <v>29</v>
      </c>
      <c r="S1" s="145"/>
      <c r="T1" s="145"/>
      <c r="U1" s="145"/>
      <c r="V1" s="145"/>
      <c r="X1" s="155"/>
      <c r="Y1" s="155"/>
      <c r="Z1" s="155"/>
      <c r="AA1" s="155"/>
      <c r="AB1" s="155"/>
      <c r="AC1" s="155"/>
      <c r="AD1" s="155"/>
      <c r="AE1" s="155"/>
      <c r="AF1" s="155"/>
      <c r="AG1" s="155"/>
      <c r="AH1" s="154"/>
      <c r="AI1" s="154"/>
      <c r="AJ1" s="154"/>
      <c r="AK1" s="154"/>
      <c r="AM1" s="155"/>
      <c r="AN1" s="155"/>
      <c r="AO1" s="155"/>
      <c r="AP1" s="155"/>
      <c r="AQ1" s="155"/>
      <c r="AR1" s="154"/>
      <c r="AS1" s="154"/>
      <c r="AT1" s="154"/>
      <c r="AU1" s="154"/>
    </row>
    <row r="2" spans="1:49">
      <c r="A2" s="507" t="s">
        <v>50</v>
      </c>
      <c r="B2" s="507"/>
      <c r="C2" s="507"/>
      <c r="D2" s="507"/>
      <c r="E2" s="507"/>
      <c r="F2" s="507"/>
      <c r="G2" s="507"/>
      <c r="H2" s="507"/>
      <c r="I2" s="507"/>
      <c r="J2" s="507"/>
      <c r="K2" s="507"/>
      <c r="L2" s="507"/>
      <c r="N2" s="153" t="s">
        <v>438</v>
      </c>
      <c r="O2" s="153"/>
      <c r="P2" s="153"/>
      <c r="Q2" s="153"/>
      <c r="R2" s="153"/>
      <c r="S2" s="153"/>
      <c r="T2" s="153"/>
      <c r="U2" s="153"/>
      <c r="V2" s="153"/>
      <c r="W2" s="153"/>
      <c r="X2" s="153"/>
      <c r="Y2" s="153"/>
      <c r="Z2" s="153"/>
      <c r="AA2" s="153"/>
      <c r="AB2" s="153"/>
      <c r="AC2" s="153"/>
      <c r="AD2" s="153"/>
      <c r="AE2" s="153"/>
      <c r="AF2" s="153"/>
      <c r="AG2" s="153"/>
      <c r="AH2" s="153"/>
      <c r="AI2" s="153"/>
      <c r="AJ2" s="153"/>
      <c r="AK2" s="153"/>
      <c r="AM2" s="153"/>
      <c r="AN2" s="153"/>
      <c r="AO2" s="153"/>
      <c r="AP2" s="153"/>
      <c r="AQ2" s="153"/>
      <c r="AR2" s="153"/>
      <c r="AS2" s="153"/>
      <c r="AT2" s="153"/>
      <c r="AU2" s="153"/>
    </row>
    <row r="3" spans="1:49" ht="15" customHeight="1">
      <c r="A3" s="31"/>
      <c r="B3" s="32"/>
      <c r="C3" s="32"/>
      <c r="D3" s="32"/>
      <c r="E3" s="32"/>
      <c r="F3" s="32"/>
      <c r="G3" s="32"/>
      <c r="H3" s="494" t="s">
        <v>30</v>
      </c>
      <c r="I3" s="494"/>
      <c r="J3" s="33"/>
      <c r="K3" s="494" t="s">
        <v>31</v>
      </c>
      <c r="L3" s="494"/>
      <c r="N3" s="31"/>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row>
    <row r="4" spans="1:49" ht="15" customHeight="1">
      <c r="A4" s="31"/>
      <c r="B4" s="34">
        <v>2000</v>
      </c>
      <c r="C4" s="34">
        <v>2018</v>
      </c>
      <c r="D4" s="34">
        <v>2025</v>
      </c>
      <c r="E4" s="34">
        <v>2030</v>
      </c>
      <c r="F4" s="34">
        <v>2035</v>
      </c>
      <c r="G4" s="34">
        <v>2040</v>
      </c>
      <c r="H4" s="35">
        <v>2018</v>
      </c>
      <c r="I4" s="35">
        <v>2040</v>
      </c>
      <c r="J4" s="36"/>
      <c r="K4" s="35" t="s">
        <v>32</v>
      </c>
      <c r="L4" s="35" t="s">
        <v>33</v>
      </c>
      <c r="N4" s="31"/>
      <c r="O4" s="144">
        <v>2000</v>
      </c>
      <c r="P4" s="144">
        <v>2018</v>
      </c>
      <c r="Q4" s="144">
        <v>2019</v>
      </c>
      <c r="R4" s="156">
        <v>2020</v>
      </c>
      <c r="S4" s="144">
        <v>2021</v>
      </c>
      <c r="T4" s="144">
        <v>2022</v>
      </c>
      <c r="U4" s="144">
        <v>2023</v>
      </c>
      <c r="V4" s="144">
        <v>2024</v>
      </c>
      <c r="W4" s="156">
        <v>2025</v>
      </c>
      <c r="X4" s="144">
        <v>2026</v>
      </c>
      <c r="Y4" s="144">
        <v>2027</v>
      </c>
      <c r="Z4" s="144">
        <v>2028</v>
      </c>
      <c r="AA4" s="144">
        <v>2029</v>
      </c>
      <c r="AB4" s="156">
        <v>2030</v>
      </c>
      <c r="AC4" s="144">
        <v>2031</v>
      </c>
      <c r="AD4" s="144">
        <v>2032</v>
      </c>
      <c r="AE4" s="144">
        <v>2033</v>
      </c>
      <c r="AF4" s="144">
        <v>2034</v>
      </c>
      <c r="AG4" s="156">
        <v>2035</v>
      </c>
      <c r="AH4" s="144">
        <v>2036</v>
      </c>
      <c r="AI4" s="144">
        <v>2037</v>
      </c>
      <c r="AJ4" s="144">
        <v>2038</v>
      </c>
      <c r="AK4" s="144">
        <v>2039</v>
      </c>
      <c r="AL4" s="156">
        <v>2040</v>
      </c>
      <c r="AM4" s="144">
        <v>2041</v>
      </c>
      <c r="AN4" s="144">
        <v>2042</v>
      </c>
      <c r="AO4" s="144">
        <v>2043</v>
      </c>
      <c r="AP4" s="144">
        <v>2044</v>
      </c>
      <c r="AQ4" s="156">
        <v>2045</v>
      </c>
      <c r="AR4" s="144">
        <v>2046</v>
      </c>
      <c r="AS4" s="144">
        <v>2047</v>
      </c>
      <c r="AT4" s="144">
        <v>2048</v>
      </c>
      <c r="AU4" s="144">
        <v>2049</v>
      </c>
      <c r="AV4" s="144">
        <v>2050</v>
      </c>
      <c r="AW4" s="170" t="s">
        <v>447</v>
      </c>
    </row>
    <row r="5" spans="1:49" ht="13.5" customHeight="1">
      <c r="A5" s="80" t="s">
        <v>555</v>
      </c>
      <c r="B5" s="228">
        <v>130.33099999999999</v>
      </c>
      <c r="C5" s="228">
        <v>163.71100000000001</v>
      </c>
      <c r="D5" s="229">
        <v>192.869</v>
      </c>
      <c r="E5" s="229">
        <v>199.166</v>
      </c>
      <c r="F5" s="229">
        <v>200.482</v>
      </c>
      <c r="G5" s="229">
        <v>198.499</v>
      </c>
      <c r="H5" s="239" t="s">
        <v>38</v>
      </c>
      <c r="I5" s="239" t="s">
        <v>38</v>
      </c>
      <c r="J5" s="41"/>
      <c r="K5" s="230">
        <v>1.27</v>
      </c>
      <c r="L5" s="230">
        <v>0.88</v>
      </c>
      <c r="N5" s="37" t="s">
        <v>529</v>
      </c>
      <c r="O5" s="486">
        <f>B42*$A$33</f>
        <v>3853676399692560</v>
      </c>
      <c r="P5" s="488" cm="1">
        <f t="array" ref="P5">TREND($O31:$P31,$O$30:$P$30,P$4)</f>
        <v>4285375285763552</v>
      </c>
      <c r="Q5" s="488" cm="1">
        <f t="array" ref="Q5">TREND($O31:$P31,$O$30:$P$30,Q$4)</f>
        <v>4309358557211936</v>
      </c>
      <c r="R5" s="488" cm="1">
        <f t="array" ref="R5">TREND($O31:$P31,$O$30:$P$30,R$4)</f>
        <v>4333341828660328</v>
      </c>
      <c r="S5" s="488" cm="1">
        <f t="array" ref="S5">TREND($O31:$P31,$O$30:$P$30,S$4)</f>
        <v>4357325100108712</v>
      </c>
      <c r="T5" s="482">
        <f>C42*$A$33</f>
        <v>4381308371557110</v>
      </c>
      <c r="U5" s="151" cm="1">
        <f t="array" ref="U5">TREND($P31:$Q31,$P$30:$Q$30,U$4)</f>
        <v>4375657296322934</v>
      </c>
      <c r="V5" s="151" cm="1">
        <f t="array" ref="V5">TREND($P31:$Q31,$P$30:$Q$30,V$4)</f>
        <v>4370006221088760</v>
      </c>
      <c r="W5" s="151" cm="1">
        <f t="array" ref="W5">TREND($P31:$Q31,$P$30:$Q$30,W$4)</f>
        <v>4364355145854584</v>
      </c>
      <c r="X5" s="151" cm="1">
        <f t="array" ref="X5">TREND($P31:$Q31,$P$30:$Q$30,X$4)</f>
        <v>4358704070620410</v>
      </c>
      <c r="Y5" s="151" cm="1">
        <f t="array" ref="Y5">TREND($P31:$Q31,$P$30:$Q$30,Y$4)</f>
        <v>4353052995386234</v>
      </c>
      <c r="Z5" s="151" cm="1">
        <f t="array" ref="Z5">TREND($P31:$Q31,$P$30:$Q$30,Z$4)</f>
        <v>4347401920152060</v>
      </c>
      <c r="AA5" s="151" cm="1">
        <f t="array" ref="AA5">TREND($P31:$Q31,$P$30:$Q$30,AA$4)</f>
        <v>4341750844917884</v>
      </c>
      <c r="AB5" s="483">
        <f>D42*$A$33</f>
        <v>4336099769683710</v>
      </c>
      <c r="AC5" s="151" cm="1">
        <f t="array" ref="AC5">TREND($Q31:$R31,$Q$30:$R$30,AC$4)</f>
        <v>4313697717755392</v>
      </c>
      <c r="AD5" s="151" cm="1">
        <f t="array" ref="AD5">TREND($Q31:$R31,$Q$30:$R$30,AD$4)</f>
        <v>4291295665827072</v>
      </c>
      <c r="AE5" s="151" cm="1">
        <f t="array" ref="AE5">TREND($Q31:$R31,$Q$30:$R$30,AE$4)</f>
        <v>4268893613898752</v>
      </c>
      <c r="AF5" s="151" cm="1">
        <f t="array" ref="AF5">TREND($Q31:$R31,$Q$30:$R$30,AF$4)</f>
        <v>4246491561970432</v>
      </c>
      <c r="AG5" s="151" cm="1">
        <f t="array" ref="AG5">TREND($Q31:$R31,$Q$30:$R$30,AG$4)</f>
        <v>4224089510042112</v>
      </c>
      <c r="AH5" s="151" cm="1">
        <f t="array" ref="AH5">TREND($Q31:$R31,$Q$30:$R$30,AH$4)</f>
        <v>4201687458113800</v>
      </c>
      <c r="AI5" s="151" cm="1">
        <f t="array" ref="AI5">TREND($Q31:$R31,$Q$30:$R$30,AI$4)</f>
        <v>4179285406185480</v>
      </c>
      <c r="AJ5" s="151" cm="1">
        <f t="array" ref="AJ5">TREND($Q31:$R31,$Q$30:$R$30,AJ$4)</f>
        <v>4156883354257160</v>
      </c>
      <c r="AK5" s="151" cm="1">
        <f t="array" ref="AK5">TREND($Q31:$R31,$Q$30:$R$30,AK$4)</f>
        <v>4134481302328840</v>
      </c>
      <c r="AL5" s="483">
        <f>E42*$A$33</f>
        <v>4112079250400519.5</v>
      </c>
      <c r="AM5" s="151" cm="1">
        <f t="array" ref="AM5">TREND($R31:$S31,$R$30:$S$30,AM$4)</f>
        <v>4076098755242864</v>
      </c>
      <c r="AN5" s="151" cm="1">
        <f t="array" ref="AN5">TREND($R31:$S31,$R$30:$S$30,AN$4)</f>
        <v>4040118260085200</v>
      </c>
      <c r="AO5" s="151" cm="1">
        <f t="array" ref="AO5">TREND($R31:$S31,$R$30:$S$30,AO$4)</f>
        <v>4004137764927536</v>
      </c>
      <c r="AP5" s="151" cm="1">
        <f t="array" ref="AP5">TREND($R31:$S31,$R$30:$S$30,AP$4)</f>
        <v>3968157269769872</v>
      </c>
      <c r="AQ5" s="151" cm="1">
        <f t="array" ref="AQ5">TREND($R31:$S31,$R$30:$S$30,AQ$4)</f>
        <v>3932176774612208</v>
      </c>
      <c r="AR5" s="151" cm="1">
        <f t="array" ref="AR5">TREND($R31:$S31,$R$30:$S$30,AR$4)</f>
        <v>3896196279454544</v>
      </c>
      <c r="AS5" s="151" cm="1">
        <f t="array" ref="AS5">TREND($R31:$S31,$R$30:$S$30,AS$4)</f>
        <v>3860215784296880</v>
      </c>
      <c r="AT5" s="151" cm="1">
        <f t="array" ref="AT5">TREND($R31:$S31,$R$30:$S$30,AT$4)</f>
        <v>3824235289139216</v>
      </c>
      <c r="AU5" s="151" cm="1">
        <f t="array" ref="AU5">TREND($R31:$S31,$R$30:$S$30,AU$4)</f>
        <v>3788254793981552</v>
      </c>
      <c r="AV5" s="483">
        <f>F42*$A$33</f>
        <v>3752274298823890</v>
      </c>
      <c r="AW5" s="174">
        <f>(AV5/R5)^(1/30)-1</f>
        <v>-4.7877318783811074E-3</v>
      </c>
    </row>
    <row r="6" spans="1:49" ht="13.5" customHeight="1">
      <c r="A6" s="80" t="s">
        <v>556</v>
      </c>
      <c r="B6" s="228">
        <v>7.1630000000000003</v>
      </c>
      <c r="C6" s="228">
        <v>8.8350000000000009</v>
      </c>
      <c r="D6" s="229">
        <v>9.9939999999999998</v>
      </c>
      <c r="E6" s="229">
        <v>10.558</v>
      </c>
      <c r="F6" s="229">
        <v>11.04</v>
      </c>
      <c r="G6" s="229">
        <v>11.282999999999999</v>
      </c>
      <c r="H6" s="239" t="s">
        <v>38</v>
      </c>
      <c r="I6" s="239" t="s">
        <v>38</v>
      </c>
      <c r="J6" s="41"/>
      <c r="K6" s="230">
        <v>1.17</v>
      </c>
      <c r="L6" s="230">
        <v>1.1200000000000001</v>
      </c>
      <c r="N6" s="42" t="s">
        <v>530</v>
      </c>
      <c r="O6" s="487">
        <f>B43*$A$33</f>
        <v>256499330629080</v>
      </c>
      <c r="P6" s="488" cm="1">
        <f t="array" ref="P6">TREND($O32:$P32,$O$30:$P$30,P$4)</f>
        <v>85799004464516</v>
      </c>
      <c r="Q6" s="488" cm="1">
        <f t="array" ref="Q6">TREND($O32:$P32,$O$30:$P$30,Q$4)</f>
        <v>76315653010928</v>
      </c>
      <c r="R6" s="488" cm="1">
        <f t="array" ref="R6">TREND($O32:$P32,$O$30:$P$30,R$4)</f>
        <v>66832301557344</v>
      </c>
      <c r="S6" s="488" cm="1">
        <f t="array" ref="S6">TREND($O32:$P32,$O$30:$P$30,S$4)</f>
        <v>57348950103756</v>
      </c>
      <c r="T6" s="417">
        <f>C43*$A$33</f>
        <v>47865598650170</v>
      </c>
      <c r="U6" s="151" cm="1">
        <f t="array" ref="U6">TREND($P32:$Q32,$P$30:$Q$30,U$4)</f>
        <v>46081048576220</v>
      </c>
      <c r="V6" s="151" cm="1">
        <f t="array" ref="V6">TREND($P32:$Q32,$P$30:$Q$30,V$4)</f>
        <v>44296498502270</v>
      </c>
      <c r="W6" s="151" cm="1">
        <f t="array" ref="W6">TREND($P32:$Q32,$P$30:$Q$30,W$4)</f>
        <v>42511948428320</v>
      </c>
      <c r="X6" s="151" cm="1">
        <f t="array" ref="X6">TREND($P32:$Q32,$P$30:$Q$30,X$4)</f>
        <v>40727398354370</v>
      </c>
      <c r="Y6" s="151" cm="1">
        <f t="array" ref="Y6">TREND($P32:$Q32,$P$30:$Q$30,Y$4)</f>
        <v>38942848280420</v>
      </c>
      <c r="Z6" s="151" cm="1">
        <f t="array" ref="Z6">TREND($P32:$Q32,$P$30:$Q$30,Z$4)</f>
        <v>37158298206470</v>
      </c>
      <c r="AA6" s="151" cm="1">
        <f t="array" ref="AA6">TREND($P32:$Q32,$P$30:$Q$30,AA$4)</f>
        <v>35373748132520</v>
      </c>
      <c r="AB6" s="158">
        <f>D43*$A$33</f>
        <v>33589198058570</v>
      </c>
      <c r="AC6" s="151" cm="1">
        <f t="array" ref="AC6">TREND($Q32:$R32,$Q$30:$R$30,AC$4)</f>
        <v>33648683061035</v>
      </c>
      <c r="AD6" s="151" cm="1">
        <f t="array" ref="AD6">TREND($Q32:$R32,$Q$30:$R$30,AD$4)</f>
        <v>33708168063500</v>
      </c>
      <c r="AE6" s="151" cm="1">
        <f t="array" ref="AE6">TREND($Q32:$R32,$Q$30:$R$30,AE$4)</f>
        <v>33767653065965</v>
      </c>
      <c r="AF6" s="151" cm="1">
        <f t="array" ref="AF6">TREND($Q32:$R32,$Q$30:$R$30,AF$4)</f>
        <v>33827138068430</v>
      </c>
      <c r="AG6" s="151" cm="1">
        <f t="array" ref="AG6">TREND($Q32:$R32,$Q$30:$R$30,AG$4)</f>
        <v>33886623070895</v>
      </c>
      <c r="AH6" s="151" cm="1">
        <f t="array" ref="AH6">TREND($Q32:$R32,$Q$30:$R$30,AH$4)</f>
        <v>33946108073360</v>
      </c>
      <c r="AI6" s="151" cm="1">
        <f t="array" ref="AI6">TREND($Q32:$R32,$Q$30:$R$30,AI$4)</f>
        <v>34005593075825</v>
      </c>
      <c r="AJ6" s="151" cm="1">
        <f t="array" ref="AJ6">TREND($Q32:$R32,$Q$30:$R$30,AJ$4)</f>
        <v>34065078078290</v>
      </c>
      <c r="AK6" s="151" cm="1">
        <f t="array" ref="AK6">TREND($Q32:$R32,$Q$30:$R$30,AK$4)</f>
        <v>34124563080755</v>
      </c>
      <c r="AL6" s="158">
        <f>E43*$A$33</f>
        <v>34184048083220</v>
      </c>
      <c r="AM6" s="151" cm="1">
        <f t="array" ref="AM6">TREND($R32:$S32,$R$30:$S$30,AM$4)</f>
        <v>34255430086178</v>
      </c>
      <c r="AN6" s="151" cm="1">
        <f t="array" ref="AN6">TREND($R32:$S32,$R$30:$S$30,AN$4)</f>
        <v>34326812089136</v>
      </c>
      <c r="AO6" s="151" cm="1">
        <f t="array" ref="AO6">TREND($R32:$S32,$R$30:$S$30,AO$4)</f>
        <v>34398194092094</v>
      </c>
      <c r="AP6" s="151" cm="1">
        <f t="array" ref="AP6">TREND($R32:$S32,$R$30:$S$30,AP$4)</f>
        <v>34469576095052</v>
      </c>
      <c r="AQ6" s="151" cm="1">
        <f t="array" ref="AQ6">TREND($R32:$S32,$R$30:$S$30,AQ$4)</f>
        <v>34540958098010</v>
      </c>
      <c r="AR6" s="151" cm="1">
        <f t="array" ref="AR6">TREND($R32:$S32,$R$30:$S$30,AR$4)</f>
        <v>34612340100968</v>
      </c>
      <c r="AS6" s="151" cm="1">
        <f t="array" ref="AS6">TREND($R32:$S32,$R$30:$S$30,AS$4)</f>
        <v>34683722103926</v>
      </c>
      <c r="AT6" s="151" cm="1">
        <f t="array" ref="AT6">TREND($R32:$S32,$R$30:$S$30,AT$4)</f>
        <v>34755104106884</v>
      </c>
      <c r="AU6" s="151" cm="1">
        <f t="array" ref="AU6">TREND($R32:$S32,$R$30:$S$30,AU$4)</f>
        <v>34826486109842</v>
      </c>
      <c r="AV6" s="158">
        <f>H43*$A$33</f>
        <v>34897868112800</v>
      </c>
      <c r="AW6" s="174"/>
    </row>
    <row r="7" spans="1:49" ht="13.5" customHeight="1">
      <c r="A7" s="80" t="s">
        <v>541</v>
      </c>
      <c r="B7" s="67">
        <v>100.61799999999999</v>
      </c>
      <c r="C7" s="67">
        <v>118.521</v>
      </c>
      <c r="D7" s="68">
        <v>125.675</v>
      </c>
      <c r="E7" s="68">
        <v>127.51</v>
      </c>
      <c r="F7" s="68">
        <v>127.178</v>
      </c>
      <c r="G7" s="68">
        <v>125.77200000000001</v>
      </c>
      <c r="H7" s="39">
        <v>100</v>
      </c>
      <c r="I7" s="39">
        <v>99.990000000000009</v>
      </c>
      <c r="J7" s="74"/>
      <c r="K7" s="75">
        <v>0.91</v>
      </c>
      <c r="L7" s="75">
        <v>0.27</v>
      </c>
      <c r="N7" s="42" t="s">
        <v>558</v>
      </c>
      <c r="O7" s="487">
        <f>(B44+B45)*$A$33</f>
        <v>3597177069063480</v>
      </c>
      <c r="P7" s="488" cm="1">
        <f t="array" ref="P7">TREND($O33:$P33,$O$30:$P$30,P$4)</f>
        <v>4199576281299032</v>
      </c>
      <c r="Q7" s="488" cm="1">
        <f t="array" ref="Q7">TREND($O33:$P33,$O$30:$P$30,Q$4)</f>
        <v>4233042904201008</v>
      </c>
      <c r="R7" s="488" cm="1">
        <f t="array" ref="R7">TREND($O33:$P33,$O$30:$P$30,R$4)</f>
        <v>4266509527102984</v>
      </c>
      <c r="S7" s="488" cm="1">
        <f t="array" ref="S7">TREND($O33:$P33,$O$30:$P$30,S$4)</f>
        <v>4299976150004960</v>
      </c>
      <c r="T7" s="431">
        <f>(C44+C45)*$A$33</f>
        <v>4333442772906940</v>
      </c>
      <c r="U7" s="163" cm="1">
        <f t="array" ref="U7">TREND($P33:$Q33,$P$30:$Q$30,U$4)</f>
        <v>4329576247746714</v>
      </c>
      <c r="V7" s="163" cm="1">
        <f t="array" ref="V7">TREND($P33:$Q33,$P$30:$Q$30,V$4)</f>
        <v>4325709722586489</v>
      </c>
      <c r="W7" s="163" cm="1">
        <f t="array" ref="W7">TREND($P33:$Q33,$P$30:$Q$30,W$4)</f>
        <v>4321843197426264</v>
      </c>
      <c r="X7" s="163" cm="1">
        <f t="array" ref="X7">TREND($P33:$Q33,$P$30:$Q$30,X$4)</f>
        <v>4317976672266039</v>
      </c>
      <c r="Y7" s="163" cm="1">
        <f t="array" ref="Y7">TREND($P33:$Q33,$P$30:$Q$30,Y$4)</f>
        <v>4314110147105814</v>
      </c>
      <c r="Z7" s="163" cm="1">
        <f t="array" ref="Z7">TREND($P33:$Q33,$P$30:$Q$30,Z$4)</f>
        <v>4310243621945589</v>
      </c>
      <c r="AA7" s="163" cm="1">
        <f t="array" ref="AA7">TREND($P33:$Q33,$P$30:$Q$30,AA$4)</f>
        <v>4306377096785364</v>
      </c>
      <c r="AB7" s="430">
        <f>(D44+D45)*$A$33</f>
        <v>4302510571625140</v>
      </c>
      <c r="AC7" s="163" cm="1">
        <f t="array" ref="AC7">TREND($Q33:$R33,$Q$30:$R$30,AC$4)</f>
        <v>4280049034694352</v>
      </c>
      <c r="AD7" s="163" cm="1">
        <f t="array" ref="AD7">TREND($Q33:$R33,$Q$30:$R$30,AD$4)</f>
        <v>4257587497763568</v>
      </c>
      <c r="AE7" s="163" cm="1">
        <f t="array" ref="AE7">TREND($Q33:$R33,$Q$30:$R$30,AE$4)</f>
        <v>4235125960832784</v>
      </c>
      <c r="AF7" s="163" cm="1">
        <f t="array" ref="AF7">TREND($Q33:$R33,$Q$30:$R$30,AF$4)</f>
        <v>4212664423902000</v>
      </c>
      <c r="AG7" s="163" cm="1">
        <f t="array" ref="AG7">TREND($Q33:$R33,$Q$30:$R$30,AG$4)</f>
        <v>4190202886971216</v>
      </c>
      <c r="AH7" s="163" cm="1">
        <f t="array" ref="AH7">TREND($Q33:$R33,$Q$30:$R$30,AH$4)</f>
        <v>4167741350040432</v>
      </c>
      <c r="AI7" s="163" cm="1">
        <f t="array" ref="AI7">TREND($Q33:$R33,$Q$30:$R$30,AI$4)</f>
        <v>4145279813109648</v>
      </c>
      <c r="AJ7" s="163" cm="1">
        <f t="array" ref="AJ7">TREND($Q33:$R33,$Q$30:$R$30,AJ$4)</f>
        <v>4122818276178864</v>
      </c>
      <c r="AK7" s="163" cm="1">
        <f t="array" ref="AK7">TREND($Q33:$R33,$Q$30:$R$30,AK$4)</f>
        <v>4100356739248080</v>
      </c>
      <c r="AL7" s="430">
        <f>(E44+E45)*$A$33</f>
        <v>4077895202317300</v>
      </c>
      <c r="AM7" s="151" cm="1">
        <f t="array" ref="AM7">TREND($R33:$S33,$R$30:$S$30,AM$4)</f>
        <v>4042033677164576</v>
      </c>
      <c r="AN7" s="151" cm="1">
        <f t="array" ref="AN7">TREND($R33:$S33,$R$30:$S$30,AN$4)</f>
        <v>4006172152011840</v>
      </c>
      <c r="AO7" s="151" cm="1">
        <f t="array" ref="AO7">TREND($R33:$S33,$R$30:$S$30,AO$4)</f>
        <v>3970310626859104</v>
      </c>
      <c r="AP7" s="151" cm="1">
        <f t="array" ref="AP7">TREND($R33:$S33,$R$30:$S$30,AP$4)</f>
        <v>3934449101706368</v>
      </c>
      <c r="AQ7" s="151" cm="1">
        <f t="array" ref="AQ7">TREND($R33:$S33,$R$30:$S$30,AQ$4)</f>
        <v>3898587576553632</v>
      </c>
      <c r="AR7" s="151" cm="1">
        <f t="array" ref="AR7">TREND($R33:$S33,$R$30:$S$30,AR$4)</f>
        <v>3862726051400912</v>
      </c>
      <c r="AS7" s="151" cm="1">
        <f t="array" ref="AS7">TREND($R33:$S33,$R$30:$S$30,AS$4)</f>
        <v>3826864526248176</v>
      </c>
      <c r="AT7" s="151" cm="1">
        <f t="array" ref="AT7">TREND($R33:$S33,$R$30:$S$30,AT$4)</f>
        <v>3791003001095440</v>
      </c>
      <c r="AU7" s="151" cm="1">
        <f t="array" ref="AU7">TREND($R33:$S33,$R$30:$S$30,AU$4)</f>
        <v>3755141475942704</v>
      </c>
      <c r="AV7" s="430">
        <f>(F44+F45)*$A$33</f>
        <v>3719279950789970</v>
      </c>
      <c r="AW7" s="171"/>
    </row>
    <row r="8" spans="1:49" ht="13.5" customHeight="1">
      <c r="A8" s="42" t="s">
        <v>557</v>
      </c>
      <c r="B8" s="228">
        <v>6.7789999999999999</v>
      </c>
      <c r="C8" s="228">
        <v>1.6910000000000001</v>
      </c>
      <c r="D8" s="229">
        <v>0.81699999999999995</v>
      </c>
      <c r="E8" s="229">
        <v>0.83599999999999997</v>
      </c>
      <c r="F8" s="229">
        <v>0.84599999999999997</v>
      </c>
      <c r="G8" s="229">
        <v>0.78600000000000003</v>
      </c>
      <c r="H8" s="45">
        <v>1.43</v>
      </c>
      <c r="I8" s="45">
        <v>0.62</v>
      </c>
      <c r="J8" s="41"/>
      <c r="K8" s="230">
        <v>-7.42</v>
      </c>
      <c r="L8" s="230">
        <v>-3.42</v>
      </c>
      <c r="N8" s="50"/>
      <c r="O8" s="149"/>
      <c r="P8" s="149"/>
      <c r="Q8" s="211"/>
      <c r="R8" s="151"/>
      <c r="S8" s="151"/>
      <c r="T8" s="417"/>
      <c r="U8" s="151"/>
      <c r="V8" s="151"/>
      <c r="W8" s="158"/>
      <c r="X8" s="151"/>
      <c r="Y8" s="151"/>
      <c r="Z8" s="151"/>
      <c r="AA8" s="151"/>
      <c r="AB8" s="158"/>
      <c r="AC8" s="151"/>
      <c r="AD8" s="151"/>
      <c r="AE8" s="151"/>
      <c r="AF8" s="151"/>
      <c r="AG8" s="158"/>
      <c r="AH8" s="151"/>
      <c r="AI8" s="151"/>
      <c r="AJ8" s="151"/>
      <c r="AK8" s="151"/>
      <c r="AL8" s="158"/>
      <c r="AM8" s="151"/>
      <c r="AN8" s="151"/>
      <c r="AO8" s="151"/>
      <c r="AP8" s="151"/>
      <c r="AQ8" s="151"/>
      <c r="AR8" s="151"/>
      <c r="AS8" s="151"/>
      <c r="AT8" s="151"/>
      <c r="AU8" s="151"/>
      <c r="AV8" s="151"/>
      <c r="AW8" s="171"/>
    </row>
    <row r="9" spans="1:49" ht="13.5" customHeight="1">
      <c r="A9" s="42" t="s">
        <v>558</v>
      </c>
      <c r="B9" s="228">
        <v>93.838999999999999</v>
      </c>
      <c r="C9" s="228">
        <v>116.83</v>
      </c>
      <c r="D9" s="229">
        <v>124.858</v>
      </c>
      <c r="E9" s="229">
        <v>126.675</v>
      </c>
      <c r="F9" s="229">
        <v>126.33199999999999</v>
      </c>
      <c r="G9" s="229">
        <v>124.985</v>
      </c>
      <c r="H9" s="45">
        <v>98.57</v>
      </c>
      <c r="I9" s="45">
        <v>99.37</v>
      </c>
      <c r="J9" s="41"/>
      <c r="K9" s="230">
        <v>1.22</v>
      </c>
      <c r="L9" s="230">
        <v>0.31</v>
      </c>
      <c r="N9" s="37" t="s">
        <v>539</v>
      </c>
      <c r="O9" s="149"/>
      <c r="P9" s="149"/>
      <c r="Q9" s="217">
        <f>Q5/P5-1</f>
        <v>5.5965393574883837E-3</v>
      </c>
      <c r="R9" s="217">
        <f>R5/Q5-1</f>
        <v>5.565392419773163E-3</v>
      </c>
      <c r="S9" s="217">
        <f t="shared" ref="S9:AV9" si="0">S5/R5-1</f>
        <v>5.5345902531300784E-3</v>
      </c>
      <c r="T9" s="429">
        <f>T5/S5-1</f>
        <v>5.5041271645761558E-3</v>
      </c>
      <c r="U9" s="217">
        <f t="shared" si="0"/>
        <v>-1.2898145382466142E-3</v>
      </c>
      <c r="V9" s="217">
        <f t="shared" si="0"/>
        <v>-1.2914803083237114E-3</v>
      </c>
      <c r="W9" s="217">
        <f t="shared" si="0"/>
        <v>-1.2931503865841742E-3</v>
      </c>
      <c r="X9" s="217">
        <f t="shared" si="0"/>
        <v>-1.2948247897610621E-3</v>
      </c>
      <c r="Y9" s="217">
        <f t="shared" si="0"/>
        <v>-1.2965035346782505E-3</v>
      </c>
      <c r="Z9" s="217">
        <f t="shared" si="0"/>
        <v>-1.298186638242993E-3</v>
      </c>
      <c r="AA9" s="217">
        <f t="shared" si="0"/>
        <v>-1.2998741174541362E-3</v>
      </c>
      <c r="AB9" s="217">
        <f t="shared" si="0"/>
        <v>-1.301565989395459E-3</v>
      </c>
      <c r="AC9" s="217">
        <f t="shared" si="0"/>
        <v>-5.1664060142121437E-3</v>
      </c>
      <c r="AD9" s="217">
        <f t="shared" si="0"/>
        <v>-5.1932363818892879E-3</v>
      </c>
      <c r="AE9" s="217">
        <f t="shared" si="0"/>
        <v>-5.2203468772180628E-3</v>
      </c>
      <c r="AF9" s="217">
        <f t="shared" si="0"/>
        <v>-5.2477419103120759E-3</v>
      </c>
      <c r="AG9" s="217">
        <f t="shared" si="0"/>
        <v>-5.2754259843448281E-3</v>
      </c>
      <c r="AH9" s="217">
        <f t="shared" si="0"/>
        <v>-5.3034036980169619E-3</v>
      </c>
      <c r="AI9" s="217">
        <f t="shared" si="0"/>
        <v>-5.3316797481116618E-3</v>
      </c>
      <c r="AJ9" s="217">
        <f t="shared" si="0"/>
        <v>-5.3602589321045668E-3</v>
      </c>
      <c r="AK9" s="217">
        <f t="shared" si="0"/>
        <v>-5.3891461508963623E-3</v>
      </c>
      <c r="AL9" s="217">
        <f t="shared" si="0"/>
        <v>-5.4183464116047686E-3</v>
      </c>
      <c r="AM9" s="217">
        <f t="shared" si="0"/>
        <v>-8.7499517802704929E-3</v>
      </c>
      <c r="AN9" s="217">
        <f t="shared" si="0"/>
        <v>-8.8271892606587299E-3</v>
      </c>
      <c r="AO9" s="217">
        <f t="shared" si="0"/>
        <v>-8.9058024645310985E-3</v>
      </c>
      <c r="AP9" s="217">
        <f t="shared" si="0"/>
        <v>-8.9858284779358311E-3</v>
      </c>
      <c r="AQ9" s="217">
        <f t="shared" si="0"/>
        <v>-9.0673057320005412E-3</v>
      </c>
      <c r="AR9" s="217">
        <f t="shared" si="0"/>
        <v>-9.1502740644747727E-3</v>
      </c>
      <c r="AS9" s="217">
        <f t="shared" si="0"/>
        <v>-9.234774784678268E-3</v>
      </c>
      <c r="AT9" s="217">
        <f t="shared" si="0"/>
        <v>-9.3208507420829978E-3</v>
      </c>
      <c r="AU9" s="217">
        <f t="shared" si="0"/>
        <v>-9.4085463987658713E-3</v>
      </c>
      <c r="AV9" s="217">
        <f t="shared" si="0"/>
        <v>-9.4979079059900329E-3</v>
      </c>
      <c r="AW9" s="171"/>
    </row>
    <row r="10" spans="1:49" s="211" customFormat="1" ht="3" customHeight="1">
      <c r="A10" s="50"/>
      <c r="B10" s="51"/>
      <c r="C10" s="51"/>
      <c r="D10" s="52"/>
      <c r="E10" s="52"/>
      <c r="F10" s="52"/>
      <c r="G10" s="52"/>
      <c r="H10" s="52"/>
      <c r="I10" s="52"/>
      <c r="J10" s="54"/>
      <c r="K10" s="54"/>
      <c r="L10" s="54"/>
      <c r="M10" s="30"/>
      <c r="N10" s="42"/>
      <c r="O10" s="220"/>
      <c r="P10" s="220"/>
      <c r="Q10" s="151"/>
      <c r="R10" s="151"/>
      <c r="S10" s="151"/>
      <c r="T10" s="151"/>
      <c r="U10" s="151"/>
      <c r="V10" s="151"/>
      <c r="W10" s="151"/>
      <c r="X10" s="151"/>
      <c r="Y10" s="151"/>
      <c r="Z10" s="151"/>
      <c r="AA10" s="151"/>
      <c r="AB10" s="151"/>
      <c r="AC10" s="151"/>
      <c r="AD10" s="151"/>
      <c r="AE10" s="151"/>
      <c r="AF10" s="151"/>
      <c r="AG10" s="151"/>
      <c r="AH10" s="151"/>
      <c r="AI10" s="151"/>
      <c r="AJ10" s="151"/>
      <c r="AK10" s="151"/>
      <c r="AL10" s="151"/>
      <c r="AM10" s="151"/>
      <c r="AN10" s="151"/>
      <c r="AO10" s="151"/>
      <c r="AP10" s="151"/>
      <c r="AQ10" s="151"/>
      <c r="AR10" s="151"/>
      <c r="AS10" s="151"/>
      <c r="AT10" s="151"/>
      <c r="AU10" s="151"/>
      <c r="AV10" s="151"/>
      <c r="AW10" s="171"/>
    </row>
    <row r="11" spans="1:49" ht="13.5" customHeight="1">
      <c r="A11" s="37" t="s">
        <v>559</v>
      </c>
      <c r="B11" s="240"/>
      <c r="C11" s="240"/>
      <c r="D11" s="241"/>
      <c r="E11" s="241"/>
      <c r="F11" s="241"/>
      <c r="G11" s="241"/>
      <c r="H11" s="239"/>
      <c r="I11" s="239"/>
      <c r="J11" s="41"/>
      <c r="K11" s="230"/>
      <c r="L11" s="230"/>
      <c r="N11" s="432" t="s">
        <v>862</v>
      </c>
      <c r="O11" s="220"/>
      <c r="P11" s="220"/>
      <c r="Q11" s="151"/>
      <c r="R11" s="151"/>
      <c r="S11" s="151"/>
      <c r="T11" s="151"/>
      <c r="U11" s="151"/>
      <c r="V11" s="151"/>
      <c r="W11" s="151"/>
      <c r="X11" s="151"/>
      <c r="Y11" s="151"/>
      <c r="Z11" s="151"/>
      <c r="AA11" s="151"/>
      <c r="AB11" s="151"/>
      <c r="AC11" s="151"/>
      <c r="AD11" s="151"/>
      <c r="AE11" s="151"/>
      <c r="AF11" s="151"/>
      <c r="AG11" s="151"/>
      <c r="AH11" s="151"/>
      <c r="AI11" s="151"/>
      <c r="AJ11" s="151"/>
      <c r="AK11" s="151"/>
      <c r="AL11" s="151"/>
      <c r="AM11" s="151"/>
      <c r="AN11" s="151"/>
      <c r="AO11" s="151"/>
      <c r="AP11" s="151"/>
      <c r="AQ11" s="151"/>
      <c r="AR11" s="151"/>
      <c r="AS11" s="151"/>
      <c r="AT11" s="151"/>
      <c r="AU11" s="151"/>
      <c r="AV11" s="151"/>
      <c r="AW11" s="171"/>
    </row>
    <row r="12" spans="1:49" ht="13.5" customHeight="1">
      <c r="A12" s="42" t="s">
        <v>560</v>
      </c>
      <c r="B12" s="228">
        <v>8.2319999999999993</v>
      </c>
      <c r="C12" s="228">
        <v>9.8940000000000001</v>
      </c>
      <c r="D12" s="229">
        <v>10.462999999999999</v>
      </c>
      <c r="E12" s="229">
        <v>10.816000000000001</v>
      </c>
      <c r="F12" s="229">
        <v>10.688000000000001</v>
      </c>
      <c r="G12" s="229">
        <v>10.170999999999999</v>
      </c>
      <c r="H12" s="45">
        <v>8.35</v>
      </c>
      <c r="I12" s="45">
        <v>8.09</v>
      </c>
      <c r="J12" s="41"/>
      <c r="K12" s="230">
        <v>1.03</v>
      </c>
      <c r="L12" s="230">
        <v>0.13</v>
      </c>
      <c r="M12" s="55"/>
      <c r="N12" s="218"/>
      <c r="O12" s="220"/>
      <c r="P12" s="220"/>
      <c r="Q12" s="151"/>
      <c r="R12" s="151"/>
      <c r="S12" s="151"/>
      <c r="T12" s="151"/>
      <c r="U12" s="151"/>
      <c r="V12" s="151"/>
      <c r="W12" s="219"/>
      <c r="X12" s="151"/>
      <c r="Y12" s="151"/>
      <c r="Z12" s="151"/>
      <c r="AA12" s="151"/>
      <c r="AB12" s="219"/>
      <c r="AC12" s="151"/>
      <c r="AD12" s="151"/>
      <c r="AE12" s="151"/>
      <c r="AF12" s="151"/>
      <c r="AG12" s="219"/>
      <c r="AH12" s="151"/>
      <c r="AI12" s="151"/>
      <c r="AJ12" s="151"/>
      <c r="AK12" s="151"/>
      <c r="AL12" s="219"/>
      <c r="AM12" s="151"/>
      <c r="AN12" s="151"/>
      <c r="AO12" s="151"/>
      <c r="AP12" s="151"/>
      <c r="AQ12" s="151"/>
      <c r="AR12" s="151"/>
      <c r="AS12" s="151"/>
      <c r="AT12" s="151"/>
      <c r="AU12" s="151"/>
      <c r="AV12" s="151"/>
      <c r="AW12" s="171"/>
    </row>
    <row r="13" spans="1:49" ht="13.5" customHeight="1">
      <c r="A13" s="42" t="s">
        <v>561</v>
      </c>
      <c r="B13" s="228">
        <v>9.67</v>
      </c>
      <c r="C13" s="228">
        <v>2.6309999999999998</v>
      </c>
      <c r="D13" s="229">
        <v>1.7490000000000001</v>
      </c>
      <c r="E13" s="229">
        <v>1.3640000000000001</v>
      </c>
      <c r="F13" s="229">
        <v>1.077</v>
      </c>
      <c r="G13" s="229">
        <v>0.86399999999999999</v>
      </c>
      <c r="H13" s="45">
        <v>2.2200000000000002</v>
      </c>
      <c r="I13" s="45">
        <v>0.69</v>
      </c>
      <c r="J13" s="41"/>
      <c r="K13" s="230">
        <v>-6.98</v>
      </c>
      <c r="L13" s="230">
        <v>-4.9400000000000004</v>
      </c>
      <c r="N13" s="37"/>
      <c r="O13" s="220"/>
      <c r="P13" s="220"/>
      <c r="Q13" s="151"/>
      <c r="R13" s="151"/>
      <c r="S13" s="151"/>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151"/>
      <c r="AS13" s="151"/>
      <c r="AT13" s="151"/>
      <c r="AU13" s="151"/>
      <c r="AV13" s="151"/>
      <c r="AW13" s="174"/>
    </row>
    <row r="14" spans="1:49" ht="13.5" customHeight="1">
      <c r="A14" s="42" t="s">
        <v>562</v>
      </c>
      <c r="B14" s="228">
        <v>18.931000000000001</v>
      </c>
      <c r="C14" s="228">
        <v>23.555</v>
      </c>
      <c r="D14" s="229">
        <v>24.047000000000001</v>
      </c>
      <c r="E14" s="229">
        <v>23.135999999999999</v>
      </c>
      <c r="F14" s="229">
        <v>21.914999999999999</v>
      </c>
      <c r="G14" s="229">
        <v>20.768999999999998</v>
      </c>
      <c r="H14" s="45">
        <v>19.87</v>
      </c>
      <c r="I14" s="45">
        <v>16.510000000000002</v>
      </c>
      <c r="J14" s="41"/>
      <c r="K14" s="230">
        <v>1.22</v>
      </c>
      <c r="L14" s="230">
        <v>-0.56999999999999995</v>
      </c>
      <c r="N14" s="42"/>
      <c r="O14" s="220"/>
      <c r="P14" s="220"/>
      <c r="Q14" s="151"/>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151"/>
      <c r="AT14" s="151"/>
      <c r="AU14" s="151"/>
      <c r="AV14" s="151"/>
      <c r="AW14" s="171"/>
    </row>
    <row r="15" spans="1:49" ht="13.5" customHeight="1">
      <c r="A15" s="42" t="s">
        <v>563</v>
      </c>
      <c r="B15" s="228">
        <v>20.388999999999999</v>
      </c>
      <c r="C15" s="228">
        <v>5.3140000000000001</v>
      </c>
      <c r="D15" s="229">
        <v>4.6580000000000004</v>
      </c>
      <c r="E15" s="229">
        <v>4.6950000000000003</v>
      </c>
      <c r="F15" s="229">
        <v>4.6859999999999999</v>
      </c>
      <c r="G15" s="229">
        <v>4.5720000000000001</v>
      </c>
      <c r="H15" s="45">
        <v>4.4800000000000004</v>
      </c>
      <c r="I15" s="45">
        <v>3.64</v>
      </c>
      <c r="J15" s="41"/>
      <c r="K15" s="230">
        <v>-7.2</v>
      </c>
      <c r="L15" s="230">
        <v>-0.68</v>
      </c>
      <c r="N15" s="42"/>
      <c r="O15" s="220"/>
      <c r="P15" s="220"/>
      <c r="Q15" s="151"/>
      <c r="R15" s="151"/>
      <c r="S15" s="151"/>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151"/>
      <c r="AT15" s="151"/>
      <c r="AU15" s="151"/>
      <c r="AV15" s="151"/>
      <c r="AW15" s="171"/>
    </row>
    <row r="16" spans="1:49" ht="13.5" customHeight="1">
      <c r="A16" s="42" t="s">
        <v>564</v>
      </c>
      <c r="B16" s="228">
        <v>2.5209999999999999</v>
      </c>
      <c r="C16" s="228">
        <v>5.5250000000000004</v>
      </c>
      <c r="D16" s="229">
        <v>6.2930000000000001</v>
      </c>
      <c r="E16" s="229">
        <v>6.8449999999999998</v>
      </c>
      <c r="F16" s="229">
        <v>7.2249999999999996</v>
      </c>
      <c r="G16" s="229">
        <v>7.4859999999999998</v>
      </c>
      <c r="H16" s="45">
        <v>4.66</v>
      </c>
      <c r="I16" s="45">
        <v>5.95</v>
      </c>
      <c r="J16" s="41"/>
      <c r="K16" s="230">
        <v>4.46</v>
      </c>
      <c r="L16" s="230">
        <v>1.39</v>
      </c>
      <c r="N16" s="42"/>
      <c r="O16" s="220"/>
      <c r="P16" s="220"/>
      <c r="Q16" s="151"/>
      <c r="R16" s="151"/>
      <c r="S16" s="151"/>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151"/>
      <c r="AT16" s="151"/>
      <c r="AU16" s="151"/>
      <c r="AV16" s="151"/>
      <c r="AW16" s="171"/>
    </row>
    <row r="17" spans="1:49" ht="13.5" customHeight="1">
      <c r="A17" s="42" t="s">
        <v>565</v>
      </c>
      <c r="B17" s="228">
        <v>4.548</v>
      </c>
      <c r="C17" s="228">
        <v>6.165</v>
      </c>
      <c r="D17" s="229">
        <v>6.2729999999999997</v>
      </c>
      <c r="E17" s="229">
        <v>6.319</v>
      </c>
      <c r="F17" s="229">
        <v>6.306</v>
      </c>
      <c r="G17" s="229">
        <v>6.2859999999999996</v>
      </c>
      <c r="H17" s="45">
        <v>5.2</v>
      </c>
      <c r="I17" s="45">
        <v>5</v>
      </c>
      <c r="J17" s="41"/>
      <c r="K17" s="230">
        <v>1.7</v>
      </c>
      <c r="L17" s="230">
        <v>0.09</v>
      </c>
      <c r="N17" s="42"/>
      <c r="O17" s="220"/>
      <c r="P17" s="220"/>
      <c r="Q17" s="151"/>
      <c r="R17" s="151"/>
      <c r="S17" s="151"/>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1"/>
      <c r="AT17" s="151"/>
      <c r="AU17" s="151"/>
      <c r="AV17" s="151"/>
      <c r="AW17" s="171"/>
    </row>
    <row r="18" spans="1:49" ht="13.5" customHeight="1">
      <c r="A18" s="42" t="s">
        <v>566</v>
      </c>
      <c r="B18" s="228">
        <v>4.0960000000000001</v>
      </c>
      <c r="C18" s="228">
        <v>4.9950000000000001</v>
      </c>
      <c r="D18" s="229">
        <v>4.7690000000000001</v>
      </c>
      <c r="E18" s="229">
        <v>4.8460000000000001</v>
      </c>
      <c r="F18" s="229">
        <v>4.8310000000000004</v>
      </c>
      <c r="G18" s="229">
        <v>4.7210000000000001</v>
      </c>
      <c r="H18" s="45">
        <v>4.21</v>
      </c>
      <c r="I18" s="45">
        <v>3.75</v>
      </c>
      <c r="J18" s="41"/>
      <c r="K18" s="230">
        <v>1.1100000000000001</v>
      </c>
      <c r="L18" s="230">
        <v>-0.26</v>
      </c>
      <c r="N18" s="42"/>
      <c r="O18" s="220"/>
      <c r="P18" s="220"/>
      <c r="Q18" s="151"/>
      <c r="R18" s="151"/>
      <c r="S18" s="151"/>
      <c r="T18" s="151"/>
      <c r="U18" s="151"/>
      <c r="V18" s="151"/>
      <c r="W18" s="151"/>
      <c r="X18" s="151"/>
      <c r="Y18" s="151"/>
      <c r="Z18" s="151"/>
      <c r="AA18" s="151"/>
      <c r="AB18" s="151"/>
      <c r="AC18" s="151"/>
      <c r="AD18" s="151"/>
      <c r="AE18" s="151"/>
      <c r="AF18" s="151"/>
      <c r="AG18" s="151"/>
      <c r="AH18" s="151"/>
      <c r="AI18" s="151"/>
      <c r="AJ18" s="151"/>
      <c r="AK18" s="151"/>
      <c r="AL18" s="151"/>
      <c r="AM18" s="151"/>
      <c r="AN18" s="151"/>
      <c r="AO18" s="151"/>
      <c r="AP18" s="151"/>
      <c r="AQ18" s="151"/>
      <c r="AR18" s="151"/>
      <c r="AS18" s="151"/>
      <c r="AT18" s="151"/>
      <c r="AU18" s="151"/>
      <c r="AV18" s="151"/>
      <c r="AW18" s="171"/>
    </row>
    <row r="19" spans="1:49" ht="13.5" customHeight="1">
      <c r="A19" s="42" t="s">
        <v>567</v>
      </c>
      <c r="B19" s="228">
        <v>29.129000000000001</v>
      </c>
      <c r="C19" s="228">
        <v>55.301000000000002</v>
      </c>
      <c r="D19" s="229">
        <v>61.433</v>
      </c>
      <c r="E19" s="229">
        <v>62.978000000000002</v>
      </c>
      <c r="F19" s="229">
        <v>63.631999999999998</v>
      </c>
      <c r="G19" s="229">
        <v>63.924999999999997</v>
      </c>
      <c r="H19" s="45">
        <v>46.66</v>
      </c>
      <c r="I19" s="45">
        <v>50.83</v>
      </c>
      <c r="J19" s="41"/>
      <c r="K19" s="230">
        <v>3.63</v>
      </c>
      <c r="L19" s="230">
        <v>0.66</v>
      </c>
      <c r="M19" s="55"/>
      <c r="N19" s="42"/>
      <c r="O19" s="220"/>
      <c r="P19" s="220"/>
      <c r="Q19" s="151"/>
      <c r="R19" s="151"/>
      <c r="S19" s="151"/>
      <c r="T19" s="151"/>
      <c r="U19" s="151"/>
      <c r="V19" s="151"/>
      <c r="W19" s="151"/>
      <c r="X19" s="151"/>
      <c r="Y19" s="151"/>
      <c r="Z19" s="151"/>
      <c r="AA19" s="151"/>
      <c r="AB19" s="151"/>
      <c r="AC19" s="151"/>
      <c r="AD19" s="151"/>
      <c r="AE19" s="151"/>
      <c r="AF19" s="151"/>
      <c r="AG19" s="151"/>
      <c r="AH19" s="151"/>
      <c r="AI19" s="151"/>
      <c r="AJ19" s="151"/>
      <c r="AK19" s="151"/>
      <c r="AL19" s="151"/>
      <c r="AM19" s="151"/>
      <c r="AN19" s="151"/>
      <c r="AO19" s="151"/>
      <c r="AP19" s="151"/>
      <c r="AQ19" s="151"/>
      <c r="AR19" s="151"/>
      <c r="AS19" s="151"/>
      <c r="AT19" s="151"/>
      <c r="AU19" s="151"/>
      <c r="AV19" s="151"/>
      <c r="AW19" s="171"/>
    </row>
    <row r="20" spans="1:49" ht="13.5" customHeight="1">
      <c r="A20" s="42" t="s">
        <v>568</v>
      </c>
      <c r="B20" s="228">
        <v>3.1019999999999999</v>
      </c>
      <c r="C20" s="228">
        <v>5.141</v>
      </c>
      <c r="D20" s="229">
        <v>5.9880000000000004</v>
      </c>
      <c r="E20" s="229">
        <v>6.5110000000000001</v>
      </c>
      <c r="F20" s="229">
        <v>6.8170000000000002</v>
      </c>
      <c r="G20" s="229">
        <v>6.9790000000000001</v>
      </c>
      <c r="H20" s="45">
        <v>4.34</v>
      </c>
      <c r="I20" s="45">
        <v>5.55</v>
      </c>
      <c r="J20" s="41"/>
      <c r="K20" s="230">
        <v>2.85</v>
      </c>
      <c r="L20" s="230">
        <v>1.4</v>
      </c>
    </row>
    <row r="21" spans="1:49" s="211" customFormat="1" ht="3" customHeight="1">
      <c r="A21" s="50"/>
      <c r="B21" s="51"/>
      <c r="C21" s="51"/>
      <c r="D21" s="52"/>
      <c r="E21" s="52"/>
      <c r="F21" s="52"/>
      <c r="G21" s="52"/>
      <c r="H21" s="52"/>
      <c r="I21" s="52"/>
      <c r="J21" s="54"/>
      <c r="K21" s="54"/>
      <c r="L21" s="54"/>
      <c r="M21" s="30"/>
      <c r="N21" s="31"/>
      <c r="O21" s="146"/>
      <c r="P21" s="146"/>
      <c r="Q21" s="146"/>
      <c r="R21" s="146"/>
      <c r="S21" s="146"/>
      <c r="T21" s="146"/>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row>
    <row r="22" spans="1:49" ht="13.5" customHeight="1">
      <c r="A22" s="37" t="s">
        <v>569</v>
      </c>
      <c r="B22" s="240"/>
      <c r="C22" s="240"/>
      <c r="D22" s="241"/>
      <c r="E22" s="241"/>
      <c r="F22" s="241"/>
      <c r="G22" s="241"/>
      <c r="H22" s="239"/>
      <c r="I22" s="239"/>
      <c r="J22" s="41"/>
      <c r="K22" s="230"/>
      <c r="L22" s="230"/>
      <c r="N22" s="31" t="s">
        <v>860</v>
      </c>
      <c r="O22" s="144">
        <v>2000</v>
      </c>
      <c r="P22" s="144">
        <v>2018</v>
      </c>
      <c r="Q22" s="156">
        <v>2025</v>
      </c>
      <c r="R22" s="156">
        <v>2030</v>
      </c>
      <c r="S22" s="156">
        <v>2035</v>
      </c>
      <c r="T22" s="156">
        <v>2040</v>
      </c>
      <c r="U22" s="30"/>
      <c r="V22" s="30"/>
      <c r="W22" s="30"/>
      <c r="X22" s="30"/>
      <c r="Y22" s="30"/>
      <c r="Z22" s="170"/>
      <c r="AA22" s="30"/>
      <c r="AB22" s="30"/>
      <c r="AC22" s="30"/>
      <c r="AD22" s="30"/>
      <c r="AE22" s="30"/>
      <c r="AF22" s="30"/>
      <c r="AG22" s="30"/>
      <c r="AH22" s="30"/>
      <c r="AI22" s="30"/>
      <c r="AJ22" s="30"/>
      <c r="AK22" s="30"/>
      <c r="AL22" s="30"/>
      <c r="AM22" s="30"/>
      <c r="AN22" s="30"/>
      <c r="AO22" s="30"/>
      <c r="AP22" s="30"/>
      <c r="AQ22" s="30"/>
      <c r="AR22" s="30"/>
      <c r="AS22" s="30"/>
      <c r="AT22" s="172"/>
      <c r="AU22" s="30"/>
      <c r="AV22" s="30"/>
    </row>
    <row r="23" spans="1:49" ht="13.5" customHeight="1">
      <c r="A23" s="42" t="s">
        <v>570</v>
      </c>
      <c r="B23" s="228">
        <v>48.521999999999998</v>
      </c>
      <c r="C23" s="228">
        <v>69.293999999999997</v>
      </c>
      <c r="D23" s="229">
        <v>76.963999999999999</v>
      </c>
      <c r="E23" s="229">
        <v>79.251000000000005</v>
      </c>
      <c r="F23" s="229">
        <v>80.3</v>
      </c>
      <c r="G23" s="229">
        <v>80.805999999999997</v>
      </c>
      <c r="H23" s="45">
        <v>58.47</v>
      </c>
      <c r="I23" s="45">
        <v>64.25</v>
      </c>
      <c r="J23" s="41"/>
      <c r="K23" s="230">
        <v>2</v>
      </c>
      <c r="L23" s="230">
        <v>0.7</v>
      </c>
      <c r="N23" s="37" t="s">
        <v>529</v>
      </c>
      <c r="O23" s="147">
        <f>O5</f>
        <v>3853676399692560</v>
      </c>
      <c r="P23" s="147">
        <f>P5</f>
        <v>4285375285763552</v>
      </c>
      <c r="Q23" s="148">
        <f>W5</f>
        <v>4364355145854584</v>
      </c>
      <c r="R23" s="148">
        <f>AB5</f>
        <v>4336099769683710</v>
      </c>
      <c r="S23" s="148">
        <f>AG5</f>
        <v>4224089510042112</v>
      </c>
      <c r="T23" s="148">
        <f>AL5</f>
        <v>4112079250400519.5</v>
      </c>
      <c r="U23" s="30"/>
      <c r="V23" s="30"/>
      <c r="W23" s="30"/>
      <c r="X23" s="30"/>
      <c r="Y23" s="30"/>
      <c r="Z23" s="170"/>
      <c r="AA23" s="30"/>
      <c r="AB23" s="30"/>
      <c r="AC23" s="30"/>
      <c r="AD23" s="30"/>
      <c r="AE23" s="30"/>
      <c r="AF23" s="30"/>
      <c r="AG23" s="30"/>
      <c r="AH23" s="30"/>
      <c r="AI23" s="30"/>
      <c r="AJ23" s="30"/>
      <c r="AK23" s="30"/>
      <c r="AL23" s="30"/>
      <c r="AM23" s="30"/>
      <c r="AN23" s="30"/>
      <c r="AO23" s="30"/>
      <c r="AP23" s="30"/>
      <c r="AQ23" s="30"/>
      <c r="AR23" s="30"/>
      <c r="AS23" s="30"/>
      <c r="AT23" s="173"/>
      <c r="AU23" s="165"/>
      <c r="AV23" s="165"/>
      <c r="AW23" s="171"/>
    </row>
    <row r="24" spans="1:49" ht="13.5" customHeight="1">
      <c r="A24" s="48" t="s">
        <v>571</v>
      </c>
      <c r="B24" s="228">
        <v>16.335000000000001</v>
      </c>
      <c r="C24" s="228">
        <v>9.016</v>
      </c>
      <c r="D24" s="229">
        <v>9.6739999999999995</v>
      </c>
      <c r="E24" s="229">
        <v>9.8840000000000003</v>
      </c>
      <c r="F24" s="229">
        <v>9.9640000000000004</v>
      </c>
      <c r="G24" s="229">
        <v>10.006</v>
      </c>
      <c r="H24" s="45">
        <v>7.61</v>
      </c>
      <c r="I24" s="45">
        <v>7.96</v>
      </c>
      <c r="J24" s="41"/>
      <c r="K24" s="230">
        <v>-3.25</v>
      </c>
      <c r="L24" s="230">
        <v>0.47</v>
      </c>
      <c r="N24" s="42" t="s">
        <v>530</v>
      </c>
      <c r="O24" s="147">
        <f t="shared" ref="O24:P25" si="1">O6</f>
        <v>256499330629080</v>
      </c>
      <c r="P24" s="147">
        <f t="shared" si="1"/>
        <v>85799004464516</v>
      </c>
      <c r="Q24" s="148">
        <f t="shared" ref="Q24:Q25" si="2">W6</f>
        <v>42511948428320</v>
      </c>
      <c r="R24" s="148">
        <f t="shared" ref="R24:R25" si="3">AB6</f>
        <v>33589198058570</v>
      </c>
      <c r="S24" s="148">
        <f t="shared" ref="S24:S25" si="4">AG6</f>
        <v>33886623070895</v>
      </c>
      <c r="T24" s="148">
        <f t="shared" ref="T24:T25" si="5">AL6</f>
        <v>34184048083220</v>
      </c>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row>
    <row r="25" spans="1:49" ht="13.5" customHeight="1">
      <c r="A25" s="48" t="s">
        <v>572</v>
      </c>
      <c r="B25" s="228">
        <v>32.186999999999998</v>
      </c>
      <c r="C25" s="228">
        <v>60.277999999999999</v>
      </c>
      <c r="D25" s="229">
        <v>67.290000000000006</v>
      </c>
      <c r="E25" s="229">
        <v>69.367000000000004</v>
      </c>
      <c r="F25" s="229">
        <v>70.335999999999999</v>
      </c>
      <c r="G25" s="229">
        <v>70.8</v>
      </c>
      <c r="H25" s="45">
        <v>50.86</v>
      </c>
      <c r="I25" s="45">
        <v>56.29</v>
      </c>
      <c r="J25" s="41"/>
      <c r="K25" s="230">
        <v>3.55</v>
      </c>
      <c r="L25" s="230">
        <v>0.73</v>
      </c>
      <c r="N25" s="42" t="s">
        <v>558</v>
      </c>
      <c r="O25" s="147">
        <f t="shared" si="1"/>
        <v>3597177069063480</v>
      </c>
      <c r="P25" s="147">
        <f t="shared" si="1"/>
        <v>4199576281299032</v>
      </c>
      <c r="Q25" s="148">
        <f t="shared" si="2"/>
        <v>4321843197426264</v>
      </c>
      <c r="R25" s="148">
        <f t="shared" si="3"/>
        <v>4302510571625140</v>
      </c>
      <c r="S25" s="148">
        <f t="shared" si="4"/>
        <v>4190202886971216</v>
      </c>
      <c r="T25" s="148">
        <f t="shared" si="5"/>
        <v>4077895202317300</v>
      </c>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row>
    <row r="26" spans="1:49" ht="13.5" customHeight="1">
      <c r="A26" s="42" t="s">
        <v>536</v>
      </c>
      <c r="B26" s="228">
        <v>30.77</v>
      </c>
      <c r="C26" s="228">
        <v>40.781999999999996</v>
      </c>
      <c r="D26" s="229">
        <v>43.353999999999999</v>
      </c>
      <c r="E26" s="229">
        <v>43.738999999999997</v>
      </c>
      <c r="F26" s="229">
        <v>43.018000000000001</v>
      </c>
      <c r="G26" s="229">
        <v>41.668999999999997</v>
      </c>
      <c r="H26" s="45">
        <v>34.409999999999997</v>
      </c>
      <c r="I26" s="45">
        <v>33.130000000000003</v>
      </c>
      <c r="J26" s="41"/>
      <c r="K26" s="230">
        <v>1.58</v>
      </c>
      <c r="L26" s="230">
        <v>0.1</v>
      </c>
    </row>
    <row r="27" spans="1:49" ht="13.5" customHeight="1">
      <c r="A27" s="42" t="s">
        <v>537</v>
      </c>
      <c r="B27" s="228">
        <v>8.8810000000000002</v>
      </c>
      <c r="C27" s="228">
        <v>3.3660000000000001</v>
      </c>
      <c r="D27" s="229">
        <v>2.2370000000000001</v>
      </c>
      <c r="E27" s="229">
        <v>1.6990000000000001</v>
      </c>
      <c r="F27" s="229">
        <v>1.31</v>
      </c>
      <c r="G27" s="229">
        <v>1.016</v>
      </c>
      <c r="H27" s="45">
        <v>2.84</v>
      </c>
      <c r="I27" s="45">
        <v>0.81</v>
      </c>
      <c r="J27" s="41"/>
      <c r="K27" s="230">
        <v>-5.25</v>
      </c>
      <c r="L27" s="230">
        <v>-5.3</v>
      </c>
      <c r="N27" s="42"/>
      <c r="O27" s="220"/>
      <c r="P27" s="220"/>
      <c r="Q27" s="151"/>
      <c r="R27" s="151"/>
      <c r="S27" s="151"/>
      <c r="T27" s="151"/>
    </row>
    <row r="28" spans="1:49" ht="13.5" customHeight="1">
      <c r="A28" s="42" t="s">
        <v>538</v>
      </c>
      <c r="B28" s="228">
        <v>5.6669999999999998</v>
      </c>
      <c r="C28" s="228">
        <v>3.3879999999999999</v>
      </c>
      <c r="D28" s="229">
        <v>2.302</v>
      </c>
      <c r="E28" s="229">
        <v>1.986</v>
      </c>
      <c r="F28" s="229">
        <v>1.704</v>
      </c>
      <c r="G28" s="229">
        <v>1.4950000000000001</v>
      </c>
      <c r="H28" s="45">
        <v>2.86</v>
      </c>
      <c r="I28" s="45">
        <v>1.19</v>
      </c>
      <c r="J28" s="41"/>
      <c r="K28" s="230">
        <v>-2.82</v>
      </c>
      <c r="L28" s="230">
        <v>-3.65</v>
      </c>
    </row>
    <row r="29" spans="1:49" ht="13.5" customHeight="1" thickBot="1">
      <c r="A29" s="242" t="s">
        <v>573</v>
      </c>
      <c r="B29" s="228">
        <v>6.7789999999999999</v>
      </c>
      <c r="C29" s="228">
        <v>1.6910000000000001</v>
      </c>
      <c r="D29" s="229">
        <v>0.81699999999999995</v>
      </c>
      <c r="E29" s="229">
        <v>0.83599999999999997</v>
      </c>
      <c r="F29" s="229">
        <v>0.84599999999999997</v>
      </c>
      <c r="G29" s="229">
        <v>0.78600000000000003</v>
      </c>
      <c r="H29" s="45">
        <v>1.43</v>
      </c>
      <c r="I29" s="45">
        <v>0.62</v>
      </c>
      <c r="J29" s="41"/>
      <c r="K29" s="230">
        <v>-7.42</v>
      </c>
      <c r="L29" s="230">
        <v>-3.42</v>
      </c>
      <c r="N29" s="31"/>
      <c r="O29" s="146"/>
      <c r="P29" s="146"/>
      <c r="Q29" s="146"/>
      <c r="R29" s="146"/>
      <c r="S29" s="146"/>
      <c r="AV29" s="30"/>
      <c r="AW29" s="210"/>
    </row>
    <row r="30" spans="1:49" ht="15" customHeight="1">
      <c r="A30" s="495" t="s">
        <v>574</v>
      </c>
      <c r="B30" s="496"/>
      <c r="C30" s="496"/>
      <c r="D30" s="496"/>
      <c r="E30" s="496"/>
      <c r="F30" s="496"/>
      <c r="G30" s="496"/>
      <c r="H30" s="496"/>
      <c r="I30" s="496"/>
      <c r="J30" s="496"/>
      <c r="K30" s="496"/>
      <c r="L30" s="496"/>
      <c r="N30" s="31" t="s">
        <v>861</v>
      </c>
      <c r="O30" s="144">
        <v>2000</v>
      </c>
      <c r="P30" s="144">
        <v>2022</v>
      </c>
      <c r="Q30" s="156">
        <v>2030</v>
      </c>
      <c r="R30" s="156">
        <v>2040</v>
      </c>
      <c r="S30" s="156">
        <v>2050</v>
      </c>
      <c r="AV30" s="30"/>
      <c r="AW30" s="210"/>
    </row>
    <row r="31" spans="1:49">
      <c r="H31" s="214"/>
      <c r="I31" s="214"/>
      <c r="J31" s="215"/>
      <c r="K31" s="214"/>
      <c r="L31" s="214"/>
      <c r="N31" s="37" t="s">
        <v>529</v>
      </c>
      <c r="O31" s="147">
        <f>O5</f>
        <v>3853676399692560</v>
      </c>
      <c r="P31" s="147">
        <f>T5</f>
        <v>4381308371557110</v>
      </c>
      <c r="Q31" s="148">
        <f>AB5</f>
        <v>4336099769683710</v>
      </c>
      <c r="R31" s="148">
        <f>AL5</f>
        <v>4112079250400519.5</v>
      </c>
      <c r="S31" s="148">
        <f>AV5</f>
        <v>3752274298823890</v>
      </c>
      <c r="AV31" s="30"/>
      <c r="AW31" s="210"/>
    </row>
    <row r="32" spans="1:49">
      <c r="A32" s="257" t="s">
        <v>606</v>
      </c>
      <c r="B32" s="30"/>
      <c r="H32" s="214"/>
      <c r="I32" s="214"/>
      <c r="J32" s="215"/>
      <c r="K32" s="214"/>
      <c r="L32" s="214"/>
      <c r="N32" s="42" t="s">
        <v>530</v>
      </c>
      <c r="O32" s="147">
        <f>O6</f>
        <v>256499330629080</v>
      </c>
      <c r="P32" s="147">
        <f>T6</f>
        <v>47865598650170</v>
      </c>
      <c r="Q32" s="148">
        <f>AB6</f>
        <v>33589198058570</v>
      </c>
      <c r="R32" s="148">
        <f>AL6</f>
        <v>34184048083220</v>
      </c>
      <c r="S32" s="148">
        <f>AV6</f>
        <v>34897868112800</v>
      </c>
      <c r="AV32" s="30"/>
      <c r="AW32" s="210"/>
    </row>
    <row r="33" spans="1:49">
      <c r="A33" s="387">
        <f>About!C89</f>
        <v>39656668310000</v>
      </c>
      <c r="B33" s="256" t="s">
        <v>29</v>
      </c>
      <c r="H33" s="214"/>
      <c r="I33" s="214"/>
      <c r="J33" s="215"/>
      <c r="K33" s="214"/>
      <c r="L33" s="214"/>
      <c r="N33" s="42" t="s">
        <v>558</v>
      </c>
      <c r="O33" s="147">
        <f>O7</f>
        <v>3597177069063480</v>
      </c>
      <c r="P33" s="147">
        <f>T7</f>
        <v>4333442772906940</v>
      </c>
      <c r="Q33" s="148">
        <f>AB7</f>
        <v>4302510571625140</v>
      </c>
      <c r="R33" s="148">
        <f>AL7</f>
        <v>4077895202317300</v>
      </c>
      <c r="S33" s="148">
        <f>AV7</f>
        <v>3719279950789970</v>
      </c>
      <c r="AV33" s="30"/>
      <c r="AW33" s="210"/>
    </row>
    <row r="34" spans="1:49">
      <c r="H34" s="214"/>
      <c r="I34" s="214"/>
      <c r="J34" s="215"/>
      <c r="K34" s="214"/>
      <c r="L34" s="214"/>
    </row>
    <row r="35" spans="1:49">
      <c r="H35" s="214"/>
      <c r="I35" s="214"/>
      <c r="J35" s="215"/>
      <c r="K35" s="214"/>
      <c r="L35" s="214"/>
    </row>
    <row r="36" spans="1:49">
      <c r="A36" s="492" t="s">
        <v>841</v>
      </c>
      <c r="B36" s="493"/>
      <c r="C36" s="493"/>
      <c r="D36" s="493"/>
      <c r="E36" s="493"/>
      <c r="F36" s="493"/>
      <c r="G36" s="493"/>
      <c r="H36" s="493"/>
      <c r="I36" s="493"/>
      <c r="J36" s="493"/>
      <c r="K36" s="214"/>
      <c r="L36" s="214"/>
    </row>
    <row r="37" spans="1:49">
      <c r="A37" s="499" t="s">
        <v>50</v>
      </c>
      <c r="B37" s="499"/>
      <c r="C37" s="499"/>
      <c r="D37" s="499"/>
      <c r="E37" s="499"/>
      <c r="F37" s="499"/>
      <c r="G37" s="499"/>
      <c r="H37" s="499"/>
      <c r="I37" s="499"/>
      <c r="J37" s="499"/>
      <c r="K37" s="214"/>
      <c r="L37" s="214"/>
    </row>
    <row r="38" spans="1:49">
      <c r="A38" s="31"/>
      <c r="B38" s="32"/>
      <c r="C38" s="32"/>
      <c r="D38" s="32"/>
      <c r="E38" s="32"/>
      <c r="F38" s="32"/>
      <c r="G38" s="494" t="s">
        <v>30</v>
      </c>
      <c r="H38" s="494"/>
      <c r="I38" s="494" t="s">
        <v>31</v>
      </c>
      <c r="J38" s="494"/>
      <c r="K38" s="214"/>
      <c r="L38" s="214"/>
    </row>
    <row r="39" spans="1:49" ht="56.25">
      <c r="A39" s="31"/>
      <c r="B39" s="34">
        <v>2000</v>
      </c>
      <c r="C39" s="34">
        <v>2022</v>
      </c>
      <c r="D39" s="34">
        <v>2030</v>
      </c>
      <c r="E39" s="34">
        <v>2040</v>
      </c>
      <c r="F39" s="34">
        <v>2050</v>
      </c>
      <c r="G39" s="35">
        <v>2022</v>
      </c>
      <c r="H39" s="35">
        <v>2050</v>
      </c>
      <c r="I39" s="35" t="s">
        <v>822</v>
      </c>
      <c r="J39" s="35" t="s">
        <v>823</v>
      </c>
      <c r="K39" s="214"/>
      <c r="L39" s="214"/>
    </row>
    <row r="40" spans="1:49">
      <c r="A40" s="80" t="s">
        <v>555</v>
      </c>
      <c r="B40" s="228">
        <v>121.72199999999999</v>
      </c>
      <c r="C40" s="228">
        <v>152.86500000000001</v>
      </c>
      <c r="D40" s="229">
        <v>151.131</v>
      </c>
      <c r="E40" s="229">
        <v>136.42599999999999</v>
      </c>
      <c r="F40" s="229">
        <v>108.063</v>
      </c>
      <c r="G40" s="239" t="s">
        <v>38</v>
      </c>
      <c r="H40" s="239" t="s">
        <v>38</v>
      </c>
      <c r="I40" s="230">
        <v>1.04</v>
      </c>
      <c r="J40" s="230">
        <v>-1.23</v>
      </c>
      <c r="K40" s="214"/>
      <c r="L40" s="214"/>
    </row>
    <row r="41" spans="1:49">
      <c r="A41" s="80" t="s">
        <v>842</v>
      </c>
      <c r="B41" s="228">
        <v>13.098000000000001</v>
      </c>
      <c r="C41" s="228">
        <v>15.504</v>
      </c>
      <c r="D41" s="229">
        <v>17.596</v>
      </c>
      <c r="E41" s="229">
        <v>18.521999999999998</v>
      </c>
      <c r="F41" s="229">
        <v>18.088000000000001</v>
      </c>
      <c r="G41" s="239" t="s">
        <v>38</v>
      </c>
      <c r="H41" s="239" t="s">
        <v>38</v>
      </c>
      <c r="I41" s="230">
        <v>0.77</v>
      </c>
      <c r="J41" s="230">
        <v>0.55000000000000004</v>
      </c>
      <c r="K41" s="214"/>
      <c r="L41" s="214"/>
    </row>
    <row r="42" spans="1:49">
      <c r="A42" s="80" t="s">
        <v>843</v>
      </c>
      <c r="B42" s="67">
        <v>97.176000000000002</v>
      </c>
      <c r="C42" s="67">
        <v>110.48099999999999</v>
      </c>
      <c r="D42" s="68">
        <v>109.34099999999999</v>
      </c>
      <c r="E42" s="68">
        <v>103.69199999999999</v>
      </c>
      <c r="F42" s="68">
        <v>94.619</v>
      </c>
      <c r="G42" s="39">
        <v>100</v>
      </c>
      <c r="H42" s="39">
        <v>100</v>
      </c>
      <c r="I42" s="75">
        <v>0.57999999999999996</v>
      </c>
      <c r="J42" s="75">
        <v>-0.55000000000000004</v>
      </c>
      <c r="K42" s="214"/>
      <c r="L42" s="214"/>
    </row>
    <row r="43" spans="1:49">
      <c r="A43" s="42" t="s">
        <v>844</v>
      </c>
      <c r="B43" s="228">
        <v>6.468</v>
      </c>
      <c r="C43" s="228">
        <v>1.2070000000000001</v>
      </c>
      <c r="D43" s="229">
        <v>0.84699999999999998</v>
      </c>
      <c r="E43" s="229">
        <v>0.86199999999999999</v>
      </c>
      <c r="F43" s="229">
        <v>0.83199999999999996</v>
      </c>
      <c r="G43" s="45">
        <v>1.0900000000000001</v>
      </c>
      <c r="H43" s="45">
        <v>0.88</v>
      </c>
      <c r="I43" s="230">
        <v>-7.35</v>
      </c>
      <c r="J43" s="230">
        <v>-1.32</v>
      </c>
      <c r="K43" s="214"/>
      <c r="L43" s="214"/>
    </row>
    <row r="44" spans="1:49">
      <c r="A44" s="42" t="s">
        <v>301</v>
      </c>
      <c r="B44" s="228">
        <v>6.9080000000000004</v>
      </c>
      <c r="C44" s="228">
        <v>9.2379999999999995</v>
      </c>
      <c r="D44" s="229">
        <v>9.94</v>
      </c>
      <c r="E44" s="229">
        <v>9.1340000000000003</v>
      </c>
      <c r="F44" s="229">
        <v>7.6050000000000004</v>
      </c>
      <c r="G44" s="45">
        <v>8.36</v>
      </c>
      <c r="H44" s="45">
        <v>8.0399999999999991</v>
      </c>
      <c r="I44" s="230">
        <v>1.33</v>
      </c>
      <c r="J44" s="230">
        <v>-0.69</v>
      </c>
      <c r="K44" s="214"/>
      <c r="L44" s="214"/>
    </row>
    <row r="45" spans="1:49">
      <c r="A45" s="42" t="s">
        <v>845</v>
      </c>
      <c r="B45" s="228">
        <v>83.8</v>
      </c>
      <c r="C45" s="228">
        <v>100.036</v>
      </c>
      <c r="D45" s="229">
        <v>98.554000000000002</v>
      </c>
      <c r="E45" s="229">
        <v>93.695999999999998</v>
      </c>
      <c r="F45" s="229">
        <v>86.182000000000002</v>
      </c>
      <c r="G45" s="45">
        <v>90.55</v>
      </c>
      <c r="H45" s="45">
        <v>91.08</v>
      </c>
      <c r="I45" s="230">
        <v>0.81</v>
      </c>
      <c r="J45" s="230">
        <v>-0.53</v>
      </c>
      <c r="K45" s="214"/>
      <c r="L45" s="214"/>
    </row>
    <row r="46" spans="1:49">
      <c r="A46" s="50"/>
      <c r="B46" s="51"/>
      <c r="C46" s="51"/>
      <c r="D46" s="52"/>
      <c r="E46" s="52"/>
      <c r="F46" s="52"/>
      <c r="G46" s="52"/>
      <c r="H46" s="52"/>
      <c r="I46" s="54"/>
      <c r="J46" s="54"/>
      <c r="K46" s="214"/>
      <c r="L46" s="214"/>
    </row>
    <row r="47" spans="1:49">
      <c r="A47" s="37" t="s">
        <v>846</v>
      </c>
      <c r="B47" s="240"/>
      <c r="C47" s="240"/>
      <c r="D47" s="241"/>
      <c r="E47" s="241"/>
      <c r="F47" s="241"/>
      <c r="G47" s="239"/>
      <c r="H47" s="239"/>
      <c r="I47" s="230"/>
      <c r="J47" s="230"/>
      <c r="K47" s="214"/>
      <c r="L47" s="214"/>
    </row>
    <row r="48" spans="1:49">
      <c r="A48" s="42" t="s">
        <v>152</v>
      </c>
      <c r="B48" s="228">
        <v>3.3690000000000002</v>
      </c>
      <c r="C48" s="228">
        <v>8.8670000000000009</v>
      </c>
      <c r="D48" s="229">
        <v>9.33</v>
      </c>
      <c r="E48" s="229">
        <v>8.4209999999999994</v>
      </c>
      <c r="F48" s="229">
        <v>6.67</v>
      </c>
      <c r="G48" s="45">
        <v>8.0299999999999994</v>
      </c>
      <c r="H48" s="45">
        <v>7.05</v>
      </c>
      <c r="I48" s="230">
        <v>4.5</v>
      </c>
      <c r="J48" s="230">
        <v>-1.01</v>
      </c>
      <c r="K48" s="214"/>
      <c r="L48" s="214"/>
    </row>
    <row r="49" spans="1:12">
      <c r="A49" s="42" t="s">
        <v>847</v>
      </c>
      <c r="B49" s="228">
        <v>8.2319999999999993</v>
      </c>
      <c r="C49" s="228">
        <v>10.888</v>
      </c>
      <c r="D49" s="229">
        <v>11.784000000000001</v>
      </c>
      <c r="E49" s="229">
        <v>9.4949999999999992</v>
      </c>
      <c r="F49" s="229">
        <v>5.9640000000000004</v>
      </c>
      <c r="G49" s="45">
        <v>9.86</v>
      </c>
      <c r="H49" s="45">
        <v>6.3</v>
      </c>
      <c r="I49" s="230">
        <v>1.28</v>
      </c>
      <c r="J49" s="230">
        <v>-2.13</v>
      </c>
      <c r="K49" s="214"/>
      <c r="L49" s="214"/>
    </row>
    <row r="50" spans="1:12">
      <c r="A50" s="42" t="s">
        <v>848</v>
      </c>
      <c r="B50" s="228">
        <v>9.5429999999999993</v>
      </c>
      <c r="C50" s="228">
        <v>2.145</v>
      </c>
      <c r="D50" s="229">
        <v>1.4239999999999999</v>
      </c>
      <c r="E50" s="229">
        <v>0.96299999999999997</v>
      </c>
      <c r="F50" s="229">
        <v>0.61699999999999999</v>
      </c>
      <c r="G50" s="45">
        <v>1.94</v>
      </c>
      <c r="H50" s="45">
        <v>0.65</v>
      </c>
      <c r="I50" s="230">
        <v>-6.56</v>
      </c>
      <c r="J50" s="230">
        <v>-4.3499999999999996</v>
      </c>
      <c r="K50" s="214"/>
      <c r="L50" s="214"/>
    </row>
    <row r="51" spans="1:12">
      <c r="A51" s="42" t="s">
        <v>849</v>
      </c>
      <c r="B51" s="228">
        <v>18.489000000000001</v>
      </c>
      <c r="C51" s="228">
        <v>21.553000000000001</v>
      </c>
      <c r="D51" s="229">
        <v>16.835999999999999</v>
      </c>
      <c r="E51" s="229">
        <v>12.811</v>
      </c>
      <c r="F51" s="229">
        <v>8.9149999999999991</v>
      </c>
      <c r="G51" s="45">
        <v>19.510000000000002</v>
      </c>
      <c r="H51" s="45">
        <v>9.42</v>
      </c>
      <c r="I51" s="230">
        <v>0.7</v>
      </c>
      <c r="J51" s="230">
        <v>-3.1</v>
      </c>
      <c r="K51" s="214"/>
      <c r="L51" s="214"/>
    </row>
    <row r="52" spans="1:12">
      <c r="A52" s="42" t="s">
        <v>850</v>
      </c>
      <c r="B52" s="228">
        <v>13.185</v>
      </c>
      <c r="C52" s="228">
        <v>1.1359999999999999</v>
      </c>
      <c r="D52" s="229">
        <v>1.2629999999999999</v>
      </c>
      <c r="E52" s="229">
        <v>1.2270000000000001</v>
      </c>
      <c r="F52" s="229">
        <v>1.1259999999999999</v>
      </c>
      <c r="G52" s="45">
        <v>1.03</v>
      </c>
      <c r="H52" s="45">
        <v>1.19</v>
      </c>
      <c r="I52" s="230">
        <v>-10.55</v>
      </c>
      <c r="J52" s="230">
        <v>-0.03</v>
      </c>
      <c r="K52" s="214"/>
      <c r="L52" s="214"/>
    </row>
    <row r="53" spans="1:12">
      <c r="A53" s="42" t="s">
        <v>851</v>
      </c>
      <c r="B53" s="228">
        <v>0.36299999999999999</v>
      </c>
      <c r="C53" s="228">
        <v>2.1629999999999998</v>
      </c>
      <c r="D53" s="229">
        <v>1.871</v>
      </c>
      <c r="E53" s="229">
        <v>1.651</v>
      </c>
      <c r="F53" s="229">
        <v>1.486</v>
      </c>
      <c r="G53" s="45">
        <v>1.96</v>
      </c>
      <c r="H53" s="45">
        <v>1.57</v>
      </c>
      <c r="I53" s="230">
        <v>8.4499999999999993</v>
      </c>
      <c r="J53" s="230">
        <v>-1.33</v>
      </c>
      <c r="K53" s="214"/>
      <c r="L53" s="214"/>
    </row>
    <row r="54" spans="1:12">
      <c r="A54" s="42" t="s">
        <v>852</v>
      </c>
      <c r="B54" s="228">
        <v>4.4669999999999996</v>
      </c>
      <c r="C54" s="228">
        <v>7.7859999999999996</v>
      </c>
      <c r="D54" s="229">
        <v>9.2050000000000001</v>
      </c>
      <c r="E54" s="229">
        <v>10.925000000000001</v>
      </c>
      <c r="F54" s="229">
        <v>11.749000000000001</v>
      </c>
      <c r="G54" s="45">
        <v>7.05</v>
      </c>
      <c r="H54" s="45">
        <v>12.42</v>
      </c>
      <c r="I54" s="230">
        <v>2.56</v>
      </c>
      <c r="J54" s="230">
        <v>1.48</v>
      </c>
      <c r="K54" s="214"/>
      <c r="L54" s="214"/>
    </row>
    <row r="55" spans="1:12">
      <c r="A55" s="42" t="s">
        <v>853</v>
      </c>
      <c r="B55" s="228">
        <v>4.056</v>
      </c>
      <c r="C55" s="228">
        <v>4.0259999999999998</v>
      </c>
      <c r="D55" s="229">
        <v>3.319</v>
      </c>
      <c r="E55" s="229">
        <v>2.9260000000000002</v>
      </c>
      <c r="F55" s="229">
        <v>2.66</v>
      </c>
      <c r="G55" s="45">
        <v>3.64</v>
      </c>
      <c r="H55" s="45">
        <v>2.81</v>
      </c>
      <c r="I55" s="230">
        <v>-0.03</v>
      </c>
      <c r="J55" s="230">
        <v>-1.47</v>
      </c>
      <c r="K55" s="214"/>
      <c r="L55" s="214"/>
    </row>
    <row r="56" spans="1:12">
      <c r="A56" s="42" t="s">
        <v>854</v>
      </c>
      <c r="B56" s="228">
        <v>24.567</v>
      </c>
      <c r="C56" s="228">
        <v>43.58</v>
      </c>
      <c r="D56" s="229">
        <v>45.95</v>
      </c>
      <c r="E56" s="229">
        <v>46.292999999999999</v>
      </c>
      <c r="F56" s="229">
        <v>46.158000000000001</v>
      </c>
      <c r="G56" s="45">
        <v>39.450000000000003</v>
      </c>
      <c r="H56" s="45">
        <v>48.78</v>
      </c>
      <c r="I56" s="230">
        <v>2.64</v>
      </c>
      <c r="J56" s="230">
        <v>0.21</v>
      </c>
      <c r="K56" s="214"/>
      <c r="L56" s="214"/>
    </row>
    <row r="57" spans="1:12">
      <c r="A57" s="42" t="s">
        <v>855</v>
      </c>
      <c r="B57" s="228">
        <v>2.5449999999999999</v>
      </c>
      <c r="C57" s="228">
        <v>5.5389999999999997</v>
      </c>
      <c r="D57" s="229">
        <v>5.7</v>
      </c>
      <c r="E57" s="229">
        <v>6.3239999999999998</v>
      </c>
      <c r="F57" s="229">
        <v>6.6509999999999998</v>
      </c>
      <c r="G57" s="45">
        <v>5.01</v>
      </c>
      <c r="H57" s="45">
        <v>7.03</v>
      </c>
      <c r="I57" s="230">
        <v>3.6</v>
      </c>
      <c r="J57" s="230">
        <v>0.66</v>
      </c>
      <c r="K57" s="214"/>
      <c r="L57" s="214"/>
    </row>
    <row r="58" spans="1:12">
      <c r="A58" s="50"/>
      <c r="B58" s="51"/>
      <c r="C58" s="51"/>
      <c r="D58" s="52"/>
      <c r="E58" s="52"/>
      <c r="F58" s="52"/>
      <c r="G58" s="52"/>
      <c r="H58" s="52"/>
      <c r="I58" s="54"/>
      <c r="J58" s="54"/>
      <c r="K58" s="214"/>
      <c r="L58" s="214"/>
    </row>
    <row r="59" spans="1:12">
      <c r="A59" s="37" t="s">
        <v>569</v>
      </c>
      <c r="B59" s="240"/>
      <c r="C59" s="240"/>
      <c r="D59" s="241"/>
      <c r="E59" s="241"/>
      <c r="F59" s="241"/>
      <c r="G59" s="239"/>
      <c r="H59" s="239"/>
      <c r="I59" s="230"/>
      <c r="J59" s="230"/>
      <c r="K59" s="214"/>
      <c r="L59" s="214"/>
    </row>
    <row r="60" spans="1:12">
      <c r="A60" s="42" t="s">
        <v>836</v>
      </c>
      <c r="B60" s="228">
        <v>6.9080000000000004</v>
      </c>
      <c r="C60" s="228">
        <v>9.2379999999999995</v>
      </c>
      <c r="D60" s="229">
        <v>9.94</v>
      </c>
      <c r="E60" s="229">
        <v>9.1340000000000003</v>
      </c>
      <c r="F60" s="229">
        <v>7.6050000000000004</v>
      </c>
      <c r="G60" s="45">
        <v>8.36</v>
      </c>
      <c r="H60" s="45">
        <v>8.0399999999999991</v>
      </c>
      <c r="I60" s="230">
        <v>1.33</v>
      </c>
      <c r="J60" s="230">
        <v>-0.69</v>
      </c>
      <c r="K60" s="214"/>
      <c r="L60" s="214"/>
    </row>
    <row r="61" spans="1:12">
      <c r="A61" s="42" t="s">
        <v>856</v>
      </c>
      <c r="B61" s="228">
        <v>44.420999999999999</v>
      </c>
      <c r="C61" s="228">
        <v>60.481000000000002</v>
      </c>
      <c r="D61" s="229">
        <v>65.015000000000001</v>
      </c>
      <c r="E61" s="229">
        <v>67.849999999999994</v>
      </c>
      <c r="F61" s="229">
        <v>68.837000000000003</v>
      </c>
      <c r="G61" s="45">
        <v>54.74</v>
      </c>
      <c r="H61" s="45">
        <v>72.75</v>
      </c>
      <c r="I61" s="230">
        <v>1.41</v>
      </c>
      <c r="J61" s="230">
        <v>0.46</v>
      </c>
      <c r="K61" s="214"/>
      <c r="L61" s="214"/>
    </row>
    <row r="62" spans="1:12">
      <c r="A62" s="48" t="s">
        <v>857</v>
      </c>
      <c r="B62" s="228">
        <v>18.849</v>
      </c>
      <c r="C62" s="228">
        <v>11.324999999999999</v>
      </c>
      <c r="D62" s="229">
        <v>11.448</v>
      </c>
      <c r="E62" s="229">
        <v>11.641</v>
      </c>
      <c r="F62" s="229">
        <v>11.782999999999999</v>
      </c>
      <c r="G62" s="45">
        <v>10.25</v>
      </c>
      <c r="H62" s="45">
        <v>12.45</v>
      </c>
      <c r="I62" s="230">
        <v>-2.29</v>
      </c>
      <c r="J62" s="230">
        <v>0.14000000000000001</v>
      </c>
      <c r="K62" s="214"/>
      <c r="L62" s="214"/>
    </row>
    <row r="63" spans="1:12">
      <c r="A63" s="48" t="s">
        <v>858</v>
      </c>
      <c r="B63" s="228">
        <v>25.571999999999999</v>
      </c>
      <c r="C63" s="228">
        <v>49.155999999999999</v>
      </c>
      <c r="D63" s="229">
        <v>53.567</v>
      </c>
      <c r="E63" s="229">
        <v>56.209000000000003</v>
      </c>
      <c r="F63" s="229">
        <v>57.054000000000002</v>
      </c>
      <c r="G63" s="45">
        <v>44.49</v>
      </c>
      <c r="H63" s="45">
        <v>60.3</v>
      </c>
      <c r="I63" s="230">
        <v>3.02</v>
      </c>
      <c r="J63" s="230">
        <v>0.53</v>
      </c>
      <c r="K63" s="214"/>
      <c r="L63" s="214"/>
    </row>
    <row r="64" spans="1:12">
      <c r="A64" s="42" t="s">
        <v>837</v>
      </c>
      <c r="B64" s="228">
        <v>24.832000000000001</v>
      </c>
      <c r="C64" s="228">
        <v>34.238</v>
      </c>
      <c r="D64" s="229">
        <v>29.847999999999999</v>
      </c>
      <c r="E64" s="229">
        <v>23.436</v>
      </c>
      <c r="F64" s="229">
        <v>15.898999999999999</v>
      </c>
      <c r="G64" s="45">
        <v>30.99</v>
      </c>
      <c r="H64" s="45">
        <v>16.8</v>
      </c>
      <c r="I64" s="230">
        <v>1.47</v>
      </c>
      <c r="J64" s="230">
        <v>-2.7</v>
      </c>
      <c r="K64" s="214"/>
      <c r="L64" s="214"/>
    </row>
    <row r="65" spans="1:12">
      <c r="A65" s="42" t="s">
        <v>838</v>
      </c>
      <c r="B65" s="228">
        <v>4.0990000000000002</v>
      </c>
      <c r="C65" s="228">
        <v>2.0259999999999998</v>
      </c>
      <c r="D65" s="229">
        <v>1.224</v>
      </c>
      <c r="E65" s="229">
        <v>0.89900000000000002</v>
      </c>
      <c r="F65" s="229">
        <v>0.61599999999999999</v>
      </c>
      <c r="G65" s="45">
        <v>1.83</v>
      </c>
      <c r="H65" s="45">
        <v>0.65</v>
      </c>
      <c r="I65" s="230">
        <v>-3.15</v>
      </c>
      <c r="J65" s="230">
        <v>-4.16</v>
      </c>
      <c r="K65" s="214"/>
      <c r="L65" s="214"/>
    </row>
    <row r="66" spans="1:12">
      <c r="A66" s="42" t="s">
        <v>538</v>
      </c>
      <c r="B66" s="228">
        <v>10.449</v>
      </c>
      <c r="C66" s="228">
        <v>3.29</v>
      </c>
      <c r="D66" s="229">
        <v>2.4670000000000001</v>
      </c>
      <c r="E66" s="229">
        <v>1.5109999999999999</v>
      </c>
      <c r="F66" s="229">
        <v>0.82899999999999996</v>
      </c>
      <c r="G66" s="45">
        <v>2.98</v>
      </c>
      <c r="H66" s="45">
        <v>0.88</v>
      </c>
      <c r="I66" s="230">
        <v>-5.12</v>
      </c>
      <c r="J66" s="230">
        <v>-4.8</v>
      </c>
      <c r="K66" s="214"/>
      <c r="L66" s="214"/>
    </row>
    <row r="67" spans="1:12" ht="17.25" thickBot="1">
      <c r="A67" s="242" t="s">
        <v>573</v>
      </c>
      <c r="B67" s="228">
        <v>6.468</v>
      </c>
      <c r="C67" s="228">
        <v>1.2070000000000001</v>
      </c>
      <c r="D67" s="229">
        <v>0.84699999999999998</v>
      </c>
      <c r="E67" s="229">
        <v>0.86199999999999999</v>
      </c>
      <c r="F67" s="229">
        <v>0.83199999999999996</v>
      </c>
      <c r="G67" s="45">
        <v>1.0900000000000001</v>
      </c>
      <c r="H67" s="45">
        <v>0.88</v>
      </c>
      <c r="I67" s="230">
        <v>-7.35</v>
      </c>
      <c r="J67" s="230">
        <v>-1.32</v>
      </c>
      <c r="K67" s="214"/>
      <c r="L67" s="214"/>
    </row>
    <row r="68" spans="1:12">
      <c r="A68" s="495" t="s">
        <v>859</v>
      </c>
      <c r="B68" s="496"/>
      <c r="C68" s="496"/>
      <c r="D68" s="496"/>
      <c r="E68" s="496"/>
      <c r="F68" s="496"/>
      <c r="G68" s="496"/>
      <c r="H68" s="496"/>
      <c r="I68" s="496"/>
      <c r="J68" s="496"/>
      <c r="K68" s="214"/>
      <c r="L68" s="214"/>
    </row>
    <row r="69" spans="1:12">
      <c r="H69" s="214"/>
      <c r="I69" s="214"/>
      <c r="J69" s="215"/>
      <c r="K69" s="214"/>
      <c r="L69" s="214"/>
    </row>
    <row r="70" spans="1:12">
      <c r="H70" s="214"/>
      <c r="I70" s="214"/>
      <c r="J70" s="215"/>
      <c r="K70" s="214"/>
      <c r="L70" s="214"/>
    </row>
    <row r="71" spans="1:12">
      <c r="H71" s="214"/>
      <c r="I71" s="214"/>
      <c r="J71" s="215"/>
      <c r="K71" s="214"/>
      <c r="L71" s="214"/>
    </row>
    <row r="72" spans="1:12">
      <c r="H72" s="214"/>
      <c r="I72" s="214"/>
      <c r="J72" s="215"/>
      <c r="K72" s="214"/>
      <c r="L72" s="214"/>
    </row>
    <row r="73" spans="1:12">
      <c r="H73" s="214"/>
      <c r="I73" s="214"/>
      <c r="J73" s="215"/>
      <c r="K73" s="214"/>
      <c r="L73" s="214"/>
    </row>
    <row r="74" spans="1:12">
      <c r="H74" s="214"/>
      <c r="I74" s="214"/>
      <c r="J74" s="215"/>
      <c r="K74" s="214"/>
      <c r="L74" s="214"/>
    </row>
    <row r="75" spans="1:12">
      <c r="H75" s="214"/>
      <c r="I75" s="214"/>
      <c r="J75" s="215"/>
      <c r="K75" s="214"/>
      <c r="L75" s="214"/>
    </row>
    <row r="76" spans="1:12">
      <c r="H76" s="214"/>
      <c r="I76" s="214"/>
      <c r="J76" s="215"/>
      <c r="K76" s="214"/>
      <c r="L76" s="214"/>
    </row>
    <row r="77" spans="1:12">
      <c r="H77" s="214"/>
      <c r="I77" s="214"/>
      <c r="J77" s="215"/>
      <c r="K77" s="214"/>
      <c r="L77" s="214"/>
    </row>
    <row r="78" spans="1:12">
      <c r="H78" s="214"/>
      <c r="I78" s="214"/>
      <c r="J78" s="215"/>
      <c r="K78" s="214"/>
      <c r="L78" s="214"/>
    </row>
    <row r="79" spans="1:12">
      <c r="H79" s="214"/>
      <c r="I79" s="214"/>
      <c r="J79" s="215"/>
      <c r="K79" s="214"/>
      <c r="L79" s="214"/>
    </row>
    <row r="80" spans="1:12">
      <c r="H80" s="214"/>
      <c r="I80" s="214"/>
      <c r="J80" s="215"/>
      <c r="K80" s="214"/>
      <c r="L80" s="214"/>
    </row>
    <row r="81" spans="8:12">
      <c r="H81" s="214"/>
      <c r="I81" s="214"/>
      <c r="J81" s="215"/>
      <c r="K81" s="214"/>
      <c r="L81" s="214"/>
    </row>
    <row r="82" spans="8:12">
      <c r="H82" s="214"/>
      <c r="I82" s="214"/>
      <c r="J82" s="215"/>
      <c r="K82" s="214"/>
      <c r="L82" s="214"/>
    </row>
    <row r="83" spans="8:12">
      <c r="H83" s="214"/>
      <c r="I83" s="214"/>
      <c r="J83" s="215"/>
      <c r="K83" s="214"/>
      <c r="L83" s="214"/>
    </row>
    <row r="84" spans="8:12">
      <c r="H84" s="214"/>
      <c r="I84" s="214"/>
      <c r="J84" s="215"/>
      <c r="K84" s="214"/>
      <c r="L84" s="214"/>
    </row>
    <row r="85" spans="8:12">
      <c r="H85" s="214"/>
      <c r="I85" s="214"/>
      <c r="J85" s="215"/>
      <c r="K85" s="214"/>
      <c r="L85" s="214"/>
    </row>
    <row r="86" spans="8:12">
      <c r="H86" s="214"/>
      <c r="I86" s="214"/>
      <c r="J86" s="215"/>
      <c r="K86" s="214"/>
      <c r="L86" s="214"/>
    </row>
    <row r="87" spans="8:12">
      <c r="H87" s="214"/>
      <c r="I87" s="214"/>
      <c r="J87" s="215"/>
      <c r="K87" s="214"/>
      <c r="L87" s="214"/>
    </row>
    <row r="88" spans="8:12">
      <c r="H88" s="214"/>
      <c r="I88" s="214"/>
      <c r="J88" s="215"/>
      <c r="K88" s="214"/>
      <c r="L88" s="214"/>
    </row>
    <row r="89" spans="8:12">
      <c r="H89" s="214"/>
      <c r="I89" s="214"/>
      <c r="J89" s="215"/>
      <c r="K89" s="214"/>
      <c r="L89" s="214"/>
    </row>
    <row r="90" spans="8:12">
      <c r="H90" s="214"/>
      <c r="I90" s="214"/>
      <c r="J90" s="215"/>
      <c r="K90" s="214"/>
      <c r="L90" s="214"/>
    </row>
    <row r="91" spans="8:12">
      <c r="H91" s="214"/>
      <c r="I91" s="214"/>
      <c r="J91" s="215"/>
      <c r="K91" s="214"/>
      <c r="L91" s="214"/>
    </row>
    <row r="92" spans="8:12">
      <c r="H92" s="214"/>
      <c r="I92" s="214"/>
      <c r="J92" s="215"/>
      <c r="K92" s="214"/>
      <c r="L92" s="214"/>
    </row>
    <row r="93" spans="8:12">
      <c r="H93" s="214"/>
      <c r="I93" s="214"/>
      <c r="J93" s="215"/>
      <c r="K93" s="214"/>
      <c r="L93" s="214"/>
    </row>
    <row r="94" spans="8:12">
      <c r="H94" s="214"/>
      <c r="I94" s="214"/>
      <c r="J94" s="215"/>
      <c r="K94" s="214"/>
      <c r="L94" s="214"/>
    </row>
    <row r="95" spans="8:12">
      <c r="H95" s="214"/>
      <c r="I95" s="214"/>
      <c r="J95" s="215"/>
      <c r="K95" s="214"/>
      <c r="L95" s="214"/>
    </row>
    <row r="96" spans="8:12">
      <c r="H96" s="214"/>
      <c r="I96" s="214"/>
      <c r="J96" s="215"/>
      <c r="K96" s="214"/>
      <c r="L96" s="214"/>
    </row>
    <row r="97" spans="8:12">
      <c r="H97" s="214"/>
      <c r="I97" s="214"/>
      <c r="J97" s="215"/>
      <c r="K97" s="214"/>
      <c r="L97" s="214"/>
    </row>
    <row r="98" spans="8:12">
      <c r="H98" s="214"/>
      <c r="I98" s="214"/>
      <c r="J98" s="215"/>
      <c r="K98" s="214"/>
      <c r="L98" s="214"/>
    </row>
    <row r="99" spans="8:12">
      <c r="H99" s="214"/>
      <c r="I99" s="214"/>
      <c r="J99" s="215"/>
      <c r="K99" s="214"/>
      <c r="L99" s="214"/>
    </row>
    <row r="100" spans="8:12">
      <c r="H100" s="214"/>
      <c r="I100" s="214"/>
      <c r="J100" s="215"/>
      <c r="K100" s="214"/>
      <c r="L100" s="214"/>
    </row>
    <row r="101" spans="8:12">
      <c r="H101" s="214"/>
      <c r="I101" s="214"/>
      <c r="J101" s="215"/>
      <c r="K101" s="214"/>
      <c r="L101" s="214"/>
    </row>
    <row r="102" spans="8:12">
      <c r="H102" s="214"/>
      <c r="I102" s="214"/>
      <c r="J102" s="215"/>
      <c r="K102" s="214"/>
      <c r="L102" s="214"/>
    </row>
    <row r="103" spans="8:12">
      <c r="H103" s="214"/>
      <c r="I103" s="214"/>
      <c r="J103" s="215"/>
      <c r="K103" s="214"/>
      <c r="L103" s="214"/>
    </row>
    <row r="104" spans="8:12">
      <c r="H104" s="214"/>
      <c r="I104" s="214"/>
      <c r="J104" s="215"/>
      <c r="K104" s="214"/>
      <c r="L104" s="214"/>
    </row>
    <row r="105" spans="8:12">
      <c r="H105" s="214"/>
      <c r="I105" s="214"/>
      <c r="J105" s="215"/>
      <c r="K105" s="214"/>
      <c r="L105" s="214"/>
    </row>
  </sheetData>
  <mergeCells count="10">
    <mergeCell ref="A36:J36"/>
    <mergeCell ref="A37:J37"/>
    <mergeCell ref="G38:H38"/>
    <mergeCell ref="I38:J38"/>
    <mergeCell ref="A68:J68"/>
    <mergeCell ref="A1:L1"/>
    <mergeCell ref="A2:L2"/>
    <mergeCell ref="H3:I3"/>
    <mergeCell ref="K3:L3"/>
    <mergeCell ref="A30:L30"/>
  </mergeCells>
  <phoneticPr fontId="37" type="noConversion"/>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AI26"/>
  <sheetViews>
    <sheetView tabSelected="1" zoomScale="85" zoomScaleNormal="85" workbookViewId="0">
      <pane xSplit="1" ySplit="1" topLeftCell="B2" activePane="bottomRight" state="frozen"/>
      <selection pane="topRight" activeCell="B1" sqref="B1"/>
      <selection pane="bottomLeft" activeCell="A2" sqref="A2"/>
      <selection pane="bottomRight" activeCell="D10" sqref="D10"/>
    </sheetView>
  </sheetViews>
  <sheetFormatPr defaultColWidth="9.125" defaultRowHeight="16.5"/>
  <cols>
    <col min="1" max="1" width="39.875" customWidth="1"/>
    <col min="2" max="33" width="11.125" customWidth="1"/>
  </cols>
  <sheetData>
    <row r="1" spans="1:35">
      <c r="A1" s="24" t="s">
        <v>27</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c r="A2" t="s">
        <v>2</v>
      </c>
      <c r="B2" s="16">
        <v>0</v>
      </c>
      <c r="C2" s="16">
        <v>0</v>
      </c>
      <c r="D2" s="16">
        <v>0</v>
      </c>
      <c r="E2" s="16">
        <v>0</v>
      </c>
      <c r="F2" s="16">
        <v>0</v>
      </c>
      <c r="G2" s="16">
        <v>0</v>
      </c>
      <c r="H2" s="16">
        <v>0</v>
      </c>
      <c r="I2" s="16">
        <v>0</v>
      </c>
      <c r="J2" s="16">
        <v>0</v>
      </c>
      <c r="K2" s="16">
        <v>0</v>
      </c>
      <c r="L2" s="16">
        <v>0</v>
      </c>
      <c r="M2" s="16">
        <v>0</v>
      </c>
      <c r="N2" s="16">
        <v>0</v>
      </c>
      <c r="O2" s="16">
        <v>0</v>
      </c>
      <c r="P2" s="16">
        <v>0</v>
      </c>
      <c r="Q2" s="16">
        <v>0</v>
      </c>
      <c r="R2" s="16">
        <v>0</v>
      </c>
      <c r="S2" s="16">
        <v>0</v>
      </c>
      <c r="T2" s="16">
        <v>0</v>
      </c>
      <c r="U2" s="16">
        <v>0</v>
      </c>
      <c r="V2" s="16">
        <v>0</v>
      </c>
      <c r="W2" s="16">
        <v>0</v>
      </c>
      <c r="X2" s="16">
        <v>0</v>
      </c>
      <c r="Y2" s="16">
        <v>0</v>
      </c>
      <c r="Z2" s="16">
        <v>0</v>
      </c>
      <c r="AA2" s="16">
        <v>0</v>
      </c>
      <c r="AB2" s="16">
        <v>0</v>
      </c>
      <c r="AC2" s="16">
        <v>0</v>
      </c>
      <c r="AD2" s="16">
        <v>0</v>
      </c>
      <c r="AE2" s="16">
        <v>0</v>
      </c>
      <c r="AF2" s="16">
        <v>0</v>
      </c>
    </row>
    <row r="3" spans="1:35">
      <c r="A3" t="s">
        <v>3</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c r="AC3" s="16">
        <v>0</v>
      </c>
      <c r="AD3" s="16">
        <v>0</v>
      </c>
      <c r="AE3" s="16">
        <v>0</v>
      </c>
      <c r="AF3" s="16">
        <v>0</v>
      </c>
    </row>
    <row r="4" spans="1:35">
      <c r="A4" t="s">
        <v>4</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c r="AC4" s="16">
        <v>0</v>
      </c>
      <c r="AD4" s="16">
        <v>0</v>
      </c>
      <c r="AE4" s="16">
        <v>0</v>
      </c>
      <c r="AF4" s="16">
        <v>0</v>
      </c>
    </row>
    <row r="5" spans="1:35">
      <c r="A5" t="s">
        <v>5</v>
      </c>
      <c r="B5" s="16">
        <v>0</v>
      </c>
      <c r="C5" s="16">
        <v>0</v>
      </c>
      <c r="D5" s="16">
        <v>0</v>
      </c>
      <c r="E5" s="16">
        <v>0</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c r="AC5" s="16">
        <v>0</v>
      </c>
      <c r="AD5" s="16">
        <v>0</v>
      </c>
      <c r="AE5" s="16">
        <v>0</v>
      </c>
      <c r="AF5" s="16">
        <v>0</v>
      </c>
    </row>
    <row r="6" spans="1:35">
      <c r="A6" t="s">
        <v>6</v>
      </c>
      <c r="B6" s="16">
        <v>0</v>
      </c>
      <c r="C6" s="16">
        <v>0</v>
      </c>
      <c r="D6" s="16">
        <v>0</v>
      </c>
      <c r="E6" s="16">
        <v>0</v>
      </c>
      <c r="F6" s="16">
        <v>0</v>
      </c>
      <c r="G6" s="16">
        <v>0</v>
      </c>
      <c r="H6" s="16">
        <v>0</v>
      </c>
      <c r="I6" s="16">
        <v>0</v>
      </c>
      <c r="J6" s="16">
        <v>0</v>
      </c>
      <c r="K6" s="16">
        <v>0</v>
      </c>
      <c r="L6" s="16">
        <v>0</v>
      </c>
      <c r="M6" s="16">
        <v>0</v>
      </c>
      <c r="N6" s="16">
        <v>0</v>
      </c>
      <c r="O6" s="16">
        <v>0</v>
      </c>
      <c r="P6" s="16">
        <v>0</v>
      </c>
      <c r="Q6" s="16">
        <v>0</v>
      </c>
      <c r="R6" s="16">
        <v>0</v>
      </c>
      <c r="S6" s="16">
        <v>0</v>
      </c>
      <c r="T6" s="16">
        <v>0</v>
      </c>
      <c r="U6" s="16">
        <v>0</v>
      </c>
      <c r="V6" s="16">
        <v>0</v>
      </c>
      <c r="W6" s="16">
        <v>0</v>
      </c>
      <c r="X6" s="16">
        <v>0</v>
      </c>
      <c r="Y6" s="16">
        <v>0</v>
      </c>
      <c r="Z6" s="16">
        <v>0</v>
      </c>
      <c r="AA6" s="16">
        <v>0</v>
      </c>
      <c r="AB6" s="16">
        <v>0</v>
      </c>
      <c r="AC6" s="16">
        <v>0</v>
      </c>
      <c r="AD6" s="16">
        <v>0</v>
      </c>
      <c r="AE6" s="16">
        <v>0</v>
      </c>
      <c r="AF6" s="16">
        <v>0</v>
      </c>
    </row>
    <row r="7" spans="1:35">
      <c r="A7" t="s">
        <v>7</v>
      </c>
      <c r="B7" s="16">
        <v>0</v>
      </c>
      <c r="C7" s="16">
        <v>0</v>
      </c>
      <c r="D7" s="16">
        <v>0</v>
      </c>
      <c r="E7" s="16">
        <v>0</v>
      </c>
      <c r="F7" s="16">
        <v>0</v>
      </c>
      <c r="G7" s="16">
        <v>0</v>
      </c>
      <c r="H7" s="16">
        <v>0</v>
      </c>
      <c r="I7" s="16">
        <v>0</v>
      </c>
      <c r="J7" s="16">
        <v>0</v>
      </c>
      <c r="K7" s="16">
        <v>0</v>
      </c>
      <c r="L7" s="16">
        <v>0</v>
      </c>
      <c r="M7" s="16">
        <v>0</v>
      </c>
      <c r="N7" s="16">
        <v>0</v>
      </c>
      <c r="O7" s="16">
        <v>0</v>
      </c>
      <c r="P7" s="16">
        <v>0</v>
      </c>
      <c r="Q7" s="16">
        <v>0</v>
      </c>
      <c r="R7" s="16">
        <v>0</v>
      </c>
      <c r="S7" s="16">
        <v>0</v>
      </c>
      <c r="T7" s="16">
        <v>0</v>
      </c>
      <c r="U7" s="16">
        <v>0</v>
      </c>
      <c r="V7" s="16">
        <v>0</v>
      </c>
      <c r="W7" s="16">
        <v>0</v>
      </c>
      <c r="X7" s="16">
        <v>0</v>
      </c>
      <c r="Y7" s="16">
        <v>0</v>
      </c>
      <c r="Z7" s="16">
        <v>0</v>
      </c>
      <c r="AA7" s="16">
        <v>0</v>
      </c>
      <c r="AB7" s="16">
        <v>0</v>
      </c>
      <c r="AC7" s="16">
        <v>0</v>
      </c>
      <c r="AD7" s="16">
        <v>0</v>
      </c>
      <c r="AE7" s="16">
        <v>0</v>
      </c>
      <c r="AF7" s="16">
        <v>0</v>
      </c>
    </row>
    <row r="8" spans="1:35">
      <c r="A8" t="s">
        <v>8</v>
      </c>
      <c r="B8" s="16">
        <v>0</v>
      </c>
      <c r="C8" s="16">
        <v>0</v>
      </c>
      <c r="D8" s="16">
        <v>0</v>
      </c>
      <c r="E8" s="16">
        <v>0</v>
      </c>
      <c r="F8" s="16">
        <v>0</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0</v>
      </c>
      <c r="Z8" s="16">
        <v>0</v>
      </c>
      <c r="AA8" s="16">
        <v>0</v>
      </c>
      <c r="AB8" s="16">
        <v>0</v>
      </c>
      <c r="AC8" s="16">
        <v>0</v>
      </c>
      <c r="AD8" s="16">
        <v>0</v>
      </c>
      <c r="AE8" s="16">
        <v>0</v>
      </c>
      <c r="AF8" s="16">
        <v>0</v>
      </c>
    </row>
    <row r="9" spans="1:35">
      <c r="A9" t="s">
        <v>9</v>
      </c>
      <c r="B9" s="16">
        <v>0</v>
      </c>
      <c r="C9" s="16">
        <v>0</v>
      </c>
      <c r="D9" s="16">
        <v>0</v>
      </c>
      <c r="E9" s="16">
        <v>0</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v>0</v>
      </c>
      <c r="AB9" s="16">
        <v>0</v>
      </c>
      <c r="AC9" s="16">
        <v>0</v>
      </c>
      <c r="AD9" s="16">
        <v>0</v>
      </c>
      <c r="AE9" s="16">
        <v>0</v>
      </c>
      <c r="AF9" s="16">
        <v>0</v>
      </c>
    </row>
    <row r="10" spans="1:35" s="484" customFormat="1">
      <c r="A10" s="484" t="s">
        <v>10</v>
      </c>
      <c r="B10" s="485">
        <f>-'2019 KESIS Energy Balance'!S30*About!C89/1000*(1+'KEEI BAU - Oil Supply'!R9)</f>
        <v>6223881563907680</v>
      </c>
      <c r="C10" s="485">
        <f>B10*(1+'KEEI BAU - Oil Supply'!S9)</f>
        <v>6258328198147919</v>
      </c>
      <c r="D10" s="485">
        <f>C10*(1+'KEEI BAU - Oil Supply'!T9)</f>
        <v>6292774832388178</v>
      </c>
      <c r="E10" s="485">
        <f>D10*(1+'KEEI BAU - Oil Supply'!U9)</f>
        <v>6284658319923451</v>
      </c>
      <c r="F10" s="485">
        <f>E10*(1+'KEEI BAU - Oil Supply'!V9)</f>
        <v>6276541807458727</v>
      </c>
      <c r="G10" s="485">
        <f>F10*(1+'KEEI BAU - Oil Supply'!W9)</f>
        <v>6268425294994000</v>
      </c>
      <c r="H10" s="485">
        <f>G10*(1+'KEEI BAU - Oil Supply'!X9)</f>
        <v>6260308782529276</v>
      </c>
      <c r="I10" s="485">
        <f>H10*(1+'KEEI BAU - Oil Supply'!Y9)</f>
        <v>6252192270064549</v>
      </c>
      <c r="J10" s="485">
        <f>I10*(1+'KEEI BAU - Oil Supply'!Z9)</f>
        <v>6244075757599825</v>
      </c>
      <c r="K10" s="485">
        <f>J10*(1+'KEEI BAU - Oil Supply'!AA9)</f>
        <v>6235959245135098</v>
      </c>
      <c r="L10" s="485">
        <f>K10*(1+'KEEI BAU - Oil Supply'!AB9)</f>
        <v>6227842732670374</v>
      </c>
      <c r="M10" s="485">
        <f>L10*(1+'KEEI BAU - Oil Supply'!AC9)</f>
        <v>6195667168520738</v>
      </c>
      <c r="N10" s="485">
        <f>M10*(1+'KEEI BAU - Oil Supply'!AD9)</f>
        <v>6163491604371099</v>
      </c>
      <c r="O10" s="485">
        <f>N10*(1+'KEEI BAU - Oil Supply'!AE9)</f>
        <v>6131316040221461</v>
      </c>
      <c r="P10" s="485">
        <f>O10*(1+'KEEI BAU - Oil Supply'!AF9)</f>
        <v>6099140476071822</v>
      </c>
      <c r="Q10" s="485">
        <f>P10*(1+'KEEI BAU - Oil Supply'!AG9)</f>
        <v>6066964911922183</v>
      </c>
      <c r="R10" s="485">
        <f>Q10*(1+'KEEI BAU - Oil Supply'!AH9)</f>
        <v>6034789347772556</v>
      </c>
      <c r="S10" s="485">
        <f>R10*(1+'KEEI BAU - Oil Supply'!AI9)</f>
        <v>6002613783622917</v>
      </c>
      <c r="T10" s="485">
        <f>S10*(1+'KEEI BAU - Oil Supply'!AJ9)</f>
        <v>5970438219473278</v>
      </c>
      <c r="U10" s="485">
        <f>T10*(1+'KEEI BAU - Oil Supply'!AK9)</f>
        <v>5938262655323639</v>
      </c>
      <c r="V10" s="485">
        <f>U10*(1+'KEEI BAU - Oil Supply'!AL9)</f>
        <v>5906087091174000</v>
      </c>
      <c r="W10" s="485">
        <f>V10*(1+'KEEI BAU - Oil Supply'!AM9)</f>
        <v>5854409113916149</v>
      </c>
      <c r="X10" s="485">
        <f>W10*(1+'KEEI BAU - Oil Supply'!AN9)</f>
        <v>5802731136658286</v>
      </c>
      <c r="Y10" s="485">
        <f>X10*(1+'KEEI BAU - Oil Supply'!AO9)</f>
        <v>5751053159400423</v>
      </c>
      <c r="Z10" s="485">
        <f>Y10*(1+'KEEI BAU - Oil Supply'!AP9)</f>
        <v>5699375182142560</v>
      </c>
      <c r="AA10" s="485">
        <f>Z10*(1+'KEEI BAU - Oil Supply'!AQ9)</f>
        <v>5647697204884697</v>
      </c>
      <c r="AB10" s="485">
        <f>AA10*(1+'KEEI BAU - Oil Supply'!AR9)</f>
        <v>5596019227626834</v>
      </c>
      <c r="AC10" s="485">
        <f>AB10*(1+'KEEI BAU - Oil Supply'!AS9)</f>
        <v>5544341250368971</v>
      </c>
      <c r="AD10" s="485">
        <f>AC10*(1+'KEEI BAU - Oil Supply'!AT9)</f>
        <v>5492663273111108</v>
      </c>
      <c r="AE10" s="485">
        <f>AD10*(1+'KEEI BAU - Oil Supply'!AU9)</f>
        <v>5440985295853245</v>
      </c>
      <c r="AF10" s="485">
        <f>AE10*(1+'KEEI BAU - Oil Supply'!AV9)</f>
        <v>5389307318595385</v>
      </c>
    </row>
    <row r="11" spans="1:35">
      <c r="A11" t="s">
        <v>11</v>
      </c>
      <c r="B11" s="16">
        <v>0</v>
      </c>
      <c r="C11" s="16">
        <v>0</v>
      </c>
      <c r="D11" s="16">
        <v>0</v>
      </c>
      <c r="E11" s="16">
        <v>0</v>
      </c>
      <c r="F11" s="16">
        <v>0</v>
      </c>
      <c r="G11" s="16">
        <v>0</v>
      </c>
      <c r="H11" s="16">
        <v>0</v>
      </c>
      <c r="I11" s="16">
        <v>0</v>
      </c>
      <c r="J11" s="16">
        <v>0</v>
      </c>
      <c r="K11" s="16">
        <v>0</v>
      </c>
      <c r="L11" s="16">
        <v>0</v>
      </c>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row>
    <row r="12" spans="1:35">
      <c r="A12" t="s">
        <v>12</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row>
    <row r="13" spans="1:35">
      <c r="A13" t="s">
        <v>13</v>
      </c>
      <c r="B13" s="16">
        <v>0</v>
      </c>
      <c r="C13" s="16">
        <v>0</v>
      </c>
      <c r="D13" s="16">
        <v>0</v>
      </c>
      <c r="E13" s="16">
        <v>0</v>
      </c>
      <c r="F13" s="16">
        <v>0</v>
      </c>
      <c r="G13" s="16">
        <v>0</v>
      </c>
      <c r="H13" s="16">
        <v>0</v>
      </c>
      <c r="I13" s="16">
        <v>0</v>
      </c>
      <c r="J13" s="16">
        <v>0</v>
      </c>
      <c r="K13" s="16">
        <v>0</v>
      </c>
      <c r="L13" s="16">
        <v>0</v>
      </c>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row>
    <row r="14" spans="1:35">
      <c r="A14" t="s">
        <v>14</v>
      </c>
      <c r="B14" s="16">
        <v>0</v>
      </c>
      <c r="C14" s="16">
        <v>0</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row>
    <row r="15" spans="1:35">
      <c r="A15" t="s">
        <v>15</v>
      </c>
      <c r="B15" s="16">
        <v>0</v>
      </c>
      <c r="C15" s="16">
        <v>0</v>
      </c>
      <c r="D15" s="16">
        <v>0</v>
      </c>
      <c r="E15" s="16">
        <v>0</v>
      </c>
      <c r="F15" s="16">
        <v>0</v>
      </c>
      <c r="G15" s="16">
        <v>0</v>
      </c>
      <c r="H15" s="16">
        <v>0</v>
      </c>
      <c r="I15" s="16">
        <v>0</v>
      </c>
      <c r="J15" s="16">
        <v>0</v>
      </c>
      <c r="K15" s="16">
        <v>0</v>
      </c>
      <c r="L15" s="16">
        <v>0</v>
      </c>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row>
    <row r="16" spans="1:35">
      <c r="A16" t="s">
        <v>16</v>
      </c>
      <c r="B16" s="16">
        <v>0</v>
      </c>
      <c r="C16" s="16">
        <v>0</v>
      </c>
      <c r="D16" s="16">
        <v>0</v>
      </c>
      <c r="E16" s="16">
        <v>0</v>
      </c>
      <c r="F16" s="16">
        <v>0</v>
      </c>
      <c r="G16" s="16">
        <v>0</v>
      </c>
      <c r="H16" s="16">
        <v>0</v>
      </c>
      <c r="I16" s="16">
        <v>0</v>
      </c>
      <c r="J16" s="16">
        <v>0</v>
      </c>
      <c r="K16" s="16">
        <v>0</v>
      </c>
      <c r="L16" s="16">
        <v>0</v>
      </c>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row>
    <row r="17" spans="1:32">
      <c r="A17" t="s">
        <v>17</v>
      </c>
      <c r="B17" s="16">
        <v>0</v>
      </c>
      <c r="C17" s="16">
        <v>0</v>
      </c>
      <c r="D17" s="16">
        <v>0</v>
      </c>
      <c r="E17" s="16">
        <v>0</v>
      </c>
      <c r="F17" s="16">
        <v>0</v>
      </c>
      <c r="G17" s="16">
        <v>0</v>
      </c>
      <c r="H17" s="16">
        <v>0</v>
      </c>
      <c r="I17" s="16">
        <v>0</v>
      </c>
      <c r="J17" s="16">
        <v>0</v>
      </c>
      <c r="K17" s="16">
        <v>0</v>
      </c>
      <c r="L17" s="16">
        <v>0</v>
      </c>
      <c r="M17" s="16">
        <v>0</v>
      </c>
      <c r="N17" s="16">
        <v>0</v>
      </c>
      <c r="O17" s="16">
        <v>0</v>
      </c>
      <c r="P17" s="16">
        <v>0</v>
      </c>
      <c r="Q17" s="16">
        <v>0</v>
      </c>
      <c r="R17" s="16">
        <v>0</v>
      </c>
      <c r="S17" s="16">
        <v>0</v>
      </c>
      <c r="T17" s="16">
        <v>0</v>
      </c>
      <c r="U17" s="16">
        <v>0</v>
      </c>
      <c r="V17" s="16">
        <v>0</v>
      </c>
      <c r="W17" s="16">
        <v>0</v>
      </c>
      <c r="X17" s="16">
        <v>0</v>
      </c>
      <c r="Y17" s="16">
        <v>0</v>
      </c>
      <c r="Z17" s="16">
        <v>0</v>
      </c>
      <c r="AA17" s="16">
        <v>0</v>
      </c>
      <c r="AB17" s="16">
        <v>0</v>
      </c>
      <c r="AC17" s="16">
        <v>0</v>
      </c>
      <c r="AD17" s="16">
        <v>0</v>
      </c>
      <c r="AE17" s="16">
        <v>0</v>
      </c>
      <c r="AF17" s="16">
        <v>0</v>
      </c>
    </row>
    <row r="18" spans="1:32">
      <c r="A18" t="s">
        <v>18</v>
      </c>
      <c r="B18" s="16">
        <v>0</v>
      </c>
      <c r="C18" s="16">
        <v>0</v>
      </c>
      <c r="D18" s="16">
        <v>0</v>
      </c>
      <c r="E18" s="16">
        <v>0</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c r="W18" s="16">
        <v>0</v>
      </c>
      <c r="X18" s="16">
        <v>0</v>
      </c>
      <c r="Y18" s="16">
        <v>0</v>
      </c>
      <c r="Z18" s="16">
        <v>0</v>
      </c>
      <c r="AA18" s="16">
        <v>0</v>
      </c>
      <c r="AB18" s="16">
        <v>0</v>
      </c>
      <c r="AC18" s="16">
        <v>0</v>
      </c>
      <c r="AD18" s="16">
        <v>0</v>
      </c>
      <c r="AE18" s="16">
        <v>0</v>
      </c>
      <c r="AF18" s="16">
        <v>0</v>
      </c>
    </row>
    <row r="19" spans="1:32">
      <c r="A19" t="s">
        <v>19</v>
      </c>
      <c r="B19" s="16">
        <v>0</v>
      </c>
      <c r="C19" s="16">
        <v>0</v>
      </c>
      <c r="D19" s="16">
        <v>0</v>
      </c>
      <c r="E19" s="16">
        <v>0</v>
      </c>
      <c r="F19" s="16">
        <v>0</v>
      </c>
      <c r="G19" s="16">
        <v>0</v>
      </c>
      <c r="H19" s="16">
        <v>0</v>
      </c>
      <c r="I19" s="16">
        <v>0</v>
      </c>
      <c r="J19" s="16">
        <v>0</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row>
    <row r="20" spans="1:32">
      <c r="A20" t="s">
        <v>20</v>
      </c>
      <c r="B20" s="16">
        <v>0</v>
      </c>
      <c r="C20" s="16">
        <v>0</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row>
    <row r="21" spans="1:32">
      <c r="A21" t="s">
        <v>21</v>
      </c>
      <c r="B21" s="16">
        <v>0</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row>
    <row r="22" spans="1:32">
      <c r="A22" t="s">
        <v>22</v>
      </c>
      <c r="B22" s="16">
        <v>0</v>
      </c>
      <c r="C22" s="16">
        <v>0</v>
      </c>
      <c r="D22" s="16">
        <v>0</v>
      </c>
      <c r="E22" s="16">
        <v>0</v>
      </c>
      <c r="F22" s="16">
        <v>0</v>
      </c>
      <c r="G22" s="16">
        <v>0</v>
      </c>
      <c r="H22" s="16">
        <v>0</v>
      </c>
      <c r="I22" s="16">
        <v>0</v>
      </c>
      <c r="J22" s="16">
        <v>0</v>
      </c>
      <c r="K22" s="16">
        <v>0</v>
      </c>
      <c r="L22" s="16">
        <v>0</v>
      </c>
      <c r="M22" s="16">
        <v>0</v>
      </c>
      <c r="N22" s="16">
        <v>0</v>
      </c>
      <c r="O22" s="16">
        <v>0</v>
      </c>
      <c r="P22" s="16">
        <v>0</v>
      </c>
      <c r="Q22" s="16">
        <v>0</v>
      </c>
      <c r="R22" s="16">
        <v>0</v>
      </c>
      <c r="S22" s="16">
        <v>0</v>
      </c>
      <c r="T22" s="16">
        <v>0</v>
      </c>
      <c r="U22" s="16">
        <v>0</v>
      </c>
      <c r="V22" s="16">
        <v>0</v>
      </c>
      <c r="W22" s="16">
        <v>0</v>
      </c>
      <c r="X22" s="16">
        <v>0</v>
      </c>
      <c r="Y22" s="16">
        <v>0</v>
      </c>
      <c r="Z22" s="16">
        <v>0</v>
      </c>
      <c r="AA22" s="16">
        <v>0</v>
      </c>
      <c r="AB22" s="16">
        <v>0</v>
      </c>
      <c r="AC22" s="16">
        <v>0</v>
      </c>
      <c r="AD22" s="16">
        <v>0</v>
      </c>
      <c r="AE22" s="16">
        <v>0</v>
      </c>
      <c r="AF22" s="16">
        <v>0</v>
      </c>
    </row>
    <row r="23" spans="1:32">
      <c r="A23" t="s">
        <v>23</v>
      </c>
      <c r="B23" s="16">
        <v>0</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row>
    <row r="24" spans="1:32">
      <c r="A24" t="s">
        <v>24</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row>
    <row r="25" spans="1:32">
      <c r="A25" t="s">
        <v>25</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row>
    <row r="26" spans="1:32">
      <c r="A26" t="s">
        <v>26</v>
      </c>
      <c r="B26" s="16">
        <v>0</v>
      </c>
      <c r="C26" s="16">
        <v>0</v>
      </c>
      <c r="D26" s="16">
        <v>0</v>
      </c>
      <c r="E26" s="16">
        <v>0</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row>
  </sheetData>
  <phoneticPr fontId="37"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AI26"/>
  <sheetViews>
    <sheetView zoomScale="55" zoomScaleNormal="55" workbookViewId="0">
      <pane xSplit="1" ySplit="1" topLeftCell="L27" activePane="bottomRight" state="frozen"/>
      <selection pane="topRight" activeCell="B1" sqref="B1"/>
      <selection pane="bottomLeft" activeCell="A2" sqref="A2"/>
      <selection pane="bottomRight" sqref="A1:AF26"/>
    </sheetView>
  </sheetViews>
  <sheetFormatPr defaultColWidth="9.125" defaultRowHeight="16.5"/>
  <cols>
    <col min="1" max="1" width="39.875" customWidth="1"/>
    <col min="2" max="33" width="11" customWidth="1"/>
  </cols>
  <sheetData>
    <row r="1" spans="1:35">
      <c r="A1" s="24" t="s">
        <v>27</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c r="A2" t="s">
        <v>2</v>
      </c>
      <c r="B2" s="16">
        <f>'KEEI BAU - Industry'!R53*'Others Split'!$D$47*'Others Split'!$L$6</f>
        <v>2339174908622.5283</v>
      </c>
      <c r="C2" s="16">
        <f>'KEEI BAU - Industry'!S53*'Others Split'!$D$47*'Others Split'!$L$6</f>
        <v>2391072574328.2661</v>
      </c>
      <c r="D2" s="16">
        <f>'KEEI BAU - Industry'!T53*'Others Split'!$D$47*'Others Split'!$L$6</f>
        <v>2442970240034.0039</v>
      </c>
      <c r="E2" s="16">
        <f>'KEEI BAU - Industry'!U53*'Others Split'!$D$47*'Others Split'!$L$6</f>
        <v>2494867905739.7412</v>
      </c>
      <c r="F2" s="16">
        <f>'KEEI BAU - Industry'!V53*'Others Split'!$D$47*'Others Split'!$L$6</f>
        <v>2546765571445.479</v>
      </c>
      <c r="G2" s="16">
        <f>'KEEI BAU - Industry'!W53*'Others Split'!$D$47*'Others Split'!$L$6</f>
        <v>2598663237151.2168</v>
      </c>
      <c r="H2" s="16">
        <f>'KEEI BAU - Industry'!X53*'Others Split'!$D$47*'Others Split'!$L$6</f>
        <v>2622645994605.8467</v>
      </c>
      <c r="I2" s="16">
        <f>'KEEI BAU - Industry'!Y53*'Others Split'!$D$47*'Others Split'!$L$6</f>
        <v>2646628752060.4697</v>
      </c>
      <c r="J2" s="16">
        <f>'KEEI BAU - Industry'!Z53*'Others Split'!$D$47*'Others Split'!$L$6</f>
        <v>2670611509515.0923</v>
      </c>
      <c r="K2" s="16">
        <f>'KEEI BAU - Industry'!AA53*'Others Split'!$D$47*'Others Split'!$L$6</f>
        <v>2694594266969.7153</v>
      </c>
      <c r="L2" s="16">
        <f>'KEEI BAU - Industry'!AB53*'Others Split'!$D$47*'Others Split'!$L$6</f>
        <v>2718577024424.3423</v>
      </c>
      <c r="M2" s="16">
        <f>'KEEI BAU - Industry'!AC53*'Others Split'!$D$47*'Others Split'!$L$6</f>
        <v>2735627888528.2886</v>
      </c>
      <c r="N2" s="16">
        <f>'KEEI BAU - Industry'!AD53*'Others Split'!$D$47*'Others Split'!$L$6</f>
        <v>2752678752632.2393</v>
      </c>
      <c r="O2" s="16">
        <f>'KEEI BAU - Industry'!AE53*'Others Split'!$D$47*'Others Split'!$L$6</f>
        <v>2769729616736.1909</v>
      </c>
      <c r="P2" s="16">
        <f>'KEEI BAU - Industry'!AF53*'Others Split'!$D$47*'Others Split'!$L$6</f>
        <v>2786780480840.1416</v>
      </c>
      <c r="Q2" s="16">
        <f>'KEEI BAU - Industry'!AG53*'Others Split'!$D$47*'Others Split'!$L$6</f>
        <v>2803831344944.0913</v>
      </c>
      <c r="R2" s="16">
        <f>'KEEI BAU - Industry'!AH53*'Others Split'!$D$47*'Others Split'!$L$6</f>
        <v>2817217070035.0498</v>
      </c>
      <c r="S2" s="16">
        <f>'KEEI BAU - Industry'!AI53*'Others Split'!$D$47*'Others Split'!$L$6</f>
        <v>2830602795125.9971</v>
      </c>
      <c r="T2" s="16">
        <f>'KEEI BAU - Industry'!AJ53*'Others Split'!$D$47*'Others Split'!$L$6</f>
        <v>2843988520216.9492</v>
      </c>
      <c r="U2" s="16">
        <f>'KEEI BAU - Industry'!AK53*'Others Split'!$D$47*'Others Split'!$L$6</f>
        <v>2857374245307.9014</v>
      </c>
      <c r="V2" s="16">
        <f>'KEEI BAU - Industry'!AL53*'Others Split'!$D$47*'Others Split'!$L$6</f>
        <v>2870759970398.8491</v>
      </c>
      <c r="W2" s="16">
        <f>'KEEI BAU - Industry'!AM53*'Others Split'!$D$47*'Others Split'!$L$6</f>
        <v>2889032547507.1338</v>
      </c>
      <c r="X2" s="16">
        <f>'KEEI BAU - Industry'!AN53*'Others Split'!$D$47*'Others Split'!$L$6</f>
        <v>2903973180058.145</v>
      </c>
      <c r="Y2" s="16">
        <f>'KEEI BAU - Industry'!AO53*'Others Split'!$D$47*'Others Split'!$L$6</f>
        <v>2918913812609.1606</v>
      </c>
      <c r="Z2" s="16">
        <f>'KEEI BAU - Industry'!AP53*'Others Split'!$D$47*'Others Split'!$L$6</f>
        <v>2933854445160.1719</v>
      </c>
      <c r="AA2" s="16">
        <f>'KEEI BAU - Industry'!AQ53*'Others Split'!$D$47*'Others Split'!$L$6</f>
        <v>2948795077711.1821</v>
      </c>
      <c r="AB2" s="16">
        <f>'KEEI BAU - Industry'!AR53*'Others Split'!$D$47*'Others Split'!$L$6</f>
        <v>2963735710262.1929</v>
      </c>
      <c r="AC2" s="16">
        <f>'KEEI BAU - Industry'!AS53*'Others Split'!$D$47*'Others Split'!$L$6</f>
        <v>2978676342813.209</v>
      </c>
      <c r="AD2" s="16">
        <f>'KEEI BAU - Industry'!AT53*'Others Split'!$D$47*'Others Split'!$L$6</f>
        <v>2993616975364.2197</v>
      </c>
      <c r="AE2" s="16">
        <f>'KEEI BAU - Industry'!AU53*'Others Split'!$D$47*'Others Split'!$L$6</f>
        <v>3008557607915.2305</v>
      </c>
      <c r="AF2" s="16">
        <f>'KEEI BAU - Industry'!AV53*'Others Split'!$D$47*'Others Split'!$L$6</f>
        <v>3023498240466.2461</v>
      </c>
    </row>
    <row r="3" spans="1:35">
      <c r="A3" t="s">
        <v>3</v>
      </c>
      <c r="B3" s="16">
        <f>-SUM('2019 KESIS Energy Balance'!AF36:AH36)*'KEEI BAU - Industry'!$N$3/1000*(1+'KEEI BAU - Coal Supply'!R9)</f>
        <v>14438611167.966463</v>
      </c>
      <c r="C3" s="16">
        <f>B3*(1+'KEEI BAU - Coal Supply'!S9)</f>
        <v>13887001714.753069</v>
      </c>
      <c r="D3" s="16">
        <f>C3*(1+'KEEI BAU - Coal Supply'!T9)</f>
        <v>12391170681.116932</v>
      </c>
      <c r="E3" s="16">
        <f>D3*(1+'KEEI BAU - Coal Supply'!U9)</f>
        <v>12154301754.710981</v>
      </c>
      <c r="F3" s="16">
        <f>E3*(1+'KEEI BAU - Coal Supply'!V9)</f>
        <v>11917432828.305166</v>
      </c>
      <c r="G3" s="16">
        <f>F3*(1+'KEEI BAU - Coal Supply'!W9)</f>
        <v>11680563901.899279</v>
      </c>
      <c r="H3" s="16">
        <f>G3*(1+'KEEI BAU - Coal Supply'!X9)</f>
        <v>11443694975.493391</v>
      </c>
      <c r="I3" s="16">
        <f>H3*(1+'KEEI BAU - Coal Supply'!Y9)</f>
        <v>11206826049.087503</v>
      </c>
      <c r="J3" s="16">
        <f>I3*(1+'KEEI BAU - Coal Supply'!Z9)</f>
        <v>10969957122.681616</v>
      </c>
      <c r="K3" s="16">
        <f>J3*(1+'KEEI BAU - Coal Supply'!AA9)</f>
        <v>10733088196.275728</v>
      </c>
      <c r="L3" s="16">
        <f>K3*(1+'KEEI BAU - Coal Supply'!AB9)</f>
        <v>10496219269.869913</v>
      </c>
      <c r="M3" s="16">
        <f>L3*(1+'KEEI BAU - Coal Supply'!AC9)</f>
        <v>10260215761.406273</v>
      </c>
      <c r="N3" s="16">
        <f>M3*(1+'KEEI BAU - Coal Supply'!AD9)</f>
        <v>10024212252.94256</v>
      </c>
      <c r="O3" s="16">
        <f>N3*(1+'KEEI BAU - Coal Supply'!AE9)</f>
        <v>9788208744.4788475</v>
      </c>
      <c r="P3" s="16">
        <f>O3*(1+'KEEI BAU - Coal Supply'!AF9)</f>
        <v>9552205236.0152092</v>
      </c>
      <c r="Q3" s="16">
        <f>P3*(1+'KEEI BAU - Coal Supply'!AG9)</f>
        <v>9316201727.5514965</v>
      </c>
      <c r="R3" s="16">
        <f>Q3*(1+'KEEI BAU - Coal Supply'!AH9)</f>
        <v>9080198219.0877838</v>
      </c>
      <c r="S3" s="16">
        <f>R3*(1+'KEEI BAU - Coal Supply'!AI9)</f>
        <v>8844194710.6241455</v>
      </c>
      <c r="T3" s="16">
        <f>S3*(1+'KEEI BAU - Coal Supply'!AJ9)</f>
        <v>8608191202.1604347</v>
      </c>
      <c r="U3" s="16">
        <f>T3*(1+'KEEI BAU - Coal Supply'!AK9)</f>
        <v>8372187693.6967955</v>
      </c>
      <c r="V3" s="16">
        <f>U3*(1+'KEEI BAU - Coal Supply'!AL9)</f>
        <v>8136184185.2330656</v>
      </c>
      <c r="W3" s="16">
        <f>V3*(1+'KEEI BAU - Coal Supply'!AM9)</f>
        <v>7909884119.3958826</v>
      </c>
      <c r="X3" s="16">
        <f>W3*(1+'KEEI BAU - Coal Supply'!AN9)</f>
        <v>7683584053.5586815</v>
      </c>
      <c r="Y3" s="16">
        <f>X3*(1+'KEEI BAU - Coal Supply'!AO9)</f>
        <v>7457283987.7214079</v>
      </c>
      <c r="Z3" s="16">
        <f>Y3*(1+'KEEI BAU - Coal Supply'!AP9)</f>
        <v>7230983921.8842068</v>
      </c>
      <c r="AA3" s="16">
        <f>Z3*(1+'KEEI BAU - Coal Supply'!AQ9)</f>
        <v>7004683856.0469332</v>
      </c>
      <c r="AB3" s="16">
        <f>AA3*(1+'KEEI BAU - Coal Supply'!AR9)</f>
        <v>6778383790.2097321</v>
      </c>
      <c r="AC3" s="16">
        <f>AB3*(1+'KEEI BAU - Coal Supply'!AS9)</f>
        <v>6552083724.3724585</v>
      </c>
      <c r="AD3" s="16">
        <f>AC3*(1+'KEEI BAU - Coal Supply'!AT9)</f>
        <v>6325783658.5352573</v>
      </c>
      <c r="AE3" s="16">
        <f>AD3*(1+'KEEI BAU - Coal Supply'!AU9)</f>
        <v>6099483592.6980562</v>
      </c>
      <c r="AF3" s="16">
        <f>AE3*(1+'KEEI BAU - Coal Supply'!AV9)</f>
        <v>5873183526.8607368</v>
      </c>
    </row>
    <row r="4" spans="1:35">
      <c r="A4" t="s">
        <v>4</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c r="AC4" s="16">
        <v>0</v>
      </c>
      <c r="AD4" s="16">
        <v>0</v>
      </c>
      <c r="AE4" s="16">
        <v>0</v>
      </c>
      <c r="AF4" s="16">
        <v>0</v>
      </c>
    </row>
    <row r="5" spans="1:35">
      <c r="A5" t="s">
        <v>5</v>
      </c>
      <c r="B5" s="16">
        <f>'KEEI BAU - Industry'!R$53*'Others Split'!$D$47*'Others Split'!$L$7</f>
        <v>306856295106.61951</v>
      </c>
      <c r="C5" s="16">
        <f>'KEEI BAU - Industry'!S$53*'Others Split'!$D$47*'Others Split'!$L$7</f>
        <v>313664304787.487</v>
      </c>
      <c r="D5" s="16">
        <f>'KEEI BAU - Industry'!T$53*'Others Split'!$D$47*'Others Split'!$L$7</f>
        <v>320472314468.35455</v>
      </c>
      <c r="E5" s="16">
        <f>'KEEI BAU - Industry'!U$53*'Others Split'!$D$47*'Others Split'!$L$7</f>
        <v>327280324149.22198</v>
      </c>
      <c r="F5" s="16">
        <f>'KEEI BAU - Industry'!V$53*'Others Split'!$D$47*'Others Split'!$L$7</f>
        <v>334088333830.08948</v>
      </c>
      <c r="G5" s="16">
        <f>'KEEI BAU - Industry'!W$53*'Others Split'!$D$47*'Others Split'!$L$7</f>
        <v>340896343510.95697</v>
      </c>
      <c r="H5" s="16">
        <f>'KEEI BAU - Industry'!X$53*'Others Split'!$D$47*'Others Split'!$L$7</f>
        <v>344042435781.28754</v>
      </c>
      <c r="I5" s="16">
        <f>'KEEI BAU - Industry'!Y$53*'Others Split'!$D$47*'Others Split'!$L$7</f>
        <v>347188528051.61707</v>
      </c>
      <c r="J5" s="16">
        <f>'KEEI BAU - Industry'!Z$53*'Others Split'!$D$47*'Others Split'!$L$7</f>
        <v>350334620321.94666</v>
      </c>
      <c r="K5" s="16">
        <f>'KEEI BAU - Industry'!AA$53*'Others Split'!$D$47*'Others Split'!$L$7</f>
        <v>353480712592.27618</v>
      </c>
      <c r="L5" s="16">
        <f>'KEEI BAU - Industry'!AB$53*'Others Split'!$D$47*'Others Split'!$L$7</f>
        <v>356626804862.60638</v>
      </c>
      <c r="M5" s="16">
        <f>'KEEI BAU - Industry'!AC$53*'Others Split'!$D$47*'Others Split'!$L$7</f>
        <v>358863561493.33838</v>
      </c>
      <c r="N5" s="16">
        <f>'KEEI BAU - Industry'!AD$53*'Others Split'!$D$47*'Others Split'!$L$7</f>
        <v>361100318124.07098</v>
      </c>
      <c r="O5" s="16">
        <f>'KEEI BAU - Industry'!AE$53*'Others Split'!$D$47*'Others Split'!$L$7</f>
        <v>363337074754.80365</v>
      </c>
      <c r="P5" s="16">
        <f>'KEEI BAU - Industry'!AF$53*'Others Split'!$D$47*'Others Split'!$L$7</f>
        <v>365573831385.53625</v>
      </c>
      <c r="Q5" s="16">
        <f>'KEEI BAU - Industry'!AG$53*'Others Split'!$D$47*'Others Split'!$L$7</f>
        <v>367810588016.26874</v>
      </c>
      <c r="R5" s="16">
        <f>'KEEI BAU - Industry'!AH$53*'Others Split'!$D$47*'Others Split'!$L$7</f>
        <v>369566546492.7326</v>
      </c>
      <c r="S5" s="16">
        <f>'KEEI BAU - Industry'!AI$53*'Others Split'!$D$47*'Others Split'!$L$7</f>
        <v>371322504969.19495</v>
      </c>
      <c r="T5" s="16">
        <f>'KEEI BAU - Industry'!AJ$53*'Others Split'!$D$47*'Others Split'!$L$7</f>
        <v>373078463445.65796</v>
      </c>
      <c r="U5" s="16">
        <f>'KEEI BAU - Industry'!AK$53*'Others Split'!$D$47*'Others Split'!$L$7</f>
        <v>374834421922.12097</v>
      </c>
      <c r="V5" s="16">
        <f>'KEEI BAU - Industry'!AL$53*'Others Split'!$D$47*'Others Split'!$L$7</f>
        <v>376590380398.58337</v>
      </c>
      <c r="W5" s="16">
        <f>'KEEI BAU - Industry'!AM$53*'Others Split'!$D$47*'Others Split'!$L$7</f>
        <v>378987403080.73938</v>
      </c>
      <c r="X5" s="16">
        <f>'KEEI BAU - Industry'!AN$53*'Others Split'!$D$47*'Others Split'!$L$7</f>
        <v>380947336531.74078</v>
      </c>
      <c r="Y5" s="16">
        <f>'KEEI BAU - Industry'!AO$53*'Others Split'!$D$47*'Others Split'!$L$7</f>
        <v>382907269982.74292</v>
      </c>
      <c r="Z5" s="16">
        <f>'KEEI BAU - Industry'!AP$53*'Others Split'!$D$47*'Others Split'!$L$7</f>
        <v>384867203433.74438</v>
      </c>
      <c r="AA5" s="16">
        <f>'KEEI BAU - Industry'!AQ$53*'Others Split'!$D$47*'Others Split'!$L$7</f>
        <v>386827136884.74573</v>
      </c>
      <c r="AB5" s="16">
        <f>'KEEI BAU - Industry'!AR$53*'Others Split'!$D$47*'Others Split'!$L$7</f>
        <v>388787070335.74719</v>
      </c>
      <c r="AC5" s="16">
        <f>'KEEI BAU - Industry'!AS$53*'Others Split'!$D$47*'Others Split'!$L$7</f>
        <v>390747003786.74933</v>
      </c>
      <c r="AD5" s="16">
        <f>'KEEI BAU - Industry'!AT$53*'Others Split'!$D$47*'Others Split'!$L$7</f>
        <v>392706937237.75079</v>
      </c>
      <c r="AE5" s="16">
        <f>'KEEI BAU - Industry'!AU$53*'Others Split'!$D$47*'Others Split'!$L$7</f>
        <v>394666870688.7522</v>
      </c>
      <c r="AF5" s="16">
        <f>'KEEI BAU - Industry'!AV$53*'Others Split'!$D$47*'Others Split'!$L$7</f>
        <v>396626804139.75427</v>
      </c>
    </row>
    <row r="6" spans="1:35">
      <c r="A6" t="s">
        <v>6</v>
      </c>
      <c r="B6" s="16">
        <f>'KEEI BAU - Industry'!R$53*'Others Split'!$D$47*'Others Split'!$L$8</f>
        <v>1365543341655.1724</v>
      </c>
      <c r="C6" s="16">
        <f>'KEEI BAU - Industry'!S$53*'Others Split'!$D$47*'Others Split'!$L$8</f>
        <v>1395839713076.8582</v>
      </c>
      <c r="D6" s="16">
        <f>'KEEI BAU - Industry'!T$53*'Others Split'!$D$47*'Others Split'!$L$8</f>
        <v>1426136084498.5442</v>
      </c>
      <c r="E6" s="16">
        <f>'KEEI BAU - Industry'!U$53*'Others Split'!$D$47*'Others Split'!$L$8</f>
        <v>1456432455920.2297</v>
      </c>
      <c r="F6" s="16">
        <f>'KEEI BAU - Industry'!V$53*'Others Split'!$D$47*'Others Split'!$L$8</f>
        <v>1486728827341.9155</v>
      </c>
      <c r="G6" s="16">
        <f>'KEEI BAU - Industry'!W$53*'Others Split'!$D$47*'Others Split'!$L$8</f>
        <v>1517025198763.6013</v>
      </c>
      <c r="H6" s="16">
        <f>'KEEI BAU - Industry'!X$53*'Others Split'!$D$47*'Others Split'!$L$8</f>
        <v>1531025645945.2046</v>
      </c>
      <c r="I6" s="16">
        <f>'KEEI BAU - Industry'!Y$53*'Others Split'!$D$47*'Others Split'!$L$8</f>
        <v>1545026093126.8035</v>
      </c>
      <c r="J6" s="16">
        <f>'KEEI BAU - Industry'!Z$53*'Others Split'!$D$47*'Others Split'!$L$8</f>
        <v>1559026540308.4023</v>
      </c>
      <c r="K6" s="16">
        <f>'KEEI BAU - Industry'!AA$53*'Others Split'!$D$47*'Others Split'!$L$8</f>
        <v>1573026987490.0012</v>
      </c>
      <c r="L6" s="16">
        <f>'KEEI BAU - Industry'!AB$53*'Others Split'!$D$47*'Others Split'!$L$8</f>
        <v>1587027434671.6028</v>
      </c>
      <c r="M6" s="16">
        <f>'KEEI BAU - Industry'!AC$53*'Others Split'!$D$47*'Others Split'!$L$8</f>
        <v>1596981240973.4675</v>
      </c>
      <c r="N6" s="16">
        <f>'KEEI BAU - Industry'!AD$53*'Others Split'!$D$47*'Others Split'!$L$8</f>
        <v>1606935047275.335</v>
      </c>
      <c r="O6" s="16">
        <f>'KEEI BAU - Industry'!AE$53*'Others Split'!$D$47*'Others Split'!$L$8</f>
        <v>1616888853577.2029</v>
      </c>
      <c r="P6" s="16">
        <f>'KEEI BAU - Industry'!AF$53*'Others Split'!$D$47*'Others Split'!$L$8</f>
        <v>1626842659879.0703</v>
      </c>
      <c r="Q6" s="16">
        <f>'KEEI BAU - Industry'!AG$53*'Others Split'!$D$47*'Others Split'!$L$8</f>
        <v>1636796466180.937</v>
      </c>
      <c r="R6" s="16">
        <f>'KEEI BAU - Industry'!AH$53*'Others Split'!$D$47*'Others Split'!$L$8</f>
        <v>1644610669259.0425</v>
      </c>
      <c r="S6" s="16">
        <f>'KEEI BAU - Industry'!AI$53*'Others Split'!$D$47*'Others Split'!$L$8</f>
        <v>1652424872337.1411</v>
      </c>
      <c r="T6" s="16">
        <f>'KEEI BAU - Industry'!AJ$53*'Others Split'!$D$47*'Others Split'!$L$8</f>
        <v>1660239075415.2429</v>
      </c>
      <c r="U6" s="16">
        <f>'KEEI BAU - Industry'!AK$53*'Others Split'!$D$47*'Others Split'!$L$8</f>
        <v>1668053278493.3445</v>
      </c>
      <c r="V6" s="16">
        <f>'KEEI BAU - Industry'!AL$53*'Others Split'!$D$47*'Others Split'!$L$8</f>
        <v>1675867481571.4436</v>
      </c>
      <c r="W6" s="16">
        <f>'KEEI BAU - Industry'!AM$53*'Others Split'!$D$47*'Others Split'!$L$8</f>
        <v>1686534488947.9004</v>
      </c>
      <c r="X6" s="16">
        <f>'KEEI BAU - Industry'!AN$53*'Others Split'!$D$47*'Others Split'!$L$8</f>
        <v>1695256402484.5686</v>
      </c>
      <c r="Y6" s="16">
        <f>'KEEI BAU - Industry'!AO$53*'Others Split'!$D$47*'Others Split'!$L$8</f>
        <v>1703978316021.2397</v>
      </c>
      <c r="Z6" s="16">
        <f>'KEEI BAU - Industry'!AP$53*'Others Split'!$D$47*'Others Split'!$L$8</f>
        <v>1712700229557.908</v>
      </c>
      <c r="AA6" s="16">
        <f>'KEEI BAU - Industry'!AQ$53*'Others Split'!$D$47*'Others Split'!$L$8</f>
        <v>1721422143094.5759</v>
      </c>
      <c r="AB6" s="16">
        <f>'KEEI BAU - Industry'!AR$53*'Others Split'!$D$47*'Others Split'!$L$8</f>
        <v>1730144056631.2439</v>
      </c>
      <c r="AC6" s="16">
        <f>'KEEI BAU - Industry'!AS$53*'Others Split'!$D$47*'Others Split'!$L$8</f>
        <v>1738865970167.9153</v>
      </c>
      <c r="AD6" s="16">
        <f>'KEEI BAU - Industry'!AT$53*'Others Split'!$D$47*'Others Split'!$L$8</f>
        <v>1747587883704.5835</v>
      </c>
      <c r="AE6" s="16">
        <f>'KEEI BAU - Industry'!AU$53*'Others Split'!$D$47*'Others Split'!$L$8</f>
        <v>1756309797241.2515</v>
      </c>
      <c r="AF6" s="16">
        <f>'KEEI BAU - Industry'!AV$53*'Others Split'!$D$47*'Others Split'!$L$8</f>
        <v>1765031710777.9224</v>
      </c>
    </row>
    <row r="7" spans="1:35">
      <c r="A7" t="s">
        <v>7</v>
      </c>
      <c r="B7" s="16">
        <f>'KEEI BAU - Industry'!R$53*'Others Split'!$D$47*'Others Split'!$L$9</f>
        <v>1062029577675.9542</v>
      </c>
      <c r="C7" s="16">
        <f>'KEEI BAU - Industry'!S$53*'Others Split'!$D$47*'Others Split'!$L$9</f>
        <v>1085592097857.1788</v>
      </c>
      <c r="D7" s="16">
        <f>'KEEI BAU - Industry'!T$53*'Others Split'!$D$47*'Others Split'!$L$9</f>
        <v>1109154618038.4036</v>
      </c>
      <c r="E7" s="16">
        <f>'KEEI BAU - Industry'!U$53*'Others Split'!$D$47*'Others Split'!$L$9</f>
        <v>1132717138219.6279</v>
      </c>
      <c r="F7" s="16">
        <f>'KEEI BAU - Industry'!V$53*'Others Split'!$D$47*'Others Split'!$L$9</f>
        <v>1156279658400.8525</v>
      </c>
      <c r="G7" s="16">
        <f>'KEEI BAU - Industry'!W$53*'Others Split'!$D$47*'Others Split'!$L$9</f>
        <v>1179842178582.0769</v>
      </c>
      <c r="H7" s="16">
        <f>'KEEI BAU - Industry'!X$53*'Others Split'!$D$47*'Others Split'!$L$9</f>
        <v>1190730803317.7297</v>
      </c>
      <c r="I7" s="16">
        <f>'KEEI BAU - Industry'!Y$53*'Others Split'!$D$47*'Others Split'!$L$9</f>
        <v>1201619428053.3794</v>
      </c>
      <c r="J7" s="16">
        <f>'KEEI BAU - Industry'!Z$53*'Others Split'!$D$47*'Others Split'!$L$9</f>
        <v>1212508052789.0288</v>
      </c>
      <c r="K7" s="16">
        <f>'KEEI BAU - Industry'!AA$53*'Others Split'!$D$47*'Others Split'!$L$9</f>
        <v>1223396677524.6782</v>
      </c>
      <c r="L7" s="16">
        <f>'KEEI BAU - Industry'!AB$53*'Others Split'!$D$47*'Others Split'!$L$9</f>
        <v>1234285302260.3298</v>
      </c>
      <c r="M7" s="16">
        <f>'KEEI BAU - Industry'!AC$53*'Others Split'!$D$47*'Others Split'!$L$9</f>
        <v>1242026716524.2112</v>
      </c>
      <c r="N7" s="16">
        <f>'KEEI BAU - Industry'!AD$53*'Others Split'!$D$47*'Others Split'!$L$9</f>
        <v>1249768130788.0947</v>
      </c>
      <c r="O7" s="16">
        <f>'KEEI BAU - Industry'!AE$53*'Others Split'!$D$47*'Others Split'!$L$9</f>
        <v>1257509545051.9785</v>
      </c>
      <c r="P7" s="16">
        <f>'KEEI BAU - Industry'!AF$53*'Others Split'!$D$47*'Others Split'!$L$9</f>
        <v>1265250959315.8621</v>
      </c>
      <c r="Q7" s="16">
        <f>'KEEI BAU - Industry'!AG$53*'Others Split'!$D$47*'Others Split'!$L$9</f>
        <v>1272992373579.7451</v>
      </c>
      <c r="R7" s="16">
        <f>'KEEI BAU - Industry'!AH$53*'Others Split'!$D$47*'Others Split'!$L$9</f>
        <v>1279069745525.2268</v>
      </c>
      <c r="S7" s="16">
        <f>'KEEI BAU - Industry'!AI$53*'Others Split'!$D$47*'Others Split'!$L$9</f>
        <v>1285147117470.7034</v>
      </c>
      <c r="T7" s="16">
        <f>'KEEI BAU - Industry'!AJ$53*'Others Split'!$D$47*'Others Split'!$L$9</f>
        <v>1291224489416.1821</v>
      </c>
      <c r="U7" s="16">
        <f>'KEEI BAU - Industry'!AK$53*'Others Split'!$D$47*'Others Split'!$L$9</f>
        <v>1297301861361.6609</v>
      </c>
      <c r="V7" s="16">
        <f>'KEEI BAU - Industry'!AL$53*'Others Split'!$D$47*'Others Split'!$L$9</f>
        <v>1303379233307.1377</v>
      </c>
      <c r="W7" s="16">
        <f>'KEEI BAU - Industry'!AM$53*'Others Split'!$D$47*'Others Split'!$L$9</f>
        <v>1311675328343.8232</v>
      </c>
      <c r="X7" s="16">
        <f>'KEEI BAU - Industry'!AN$53*'Others Split'!$D$47*'Others Split'!$L$9</f>
        <v>1318458657636.5034</v>
      </c>
      <c r="Y7" s="16">
        <f>'KEEI BAU - Industry'!AO$53*'Others Split'!$D$47*'Others Split'!$L$9</f>
        <v>1325241986929.186</v>
      </c>
      <c r="Z7" s="16">
        <f>'KEEI BAU - Industry'!AP$53*'Others Split'!$D$47*'Others Split'!$L$9</f>
        <v>1332025316221.8662</v>
      </c>
      <c r="AA7" s="16">
        <f>'KEEI BAU - Industry'!AQ$53*'Others Split'!$D$47*'Others Split'!$L$9</f>
        <v>1338808645514.5461</v>
      </c>
      <c r="AB7" s="16">
        <f>'KEEI BAU - Industry'!AR$53*'Others Split'!$D$47*'Others Split'!$L$9</f>
        <v>1345591974807.2263</v>
      </c>
      <c r="AC7" s="16">
        <f>'KEEI BAU - Industry'!AS$53*'Others Split'!$D$47*'Others Split'!$L$9</f>
        <v>1352375304099.9087</v>
      </c>
      <c r="AD7" s="16">
        <f>'KEEI BAU - Industry'!AT$53*'Others Split'!$D$47*'Others Split'!$L$9</f>
        <v>1359158633392.5889</v>
      </c>
      <c r="AE7" s="16">
        <f>'KEEI BAU - Industry'!AU$53*'Others Split'!$D$47*'Others Split'!$L$9</f>
        <v>1365941962685.269</v>
      </c>
      <c r="AF7" s="16">
        <f>'KEEI BAU - Industry'!AV$53*'Others Split'!$D$47*'Others Split'!$L$9</f>
        <v>1372725291977.9514</v>
      </c>
    </row>
    <row r="8" spans="1:35">
      <c r="A8" t="s">
        <v>8</v>
      </c>
      <c r="B8" s="16">
        <f>'KEEI BAU - Industry'!R$53*'Others Split'!$D$47*'Others Split'!$L$10</f>
        <v>74848822031.453201</v>
      </c>
      <c r="C8" s="16">
        <f>'KEEI BAU - Industry'!S$53*'Others Split'!$D$47*'Others Split'!$L$10</f>
        <v>76509441393.407654</v>
      </c>
      <c r="D8" s="16">
        <f>'KEEI BAU - Industry'!T$53*'Others Split'!$D$47*'Others Split'!$L$10</f>
        <v>78170060755.362106</v>
      </c>
      <c r="E8" s="16">
        <f>'KEEI BAU - Industry'!U$53*'Others Split'!$D$47*'Others Split'!$L$10</f>
        <v>79830680117.316559</v>
      </c>
      <c r="F8" s="16">
        <f>'KEEI BAU - Industry'!V$53*'Others Split'!$D$47*'Others Split'!$L$10</f>
        <v>81491299479.271011</v>
      </c>
      <c r="G8" s="16">
        <f>'KEEI BAU - Industry'!W$53*'Others Split'!$D$47*'Others Split'!$L$10</f>
        <v>83151918841.225464</v>
      </c>
      <c r="H8" s="16">
        <f>'KEEI BAU - Industry'!X$53*'Others Split'!$D$47*'Others Split'!$L$10</f>
        <v>83919318122.881653</v>
      </c>
      <c r="I8" s="16">
        <f>'KEEI BAU - Industry'!Y$53*'Others Split'!$D$47*'Others Split'!$L$10</f>
        <v>84686717404.537613</v>
      </c>
      <c r="J8" s="16">
        <f>'KEEI BAU - Industry'!Z$53*'Others Split'!$D$47*'Others Split'!$L$10</f>
        <v>85454116686.193573</v>
      </c>
      <c r="K8" s="16">
        <f>'KEEI BAU - Industry'!AA$53*'Others Split'!$D$47*'Others Split'!$L$10</f>
        <v>86221515967.849533</v>
      </c>
      <c r="L8" s="16">
        <f>'KEEI BAU - Industry'!AB$53*'Others Split'!$D$47*'Others Split'!$L$10</f>
        <v>86988915249.50563</v>
      </c>
      <c r="M8" s="16">
        <f>'KEEI BAU - Industry'!AC$53*'Others Split'!$D$47*'Others Split'!$L$10</f>
        <v>87534508094.270844</v>
      </c>
      <c r="N8" s="16">
        <f>'KEEI BAU - Industry'!AD$53*'Others Split'!$D$47*'Others Split'!$L$10</f>
        <v>88080100939.036194</v>
      </c>
      <c r="O8" s="16">
        <f>'KEEI BAU - Industry'!AE$53*'Others Split'!$D$47*'Others Split'!$L$10</f>
        <v>88625693783.801575</v>
      </c>
      <c r="P8" s="16">
        <f>'KEEI BAU - Industry'!AF$53*'Others Split'!$D$47*'Others Split'!$L$10</f>
        <v>89171286628.566925</v>
      </c>
      <c r="Q8" s="16">
        <f>'KEEI BAU - Industry'!AG$53*'Others Split'!$D$47*'Others Split'!$L$10</f>
        <v>89716879473.332245</v>
      </c>
      <c r="R8" s="16">
        <f>'KEEI BAU - Industry'!AH$53*'Others Split'!$D$47*'Others Split'!$L$10</f>
        <v>90145195351.466003</v>
      </c>
      <c r="S8" s="16">
        <f>'KEEI BAU - Industry'!AI$53*'Others Split'!$D$47*'Others Split'!$L$10</f>
        <v>90573511229.599396</v>
      </c>
      <c r="T8" s="16">
        <f>'KEEI BAU - Industry'!AJ$53*'Others Split'!$D$47*'Others Split'!$L$10</f>
        <v>91001827107.732956</v>
      </c>
      <c r="U8" s="16">
        <f>'KEEI BAU - Industry'!AK$53*'Others Split'!$D$47*'Others Split'!$L$10</f>
        <v>91430142985.866516</v>
      </c>
      <c r="V8" s="16">
        <f>'KEEI BAU - Industry'!AL$53*'Others Split'!$D$47*'Others Split'!$L$10</f>
        <v>91858458863.999924</v>
      </c>
      <c r="W8" s="16">
        <f>'KEEI BAU - Industry'!AM$53*'Others Split'!$D$47*'Others Split'!$L$10</f>
        <v>92443144030.975922</v>
      </c>
      <c r="X8" s="16">
        <f>'KEEI BAU - Industry'!AN$53*'Others Split'!$D$47*'Others Split'!$L$10</f>
        <v>92921213773.741104</v>
      </c>
      <c r="Y8" s="16">
        <f>'KEEI BAU - Industry'!AO$53*'Others Split'!$D$47*'Others Split'!$L$10</f>
        <v>93399283516.506454</v>
      </c>
      <c r="Z8" s="16">
        <f>'KEEI BAU - Industry'!AP$53*'Others Split'!$D$47*'Others Split'!$L$10</f>
        <v>93877353259.271637</v>
      </c>
      <c r="AA8" s="16">
        <f>'KEEI BAU - Industry'!AQ$53*'Others Split'!$D$47*'Others Split'!$L$10</f>
        <v>94355423002.036804</v>
      </c>
      <c r="AB8" s="16">
        <f>'KEEI BAU - Industry'!AR$53*'Others Split'!$D$47*'Others Split'!$L$10</f>
        <v>94833492744.801987</v>
      </c>
      <c r="AC8" s="16">
        <f>'KEEI BAU - Industry'!AS$53*'Others Split'!$D$47*'Others Split'!$L$10</f>
        <v>95311562487.567337</v>
      </c>
      <c r="AD8" s="16">
        <f>'KEEI BAU - Industry'!AT$53*'Others Split'!$D$47*'Others Split'!$L$10</f>
        <v>95789632230.33252</v>
      </c>
      <c r="AE8" s="16">
        <f>'KEEI BAU - Industry'!AU$53*'Others Split'!$D$47*'Others Split'!$L$10</f>
        <v>96267701973.097717</v>
      </c>
      <c r="AF8" s="16">
        <f>'KEEI BAU - Industry'!AV$53*'Others Split'!$D$47*'Others Split'!$L$10</f>
        <v>96745771715.863037</v>
      </c>
    </row>
    <row r="9" spans="1:35">
      <c r="A9" t="s">
        <v>9</v>
      </c>
      <c r="B9" s="16">
        <f>'KEEI BAU - Industry'!R$53*'Others Split'!$D$47*'Others Split'!$L$11</f>
        <v>1087098561131.465</v>
      </c>
      <c r="C9" s="16">
        <f>'KEEI BAU - Industry'!S$53*'Others Split'!$D$47*'Others Split'!$L$11</f>
        <v>1111217269615.7366</v>
      </c>
      <c r="D9" s="16">
        <f>'KEEI BAU - Industry'!T$53*'Others Split'!$D$47*'Others Split'!$L$11</f>
        <v>1135335978100.0081</v>
      </c>
      <c r="E9" s="16">
        <f>'KEEI BAU - Industry'!U$53*'Others Split'!$D$47*'Others Split'!$L$11</f>
        <v>1159454686584.2795</v>
      </c>
      <c r="F9" s="16">
        <f>'KEEI BAU - Industry'!V$53*'Others Split'!$D$47*'Others Split'!$L$11</f>
        <v>1183573395068.551</v>
      </c>
      <c r="G9" s="16">
        <f>'KEEI BAU - Industry'!W$53*'Others Split'!$D$47*'Others Split'!$L$11</f>
        <v>1207692103552.8225</v>
      </c>
      <c r="H9" s="16">
        <f>'KEEI BAU - Industry'!X$53*'Others Split'!$D$47*'Others Split'!$L$11</f>
        <v>1218837751971.3267</v>
      </c>
      <c r="I9" s="16">
        <f>'KEEI BAU - Industry'!Y$53*'Others Split'!$D$47*'Others Split'!$L$11</f>
        <v>1229983400389.8274</v>
      </c>
      <c r="J9" s="16">
        <f>'KEEI BAU - Industry'!Z$53*'Others Split'!$D$47*'Others Split'!$L$11</f>
        <v>1241129048808.3281</v>
      </c>
      <c r="K9" s="16">
        <f>'KEEI BAU - Industry'!AA$53*'Others Split'!$D$47*'Others Split'!$L$11</f>
        <v>1252274697226.8289</v>
      </c>
      <c r="L9" s="16">
        <f>'KEEI BAU - Industry'!AB$53*'Others Split'!$D$47*'Others Split'!$L$11</f>
        <v>1263420345645.3318</v>
      </c>
      <c r="M9" s="16">
        <f>'KEEI BAU - Industry'!AC$53*'Others Split'!$D$47*'Others Split'!$L$11</f>
        <v>1271344494354.8284</v>
      </c>
      <c r="N9" s="16">
        <f>'KEEI BAU - Industry'!AD$53*'Others Split'!$D$47*'Others Split'!$L$11</f>
        <v>1279268643064.3271</v>
      </c>
      <c r="O9" s="16">
        <f>'KEEI BAU - Industry'!AE$53*'Others Split'!$D$47*'Others Split'!$L$11</f>
        <v>1287192791773.8262</v>
      </c>
      <c r="P9" s="16">
        <f>'KEEI BAU - Industry'!AF$53*'Others Split'!$D$47*'Others Split'!$L$11</f>
        <v>1295116940483.325</v>
      </c>
      <c r="Q9" s="16">
        <f>'KEEI BAU - Industry'!AG$53*'Others Split'!$D$47*'Others Split'!$L$11</f>
        <v>1303041089192.823</v>
      </c>
      <c r="R9" s="16">
        <f>'KEEI BAU - Industry'!AH$53*'Others Split'!$D$47*'Others Split'!$L$11</f>
        <v>1309261916217.1055</v>
      </c>
      <c r="S9" s="16">
        <f>'KEEI BAU - Industry'!AI$53*'Others Split'!$D$47*'Others Split'!$L$11</f>
        <v>1315482743241.3826</v>
      </c>
      <c r="T9" s="16">
        <f>'KEEI BAU - Industry'!AJ$53*'Others Split'!$D$47*'Others Split'!$L$11</f>
        <v>1321703570265.6621</v>
      </c>
      <c r="U9" s="16">
        <f>'KEEI BAU - Industry'!AK$53*'Others Split'!$D$47*'Others Split'!$L$11</f>
        <v>1327924397289.9417</v>
      </c>
      <c r="V9" s="16">
        <f>'KEEI BAU - Industry'!AL$53*'Others Split'!$D$47*'Others Split'!$L$11</f>
        <v>1334145224314.219</v>
      </c>
      <c r="W9" s="16">
        <f>'KEEI BAU - Industry'!AM$53*'Others Split'!$D$47*'Others Split'!$L$11</f>
        <v>1342637146918.7915</v>
      </c>
      <c r="X9" s="16">
        <f>'KEEI BAU - Industry'!AN$53*'Others Split'!$D$47*'Others Split'!$L$11</f>
        <v>1349580595264.0723</v>
      </c>
      <c r="Y9" s="16">
        <f>'KEEI BAU - Industry'!AO$53*'Others Split'!$D$47*'Others Split'!$L$11</f>
        <v>1356524043609.3557</v>
      </c>
      <c r="Z9" s="16">
        <f>'KEEI BAU - Industry'!AP$53*'Others Split'!$D$47*'Others Split'!$L$11</f>
        <v>1363467491954.6367</v>
      </c>
      <c r="AA9" s="16">
        <f>'KEEI BAU - Industry'!AQ$53*'Others Split'!$D$47*'Others Split'!$L$11</f>
        <v>1370410940299.9175</v>
      </c>
      <c r="AB9" s="16">
        <f>'KEEI BAU - Industry'!AR$53*'Others Split'!$D$47*'Others Split'!$L$11</f>
        <v>1377354388645.1982</v>
      </c>
      <c r="AC9" s="16">
        <f>'KEEI BAU - Industry'!AS$53*'Others Split'!$D$47*'Others Split'!$L$11</f>
        <v>1384297836990.4817</v>
      </c>
      <c r="AD9" s="16">
        <f>'KEEI BAU - Industry'!AT$53*'Others Split'!$D$47*'Others Split'!$L$11</f>
        <v>1391241285335.7627</v>
      </c>
      <c r="AE9" s="16">
        <f>'KEEI BAU - Industry'!AU$53*'Others Split'!$D$47*'Others Split'!$L$11</f>
        <v>1398184733681.0437</v>
      </c>
      <c r="AF9" s="16">
        <f>'KEEI BAU - Industry'!AV$53*'Others Split'!$D$47*'Others Split'!$L$11</f>
        <v>1405128182026.3267</v>
      </c>
    </row>
    <row r="10" spans="1:35">
      <c r="A10" t="s">
        <v>10</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c r="AC10" s="16">
        <v>0</v>
      </c>
      <c r="AD10" s="16">
        <v>0</v>
      </c>
      <c r="AE10" s="16">
        <v>0</v>
      </c>
      <c r="AF10" s="16">
        <v>0</v>
      </c>
    </row>
    <row r="11" spans="1:35">
      <c r="A11" t="s">
        <v>11</v>
      </c>
      <c r="B11" s="16">
        <f>'KEEI BAU - Industry'!R$11*'Petrochemicals Split'!$D$38*'Petrochemicals Split'!$I$6</f>
        <v>253778031911957.09</v>
      </c>
      <c r="C11" s="16">
        <f>'KEEI BAU - Industry'!S$11*'Petrochemicals Split'!$D$38*'Petrochemicals Split'!$I$6</f>
        <v>284211774067017.94</v>
      </c>
      <c r="D11" s="16">
        <f>'KEEI BAU - Industry'!T$11*'Petrochemicals Split'!$D$38*'Petrochemicals Split'!$I$6</f>
        <v>268097764979815.06</v>
      </c>
      <c r="E11" s="16">
        <f>'KEEI BAU - Industry'!U$11*'Petrochemicals Split'!$D$38*'Petrochemicals Split'!$I$6</f>
        <v>249314938495680.72</v>
      </c>
      <c r="F11" s="16">
        <f>'KEEI BAU - Industry'!V$11*'Petrochemicals Split'!$D$38*'Petrochemicals Split'!$I$6</f>
        <v>241438026578602.94</v>
      </c>
      <c r="G11" s="16">
        <f>'KEEI BAU - Industry'!W$11*'Petrochemicals Split'!$D$38*'Petrochemicals Split'!$I$6</f>
        <v>237105793794181.41</v>
      </c>
      <c r="H11" s="16">
        <f>'KEEI BAU - Industry'!X$11*'Petrochemicals Split'!$D$38*'Petrochemicals Split'!$I$6</f>
        <v>232455442582786.22</v>
      </c>
      <c r="I11" s="16">
        <f>'KEEI BAU - Industry'!Y$11*'Petrochemicals Split'!$D$38*'Petrochemicals Split'!$I$6</f>
        <v>227497386016394.78</v>
      </c>
      <c r="J11" s="16">
        <f>'KEEI BAU - Industry'!Z$11*'Petrochemicals Split'!$D$38*'Petrochemicals Split'!$I$6</f>
        <v>222212708184053.38</v>
      </c>
      <c r="K11" s="16">
        <f>'KEEI BAU - Industry'!AA$11*'Petrochemicals Split'!$D$38*'Petrochemicals Split'!$I$6</f>
        <v>215178485008281.03</v>
      </c>
      <c r="L11" s="16">
        <f>'KEEI BAU - Industry'!AB$11*'Petrochemicals Split'!$D$38*'Petrochemicals Split'!$I$6</f>
        <v>201640960227387.84</v>
      </c>
      <c r="M11" s="16">
        <f>'KEEI BAU - Industry'!AC$11*'Petrochemicals Split'!$D$38*'Petrochemicals Split'!$I$6</f>
        <v>200183058567397.09</v>
      </c>
      <c r="N11" s="16">
        <f>'KEEI BAU - Industry'!AD$11*'Petrochemicals Split'!$D$38*'Petrochemicals Split'!$I$6</f>
        <v>198720792781490.88</v>
      </c>
      <c r="O11" s="16">
        <f>'KEEI BAU - Industry'!AE$11*'Petrochemicals Split'!$D$38*'Petrochemicals Split'!$I$6</f>
        <v>197254088253041.53</v>
      </c>
      <c r="P11" s="16">
        <f>'KEEI BAU - Industry'!AF$11*'Petrochemicals Split'!$D$38*'Petrochemicals Split'!$I$6</f>
        <v>195782868191698.72</v>
      </c>
      <c r="Q11" s="16">
        <f>'KEEI BAU - Industry'!AG$11*'Petrochemicals Split'!$D$38*'Petrochemicals Split'!$I$6</f>
        <v>192970304194452.34</v>
      </c>
      <c r="R11" s="16">
        <f>'KEEI BAU - Industry'!AH$11*'Petrochemicals Split'!$D$38*'Petrochemicals Split'!$I$6</f>
        <v>192574546005104.94</v>
      </c>
      <c r="S11" s="16">
        <f>'KEEI BAU - Industry'!AI$11*'Petrochemicals Split'!$D$38*'Petrochemicals Split'!$I$6</f>
        <v>192178787815757.66</v>
      </c>
      <c r="T11" s="16">
        <f>'KEEI BAU - Industry'!AJ$11*'Petrochemicals Split'!$D$38*'Petrochemicals Split'!$I$6</f>
        <v>191783029626410.16</v>
      </c>
      <c r="U11" s="16">
        <f>'KEEI BAU - Industry'!AK$11*'Petrochemicals Split'!$D$38*'Petrochemicals Split'!$I$6</f>
        <v>191387271437062.78</v>
      </c>
      <c r="V11" s="16">
        <f>'KEEI BAU - Industry'!AL$11*'Petrochemicals Split'!$D$38*'Petrochemicals Split'!$I$6</f>
        <v>190991513247715.44</v>
      </c>
      <c r="W11" s="16">
        <f>'KEEI BAU - Industry'!AM$11*'Petrochemicals Split'!$D$38*'Petrochemicals Split'!$I$6</f>
        <v>190666731438356.72</v>
      </c>
      <c r="X11" s="16">
        <f>'KEEI BAU - Industry'!AN$11*'Petrochemicals Split'!$D$38*'Petrochemicals Split'!$I$6</f>
        <v>190341949628998.06</v>
      </c>
      <c r="Y11" s="16">
        <f>'KEEI BAU - Industry'!AO$11*'Petrochemicals Split'!$D$38*'Petrochemicals Split'!$I$6</f>
        <v>190017167819639.47</v>
      </c>
      <c r="Z11" s="16">
        <f>'KEEI BAU - Industry'!AP$11*'Petrochemicals Split'!$D$38*'Petrochemicals Split'!$I$6</f>
        <v>189692386010280.78</v>
      </c>
      <c r="AA11" s="16">
        <f>'KEEI BAU - Industry'!AQ$11*'Petrochemicals Split'!$D$38*'Petrochemicals Split'!$I$6</f>
        <v>189367604200922.25</v>
      </c>
      <c r="AB11" s="16">
        <f>'KEEI BAU - Industry'!AR$11*'Petrochemicals Split'!$D$38*'Petrochemicals Split'!$I$6</f>
        <v>189042822391563.56</v>
      </c>
      <c r="AC11" s="16">
        <f>'KEEI BAU - Industry'!AS$11*'Petrochemicals Split'!$D$38*'Petrochemicals Split'!$I$6</f>
        <v>188718040582205.03</v>
      </c>
      <c r="AD11" s="16">
        <f>'KEEI BAU - Industry'!AT$11*'Petrochemicals Split'!$D$38*'Petrochemicals Split'!$I$6</f>
        <v>188393258772846.31</v>
      </c>
      <c r="AE11" s="16">
        <f>'KEEI BAU - Industry'!AU$11*'Petrochemicals Split'!$D$38*'Petrochemicals Split'!$I$6</f>
        <v>188068476963487.66</v>
      </c>
      <c r="AF11" s="16">
        <f>'KEEI BAU - Industry'!AV$11*'Petrochemicals Split'!$D$38*'Petrochemicals Split'!$I$6</f>
        <v>187743695154129.13</v>
      </c>
    </row>
    <row r="12" spans="1:35">
      <c r="A12" t="s">
        <v>12</v>
      </c>
      <c r="B12" s="16">
        <f>'KEEI BAU - Industry'!R$11*'Petrochemicals Split'!$D$38*'Petrochemicals Split'!$I$7</f>
        <v>131420766525834.92</v>
      </c>
      <c r="C12" s="16">
        <f>'KEEI BAU - Industry'!S$11*'Petrochemicals Split'!$D$38*'Petrochemicals Split'!$I$7</f>
        <v>147181097284705.72</v>
      </c>
      <c r="D12" s="16">
        <f>'KEEI BAU - Industry'!T$11*'Petrochemicals Split'!$D$38*'Petrochemicals Split'!$I$7</f>
        <v>138836342578832.81</v>
      </c>
      <c r="E12" s="16">
        <f>'KEEI BAU - Industry'!U$11*'Petrochemicals Split'!$D$38*'Petrochemicals Split'!$I$7</f>
        <v>129109521720977.53</v>
      </c>
      <c r="F12" s="16">
        <f>'KEEI BAU - Industry'!V$11*'Petrochemicals Split'!$D$38*'Petrochemicals Split'!$I$7</f>
        <v>125030406621062.25</v>
      </c>
      <c r="G12" s="16">
        <f>'KEEI BAU - Industry'!W$11*'Petrochemicals Split'!$D$38*'Petrochemicals Split'!$I$7</f>
        <v>122786928929129.66</v>
      </c>
      <c r="H12" s="16">
        <f>'KEEI BAU - Industry'!X$11*'Petrochemicals Split'!$D$38*'Petrochemicals Split'!$I$7</f>
        <v>120378711337514.3</v>
      </c>
      <c r="I12" s="16">
        <f>'KEEI BAU - Industry'!Y$11*'Petrochemicals Split'!$D$38*'Petrochemicals Split'!$I$7</f>
        <v>117811146329918.73</v>
      </c>
      <c r="J12" s="16">
        <f>'KEEI BAU - Industry'!Z$11*'Petrochemicals Split'!$D$38*'Petrochemicals Split'!$I$7</f>
        <v>115074438166741.94</v>
      </c>
      <c r="K12" s="16">
        <f>'KEEI BAU - Industry'!AA$11*'Petrochemicals Split'!$D$38*'Petrochemicals Split'!$I$7</f>
        <v>111431715450716.97</v>
      </c>
      <c r="L12" s="16">
        <f>'KEEI BAU - Industry'!AB$11*'Petrochemicals Split'!$D$38*'Petrochemicals Split'!$I$7</f>
        <v>104421211546325.84</v>
      </c>
      <c r="M12" s="16">
        <f>'KEEI BAU - Industry'!AC$11*'Petrochemicals Split'!$D$38*'Petrochemicals Split'!$I$7</f>
        <v>103666226758116.36</v>
      </c>
      <c r="N12" s="16">
        <f>'KEEI BAU - Industry'!AD$11*'Petrochemicals Split'!$D$38*'Petrochemicals Split'!$I$7</f>
        <v>102908981976129.2</v>
      </c>
      <c r="O12" s="16">
        <f>'KEEI BAU - Industry'!AE$11*'Petrochemicals Split'!$D$38*'Petrochemicals Split'!$I$7</f>
        <v>102149438559610.8</v>
      </c>
      <c r="P12" s="16">
        <f>'KEEI BAU - Industry'!AF$11*'Petrochemicals Split'!$D$38*'Petrochemicals Split'!$I$7</f>
        <v>101387556742129.7</v>
      </c>
      <c r="Q12" s="16">
        <f>'KEEI BAU - Industry'!AG$11*'Petrochemicals Split'!$D$38*'Petrochemicals Split'!$I$7</f>
        <v>99931050386412.828</v>
      </c>
      <c r="R12" s="16">
        <f>'KEEI BAU - Industry'!AH$11*'Petrochemicals Split'!$D$38*'Petrochemicals Split'!$I$7</f>
        <v>99726104181215.063</v>
      </c>
      <c r="S12" s="16">
        <f>'KEEI BAU - Industry'!AI$11*'Petrochemicals Split'!$D$38*'Petrochemicals Split'!$I$7</f>
        <v>99521157976017.359</v>
      </c>
      <c r="T12" s="16">
        <f>'KEEI BAU - Industry'!AJ$11*'Petrochemicals Split'!$D$38*'Petrochemicals Split'!$I$7</f>
        <v>99316211770819.547</v>
      </c>
      <c r="U12" s="16">
        <f>'KEEI BAU - Industry'!AK$11*'Petrochemicals Split'!$D$38*'Petrochemicals Split'!$I$7</f>
        <v>99111265565621.797</v>
      </c>
      <c r="V12" s="16">
        <f>'KEEI BAU - Industry'!AL$11*'Petrochemicals Split'!$D$38*'Petrochemicals Split'!$I$7</f>
        <v>98906319360424.063</v>
      </c>
      <c r="W12" s="16">
        <f>'KEEI BAU - Industry'!AM$11*'Petrochemicals Split'!$D$38*'Petrochemicals Split'!$I$7</f>
        <v>98738128780577.594</v>
      </c>
      <c r="X12" s="16">
        <f>'KEEI BAU - Industry'!AN$11*'Petrochemicals Split'!$D$38*'Petrochemicals Split'!$I$7</f>
        <v>98569938200731.141</v>
      </c>
      <c r="Y12" s="16">
        <f>'KEEI BAU - Industry'!AO$11*'Petrochemicals Split'!$D$38*'Petrochemicals Split'!$I$7</f>
        <v>98401747620884.719</v>
      </c>
      <c r="Z12" s="16">
        <f>'KEEI BAU - Industry'!AP$11*'Petrochemicals Split'!$D$38*'Petrochemicals Split'!$I$7</f>
        <v>98233557041038.266</v>
      </c>
      <c r="AA12" s="16">
        <f>'KEEI BAU - Industry'!AQ$11*'Petrochemicals Split'!$D$38*'Petrochemicals Split'!$I$7</f>
        <v>98065366461191.875</v>
      </c>
      <c r="AB12" s="16">
        <f>'KEEI BAU - Industry'!AR$11*'Petrochemicals Split'!$D$38*'Petrochemicals Split'!$I$7</f>
        <v>97897175881345.422</v>
      </c>
      <c r="AC12" s="16">
        <f>'KEEI BAU - Industry'!AS$11*'Petrochemicals Split'!$D$38*'Petrochemicals Split'!$I$7</f>
        <v>97728985301499.031</v>
      </c>
      <c r="AD12" s="16">
        <f>'KEEI BAU - Industry'!AT$11*'Petrochemicals Split'!$D$38*'Petrochemicals Split'!$I$7</f>
        <v>97560794721652.563</v>
      </c>
      <c r="AE12" s="16">
        <f>'KEEI BAU - Industry'!AU$11*'Petrochemicals Split'!$D$38*'Petrochemicals Split'!$I$7</f>
        <v>97392604141806.109</v>
      </c>
      <c r="AF12" s="16">
        <f>'KEEI BAU - Industry'!AV$11*'Petrochemicals Split'!$D$38*'Petrochemicals Split'!$I$7</f>
        <v>97224413561959.734</v>
      </c>
    </row>
    <row r="13" spans="1:35">
      <c r="A13" t="s">
        <v>13</v>
      </c>
      <c r="B13" s="16">
        <f>'KEEI BAU - Industry'!R$53*'Others Split'!$D$47*'Others Split'!$L$12</f>
        <v>13583122748657.443</v>
      </c>
      <c r="C13" s="16">
        <f>'KEEI BAU - Industry'!S$53*'Others Split'!$D$47*'Others Split'!$L$12</f>
        <v>13884482155793.414</v>
      </c>
      <c r="D13" s="16">
        <f>'KEEI BAU - Industry'!T$53*'Others Split'!$D$47*'Others Split'!$L$12</f>
        <v>14185841562929.387</v>
      </c>
      <c r="E13" s="16">
        <f>'KEEI BAU - Industry'!U$53*'Others Split'!$D$47*'Others Split'!$L$12</f>
        <v>14487200970065.357</v>
      </c>
      <c r="F13" s="16">
        <f>'KEEI BAU - Industry'!V$53*'Others Split'!$D$47*'Others Split'!$L$12</f>
        <v>14788560377201.328</v>
      </c>
      <c r="G13" s="16">
        <f>'KEEI BAU - Industry'!W$53*'Others Split'!$D$47*'Others Split'!$L$12</f>
        <v>15089919784337.299</v>
      </c>
      <c r="H13" s="16">
        <f>'KEEI BAU - Industry'!X$53*'Others Split'!$D$47*'Others Split'!$L$12</f>
        <v>15229182879694.863</v>
      </c>
      <c r="I13" s="16">
        <f>'KEEI BAU - Industry'!Y$53*'Others Split'!$D$47*'Others Split'!$L$12</f>
        <v>15368445975052.385</v>
      </c>
      <c r="J13" s="16">
        <f>'KEEI BAU - Industry'!Z$53*'Others Split'!$D$47*'Others Split'!$L$12</f>
        <v>15507709070409.906</v>
      </c>
      <c r="K13" s="16">
        <f>'KEEI BAU - Industry'!AA$53*'Others Split'!$D$47*'Others Split'!$L$12</f>
        <v>15646972165767.428</v>
      </c>
      <c r="L13" s="16">
        <f>'KEEI BAU - Industry'!AB$53*'Others Split'!$D$47*'Others Split'!$L$12</f>
        <v>15786235261124.975</v>
      </c>
      <c r="M13" s="16">
        <f>'KEEI BAU - Industry'!AC$53*'Others Split'!$D$47*'Others Split'!$L$12</f>
        <v>15885246232575.145</v>
      </c>
      <c r="N13" s="16">
        <f>'KEEI BAU - Industry'!AD$53*'Others Split'!$D$47*'Others Split'!$L$12</f>
        <v>15984257204025.34</v>
      </c>
      <c r="O13" s="16">
        <f>'KEEI BAU - Industry'!AE$53*'Others Split'!$D$47*'Others Split'!$L$12</f>
        <v>16083268175475.539</v>
      </c>
      <c r="P13" s="16">
        <f>'KEEI BAU - Industry'!AF$53*'Others Split'!$D$47*'Others Split'!$L$12</f>
        <v>16182279146925.736</v>
      </c>
      <c r="Q13" s="16">
        <f>'KEEI BAU - Industry'!AG$53*'Others Split'!$D$47*'Others Split'!$L$12</f>
        <v>16281290118375.926</v>
      </c>
      <c r="R13" s="16">
        <f>'KEEI BAU - Industry'!AH$53*'Others Split'!$D$47*'Others Split'!$L$12</f>
        <v>16359018357645.275</v>
      </c>
      <c r="S13" s="16">
        <f>'KEEI BAU - Industry'!AI$53*'Others Split'!$D$47*'Others Split'!$L$12</f>
        <v>16436746596914.561</v>
      </c>
      <c r="T13" s="16">
        <f>'KEEI BAU - Industry'!AJ$53*'Others Split'!$D$47*'Others Split'!$L$12</f>
        <v>16514474836183.875</v>
      </c>
      <c r="U13" s="16">
        <f>'KEEI BAU - Industry'!AK$53*'Others Split'!$D$47*'Others Split'!$L$12</f>
        <v>16592203075453.191</v>
      </c>
      <c r="V13" s="16">
        <f>'KEEI BAU - Industry'!AL$53*'Others Split'!$D$47*'Others Split'!$L$12</f>
        <v>16669931314722.479</v>
      </c>
      <c r="W13" s="16">
        <f>'KEEI BAU - Industry'!AM$53*'Others Split'!$D$47*'Others Split'!$L$12</f>
        <v>16776036530232.975</v>
      </c>
      <c r="X13" s="16">
        <f>'KEEI BAU - Industry'!AN$53*'Others Split'!$D$47*'Others Split'!$L$12</f>
        <v>16862793807397.201</v>
      </c>
      <c r="Y13" s="16">
        <f>'KEEI BAU - Industry'!AO$53*'Others Split'!$D$47*'Others Split'!$L$12</f>
        <v>16949551084561.457</v>
      </c>
      <c r="Z13" s="16">
        <f>'KEEI BAU - Industry'!AP$53*'Others Split'!$D$47*'Others Split'!$L$12</f>
        <v>17036308361725.684</v>
      </c>
      <c r="AA13" s="16">
        <f>'KEEI BAU - Industry'!AQ$53*'Others Split'!$D$47*'Others Split'!$L$12</f>
        <v>17123065638889.906</v>
      </c>
      <c r="AB13" s="16">
        <f>'KEEI BAU - Industry'!AR$53*'Others Split'!$D$47*'Others Split'!$L$12</f>
        <v>17209822916054.131</v>
      </c>
      <c r="AC13" s="16">
        <f>'KEEI BAU - Industry'!AS$53*'Others Split'!$D$47*'Others Split'!$L$12</f>
        <v>17296580193218.387</v>
      </c>
      <c r="AD13" s="16">
        <f>'KEEI BAU - Industry'!AT$53*'Others Split'!$D$47*'Others Split'!$L$12</f>
        <v>17383337470382.613</v>
      </c>
      <c r="AE13" s="16">
        <f>'KEEI BAU - Industry'!AU$53*'Others Split'!$D$47*'Others Split'!$L$12</f>
        <v>17470094747546.838</v>
      </c>
      <c r="AF13" s="16">
        <f>'KEEI BAU - Industry'!AV$53*'Others Split'!$D$47*'Others Split'!$L$12</f>
        <v>17556852024711.092</v>
      </c>
    </row>
    <row r="14" spans="1:35">
      <c r="A14" t="s">
        <v>14</v>
      </c>
      <c r="B14" s="16">
        <f>'KEEI BAU - Industry'!R$53*'Others Split'!$D$47*'Others Split'!$L$13</f>
        <v>2172375224795.9153</v>
      </c>
      <c r="C14" s="16">
        <f>'KEEI BAU - Industry'!S$53*'Others Split'!$D$47*'Others Split'!$L$13</f>
        <v>2220572220577.7637</v>
      </c>
      <c r="D14" s="16">
        <f>'KEEI BAU - Industry'!T$53*'Others Split'!$D$47*'Others Split'!$L$13</f>
        <v>2268769216359.6118</v>
      </c>
      <c r="E14" s="16">
        <f>'KEEI BAU - Industry'!U$53*'Others Split'!$D$47*'Others Split'!$L$13</f>
        <v>2316966212141.46</v>
      </c>
      <c r="F14" s="16">
        <f>'KEEI BAU - Industry'!V$53*'Others Split'!$D$47*'Others Split'!$L$13</f>
        <v>2365163207923.3081</v>
      </c>
      <c r="G14" s="16">
        <f>'KEEI BAU - Industry'!W$53*'Others Split'!$D$47*'Others Split'!$L$13</f>
        <v>2413360203705.1563</v>
      </c>
      <c r="H14" s="16">
        <f>'KEEI BAU - Industry'!X$53*'Others Split'!$D$47*'Others Split'!$L$13</f>
        <v>2435632821252.772</v>
      </c>
      <c r="I14" s="16">
        <f>'KEEI BAU - Industry'!Y$53*'Others Split'!$D$47*'Others Split'!$L$13</f>
        <v>2457905438800.3804</v>
      </c>
      <c r="J14" s="16">
        <f>'KEEI BAU - Industry'!Z$53*'Others Split'!$D$47*'Others Split'!$L$13</f>
        <v>2480178056347.9893</v>
      </c>
      <c r="K14" s="16">
        <f>'KEEI BAU - Industry'!AA$53*'Others Split'!$D$47*'Others Split'!$L$13</f>
        <v>2502450673895.5977</v>
      </c>
      <c r="L14" s="16">
        <f>'KEEI BAU - Industry'!AB$53*'Others Split'!$D$47*'Others Split'!$L$13</f>
        <v>2524723291443.2104</v>
      </c>
      <c r="M14" s="16">
        <f>'KEEI BAU - Industry'!AC$53*'Others Split'!$D$47*'Others Split'!$L$13</f>
        <v>2540558308570.0776</v>
      </c>
      <c r="N14" s="16">
        <f>'KEEI BAU - Industry'!AD$53*'Others Split'!$D$47*'Others Split'!$L$13</f>
        <v>2556393325696.9487</v>
      </c>
      <c r="O14" s="16">
        <f>'KEEI BAU - Industry'!AE$53*'Others Split'!$D$47*'Others Split'!$L$13</f>
        <v>2572228342823.8198</v>
      </c>
      <c r="P14" s="16">
        <f>'KEEI BAU - Industry'!AF$53*'Others Split'!$D$47*'Others Split'!$L$13</f>
        <v>2588063359950.6909</v>
      </c>
      <c r="Q14" s="16">
        <f>'KEEI BAU - Industry'!AG$53*'Others Split'!$D$47*'Others Split'!$L$13</f>
        <v>2603898377077.561</v>
      </c>
      <c r="R14" s="16">
        <f>'KEEI BAU - Industry'!AH$53*'Others Split'!$D$47*'Others Split'!$L$13</f>
        <v>2616329605476.2319</v>
      </c>
      <c r="S14" s="16">
        <f>'KEEI BAU - Industry'!AI$53*'Others Split'!$D$47*'Others Split'!$L$13</f>
        <v>2628760833874.8926</v>
      </c>
      <c r="T14" s="16">
        <f>'KEEI BAU - Industry'!AJ$53*'Others Split'!$D$47*'Others Split'!$L$13</f>
        <v>2641192062273.5581</v>
      </c>
      <c r="U14" s="16">
        <f>'KEEI BAU - Industry'!AK$53*'Others Split'!$D$47*'Others Split'!$L$13</f>
        <v>2653623290672.2236</v>
      </c>
      <c r="V14" s="16">
        <f>'KEEI BAU - Industry'!AL$53*'Others Split'!$D$47*'Others Split'!$L$13</f>
        <v>2666054519070.8848</v>
      </c>
      <c r="W14" s="16">
        <f>'KEEI BAU - Industry'!AM$53*'Others Split'!$D$47*'Others Split'!$L$13</f>
        <v>2683024132440.4917</v>
      </c>
      <c r="X14" s="16">
        <f>'KEEI BAU - Industry'!AN$53*'Others Split'!$D$47*'Others Split'!$L$13</f>
        <v>2696899392420.8188</v>
      </c>
      <c r="Y14" s="16">
        <f>'KEEI BAU - Industry'!AO$53*'Others Split'!$D$47*'Others Split'!$L$13</f>
        <v>2710774652401.1509</v>
      </c>
      <c r="Z14" s="16">
        <f>'KEEI BAU - Industry'!AP$53*'Others Split'!$D$47*'Others Split'!$L$13</f>
        <v>2724649912381.478</v>
      </c>
      <c r="AA14" s="16">
        <f>'KEEI BAU - Industry'!AQ$53*'Others Split'!$D$47*'Others Split'!$L$13</f>
        <v>2738525172361.8042</v>
      </c>
      <c r="AB14" s="16">
        <f>'KEEI BAU - Industry'!AR$53*'Others Split'!$D$47*'Others Split'!$L$13</f>
        <v>2752400432342.1313</v>
      </c>
      <c r="AC14" s="16">
        <f>'KEEI BAU - Industry'!AS$53*'Others Split'!$D$47*'Others Split'!$L$13</f>
        <v>2766275692322.4634</v>
      </c>
      <c r="AD14" s="16">
        <f>'KEEI BAU - Industry'!AT$53*'Others Split'!$D$47*'Others Split'!$L$13</f>
        <v>2780150952302.7905</v>
      </c>
      <c r="AE14" s="16">
        <f>'KEEI BAU - Industry'!AU$53*'Others Split'!$D$47*'Others Split'!$L$13</f>
        <v>2794026212283.1172</v>
      </c>
      <c r="AF14" s="16">
        <f>'KEEI BAU - Industry'!AV$53*'Others Split'!$D$47*'Others Split'!$L$13</f>
        <v>2807901472263.4487</v>
      </c>
    </row>
    <row r="15" spans="1:35">
      <c r="A15" t="s">
        <v>15</v>
      </c>
      <c r="B15" s="16">
        <f>'KEEI BAU - Industry'!R25*'Steel Split'!$D$11</f>
        <v>0</v>
      </c>
      <c r="C15" s="16">
        <f>'KEEI BAU - Industry'!S25*'Steel Split'!$D$11</f>
        <v>0</v>
      </c>
      <c r="D15" s="16">
        <f>'KEEI BAU - Industry'!T25*'Steel Split'!$D$11</f>
        <v>0</v>
      </c>
      <c r="E15" s="16">
        <f>'KEEI BAU - Industry'!U25*'Steel Split'!$D$11</f>
        <v>0</v>
      </c>
      <c r="F15" s="16">
        <f>'KEEI BAU - Industry'!V25*'Steel Split'!$D$11</f>
        <v>0</v>
      </c>
      <c r="G15" s="16">
        <f>'KEEI BAU - Industry'!W25*'Steel Split'!$D$11</f>
        <v>0</v>
      </c>
      <c r="H15" s="16">
        <f>'KEEI BAU - Industry'!X25*'Steel Split'!$D$11</f>
        <v>0</v>
      </c>
      <c r="I15" s="16">
        <f>'KEEI BAU - Industry'!Y25*'Steel Split'!$D$11</f>
        <v>0</v>
      </c>
      <c r="J15" s="16">
        <f>'KEEI BAU - Industry'!Z25*'Steel Split'!$D$11</f>
        <v>0</v>
      </c>
      <c r="K15" s="16">
        <f>'KEEI BAU - Industry'!AA25*'Steel Split'!$D$11</f>
        <v>0</v>
      </c>
      <c r="L15" s="16">
        <f>'KEEI BAU - Industry'!AB25*'Steel Split'!$D$11</f>
        <v>0</v>
      </c>
      <c r="M15" s="16">
        <f>'KEEI BAU - Industry'!AC25*'Steel Split'!$D$11</f>
        <v>0</v>
      </c>
      <c r="N15" s="16">
        <f>'KEEI BAU - Industry'!AD25*'Steel Split'!$D$11</f>
        <v>0</v>
      </c>
      <c r="O15" s="16">
        <f>'KEEI BAU - Industry'!AE25*'Steel Split'!$D$11</f>
        <v>0</v>
      </c>
      <c r="P15" s="16">
        <f>'KEEI BAU - Industry'!AF25*'Steel Split'!$D$11</f>
        <v>0</v>
      </c>
      <c r="Q15" s="16">
        <f>'KEEI BAU - Industry'!AG25*'Steel Split'!$D$11</f>
        <v>0</v>
      </c>
      <c r="R15" s="16">
        <f>'KEEI BAU - Industry'!AH25*'Steel Split'!$D$11</f>
        <v>0</v>
      </c>
      <c r="S15" s="16">
        <f>'KEEI BAU - Industry'!AI25*'Steel Split'!$D$11</f>
        <v>0</v>
      </c>
      <c r="T15" s="16">
        <f>'KEEI BAU - Industry'!AJ25*'Steel Split'!$D$11</f>
        <v>0</v>
      </c>
      <c r="U15" s="16">
        <f>'KEEI BAU - Industry'!AK25*'Steel Split'!$D$11</f>
        <v>0</v>
      </c>
      <c r="V15" s="16">
        <f>'KEEI BAU - Industry'!AL25*'Steel Split'!$D$11</f>
        <v>0</v>
      </c>
      <c r="W15" s="16">
        <f>'KEEI BAU - Industry'!AM25*'Steel Split'!$D$11</f>
        <v>0</v>
      </c>
      <c r="X15" s="16">
        <f>'KEEI BAU - Industry'!AN25*'Steel Split'!$D$11</f>
        <v>0</v>
      </c>
      <c r="Y15" s="16">
        <f>'KEEI BAU - Industry'!AO25*'Steel Split'!$D$11</f>
        <v>0</v>
      </c>
      <c r="Z15" s="16">
        <f>'KEEI BAU - Industry'!AP25*'Steel Split'!$D$11</f>
        <v>0</v>
      </c>
      <c r="AA15" s="16">
        <f>'KEEI BAU - Industry'!AQ25*'Steel Split'!$D$11</f>
        <v>0</v>
      </c>
      <c r="AB15" s="16">
        <f>'KEEI BAU - Industry'!AR25*'Steel Split'!$D$11</f>
        <v>0</v>
      </c>
      <c r="AC15" s="16">
        <f>'KEEI BAU - Industry'!AS25*'Steel Split'!$D$11</f>
        <v>0</v>
      </c>
      <c r="AD15" s="16">
        <f>'KEEI BAU - Industry'!AT25*'Steel Split'!$D$11</f>
        <v>0</v>
      </c>
      <c r="AE15" s="16">
        <f>'KEEI BAU - Industry'!AU25*'Steel Split'!$D$11</f>
        <v>0</v>
      </c>
      <c r="AF15" s="16">
        <f>'KEEI BAU - Industry'!AV25*'Steel Split'!$D$11</f>
        <v>0</v>
      </c>
    </row>
    <row r="16" spans="1:35">
      <c r="A16" t="s">
        <v>16</v>
      </c>
      <c r="B16" s="16">
        <f>'KEEI BAU - Industry'!R$18*'Non-ferrous Metals Split'!$I$6*'Non-ferrous Metals Split'!$D$45</f>
        <v>947372693726.9646</v>
      </c>
      <c r="C16" s="16">
        <f>'KEEI BAU - Industry'!S$18*'Non-ferrous Metals Split'!$I$6*'Non-ferrous Metals Split'!$D$45</f>
        <v>960922275149.85022</v>
      </c>
      <c r="D16" s="16">
        <f>'KEEI BAU - Industry'!T$18*'Non-ferrous Metals Split'!$I$6*'Non-ferrous Metals Split'!$D$45</f>
        <v>1015120600841.3937</v>
      </c>
      <c r="E16" s="16">
        <f>'KEEI BAU - Industry'!U$18*'Non-ferrous Metals Split'!$I$6*'Non-ferrous Metals Split'!$D$45</f>
        <v>988021437995.62195</v>
      </c>
      <c r="F16" s="16">
        <f>'KEEI BAU - Industry'!V$18*'Non-ferrous Metals Split'!$I$6*'Non-ferrous Metals Split'!$D$45</f>
        <v>1001571019418.5078</v>
      </c>
      <c r="G16" s="16">
        <f>'KEEI BAU - Industry'!W$18*'Non-ferrous Metals Split'!$I$6*'Non-ferrous Metals Split'!$D$45</f>
        <v>1015120600841.3937</v>
      </c>
      <c r="H16" s="16">
        <f>'KEEI BAU - Industry'!X$18*'Non-ferrous Metals Split'!$I$6*'Non-ferrous Metals Split'!$D$45</f>
        <v>1014750793700.832</v>
      </c>
      <c r="I16" s="16">
        <f>'KEEI BAU - Industry'!Y$18*'Non-ferrous Metals Split'!$I$6*'Non-ferrous Metals Split'!$D$45</f>
        <v>1014380986560.2705</v>
      </c>
      <c r="J16" s="16">
        <f>'KEEI BAU - Industry'!Z$18*'Non-ferrous Metals Split'!$I$6*'Non-ferrous Metals Split'!$D$45</f>
        <v>1014011179419.7089</v>
      </c>
      <c r="K16" s="16">
        <f>'KEEI BAU - Industry'!AA$18*'Non-ferrous Metals Split'!$I$6*'Non-ferrous Metals Split'!$D$45</f>
        <v>1013641372279.1475</v>
      </c>
      <c r="L16" s="16">
        <f>'KEEI BAU - Industry'!AB$18*'Non-ferrous Metals Split'!$I$6*'Non-ferrous Metals Split'!$D$45</f>
        <v>1013271565138.5859</v>
      </c>
      <c r="M16" s="16">
        <f>'KEEI BAU - Industry'!AC$18*'Non-ferrous Metals Split'!$I$6*'Non-ferrous Metals Split'!$D$45</f>
        <v>1011052722295.2168</v>
      </c>
      <c r="N16" s="16">
        <f>'KEEI BAU - Industry'!AD$18*'Non-ferrous Metals Split'!$I$6*'Non-ferrous Metals Split'!$D$45</f>
        <v>1008833879451.8477</v>
      </c>
      <c r="O16" s="16">
        <f>'KEEI BAU - Industry'!AE$18*'Non-ferrous Metals Split'!$I$6*'Non-ferrous Metals Split'!$D$45</f>
        <v>1006615036608.4785</v>
      </c>
      <c r="P16" s="16">
        <f>'KEEI BAU - Industry'!AF$18*'Non-ferrous Metals Split'!$I$6*'Non-ferrous Metals Split'!$D$45</f>
        <v>1004396193765.1094</v>
      </c>
      <c r="Q16" s="16">
        <f>'KEEI BAU - Industry'!AG$18*'Non-ferrous Metals Split'!$I$6*'Non-ferrous Metals Split'!$D$45</f>
        <v>1002177350921.7402</v>
      </c>
      <c r="R16" s="16">
        <f>'KEEI BAU - Industry'!AH$18*'Non-ferrous Metals Split'!$I$6*'Non-ferrous Metals Split'!$D$45</f>
        <v>1002177350921.7402</v>
      </c>
      <c r="S16" s="16">
        <f>'KEEI BAU - Industry'!AI$18*'Non-ferrous Metals Split'!$I$6*'Non-ferrous Metals Split'!$D$45</f>
        <v>1002177350921.7402</v>
      </c>
      <c r="T16" s="16">
        <f>'KEEI BAU - Industry'!AJ$18*'Non-ferrous Metals Split'!$I$6*'Non-ferrous Metals Split'!$D$45</f>
        <v>1002177350921.7402</v>
      </c>
      <c r="U16" s="16">
        <f>'KEEI BAU - Industry'!AK$18*'Non-ferrous Metals Split'!$I$6*'Non-ferrous Metals Split'!$D$45</f>
        <v>1002177350921.7402</v>
      </c>
      <c r="V16" s="16">
        <f>'KEEI BAU - Industry'!AL$18*'Non-ferrous Metals Split'!$I$6*'Non-ferrous Metals Split'!$D$45</f>
        <v>1002177350921.7402</v>
      </c>
      <c r="W16" s="16">
        <f>'KEEI BAU - Industry'!AM$18*'Non-ferrous Metals Split'!$I$6*'Non-ferrous Metals Split'!$D$45</f>
        <v>999218893797.2478</v>
      </c>
      <c r="X16" s="16">
        <f>'KEEI BAU - Industry'!AN$18*'Non-ferrous Metals Split'!$I$6*'Non-ferrous Metals Split'!$D$45</f>
        <v>998277566530.36414</v>
      </c>
      <c r="Y16" s="16">
        <f>'KEEI BAU - Industry'!AO$18*'Non-ferrous Metals Split'!$I$6*'Non-ferrous Metals Split'!$D$45</f>
        <v>997336239263.48022</v>
      </c>
      <c r="Z16" s="16">
        <f>'KEEI BAU - Industry'!AP$18*'Non-ferrous Metals Split'!$I$6*'Non-ferrous Metals Split'!$D$45</f>
        <v>996394911996.59656</v>
      </c>
      <c r="AA16" s="16">
        <f>'KEEI BAU - Industry'!AQ$18*'Non-ferrous Metals Split'!$I$6*'Non-ferrous Metals Split'!$D$45</f>
        <v>995453584729.71265</v>
      </c>
      <c r="AB16" s="16">
        <f>'KEEI BAU - Industry'!AR$18*'Non-ferrous Metals Split'!$I$6*'Non-ferrous Metals Split'!$D$45</f>
        <v>994512257462.82849</v>
      </c>
      <c r="AC16" s="16">
        <f>'KEEI BAU - Industry'!AS$18*'Non-ferrous Metals Split'!$I$6*'Non-ferrous Metals Split'!$D$45</f>
        <v>993570930195.94458</v>
      </c>
      <c r="AD16" s="16">
        <f>'KEEI BAU - Industry'!AT$18*'Non-ferrous Metals Split'!$I$6*'Non-ferrous Metals Split'!$D$45</f>
        <v>992629602929.06079</v>
      </c>
      <c r="AE16" s="16">
        <f>'KEEI BAU - Industry'!AU$18*'Non-ferrous Metals Split'!$I$6*'Non-ferrous Metals Split'!$D$45</f>
        <v>991688275662.17688</v>
      </c>
      <c r="AF16" s="16">
        <f>'KEEI BAU - Industry'!AV$18*'Non-ferrous Metals Split'!$I$6*'Non-ferrous Metals Split'!$D$45</f>
        <v>990746948395.29321</v>
      </c>
    </row>
    <row r="17" spans="1:33">
      <c r="A17" t="s">
        <v>17</v>
      </c>
      <c r="B17" s="16">
        <f>'KEEI BAU - Industry'!R$18*'Non-ferrous Metals Split'!$I$7*'Non-ferrous Metals Split'!$D$45</f>
        <v>8052667896679.1982</v>
      </c>
      <c r="C17" s="16">
        <f>'KEEI BAU - Industry'!S$18*'Non-ferrous Metals Split'!$I$7*'Non-ferrous Metals Split'!$D$45</f>
        <v>8167839338773.7275</v>
      </c>
      <c r="D17" s="16">
        <f>'KEEI BAU - Industry'!T$18*'Non-ferrous Metals Split'!$I$7*'Non-ferrous Metals Split'!$D$45</f>
        <v>8628525107151.8447</v>
      </c>
      <c r="E17" s="16">
        <f>'KEEI BAU - Industry'!U$18*'Non-ferrous Metals Split'!$I$7*'Non-ferrous Metals Split'!$D$45</f>
        <v>8398182222962.7852</v>
      </c>
      <c r="F17" s="16">
        <f>'KEEI BAU - Industry'!V$18*'Non-ferrous Metals Split'!$I$7*'Non-ferrous Metals Split'!$D$45</f>
        <v>8513353665057.3154</v>
      </c>
      <c r="G17" s="16">
        <f>'KEEI BAU - Industry'!W$18*'Non-ferrous Metals Split'!$I$7*'Non-ferrous Metals Split'!$D$45</f>
        <v>8628525107151.8447</v>
      </c>
      <c r="H17" s="16">
        <f>'KEEI BAU - Industry'!X$18*'Non-ferrous Metals Split'!$I$7*'Non-ferrous Metals Split'!$D$45</f>
        <v>8625381746457.0713</v>
      </c>
      <c r="I17" s="16">
        <f>'KEEI BAU - Industry'!Y$18*'Non-ferrous Metals Split'!$I$7*'Non-ferrous Metals Split'!$D$45</f>
        <v>8622238385762.2998</v>
      </c>
      <c r="J17" s="16">
        <f>'KEEI BAU - Industry'!Z$18*'Non-ferrous Metals Split'!$I$7*'Non-ferrous Metals Split'!$D$45</f>
        <v>8619095025067.5264</v>
      </c>
      <c r="K17" s="16">
        <f>'KEEI BAU - Industry'!AA$18*'Non-ferrous Metals Split'!$I$7*'Non-ferrous Metals Split'!$D$45</f>
        <v>8615951664372.7529</v>
      </c>
      <c r="L17" s="16">
        <f>'KEEI BAU - Industry'!AB$18*'Non-ferrous Metals Split'!$I$7*'Non-ferrous Metals Split'!$D$45</f>
        <v>8612808303677.9795</v>
      </c>
      <c r="M17" s="16">
        <f>'KEEI BAU - Industry'!AC$18*'Non-ferrous Metals Split'!$I$7*'Non-ferrous Metals Split'!$D$45</f>
        <v>8593948139509.3408</v>
      </c>
      <c r="N17" s="16">
        <f>'KEEI BAU - Industry'!AD$18*'Non-ferrous Metals Split'!$I$7*'Non-ferrous Metals Split'!$D$45</f>
        <v>8575087975340.7041</v>
      </c>
      <c r="O17" s="16">
        <f>'KEEI BAU - Industry'!AE$18*'Non-ferrous Metals Split'!$I$7*'Non-ferrous Metals Split'!$D$45</f>
        <v>8556227811172.0664</v>
      </c>
      <c r="P17" s="16">
        <f>'KEEI BAU - Industry'!AF$18*'Non-ferrous Metals Split'!$I$7*'Non-ferrous Metals Split'!$D$45</f>
        <v>8537367647003.4277</v>
      </c>
      <c r="Q17" s="16">
        <f>'KEEI BAU - Industry'!AG$18*'Non-ferrous Metals Split'!$I$7*'Non-ferrous Metals Split'!$D$45</f>
        <v>8518507482834.791</v>
      </c>
      <c r="R17" s="16">
        <f>'KEEI BAU - Industry'!AH$18*'Non-ferrous Metals Split'!$I$7*'Non-ferrous Metals Split'!$D$45</f>
        <v>8518507482834.791</v>
      </c>
      <c r="S17" s="16">
        <f>'KEEI BAU - Industry'!AI$18*'Non-ferrous Metals Split'!$I$7*'Non-ferrous Metals Split'!$D$45</f>
        <v>8518507482834.791</v>
      </c>
      <c r="T17" s="16">
        <f>'KEEI BAU - Industry'!AJ$18*'Non-ferrous Metals Split'!$I$7*'Non-ferrous Metals Split'!$D$45</f>
        <v>8518507482834.791</v>
      </c>
      <c r="U17" s="16">
        <f>'KEEI BAU - Industry'!AK$18*'Non-ferrous Metals Split'!$I$7*'Non-ferrous Metals Split'!$D$45</f>
        <v>8518507482834.791</v>
      </c>
      <c r="V17" s="16">
        <f>'KEEI BAU - Industry'!AL$18*'Non-ferrous Metals Split'!$I$7*'Non-ferrous Metals Split'!$D$45</f>
        <v>8518507482834.791</v>
      </c>
      <c r="W17" s="16">
        <f>'KEEI BAU - Industry'!AM$18*'Non-ferrous Metals Split'!$I$7*'Non-ferrous Metals Split'!$D$45</f>
        <v>8493360597276.6064</v>
      </c>
      <c r="X17" s="16">
        <f>'KEEI BAU - Industry'!AN$18*'Non-ferrous Metals Split'!$I$7*'Non-ferrous Metals Split'!$D$45</f>
        <v>8485359315508.0947</v>
      </c>
      <c r="Y17" s="16">
        <f>'KEEI BAU - Industry'!AO$18*'Non-ferrous Metals Split'!$I$7*'Non-ferrous Metals Split'!$D$45</f>
        <v>8477358033739.582</v>
      </c>
      <c r="Z17" s="16">
        <f>'KEEI BAU - Industry'!AP$18*'Non-ferrous Metals Split'!$I$7*'Non-ferrous Metals Split'!$D$45</f>
        <v>8469356751971.0684</v>
      </c>
      <c r="AA17" s="16">
        <f>'KEEI BAU - Industry'!AQ$18*'Non-ferrous Metals Split'!$I$7*'Non-ferrous Metals Split'!$D$45</f>
        <v>8461355470202.5557</v>
      </c>
      <c r="AB17" s="16">
        <f>'KEEI BAU - Industry'!AR$18*'Non-ferrous Metals Split'!$I$7*'Non-ferrous Metals Split'!$D$45</f>
        <v>8453354188434.041</v>
      </c>
      <c r="AC17" s="16">
        <f>'KEEI BAU - Industry'!AS$18*'Non-ferrous Metals Split'!$I$7*'Non-ferrous Metals Split'!$D$45</f>
        <v>8445352906665.5273</v>
      </c>
      <c r="AD17" s="16">
        <f>'KEEI BAU - Industry'!AT$18*'Non-ferrous Metals Split'!$I$7*'Non-ferrous Metals Split'!$D$45</f>
        <v>8437351624897.0166</v>
      </c>
      <c r="AE17" s="16">
        <f>'KEEI BAU - Industry'!AU$18*'Non-ferrous Metals Split'!$I$7*'Non-ferrous Metals Split'!$D$45</f>
        <v>8429350343128.5039</v>
      </c>
      <c r="AF17" s="16">
        <f>'KEEI BAU - Industry'!AV$18*'Non-ferrous Metals Split'!$I$7*'Non-ferrous Metals Split'!$D$45</f>
        <v>8421349061359.9902</v>
      </c>
    </row>
    <row r="18" spans="1:33">
      <c r="A18" t="s">
        <v>18</v>
      </c>
      <c r="B18" s="16">
        <f>'KEEI BAU - Industry'!R$35*'Machinery Split'!$L6*'Machinery Split'!$D$41</f>
        <v>0</v>
      </c>
      <c r="C18" s="16">
        <f>'KEEI BAU - Industry'!S$35*'Machinery Split'!$L6*'Machinery Split'!$D$41</f>
        <v>0</v>
      </c>
      <c r="D18" s="16">
        <f>'KEEI BAU - Industry'!T$35*'Machinery Split'!$L6*'Machinery Split'!$D$41</f>
        <v>0</v>
      </c>
      <c r="E18" s="16">
        <f>'KEEI BAU - Industry'!U$35*'Machinery Split'!$L6*'Machinery Split'!$D$41</f>
        <v>0</v>
      </c>
      <c r="F18" s="16">
        <f>'KEEI BAU - Industry'!V$35*'Machinery Split'!$L6*'Machinery Split'!$D$41</f>
        <v>0</v>
      </c>
      <c r="G18" s="16">
        <f>'KEEI BAU - Industry'!W$35*'Machinery Split'!$L6*'Machinery Split'!$D$41</f>
        <v>0</v>
      </c>
      <c r="H18" s="16">
        <f>'KEEI BAU - Industry'!X$35*'Machinery Split'!$L6*'Machinery Split'!$D$41</f>
        <v>0</v>
      </c>
      <c r="I18" s="16">
        <f>'KEEI BAU - Industry'!Y$35*'Machinery Split'!$L6*'Machinery Split'!$D$41</f>
        <v>0</v>
      </c>
      <c r="J18" s="16">
        <f>'KEEI BAU - Industry'!Z$35*'Machinery Split'!$L6*'Machinery Split'!$D$41</f>
        <v>0</v>
      </c>
      <c r="K18" s="16">
        <f>'KEEI BAU - Industry'!AA$35*'Machinery Split'!$L6*'Machinery Split'!$D$41</f>
        <v>0</v>
      </c>
      <c r="L18" s="16">
        <f>'KEEI BAU - Industry'!AB$35*'Machinery Split'!$L6*'Machinery Split'!$D$41</f>
        <v>0</v>
      </c>
      <c r="M18" s="16">
        <f>'KEEI BAU - Industry'!AC$35*'Machinery Split'!$L6*'Machinery Split'!$D$41</f>
        <v>0</v>
      </c>
      <c r="N18" s="16">
        <f>'KEEI BAU - Industry'!AD$35*'Machinery Split'!$L6*'Machinery Split'!$D$41</f>
        <v>0</v>
      </c>
      <c r="O18" s="16">
        <f>'KEEI BAU - Industry'!AE$35*'Machinery Split'!$L6*'Machinery Split'!$D$41</f>
        <v>0</v>
      </c>
      <c r="P18" s="16">
        <f>'KEEI BAU - Industry'!AF$35*'Machinery Split'!$L6*'Machinery Split'!$D$41</f>
        <v>0</v>
      </c>
      <c r="Q18" s="16">
        <f>'KEEI BAU - Industry'!AG$35*'Machinery Split'!$L6*'Machinery Split'!$D$41</f>
        <v>0</v>
      </c>
      <c r="R18" s="16">
        <f>'KEEI BAU - Industry'!AH$35*'Machinery Split'!$L6*'Machinery Split'!$D$41</f>
        <v>0</v>
      </c>
      <c r="S18" s="16">
        <f>'KEEI BAU - Industry'!AI$35*'Machinery Split'!$L6*'Machinery Split'!$D$41</f>
        <v>0</v>
      </c>
      <c r="T18" s="16">
        <f>'KEEI BAU - Industry'!AJ$35*'Machinery Split'!$L6*'Machinery Split'!$D$41</f>
        <v>0</v>
      </c>
      <c r="U18" s="16">
        <f>'KEEI BAU - Industry'!AK$35*'Machinery Split'!$L6*'Machinery Split'!$D$41</f>
        <v>0</v>
      </c>
      <c r="V18" s="16">
        <f>'KEEI BAU - Industry'!AL$35*'Machinery Split'!$L6*'Machinery Split'!$D$41</f>
        <v>0</v>
      </c>
      <c r="W18" s="16">
        <f>'KEEI BAU - Industry'!AM$35*'Machinery Split'!$L6*'Machinery Split'!$D$41</f>
        <v>0</v>
      </c>
      <c r="X18" s="16">
        <f>'KEEI BAU - Industry'!AN$35*'Machinery Split'!$L6*'Machinery Split'!$D$41</f>
        <v>0</v>
      </c>
      <c r="Y18" s="16">
        <f>'KEEI BAU - Industry'!AO$35*'Machinery Split'!$L6*'Machinery Split'!$D$41</f>
        <v>0</v>
      </c>
      <c r="Z18" s="16">
        <f>'KEEI BAU - Industry'!AP$35*'Machinery Split'!$L6*'Machinery Split'!$D$41</f>
        <v>0</v>
      </c>
      <c r="AA18" s="16">
        <f>'KEEI BAU - Industry'!AQ$35*'Machinery Split'!$L6*'Machinery Split'!$D$41</f>
        <v>0</v>
      </c>
      <c r="AB18" s="16">
        <f>'KEEI BAU - Industry'!AR$35*'Machinery Split'!$L6*'Machinery Split'!$D$41</f>
        <v>0</v>
      </c>
      <c r="AC18" s="16">
        <f>'KEEI BAU - Industry'!AS$35*'Machinery Split'!$L6*'Machinery Split'!$D$41</f>
        <v>0</v>
      </c>
      <c r="AD18" s="16">
        <f>'KEEI BAU - Industry'!AT$35*'Machinery Split'!$L6*'Machinery Split'!$D$41</f>
        <v>0</v>
      </c>
      <c r="AE18" s="16">
        <f>'KEEI BAU - Industry'!AU$35*'Machinery Split'!$L6*'Machinery Split'!$D$41</f>
        <v>0</v>
      </c>
      <c r="AF18" s="16">
        <f>'KEEI BAU - Industry'!AV$35*'Machinery Split'!$L6*'Machinery Split'!$D$41</f>
        <v>0</v>
      </c>
    </row>
    <row r="19" spans="1:33">
      <c r="A19" t="s">
        <v>19</v>
      </c>
      <c r="B19" s="16">
        <f>'KEEI BAU - Industry'!R$35*'Machinery Split'!$L7*'Machinery Split'!$D$41</f>
        <v>0</v>
      </c>
      <c r="C19" s="16">
        <f>'KEEI BAU - Industry'!S$35*'Machinery Split'!$L7*'Machinery Split'!$D$41</f>
        <v>0</v>
      </c>
      <c r="D19" s="16">
        <f>'KEEI BAU - Industry'!T$35*'Machinery Split'!$L7*'Machinery Split'!$D$41</f>
        <v>0</v>
      </c>
      <c r="E19" s="16">
        <f>'KEEI BAU - Industry'!U$35*'Machinery Split'!$L7*'Machinery Split'!$D$41</f>
        <v>0</v>
      </c>
      <c r="F19" s="16">
        <f>'KEEI BAU - Industry'!V$35*'Machinery Split'!$L7*'Machinery Split'!$D$41</f>
        <v>0</v>
      </c>
      <c r="G19" s="16">
        <f>'KEEI BAU - Industry'!W$35*'Machinery Split'!$L7*'Machinery Split'!$D$41</f>
        <v>0</v>
      </c>
      <c r="H19" s="16">
        <f>'KEEI BAU - Industry'!X$35*'Machinery Split'!$L7*'Machinery Split'!$D$41</f>
        <v>0</v>
      </c>
      <c r="I19" s="16">
        <f>'KEEI BAU - Industry'!Y$35*'Machinery Split'!$L7*'Machinery Split'!$D$41</f>
        <v>0</v>
      </c>
      <c r="J19" s="16">
        <f>'KEEI BAU - Industry'!Z$35*'Machinery Split'!$L7*'Machinery Split'!$D$41</f>
        <v>0</v>
      </c>
      <c r="K19" s="16">
        <f>'KEEI BAU - Industry'!AA$35*'Machinery Split'!$L7*'Machinery Split'!$D$41</f>
        <v>0</v>
      </c>
      <c r="L19" s="16">
        <f>'KEEI BAU - Industry'!AB$35*'Machinery Split'!$L7*'Machinery Split'!$D$41</f>
        <v>0</v>
      </c>
      <c r="M19" s="16">
        <f>'KEEI BAU - Industry'!AC$35*'Machinery Split'!$L7*'Machinery Split'!$D$41</f>
        <v>0</v>
      </c>
      <c r="N19" s="16">
        <f>'KEEI BAU - Industry'!AD$35*'Machinery Split'!$L7*'Machinery Split'!$D$41</f>
        <v>0</v>
      </c>
      <c r="O19" s="16">
        <f>'KEEI BAU - Industry'!AE$35*'Machinery Split'!$L7*'Machinery Split'!$D$41</f>
        <v>0</v>
      </c>
      <c r="P19" s="16">
        <f>'KEEI BAU - Industry'!AF$35*'Machinery Split'!$L7*'Machinery Split'!$D$41</f>
        <v>0</v>
      </c>
      <c r="Q19" s="16">
        <f>'KEEI BAU - Industry'!AG$35*'Machinery Split'!$L7*'Machinery Split'!$D$41</f>
        <v>0</v>
      </c>
      <c r="R19" s="16">
        <f>'KEEI BAU - Industry'!AH$35*'Machinery Split'!$L7*'Machinery Split'!$D$41</f>
        <v>0</v>
      </c>
      <c r="S19" s="16">
        <f>'KEEI BAU - Industry'!AI$35*'Machinery Split'!$L7*'Machinery Split'!$D$41</f>
        <v>0</v>
      </c>
      <c r="T19" s="16">
        <f>'KEEI BAU - Industry'!AJ$35*'Machinery Split'!$L7*'Machinery Split'!$D$41</f>
        <v>0</v>
      </c>
      <c r="U19" s="16">
        <f>'KEEI BAU - Industry'!AK$35*'Machinery Split'!$L7*'Machinery Split'!$D$41</f>
        <v>0</v>
      </c>
      <c r="V19" s="16">
        <f>'KEEI BAU - Industry'!AL$35*'Machinery Split'!$L7*'Machinery Split'!$D$41</f>
        <v>0</v>
      </c>
      <c r="W19" s="16">
        <f>'KEEI BAU - Industry'!AM$35*'Machinery Split'!$L7*'Machinery Split'!$D$41</f>
        <v>0</v>
      </c>
      <c r="X19" s="16">
        <f>'KEEI BAU - Industry'!AN$35*'Machinery Split'!$L7*'Machinery Split'!$D$41</f>
        <v>0</v>
      </c>
      <c r="Y19" s="16">
        <f>'KEEI BAU - Industry'!AO$35*'Machinery Split'!$L7*'Machinery Split'!$D$41</f>
        <v>0</v>
      </c>
      <c r="Z19" s="16">
        <f>'KEEI BAU - Industry'!AP$35*'Machinery Split'!$L7*'Machinery Split'!$D$41</f>
        <v>0</v>
      </c>
      <c r="AA19" s="16">
        <f>'KEEI BAU - Industry'!AQ$35*'Machinery Split'!$L7*'Machinery Split'!$D$41</f>
        <v>0</v>
      </c>
      <c r="AB19" s="16">
        <f>'KEEI BAU - Industry'!AR$35*'Machinery Split'!$L7*'Machinery Split'!$D$41</f>
        <v>0</v>
      </c>
      <c r="AC19" s="16">
        <f>'KEEI BAU - Industry'!AS$35*'Machinery Split'!$L7*'Machinery Split'!$D$41</f>
        <v>0</v>
      </c>
      <c r="AD19" s="16">
        <f>'KEEI BAU - Industry'!AT$35*'Machinery Split'!$L7*'Machinery Split'!$D$41</f>
        <v>0</v>
      </c>
      <c r="AE19" s="16">
        <f>'KEEI BAU - Industry'!AU$35*'Machinery Split'!$L7*'Machinery Split'!$D$41</f>
        <v>0</v>
      </c>
      <c r="AF19" s="16">
        <f>'KEEI BAU - Industry'!AV$35*'Machinery Split'!$L7*'Machinery Split'!$D$41</f>
        <v>0</v>
      </c>
    </row>
    <row r="20" spans="1:33">
      <c r="A20" t="s">
        <v>20</v>
      </c>
      <c r="B20" s="16">
        <f>'KEEI BAU - Industry'!R$35*'Machinery Split'!$L8*'Machinery Split'!$D$41</f>
        <v>0</v>
      </c>
      <c r="C20" s="16">
        <f>'KEEI BAU - Industry'!S$35*'Machinery Split'!$L8*'Machinery Split'!$D$41</f>
        <v>0</v>
      </c>
      <c r="D20" s="16">
        <f>'KEEI BAU - Industry'!T$35*'Machinery Split'!$L8*'Machinery Split'!$D$41</f>
        <v>0</v>
      </c>
      <c r="E20" s="16">
        <f>'KEEI BAU - Industry'!U$35*'Machinery Split'!$L8*'Machinery Split'!$D$41</f>
        <v>0</v>
      </c>
      <c r="F20" s="16">
        <f>'KEEI BAU - Industry'!V$35*'Machinery Split'!$L8*'Machinery Split'!$D$41</f>
        <v>0</v>
      </c>
      <c r="G20" s="16">
        <f>'KEEI BAU - Industry'!W$35*'Machinery Split'!$L8*'Machinery Split'!$D$41</f>
        <v>0</v>
      </c>
      <c r="H20" s="16">
        <f>'KEEI BAU - Industry'!X$35*'Machinery Split'!$L8*'Machinery Split'!$D$41</f>
        <v>0</v>
      </c>
      <c r="I20" s="16">
        <f>'KEEI BAU - Industry'!Y$35*'Machinery Split'!$L8*'Machinery Split'!$D$41</f>
        <v>0</v>
      </c>
      <c r="J20" s="16">
        <f>'KEEI BAU - Industry'!Z$35*'Machinery Split'!$L8*'Machinery Split'!$D$41</f>
        <v>0</v>
      </c>
      <c r="K20" s="16">
        <f>'KEEI BAU - Industry'!AA$35*'Machinery Split'!$L8*'Machinery Split'!$D$41</f>
        <v>0</v>
      </c>
      <c r="L20" s="16">
        <f>'KEEI BAU - Industry'!AB$35*'Machinery Split'!$L8*'Machinery Split'!$D$41</f>
        <v>0</v>
      </c>
      <c r="M20" s="16">
        <f>'KEEI BAU - Industry'!AC$35*'Machinery Split'!$L8*'Machinery Split'!$D$41</f>
        <v>0</v>
      </c>
      <c r="N20" s="16">
        <f>'KEEI BAU - Industry'!AD$35*'Machinery Split'!$L8*'Machinery Split'!$D$41</f>
        <v>0</v>
      </c>
      <c r="O20" s="16">
        <f>'KEEI BAU - Industry'!AE$35*'Machinery Split'!$L8*'Machinery Split'!$D$41</f>
        <v>0</v>
      </c>
      <c r="P20" s="16">
        <f>'KEEI BAU - Industry'!AF$35*'Machinery Split'!$L8*'Machinery Split'!$D$41</f>
        <v>0</v>
      </c>
      <c r="Q20" s="16">
        <f>'KEEI BAU - Industry'!AG$35*'Machinery Split'!$L8*'Machinery Split'!$D$41</f>
        <v>0</v>
      </c>
      <c r="R20" s="16">
        <f>'KEEI BAU - Industry'!AH$35*'Machinery Split'!$L8*'Machinery Split'!$D$41</f>
        <v>0</v>
      </c>
      <c r="S20" s="16">
        <f>'KEEI BAU - Industry'!AI$35*'Machinery Split'!$L8*'Machinery Split'!$D$41</f>
        <v>0</v>
      </c>
      <c r="T20" s="16">
        <f>'KEEI BAU - Industry'!AJ$35*'Machinery Split'!$L8*'Machinery Split'!$D$41</f>
        <v>0</v>
      </c>
      <c r="U20" s="16">
        <f>'KEEI BAU - Industry'!AK$35*'Machinery Split'!$L8*'Machinery Split'!$D$41</f>
        <v>0</v>
      </c>
      <c r="V20" s="16">
        <f>'KEEI BAU - Industry'!AL$35*'Machinery Split'!$L8*'Machinery Split'!$D$41</f>
        <v>0</v>
      </c>
      <c r="W20" s="16">
        <f>'KEEI BAU - Industry'!AM$35*'Machinery Split'!$L8*'Machinery Split'!$D$41</f>
        <v>0</v>
      </c>
      <c r="X20" s="16">
        <f>'KEEI BAU - Industry'!AN$35*'Machinery Split'!$L8*'Machinery Split'!$D$41</f>
        <v>0</v>
      </c>
      <c r="Y20" s="16">
        <f>'KEEI BAU - Industry'!AO$35*'Machinery Split'!$L8*'Machinery Split'!$D$41</f>
        <v>0</v>
      </c>
      <c r="Z20" s="16">
        <f>'KEEI BAU - Industry'!AP$35*'Machinery Split'!$L8*'Machinery Split'!$D$41</f>
        <v>0</v>
      </c>
      <c r="AA20" s="16">
        <f>'KEEI BAU - Industry'!AQ$35*'Machinery Split'!$L8*'Machinery Split'!$D$41</f>
        <v>0</v>
      </c>
      <c r="AB20" s="16">
        <f>'KEEI BAU - Industry'!AR$35*'Machinery Split'!$L8*'Machinery Split'!$D$41</f>
        <v>0</v>
      </c>
      <c r="AC20" s="16">
        <f>'KEEI BAU - Industry'!AS$35*'Machinery Split'!$L8*'Machinery Split'!$D$41</f>
        <v>0</v>
      </c>
      <c r="AD20" s="16">
        <f>'KEEI BAU - Industry'!AT$35*'Machinery Split'!$L8*'Machinery Split'!$D$41</f>
        <v>0</v>
      </c>
      <c r="AE20" s="16">
        <f>'KEEI BAU - Industry'!AU$35*'Machinery Split'!$L8*'Machinery Split'!$D$41</f>
        <v>0</v>
      </c>
      <c r="AF20" s="16">
        <f>'KEEI BAU - Industry'!AV$35*'Machinery Split'!$L8*'Machinery Split'!$D$41</f>
        <v>0</v>
      </c>
    </row>
    <row r="21" spans="1:33">
      <c r="A21" t="s">
        <v>21</v>
      </c>
      <c r="B21" s="16">
        <f>'KEEI BAU - Industry'!R$35*'Machinery Split'!$L9*'Machinery Split'!$D$41</f>
        <v>0</v>
      </c>
      <c r="C21" s="16">
        <f>'KEEI BAU - Industry'!S$35*'Machinery Split'!$L9*'Machinery Split'!$D$41</f>
        <v>0</v>
      </c>
      <c r="D21" s="16">
        <f>'KEEI BAU - Industry'!T$35*'Machinery Split'!$L9*'Machinery Split'!$D$41</f>
        <v>0</v>
      </c>
      <c r="E21" s="16">
        <f>'KEEI BAU - Industry'!U$35*'Machinery Split'!$L9*'Machinery Split'!$D$41</f>
        <v>0</v>
      </c>
      <c r="F21" s="16">
        <f>'KEEI BAU - Industry'!V$35*'Machinery Split'!$L9*'Machinery Split'!$D$41</f>
        <v>0</v>
      </c>
      <c r="G21" s="16">
        <f>'KEEI BAU - Industry'!W$35*'Machinery Split'!$L9*'Machinery Split'!$D$41</f>
        <v>0</v>
      </c>
      <c r="H21" s="16">
        <f>'KEEI BAU - Industry'!X$35*'Machinery Split'!$L9*'Machinery Split'!$D$41</f>
        <v>0</v>
      </c>
      <c r="I21" s="16">
        <f>'KEEI BAU - Industry'!Y$35*'Machinery Split'!$L9*'Machinery Split'!$D$41</f>
        <v>0</v>
      </c>
      <c r="J21" s="16">
        <f>'KEEI BAU - Industry'!Z$35*'Machinery Split'!$L9*'Machinery Split'!$D$41</f>
        <v>0</v>
      </c>
      <c r="K21" s="16">
        <f>'KEEI BAU - Industry'!AA$35*'Machinery Split'!$L9*'Machinery Split'!$D$41</f>
        <v>0</v>
      </c>
      <c r="L21" s="16">
        <f>'KEEI BAU - Industry'!AB$35*'Machinery Split'!$L9*'Machinery Split'!$D$41</f>
        <v>0</v>
      </c>
      <c r="M21" s="16">
        <f>'KEEI BAU - Industry'!AC$35*'Machinery Split'!$L9*'Machinery Split'!$D$41</f>
        <v>0</v>
      </c>
      <c r="N21" s="16">
        <f>'KEEI BAU - Industry'!AD$35*'Machinery Split'!$L9*'Machinery Split'!$D$41</f>
        <v>0</v>
      </c>
      <c r="O21" s="16">
        <f>'KEEI BAU - Industry'!AE$35*'Machinery Split'!$L9*'Machinery Split'!$D$41</f>
        <v>0</v>
      </c>
      <c r="P21" s="16">
        <f>'KEEI BAU - Industry'!AF$35*'Machinery Split'!$L9*'Machinery Split'!$D$41</f>
        <v>0</v>
      </c>
      <c r="Q21" s="16">
        <f>'KEEI BAU - Industry'!AG$35*'Machinery Split'!$L9*'Machinery Split'!$D$41</f>
        <v>0</v>
      </c>
      <c r="R21" s="16">
        <f>'KEEI BAU - Industry'!AH$35*'Machinery Split'!$L9*'Machinery Split'!$D$41</f>
        <v>0</v>
      </c>
      <c r="S21" s="16">
        <f>'KEEI BAU - Industry'!AI$35*'Machinery Split'!$L9*'Machinery Split'!$D$41</f>
        <v>0</v>
      </c>
      <c r="T21" s="16">
        <f>'KEEI BAU - Industry'!AJ$35*'Machinery Split'!$L9*'Machinery Split'!$D$41</f>
        <v>0</v>
      </c>
      <c r="U21" s="16">
        <f>'KEEI BAU - Industry'!AK$35*'Machinery Split'!$L9*'Machinery Split'!$D$41</f>
        <v>0</v>
      </c>
      <c r="V21" s="16">
        <f>'KEEI BAU - Industry'!AL$35*'Machinery Split'!$L9*'Machinery Split'!$D$41</f>
        <v>0</v>
      </c>
      <c r="W21" s="16">
        <f>'KEEI BAU - Industry'!AM$35*'Machinery Split'!$L9*'Machinery Split'!$D$41</f>
        <v>0</v>
      </c>
      <c r="X21" s="16">
        <f>'KEEI BAU - Industry'!AN$35*'Machinery Split'!$L9*'Machinery Split'!$D$41</f>
        <v>0</v>
      </c>
      <c r="Y21" s="16">
        <f>'KEEI BAU - Industry'!AO$35*'Machinery Split'!$L9*'Machinery Split'!$D$41</f>
        <v>0</v>
      </c>
      <c r="Z21" s="16">
        <f>'KEEI BAU - Industry'!AP$35*'Machinery Split'!$L9*'Machinery Split'!$D$41</f>
        <v>0</v>
      </c>
      <c r="AA21" s="16">
        <f>'KEEI BAU - Industry'!AQ$35*'Machinery Split'!$L9*'Machinery Split'!$D$41</f>
        <v>0</v>
      </c>
      <c r="AB21" s="16">
        <f>'KEEI BAU - Industry'!AR$35*'Machinery Split'!$L9*'Machinery Split'!$D$41</f>
        <v>0</v>
      </c>
      <c r="AC21" s="16">
        <f>'KEEI BAU - Industry'!AS$35*'Machinery Split'!$L9*'Machinery Split'!$D$41</f>
        <v>0</v>
      </c>
      <c r="AD21" s="16">
        <f>'KEEI BAU - Industry'!AT$35*'Machinery Split'!$L9*'Machinery Split'!$D$41</f>
        <v>0</v>
      </c>
      <c r="AE21" s="16">
        <f>'KEEI BAU - Industry'!AU$35*'Machinery Split'!$L9*'Machinery Split'!$D$41</f>
        <v>0</v>
      </c>
      <c r="AF21" s="16">
        <f>'KEEI BAU - Industry'!AV$35*'Machinery Split'!$L9*'Machinery Split'!$D$41</f>
        <v>0</v>
      </c>
    </row>
    <row r="22" spans="1:33">
      <c r="A22" t="s">
        <v>22</v>
      </c>
      <c r="B22" s="16">
        <f>'KEEI BAU - Industry'!R$35*'Machinery Split'!$L10*'Machinery Split'!$D$41</f>
        <v>0</v>
      </c>
      <c r="C22" s="16">
        <f>'KEEI BAU - Industry'!S$35*'Machinery Split'!$L10*'Machinery Split'!$D$41</f>
        <v>0</v>
      </c>
      <c r="D22" s="16">
        <f>'KEEI BAU - Industry'!T$35*'Machinery Split'!$L10*'Machinery Split'!$D$41</f>
        <v>0</v>
      </c>
      <c r="E22" s="16">
        <f>'KEEI BAU - Industry'!U$35*'Machinery Split'!$L10*'Machinery Split'!$D$41</f>
        <v>0</v>
      </c>
      <c r="F22" s="16">
        <f>'KEEI BAU - Industry'!V$35*'Machinery Split'!$L10*'Machinery Split'!$D$41</f>
        <v>0</v>
      </c>
      <c r="G22" s="16">
        <f>'KEEI BAU - Industry'!W$35*'Machinery Split'!$L10*'Machinery Split'!$D$41</f>
        <v>0</v>
      </c>
      <c r="H22" s="16">
        <f>'KEEI BAU - Industry'!X$35*'Machinery Split'!$L10*'Machinery Split'!$D$41</f>
        <v>0</v>
      </c>
      <c r="I22" s="16">
        <f>'KEEI BAU - Industry'!Y$35*'Machinery Split'!$L10*'Machinery Split'!$D$41</f>
        <v>0</v>
      </c>
      <c r="J22" s="16">
        <f>'KEEI BAU - Industry'!Z$35*'Machinery Split'!$L10*'Machinery Split'!$D$41</f>
        <v>0</v>
      </c>
      <c r="K22" s="16">
        <f>'KEEI BAU - Industry'!AA$35*'Machinery Split'!$L10*'Machinery Split'!$D$41</f>
        <v>0</v>
      </c>
      <c r="L22" s="16">
        <f>'KEEI BAU - Industry'!AB$35*'Machinery Split'!$L10*'Machinery Split'!$D$41</f>
        <v>0</v>
      </c>
      <c r="M22" s="16">
        <f>'KEEI BAU - Industry'!AC$35*'Machinery Split'!$L10*'Machinery Split'!$D$41</f>
        <v>0</v>
      </c>
      <c r="N22" s="16">
        <f>'KEEI BAU - Industry'!AD$35*'Machinery Split'!$L10*'Machinery Split'!$D$41</f>
        <v>0</v>
      </c>
      <c r="O22" s="16">
        <f>'KEEI BAU - Industry'!AE$35*'Machinery Split'!$L10*'Machinery Split'!$D$41</f>
        <v>0</v>
      </c>
      <c r="P22" s="16">
        <f>'KEEI BAU - Industry'!AF$35*'Machinery Split'!$L10*'Machinery Split'!$D$41</f>
        <v>0</v>
      </c>
      <c r="Q22" s="16">
        <f>'KEEI BAU - Industry'!AG$35*'Machinery Split'!$L10*'Machinery Split'!$D$41</f>
        <v>0</v>
      </c>
      <c r="R22" s="16">
        <f>'KEEI BAU - Industry'!AH$35*'Machinery Split'!$L10*'Machinery Split'!$D$41</f>
        <v>0</v>
      </c>
      <c r="S22" s="16">
        <f>'KEEI BAU - Industry'!AI$35*'Machinery Split'!$L10*'Machinery Split'!$D$41</f>
        <v>0</v>
      </c>
      <c r="T22" s="16">
        <f>'KEEI BAU - Industry'!AJ$35*'Machinery Split'!$L10*'Machinery Split'!$D$41</f>
        <v>0</v>
      </c>
      <c r="U22" s="16">
        <f>'KEEI BAU - Industry'!AK$35*'Machinery Split'!$L10*'Machinery Split'!$D$41</f>
        <v>0</v>
      </c>
      <c r="V22" s="16">
        <f>'KEEI BAU - Industry'!AL$35*'Machinery Split'!$L10*'Machinery Split'!$D$41</f>
        <v>0</v>
      </c>
      <c r="W22" s="16">
        <f>'KEEI BAU - Industry'!AM$35*'Machinery Split'!$L10*'Machinery Split'!$D$41</f>
        <v>0</v>
      </c>
      <c r="X22" s="16">
        <f>'KEEI BAU - Industry'!AN$35*'Machinery Split'!$L10*'Machinery Split'!$D$41</f>
        <v>0</v>
      </c>
      <c r="Y22" s="16">
        <f>'KEEI BAU - Industry'!AO$35*'Machinery Split'!$L10*'Machinery Split'!$D$41</f>
        <v>0</v>
      </c>
      <c r="Z22" s="16">
        <f>'KEEI BAU - Industry'!AP$35*'Machinery Split'!$L10*'Machinery Split'!$D$41</f>
        <v>0</v>
      </c>
      <c r="AA22" s="16">
        <f>'KEEI BAU - Industry'!AQ$35*'Machinery Split'!$L10*'Machinery Split'!$D$41</f>
        <v>0</v>
      </c>
      <c r="AB22" s="16">
        <f>'KEEI BAU - Industry'!AR$35*'Machinery Split'!$L10*'Machinery Split'!$D$41</f>
        <v>0</v>
      </c>
      <c r="AC22" s="16">
        <f>'KEEI BAU - Industry'!AS$35*'Machinery Split'!$L10*'Machinery Split'!$D$41</f>
        <v>0</v>
      </c>
      <c r="AD22" s="16">
        <f>'KEEI BAU - Industry'!AT$35*'Machinery Split'!$L10*'Machinery Split'!$D$41</f>
        <v>0</v>
      </c>
      <c r="AE22" s="16">
        <f>'KEEI BAU - Industry'!AU$35*'Machinery Split'!$L10*'Machinery Split'!$D$41</f>
        <v>0</v>
      </c>
      <c r="AF22" s="16">
        <f>'KEEI BAU - Industry'!AV$35*'Machinery Split'!$L10*'Machinery Split'!$D$41</f>
        <v>0</v>
      </c>
    </row>
    <row r="23" spans="1:33">
      <c r="A23" t="s">
        <v>23</v>
      </c>
      <c r="B23" s="16">
        <f>'KEEI BAU - Industry'!R$53*'Others Split'!$D$47*'Others Split'!$L$14</f>
        <v>9269137256563.3652</v>
      </c>
      <c r="C23" s="16">
        <f>'KEEI BAU - Industry'!S$53*'Others Split'!$D$47*'Others Split'!$L$14</f>
        <v>9474785233099.2461</v>
      </c>
      <c r="D23" s="16">
        <f>'KEEI BAU - Industry'!T$53*'Others Split'!$D$47*'Others Split'!$L$14</f>
        <v>9680433209635.125</v>
      </c>
      <c r="E23" s="16">
        <f>'KEEI BAU - Industry'!U$53*'Others Split'!$D$47*'Others Split'!$L$14</f>
        <v>9886081186171.0039</v>
      </c>
      <c r="F23" s="16">
        <f>'KEEI BAU - Industry'!V$53*'Others Split'!$D$47*'Others Split'!$L$14</f>
        <v>10091729162706.885</v>
      </c>
      <c r="G23" s="16">
        <f>'KEEI BAU - Industry'!W$53*'Others Split'!$D$47*'Others Split'!$L$14</f>
        <v>10297377139242.764</v>
      </c>
      <c r="H23" s="16">
        <f>'KEEI BAU - Industry'!X$53*'Others Split'!$D$47*'Others Split'!$L$14</f>
        <v>10392410422054.754</v>
      </c>
      <c r="I23" s="16">
        <f>'KEEI BAU - Industry'!Y$53*'Others Split'!$D$47*'Others Split'!$L$14</f>
        <v>10487443704866.713</v>
      </c>
      <c r="J23" s="16">
        <f>'KEEI BAU - Industry'!Z$53*'Others Split'!$D$47*'Others Split'!$L$14</f>
        <v>10582476987678.674</v>
      </c>
      <c r="K23" s="16">
        <f>'KEEI BAU - Industry'!AA$53*'Others Split'!$D$47*'Others Split'!$L$14</f>
        <v>10677510270490.635</v>
      </c>
      <c r="L23" s="16">
        <f>'KEEI BAU - Industry'!AB$53*'Others Split'!$D$47*'Others Split'!$L$14</f>
        <v>10772543553302.613</v>
      </c>
      <c r="M23" s="16">
        <f>'KEEI BAU - Industry'!AC$53*'Others Split'!$D$47*'Others Split'!$L$14</f>
        <v>10840108744404.785</v>
      </c>
      <c r="N23" s="16">
        <f>'KEEI BAU - Industry'!AD$53*'Others Split'!$D$47*'Others Split'!$L$14</f>
        <v>10907673935506.975</v>
      </c>
      <c r="O23" s="16">
        <f>'KEEI BAU - Industry'!AE$53*'Others Split'!$D$47*'Others Split'!$L$14</f>
        <v>10975239126609.168</v>
      </c>
      <c r="P23" s="16">
        <f>'KEEI BAU - Industry'!AF$53*'Others Split'!$D$47*'Others Split'!$L$14</f>
        <v>11042804317711.357</v>
      </c>
      <c r="Q23" s="16">
        <f>'KEEI BAU - Industry'!AG$53*'Others Split'!$D$47*'Others Split'!$L$14</f>
        <v>11110369508813.543</v>
      </c>
      <c r="R23" s="16">
        <f>'KEEI BAU - Industry'!AH$53*'Others Split'!$D$47*'Others Split'!$L$14</f>
        <v>11163411341080.709</v>
      </c>
      <c r="S23" s="16">
        <f>'KEEI BAU - Industry'!AI$53*'Others Split'!$D$47*'Others Split'!$L$14</f>
        <v>11216453173347.83</v>
      </c>
      <c r="T23" s="16">
        <f>'KEEI BAU - Industry'!AJ$53*'Others Split'!$D$47*'Others Split'!$L$14</f>
        <v>11269495005614.971</v>
      </c>
      <c r="U23" s="16">
        <f>'KEEI BAU - Industry'!AK$53*'Others Split'!$D$47*'Others Split'!$L$14</f>
        <v>11322536837882.111</v>
      </c>
      <c r="V23" s="16">
        <f>'KEEI BAU - Industry'!AL$53*'Others Split'!$D$47*'Others Split'!$L$14</f>
        <v>11375578670149.234</v>
      </c>
      <c r="W23" s="16">
        <f>'KEEI BAU - Industry'!AM$53*'Others Split'!$D$47*'Others Split'!$L$14</f>
        <v>11447984980863.111</v>
      </c>
      <c r="X23" s="16">
        <f>'KEEI BAU - Industry'!AN$53*'Others Split'!$D$47*'Others Split'!$L$14</f>
        <v>11507188238090.572</v>
      </c>
      <c r="Y23" s="16">
        <f>'KEEI BAU - Industry'!AO$53*'Others Split'!$D$47*'Others Split'!$L$14</f>
        <v>11566391495318.051</v>
      </c>
      <c r="Z23" s="16">
        <f>'KEEI BAU - Industry'!AP$53*'Others Split'!$D$47*'Others Split'!$L$14</f>
        <v>11625594752545.51</v>
      </c>
      <c r="AA23" s="16">
        <f>'KEEI BAU - Industry'!AQ$53*'Others Split'!$D$47*'Others Split'!$L$14</f>
        <v>11684798009772.967</v>
      </c>
      <c r="AB23" s="16">
        <f>'KEEI BAU - Industry'!AR$53*'Others Split'!$D$47*'Others Split'!$L$14</f>
        <v>11744001267000.428</v>
      </c>
      <c r="AC23" s="16">
        <f>'KEEI BAU - Industry'!AS$53*'Others Split'!$D$47*'Others Split'!$L$14</f>
        <v>11803204524227.906</v>
      </c>
      <c r="AD23" s="16">
        <f>'KEEI BAU - Industry'!AT$53*'Others Split'!$D$47*'Others Split'!$L$14</f>
        <v>11862407781455.365</v>
      </c>
      <c r="AE23" s="16">
        <f>'KEEI BAU - Industry'!AU$53*'Others Split'!$D$47*'Others Split'!$L$14</f>
        <v>11921611038682.824</v>
      </c>
      <c r="AF23" s="16">
        <f>'KEEI BAU - Industry'!AV$53*'Others Split'!$D$47*'Others Split'!$L$14</f>
        <v>11980814295910.303</v>
      </c>
      <c r="AG23" s="169"/>
    </row>
    <row r="24" spans="1:33">
      <c r="A24" t="s">
        <v>24</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row>
    <row r="25" spans="1:33">
      <c r="A25" t="s">
        <v>25</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row>
    <row r="26" spans="1:33">
      <c r="A26" t="s">
        <v>26</v>
      </c>
      <c r="B26" s="16">
        <f>'KEEI BAU - Industry'!R$53*'Others Split'!$D$47*'Others Split'!$L$15</f>
        <v>1115868204049.4556</v>
      </c>
      <c r="C26" s="16">
        <f>'KEEI BAU - Industry'!S$53*'Others Split'!$D$47*'Others Split'!$L$15</f>
        <v>1140625204824.3667</v>
      </c>
      <c r="D26" s="16">
        <f>'KEEI BAU - Industry'!T$53*'Others Split'!$D$47*'Others Split'!$L$15</f>
        <v>1165382205599.2781</v>
      </c>
      <c r="E26" s="16">
        <f>'KEEI BAU - Industry'!U$53*'Others Split'!$D$47*'Others Split'!$L$15</f>
        <v>1190139206374.189</v>
      </c>
      <c r="F26" s="16">
        <f>'KEEI BAU - Industry'!V$53*'Others Split'!$D$47*'Others Split'!$L$15</f>
        <v>1214896207149.1001</v>
      </c>
      <c r="G26" s="16">
        <f>'KEEI BAU - Industry'!W$53*'Others Split'!$D$47*'Others Split'!$L$15</f>
        <v>1239653207924.011</v>
      </c>
      <c r="H26" s="16">
        <f>'KEEI BAU - Industry'!X$53*'Others Split'!$D$47*'Others Split'!$L$15</f>
        <v>1251093821616.6448</v>
      </c>
      <c r="I26" s="16">
        <f>'KEEI BAU - Industry'!Y$53*'Others Split'!$D$47*'Others Split'!$L$15</f>
        <v>1262534435309.2747</v>
      </c>
      <c r="J26" s="16">
        <f>'KEEI BAU - Industry'!Z$53*'Others Split'!$D$47*'Others Split'!$L$15</f>
        <v>1273975049001.9048</v>
      </c>
      <c r="K26" s="16">
        <f>'KEEI BAU - Industry'!AA$53*'Others Split'!$D$47*'Others Split'!$L$15</f>
        <v>1285415662694.5349</v>
      </c>
      <c r="L26" s="16">
        <f>'KEEI BAU - Industry'!AB$53*'Others Split'!$D$47*'Others Split'!$L$15</f>
        <v>1296856276387.1672</v>
      </c>
      <c r="M26" s="16">
        <f>'KEEI BAU - Industry'!AC$53*'Others Split'!$D$47*'Others Split'!$L$15</f>
        <v>1304990134627.1079</v>
      </c>
      <c r="N26" s="16">
        <f>'KEEI BAU - Industry'!AD$53*'Others Split'!$D$47*'Others Split'!$L$15</f>
        <v>1313123992867.0508</v>
      </c>
      <c r="O26" s="16">
        <f>'KEEI BAU - Industry'!AE$53*'Others Split'!$D$47*'Others Split'!$L$15</f>
        <v>1321257851106.9937</v>
      </c>
      <c r="P26" s="16">
        <f>'KEEI BAU - Industry'!AF$53*'Others Split'!$D$47*'Others Split'!$L$15</f>
        <v>1329391709346.9365</v>
      </c>
      <c r="Q26" s="16">
        <f>'KEEI BAU - Industry'!AG$53*'Others Split'!$D$47*'Others Split'!$L$15</f>
        <v>1337525567586.8789</v>
      </c>
      <c r="R26" s="16">
        <f>'KEEI BAU - Industry'!AH$53*'Others Split'!$D$47*'Others Split'!$L$15</f>
        <v>1343911026392.0708</v>
      </c>
      <c r="S26" s="16">
        <f>'KEEI BAU - Industry'!AI$53*'Others Split'!$D$47*'Others Split'!$L$15</f>
        <v>1350296485197.2573</v>
      </c>
      <c r="T26" s="16">
        <f>'KEEI BAU - Industry'!AJ$53*'Others Split'!$D$47*'Others Split'!$L$15</f>
        <v>1356681944002.446</v>
      </c>
      <c r="U26" s="16">
        <f>'KEEI BAU - Industry'!AK$53*'Others Split'!$D$47*'Others Split'!$L$15</f>
        <v>1363067402807.635</v>
      </c>
      <c r="V26" s="16">
        <f>'KEEI BAU - Industry'!AL$53*'Others Split'!$D$47*'Others Split'!$L$15</f>
        <v>1369452861612.8218</v>
      </c>
      <c r="W26" s="16">
        <f>'KEEI BAU - Industry'!AM$53*'Others Split'!$D$47*'Others Split'!$L$15</f>
        <v>1378169519664.3499</v>
      </c>
      <c r="X26" s="16">
        <f>'KEEI BAU - Industry'!AN$53*'Others Split'!$D$47*'Others Split'!$L$15</f>
        <v>1385296723684.2822</v>
      </c>
      <c r="Y26" s="16">
        <f>'KEEI BAU - Industry'!AO$53*'Others Split'!$D$47*'Others Split'!$L$15</f>
        <v>1392423927704.2168</v>
      </c>
      <c r="Z26" s="16">
        <f>'KEEI BAU - Industry'!AP$53*'Others Split'!$D$47*'Others Split'!$L$15</f>
        <v>1399551131724.1492</v>
      </c>
      <c r="AA26" s="16">
        <f>'KEEI BAU - Industry'!AQ$53*'Others Split'!$D$47*'Others Split'!$L$15</f>
        <v>1406678335744.0813</v>
      </c>
      <c r="AB26" s="16">
        <f>'KEEI BAU - Industry'!AR$53*'Others Split'!$D$47*'Others Split'!$L$15</f>
        <v>1413805539764.0137</v>
      </c>
      <c r="AC26" s="16">
        <f>'KEEI BAU - Industry'!AS$53*'Others Split'!$D$47*'Others Split'!$L$15</f>
        <v>1420932743783.9485</v>
      </c>
      <c r="AD26" s="16">
        <f>'KEEI BAU - Industry'!AT$53*'Others Split'!$D$47*'Others Split'!$L$15</f>
        <v>1428059947803.8806</v>
      </c>
      <c r="AE26" s="16">
        <f>'KEEI BAU - Industry'!AU$53*'Others Split'!$D$47*'Others Split'!$L$15</f>
        <v>1435187151823.813</v>
      </c>
      <c r="AF26" s="16">
        <f>'KEEI BAU - Industry'!AV$53*'Others Split'!$D$47*'Others Split'!$L$15</f>
        <v>1442314355843.7476</v>
      </c>
    </row>
  </sheetData>
  <phoneticPr fontId="37"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I86"/>
  <sheetViews>
    <sheetView zoomScale="39" workbookViewId="0">
      <pane xSplit="1" ySplit="1" topLeftCell="B2" activePane="bottomRight" state="frozen"/>
      <selection pane="topRight" activeCell="B1" sqref="B1"/>
      <selection pane="bottomLeft" activeCell="A2" sqref="A2"/>
      <selection pane="bottomRight" activeCell="B12" sqref="B12"/>
    </sheetView>
  </sheetViews>
  <sheetFormatPr defaultColWidth="9.125" defaultRowHeight="16.5"/>
  <cols>
    <col min="1" max="1" width="39.875" customWidth="1"/>
    <col min="2" max="2" width="22" bestFit="1" customWidth="1"/>
    <col min="3" max="33" width="12.5" customWidth="1"/>
  </cols>
  <sheetData>
    <row r="1" spans="1:35">
      <c r="A1" s="24" t="s">
        <v>27</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c r="A2" t="s">
        <v>2</v>
      </c>
      <c r="B2" s="16">
        <f>'KEEI BAU - Industry'!R53*'Others Split'!$D$48*'Others Split'!$M$6</f>
        <v>350727016153.76312</v>
      </c>
      <c r="C2" s="16">
        <f>'KEEI BAU - Industry'!S53*'Others Split'!$D$48*'Others Split'!$M$6</f>
        <v>358508355364.96277</v>
      </c>
      <c r="D2" s="16">
        <f>'KEEI BAU - Industry'!T53*'Others Split'!$D$48*'Others Split'!$M$6</f>
        <v>366289694576.16241</v>
      </c>
      <c r="E2" s="16">
        <f>'KEEI BAU - Industry'!U53*'Others Split'!$D$48*'Others Split'!$M$6</f>
        <v>374071033787.36206</v>
      </c>
      <c r="F2" s="16">
        <f>'KEEI BAU - Industry'!V53*'Others Split'!$D$48*'Others Split'!$M$6</f>
        <v>381852372998.56171</v>
      </c>
      <c r="G2" s="16">
        <f>'KEEI BAU - Industry'!W53*'Others Split'!$D$48*'Others Split'!$M$6</f>
        <v>389633712209.76141</v>
      </c>
      <c r="H2" s="16">
        <f>'KEEI BAU - Industry'!X53*'Others Split'!$D$48*'Others Split'!$M$6</f>
        <v>393229595925.08179</v>
      </c>
      <c r="I2" s="16">
        <f>'KEEI BAU - Industry'!Y53*'Others Split'!$D$48*'Others Split'!$M$6</f>
        <v>396825479640.40106</v>
      </c>
      <c r="J2" s="16">
        <f>'KEEI BAU - Industry'!Z53*'Others Split'!$D$48*'Others Split'!$M$6</f>
        <v>400421363355.7204</v>
      </c>
      <c r="K2" s="16">
        <f>'KEEI BAU - Industry'!AA53*'Others Split'!$D$48*'Others Split'!$M$6</f>
        <v>404017247071.03967</v>
      </c>
      <c r="L2" s="16">
        <f>'KEEI BAU - Industry'!AB53*'Others Split'!$D$48*'Others Split'!$M$6</f>
        <v>407613130786.35968</v>
      </c>
      <c r="M2" s="16">
        <f>'KEEI BAU - Industry'!AC53*'Others Split'!$D$48*'Others Split'!$M$6</f>
        <v>410169672696.91815</v>
      </c>
      <c r="N2" s="16">
        <f>'KEEI BAU - Industry'!AD53*'Others Split'!$D$48*'Others Split'!$M$6</f>
        <v>412726214607.47742</v>
      </c>
      <c r="O2" s="16">
        <f>'KEEI BAU - Industry'!AE53*'Others Split'!$D$48*'Others Split'!$M$6</f>
        <v>415282756518.03662</v>
      </c>
      <c r="P2" s="16">
        <f>'KEEI BAU - Industry'!AF53*'Others Split'!$D$48*'Others Split'!$M$6</f>
        <v>417839298428.59583</v>
      </c>
      <c r="Q2" s="16">
        <f>'KEEI BAU - Industry'!AG53*'Others Split'!$D$48*'Others Split'!$M$6</f>
        <v>420395840339.15491</v>
      </c>
      <c r="R2" s="16">
        <f>'KEEI BAU - Industry'!AH53*'Others Split'!$D$48*'Others Split'!$M$6</f>
        <v>422402845203.52008</v>
      </c>
      <c r="S2" s="16">
        <f>'KEEI BAU - Industry'!AI53*'Others Split'!$D$48*'Others Split'!$M$6</f>
        <v>424409850067.88354</v>
      </c>
      <c r="T2" s="16">
        <f>'KEEI BAU - Industry'!AJ53*'Others Split'!$D$48*'Others Split'!$M$6</f>
        <v>426416854932.24786</v>
      </c>
      <c r="U2" s="16">
        <f>'KEEI BAU - Industry'!AK53*'Others Split'!$D$48*'Others Split'!$M$6</f>
        <v>428423859796.61212</v>
      </c>
      <c r="V2" s="16">
        <f>'KEEI BAU - Industry'!AL53*'Others Split'!$D$48*'Others Split'!$M$6</f>
        <v>430430864660.97571</v>
      </c>
      <c r="W2" s="16">
        <f>'KEEI BAU - Industry'!AM53*'Others Split'!$D$48*'Others Split'!$M$6</f>
        <v>433170585586.93335</v>
      </c>
      <c r="X2" s="16">
        <f>'KEEI BAU - Industry'!AN53*'Others Split'!$D$48*'Others Split'!$M$6</f>
        <v>435410727379.98615</v>
      </c>
      <c r="Y2" s="16">
        <f>'KEEI BAU - Industry'!AO53*'Others Split'!$D$48*'Others Split'!$M$6</f>
        <v>437650869173.03973</v>
      </c>
      <c r="Z2" s="16">
        <f>'KEEI BAU - Industry'!AP53*'Others Split'!$D$48*'Others Split'!$M$6</f>
        <v>439891010966.09253</v>
      </c>
      <c r="AA2" s="16">
        <f>'KEEI BAU - Industry'!AQ53*'Others Split'!$D$48*'Others Split'!$M$6</f>
        <v>442131152759.14532</v>
      </c>
      <c r="AB2" s="16">
        <f>'KEEI BAU - Industry'!AR53*'Others Split'!$D$48*'Others Split'!$M$6</f>
        <v>444371294552.19812</v>
      </c>
      <c r="AC2" s="16">
        <f>'KEEI BAU - Industry'!AS53*'Others Split'!$D$48*'Others Split'!$M$6</f>
        <v>446611436345.25171</v>
      </c>
      <c r="AD2" s="16">
        <f>'KEEI BAU - Industry'!AT53*'Others Split'!$D$48*'Others Split'!$M$6</f>
        <v>448851578138.3045</v>
      </c>
      <c r="AE2" s="16">
        <f>'KEEI BAU - Industry'!AU53*'Others Split'!$D$48*'Others Split'!$M$6</f>
        <v>451091719931.3573</v>
      </c>
      <c r="AF2" s="16">
        <f>'KEEI BAU - Industry'!AV53*'Others Split'!$D$48*'Others Split'!$M$6</f>
        <v>453331861724.41089</v>
      </c>
    </row>
    <row r="3" spans="1:35">
      <c r="A3" t="s">
        <v>3</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c r="AC3" s="16">
        <v>0</v>
      </c>
      <c r="AD3" s="16">
        <v>0</v>
      </c>
      <c r="AE3" s="16">
        <v>0</v>
      </c>
      <c r="AF3" s="16">
        <v>0</v>
      </c>
    </row>
    <row r="4" spans="1:35">
      <c r="A4" t="s">
        <v>4</v>
      </c>
      <c r="B4" s="16">
        <f>-'2019 KESIS Energy Balance'!X37*About!C89/1000*(1+'KEEI BAU - Oil Supply'!R9)</f>
        <v>144874496948.97116</v>
      </c>
      <c r="C4" s="16">
        <f>B4*(1+'KEEI BAU - Oil Supply'!S9)</f>
        <v>145676317927.71207</v>
      </c>
      <c r="D4" s="16">
        <f>C4*(1+'KEEI BAU - Oil Supply'!T9)</f>
        <v>146478138906.45343</v>
      </c>
      <c r="E4" s="16">
        <f>D4*(1+'KEEI BAU - Oil Supply'!U9)</f>
        <v>146289209273.35657</v>
      </c>
      <c r="F4" s="16">
        <f>E4*(1+'KEEI BAU - Oil Supply'!V9)</f>
        <v>146100279640.2598</v>
      </c>
      <c r="G4" s="16">
        <f>F4*(1+'KEEI BAU - Oil Supply'!W9)</f>
        <v>145911350007.16293</v>
      </c>
      <c r="H4" s="16">
        <f>G4*(1+'KEEI BAU - Oil Supply'!X9)</f>
        <v>145722420374.06616</v>
      </c>
      <c r="I4" s="16">
        <f>H4*(1+'KEEI BAU - Oil Supply'!Y9)</f>
        <v>145533490740.96933</v>
      </c>
      <c r="J4" s="16">
        <f>I4*(1+'KEEI BAU - Oil Supply'!Z9)</f>
        <v>145344561107.87253</v>
      </c>
      <c r="K4" s="16">
        <f>J4*(1+'KEEI BAU - Oil Supply'!AA9)</f>
        <v>145155631474.77567</v>
      </c>
      <c r="L4" s="16">
        <f>K4*(1+'KEEI BAU - Oil Supply'!AB9)</f>
        <v>144966701841.67886</v>
      </c>
      <c r="M4" s="16">
        <f>L4*(1+'KEEI BAU - Oil Supply'!AC9)</f>
        <v>144217745001.42352</v>
      </c>
      <c r="N4" s="16">
        <f>M4*(1+'KEEI BAU - Oil Supply'!AD9)</f>
        <v>143468788161.16809</v>
      </c>
      <c r="O4" s="16">
        <f>N4*(1+'KEEI BAU - Oil Supply'!AE9)</f>
        <v>142719831320.91269</v>
      </c>
      <c r="P4" s="16">
        <f>O4*(1+'KEEI BAU - Oil Supply'!AF9)</f>
        <v>141970874480.65726</v>
      </c>
      <c r="Q4" s="16">
        <f>P4*(1+'KEEI BAU - Oil Supply'!AG9)</f>
        <v>141221917640.40182</v>
      </c>
      <c r="R4" s="16">
        <f>Q4*(1+'KEEI BAU - Oil Supply'!AH9)</f>
        <v>140472960800.14667</v>
      </c>
      <c r="S4" s="16">
        <f>R4*(1+'KEEI BAU - Oil Supply'!AI9)</f>
        <v>139724003959.89124</v>
      </c>
      <c r="T4" s="16">
        <f>S4*(1+'KEEI BAU - Oil Supply'!AJ9)</f>
        <v>138975047119.6358</v>
      </c>
      <c r="U4" s="16">
        <f>T4*(1+'KEEI BAU - Oil Supply'!AK9)</f>
        <v>138226090279.38037</v>
      </c>
      <c r="V4" s="16">
        <f>U4*(1+'KEEI BAU - Oil Supply'!AL9)</f>
        <v>137477133439.12494</v>
      </c>
      <c r="W4" s="16">
        <f>V4*(1+'KEEI BAU - Oil Supply'!AM9)</f>
        <v>136274215150.64278</v>
      </c>
      <c r="X4" s="16">
        <f>W4*(1+'KEEI BAU - Oil Supply'!AN9)</f>
        <v>135071296862.16032</v>
      </c>
      <c r="Y4" s="16">
        <f>X4*(1+'KEEI BAU - Oil Supply'!AO9)</f>
        <v>133868378573.67789</v>
      </c>
      <c r="Z4" s="16">
        <f>Y4*(1+'KEEI BAU - Oil Supply'!AP9)</f>
        <v>132665460285.19543</v>
      </c>
      <c r="AA4" s="16">
        <f>Z4*(1+'KEEI BAU - Oil Supply'!AQ9)</f>
        <v>131462541996.713</v>
      </c>
      <c r="AB4" s="16">
        <f>AA4*(1+'KEEI BAU - Oil Supply'!AR9)</f>
        <v>130259623708.23055</v>
      </c>
      <c r="AC4" s="16">
        <f>AB4*(1+'KEEI BAU - Oil Supply'!AS9)</f>
        <v>129056705419.74809</v>
      </c>
      <c r="AD4" s="16">
        <f>AC4*(1+'KEEI BAU - Oil Supply'!AT9)</f>
        <v>127853787131.26564</v>
      </c>
      <c r="AE4" s="16">
        <f>AD4*(1+'KEEI BAU - Oil Supply'!AU9)</f>
        <v>126650868842.78319</v>
      </c>
      <c r="AF4" s="16">
        <f>AE4*(1+'KEEI BAU - Oil Supply'!AV9)</f>
        <v>125447950554.30081</v>
      </c>
    </row>
    <row r="5" spans="1:35">
      <c r="A5" t="s">
        <v>5</v>
      </c>
      <c r="B5" s="16">
        <f>'KEEI BAU - Industry'!R$53*'Others Split'!$D$48*'Others Split'!$M$7</f>
        <v>128866512572.49394</v>
      </c>
      <c r="C5" s="16">
        <f>'KEEI BAU - Industry'!S$53*'Others Split'!$D$48*'Others Split'!$M$7</f>
        <v>131725585301.72812</v>
      </c>
      <c r="D5" s="16">
        <f>'KEEI BAU - Industry'!T$53*'Others Split'!$D$48*'Others Split'!$M$7</f>
        <v>134584658030.96231</v>
      </c>
      <c r="E5" s="16">
        <f>'KEEI BAU - Industry'!U$53*'Others Split'!$D$48*'Others Split'!$M$7</f>
        <v>137443730760.1965</v>
      </c>
      <c r="F5" s="16">
        <f>'KEEI BAU - Industry'!V$53*'Others Split'!$D$48*'Others Split'!$M$7</f>
        <v>140302803489.43066</v>
      </c>
      <c r="G5" s="16">
        <f>'KEEI BAU - Industry'!W$53*'Others Split'!$D$48*'Others Split'!$M$7</f>
        <v>143161876218.66486</v>
      </c>
      <c r="H5" s="16">
        <f>'KEEI BAU - Industry'!X$53*'Others Split'!$D$48*'Others Split'!$M$7</f>
        <v>144483100340.75076</v>
      </c>
      <c r="I5" s="16">
        <f>'KEEI BAU - Industry'!Y$53*'Others Split'!$D$48*'Others Split'!$M$7</f>
        <v>145804324462.83624</v>
      </c>
      <c r="J5" s="16">
        <f>'KEEI BAU - Industry'!Z$53*'Others Split'!$D$48*'Others Split'!$M$7</f>
        <v>147125548584.92175</v>
      </c>
      <c r="K5" s="16">
        <f>'KEEI BAU - Industry'!AA$53*'Others Split'!$D$48*'Others Split'!$M$7</f>
        <v>148446772707.00723</v>
      </c>
      <c r="L5" s="16">
        <f>'KEEI BAU - Industry'!AB$53*'Others Split'!$D$48*'Others Split'!$M$7</f>
        <v>149767996829.09299</v>
      </c>
      <c r="M5" s="16">
        <f>'KEEI BAU - Industry'!AC$53*'Others Split'!$D$48*'Others Split'!$M$7</f>
        <v>150707338895.95749</v>
      </c>
      <c r="N5" s="16">
        <f>'KEEI BAU - Industry'!AD$53*'Others Split'!$D$48*'Others Split'!$M$7</f>
        <v>151646680962.82227</v>
      </c>
      <c r="O5" s="16">
        <f>'KEEI BAU - Industry'!AE$53*'Others Split'!$D$48*'Others Split'!$M$7</f>
        <v>152586023029.68701</v>
      </c>
      <c r="P5" s="16">
        <f>'KEEI BAU - Industry'!AF$53*'Others Split'!$D$48*'Others Split'!$M$7</f>
        <v>153525365096.55179</v>
      </c>
      <c r="Q5" s="16">
        <f>'KEEI BAU - Industry'!AG$53*'Others Split'!$D$48*'Others Split'!$M$7</f>
        <v>154464707163.41647</v>
      </c>
      <c r="R5" s="16">
        <f>'KEEI BAU - Industry'!AH$53*'Others Split'!$D$48*'Others Split'!$M$7</f>
        <v>155202134580.39478</v>
      </c>
      <c r="S5" s="16">
        <f>'KEEI BAU - Industry'!AI$53*'Others Split'!$D$48*'Others Split'!$M$7</f>
        <v>155939561997.37244</v>
      </c>
      <c r="T5" s="16">
        <f>'KEEI BAU - Industry'!AJ$53*'Others Split'!$D$48*'Others Split'!$M$7</f>
        <v>156676989414.3504</v>
      </c>
      <c r="U5" s="16">
        <f>'KEEI BAU - Industry'!AK$53*'Others Split'!$D$48*'Others Split'!$M$7</f>
        <v>157414416831.32834</v>
      </c>
      <c r="V5" s="16">
        <f>'KEEI BAU - Industry'!AL$53*'Others Split'!$D$48*'Others Split'!$M$7</f>
        <v>158151844248.30603</v>
      </c>
      <c r="W5" s="16">
        <f>'KEEI BAU - Industry'!AM$53*'Others Split'!$D$48*'Others Split'!$M$7</f>
        <v>159158491198.46646</v>
      </c>
      <c r="X5" s="16">
        <f>'KEEI BAU - Industry'!AN$53*'Others Split'!$D$48*'Others Split'!$M$7</f>
        <v>159981579376.00238</v>
      </c>
      <c r="Y5" s="16">
        <f>'KEEI BAU - Industry'!AO$53*'Others Split'!$D$48*'Others Split'!$M$7</f>
        <v>160804667553.53857</v>
      </c>
      <c r="Z5" s="16">
        <f>'KEEI BAU - Industry'!AP$53*'Others Split'!$D$48*'Others Split'!$M$7</f>
        <v>161627755731.07449</v>
      </c>
      <c r="AA5" s="16">
        <f>'KEEI BAU - Industry'!AQ$53*'Others Split'!$D$48*'Others Split'!$M$7</f>
        <v>162450843908.61038</v>
      </c>
      <c r="AB5" s="16">
        <f>'KEEI BAU - Industry'!AR$53*'Others Split'!$D$48*'Others Split'!$M$7</f>
        <v>163273932086.1463</v>
      </c>
      <c r="AC5" s="16">
        <f>'KEEI BAU - Industry'!AS$53*'Others Split'!$D$48*'Others Split'!$M$7</f>
        <v>164097020263.6825</v>
      </c>
      <c r="AD5" s="16">
        <f>'KEEI BAU - Industry'!AT$53*'Others Split'!$D$48*'Others Split'!$M$7</f>
        <v>164920108441.21838</v>
      </c>
      <c r="AE5" s="16">
        <f>'KEEI BAU - Industry'!AU$53*'Others Split'!$D$48*'Others Split'!$M$7</f>
        <v>165743196618.7543</v>
      </c>
      <c r="AF5" s="16">
        <f>'KEEI BAU - Industry'!AV$53*'Others Split'!$D$48*'Others Split'!$M$7</f>
        <v>166566284796.2905</v>
      </c>
    </row>
    <row r="6" spans="1:35">
      <c r="A6" t="s">
        <v>6</v>
      </c>
      <c r="B6" s="16">
        <f>'KEEI BAU - Industry'!R$53*'Others Split'!$D$48*'Others Split'!$M$8</f>
        <v>1459611717669.1831</v>
      </c>
      <c r="C6" s="16">
        <f>'KEEI BAU - Industry'!S$53*'Others Split'!$D$48*'Others Split'!$M$8</f>
        <v>1491995119485.1594</v>
      </c>
      <c r="D6" s="16">
        <f>'KEEI BAU - Industry'!T$53*'Others Split'!$D$48*'Others Split'!$M$8</f>
        <v>1524378521301.1357</v>
      </c>
      <c r="E6" s="16">
        <f>'KEEI BAU - Industry'!U$53*'Others Split'!$D$48*'Others Split'!$M$8</f>
        <v>1556761923117.1121</v>
      </c>
      <c r="F6" s="16">
        <f>'KEEI BAU - Industry'!V$53*'Others Split'!$D$48*'Others Split'!$M$8</f>
        <v>1589145324933.0881</v>
      </c>
      <c r="G6" s="16">
        <f>'KEEI BAU - Industry'!W$53*'Others Split'!$D$48*'Others Split'!$M$8</f>
        <v>1621528726749.0647</v>
      </c>
      <c r="H6" s="16">
        <f>'KEEI BAU - Industry'!X$53*'Others Split'!$D$48*'Others Split'!$M$8</f>
        <v>1636493624702.51</v>
      </c>
      <c r="I6" s="16">
        <f>'KEEI BAU - Industry'!Y$53*'Others Split'!$D$48*'Others Split'!$M$8</f>
        <v>1651458522655.9507</v>
      </c>
      <c r="J6" s="16">
        <f>'KEEI BAU - Industry'!Z$53*'Others Split'!$D$48*'Others Split'!$M$8</f>
        <v>1666423420609.3914</v>
      </c>
      <c r="K6" s="16">
        <f>'KEEI BAU - Industry'!AA$53*'Others Split'!$D$48*'Others Split'!$M$8</f>
        <v>1681388318562.832</v>
      </c>
      <c r="L6" s="16">
        <f>'KEEI BAU - Industry'!AB$53*'Others Split'!$D$48*'Others Split'!$M$8</f>
        <v>1696353216516.2759</v>
      </c>
      <c r="M6" s="16">
        <f>'KEEI BAU - Industry'!AC$53*'Others Split'!$D$48*'Others Split'!$M$8</f>
        <v>1706992712071.2107</v>
      </c>
      <c r="N6" s="16">
        <f>'KEEI BAU - Industry'!AD$53*'Others Split'!$D$48*'Others Split'!$M$8</f>
        <v>1717632207626.1487</v>
      </c>
      <c r="O6" s="16">
        <f>'KEEI BAU - Industry'!AE$53*'Others Split'!$D$48*'Others Split'!$M$8</f>
        <v>1728271703181.0867</v>
      </c>
      <c r="P6" s="16">
        <f>'KEEI BAU - Industry'!AF$53*'Others Split'!$D$48*'Others Split'!$M$8</f>
        <v>1738911198736.0247</v>
      </c>
      <c r="Q6" s="16">
        <f>'KEEI BAU - Industry'!AG$53*'Others Split'!$D$48*'Others Split'!$M$8</f>
        <v>1749550694290.9617</v>
      </c>
      <c r="R6" s="16">
        <f>'KEEI BAU - Industry'!AH$53*'Others Split'!$D$48*'Others Split'!$M$8</f>
        <v>1757903195474.2815</v>
      </c>
      <c r="S6" s="16">
        <f>'KEEI BAU - Industry'!AI$53*'Others Split'!$D$48*'Others Split'!$M$8</f>
        <v>1766255696657.594</v>
      </c>
      <c r="T6" s="16">
        <f>'KEEI BAU - Industry'!AJ$53*'Others Split'!$D$48*'Others Split'!$M$8</f>
        <v>1774608197840.9099</v>
      </c>
      <c r="U6" s="16">
        <f>'KEEI BAU - Industry'!AK$53*'Others Split'!$D$48*'Others Split'!$M$8</f>
        <v>1782960699024.2256</v>
      </c>
      <c r="V6" s="16">
        <f>'KEEI BAU - Industry'!AL$53*'Others Split'!$D$48*'Others Split'!$M$8</f>
        <v>1791313200207.5386</v>
      </c>
      <c r="W6" s="16">
        <f>'KEEI BAU - Industry'!AM$53*'Others Split'!$D$48*'Others Split'!$M$8</f>
        <v>1802715027219.6846</v>
      </c>
      <c r="X6" s="16">
        <f>'KEEI BAU - Industry'!AN$53*'Others Split'!$D$48*'Others Split'!$M$8</f>
        <v>1812037768439.4451</v>
      </c>
      <c r="Y6" s="16">
        <f>'KEEI BAU - Industry'!AO$53*'Others Split'!$D$48*'Others Split'!$M$8</f>
        <v>1821360509659.209</v>
      </c>
      <c r="Z6" s="16">
        <f>'KEEI BAU - Industry'!AP$53*'Others Split'!$D$48*'Others Split'!$M$8</f>
        <v>1830683250878.9695</v>
      </c>
      <c r="AA6" s="16">
        <f>'KEEI BAU - Industry'!AQ$53*'Others Split'!$D$48*'Others Split'!$M$8</f>
        <v>1840005992098.73</v>
      </c>
      <c r="AB6" s="16">
        <f>'KEEI BAU - Industry'!AR$53*'Others Split'!$D$48*'Others Split'!$M$8</f>
        <v>1849328733318.4905</v>
      </c>
      <c r="AC6" s="16">
        <f>'KEEI BAU - Industry'!AS$53*'Others Split'!$D$48*'Others Split'!$M$8</f>
        <v>1858651474538.2544</v>
      </c>
      <c r="AD6" s="16">
        <f>'KEEI BAU - Industry'!AT$53*'Others Split'!$D$48*'Others Split'!$M$8</f>
        <v>1867974215758.0149</v>
      </c>
      <c r="AE6" s="16">
        <f>'KEEI BAU - Industry'!AU$53*'Others Split'!$D$48*'Others Split'!$M$8</f>
        <v>1877296956977.7756</v>
      </c>
      <c r="AF6" s="16">
        <f>'KEEI BAU - Industry'!AV$53*'Others Split'!$D$48*'Others Split'!$M$8</f>
        <v>1886619698197.5393</v>
      </c>
    </row>
    <row r="7" spans="1:35">
      <c r="A7" t="s">
        <v>7</v>
      </c>
      <c r="B7" s="16">
        <f>'KEEI BAU - Industry'!R$53*'Others Split'!$D$48*'Others Split'!$M$9</f>
        <v>233141546136.24893</v>
      </c>
      <c r="C7" s="16">
        <f>'KEEI BAU - Industry'!S$53*'Others Split'!$D$48*'Others Split'!$M$9</f>
        <v>238314097354.58551</v>
      </c>
      <c r="D7" s="16">
        <f>'KEEI BAU - Industry'!T$53*'Others Split'!$D$48*'Others Split'!$M$9</f>
        <v>243486648572.92215</v>
      </c>
      <c r="E7" s="16">
        <f>'KEEI BAU - Industry'!U$53*'Others Split'!$D$48*'Others Split'!$M$9</f>
        <v>248659199791.25873</v>
      </c>
      <c r="F7" s="16">
        <f>'KEEI BAU - Industry'!V$53*'Others Split'!$D$48*'Others Split'!$M$9</f>
        <v>253831751009.59534</v>
      </c>
      <c r="G7" s="16">
        <f>'KEEI BAU - Industry'!W$53*'Others Split'!$D$48*'Others Split'!$M$9</f>
        <v>259004302227.93195</v>
      </c>
      <c r="H7" s="16">
        <f>'KEEI BAU - Industry'!X$53*'Others Split'!$D$48*'Others Split'!$M$9</f>
        <v>261394622478.44955</v>
      </c>
      <c r="I7" s="16">
        <f>'KEEI BAU - Industry'!Y$53*'Others Split'!$D$48*'Others Split'!$M$9</f>
        <v>263784942728.9664</v>
      </c>
      <c r="J7" s="16">
        <f>'KEEI BAU - Industry'!Z$53*'Others Split'!$D$48*'Others Split'!$M$9</f>
        <v>266175262979.48331</v>
      </c>
      <c r="K7" s="16">
        <f>'KEEI BAU - Industry'!AA$53*'Others Split'!$D$48*'Others Split'!$M$9</f>
        <v>268565583230.00015</v>
      </c>
      <c r="L7" s="16">
        <f>'KEEI BAU - Industry'!AB$53*'Others Split'!$D$48*'Others Split'!$M$9</f>
        <v>270955903480.51752</v>
      </c>
      <c r="M7" s="16">
        <f>'KEEI BAU - Industry'!AC$53*'Others Split'!$D$48*'Others Split'!$M$9</f>
        <v>272655333824.73831</v>
      </c>
      <c r="N7" s="16">
        <f>'KEEI BAU - Industry'!AD$53*'Others Split'!$D$48*'Others Split'!$M$9</f>
        <v>274354764168.95963</v>
      </c>
      <c r="O7" s="16">
        <f>'KEEI BAU - Industry'!AE$53*'Others Split'!$D$48*'Others Split'!$M$9</f>
        <v>276054194513.18091</v>
      </c>
      <c r="P7" s="16">
        <f>'KEEI BAU - Industry'!AF$53*'Others Split'!$D$48*'Others Split'!$M$9</f>
        <v>277753624857.40222</v>
      </c>
      <c r="Q7" s="16">
        <f>'KEEI BAU - Industry'!AG$53*'Others Split'!$D$48*'Others Split'!$M$9</f>
        <v>279453055201.62341</v>
      </c>
      <c r="R7" s="16">
        <f>'KEEI BAU - Industry'!AH$53*'Others Split'!$D$48*'Others Split'!$M$9</f>
        <v>280787187434.47064</v>
      </c>
      <c r="S7" s="16">
        <f>'KEEI BAU - Industry'!AI$53*'Others Split'!$D$48*'Others Split'!$M$9</f>
        <v>282121319667.31677</v>
      </c>
      <c r="T7" s="16">
        <f>'KEEI BAU - Industry'!AJ$53*'Others Split'!$D$48*'Others Split'!$M$9</f>
        <v>283455451900.16339</v>
      </c>
      <c r="U7" s="16">
        <f>'KEEI BAU - Industry'!AK$53*'Others Split'!$D$48*'Others Split'!$M$9</f>
        <v>284789584133.01001</v>
      </c>
      <c r="V7" s="16">
        <f>'KEEI BAU - Industry'!AL$53*'Others Split'!$D$48*'Others Split'!$M$9</f>
        <v>286123716365.8562</v>
      </c>
      <c r="W7" s="16">
        <f>'KEEI BAU - Industry'!AM$53*'Others Split'!$D$48*'Others Split'!$M$9</f>
        <v>287944912747.20245</v>
      </c>
      <c r="X7" s="16">
        <f>'KEEI BAU - Industry'!AN$53*'Others Split'!$D$48*'Others Split'!$M$9</f>
        <v>289434019936.38971</v>
      </c>
      <c r="Y7" s="16">
        <f>'KEEI BAU - Industry'!AO$53*'Others Split'!$D$48*'Others Split'!$M$9</f>
        <v>290923127125.57745</v>
      </c>
      <c r="Z7" s="16">
        <f>'KEEI BAU - Industry'!AP$53*'Others Split'!$D$48*'Others Split'!$M$9</f>
        <v>292412234314.76471</v>
      </c>
      <c r="AA7" s="16">
        <f>'KEEI BAU - Industry'!AQ$53*'Others Split'!$D$48*'Others Split'!$M$9</f>
        <v>293901341503.95197</v>
      </c>
      <c r="AB7" s="16">
        <f>'KEEI BAU - Industry'!AR$53*'Others Split'!$D$48*'Others Split'!$M$9</f>
        <v>295390448693.13922</v>
      </c>
      <c r="AC7" s="16">
        <f>'KEEI BAU - Industry'!AS$53*'Others Split'!$D$48*'Others Split'!$M$9</f>
        <v>296879555882.32697</v>
      </c>
      <c r="AD7" s="16">
        <f>'KEEI BAU - Industry'!AT$53*'Others Split'!$D$48*'Others Split'!$M$9</f>
        <v>298368663071.51422</v>
      </c>
      <c r="AE7" s="16">
        <f>'KEEI BAU - Industry'!AU$53*'Others Split'!$D$48*'Others Split'!$M$9</f>
        <v>299857770260.70142</v>
      </c>
      <c r="AF7" s="16">
        <f>'KEEI BAU - Industry'!AV$53*'Others Split'!$D$48*'Others Split'!$M$9</f>
        <v>301346877449.88922</v>
      </c>
    </row>
    <row r="8" spans="1:35">
      <c r="A8" t="s">
        <v>8</v>
      </c>
      <c r="B8" s="16">
        <f>'KEEI BAU - Industry'!R$53*'Others Split'!$D$48*'Others Split'!$M$10</f>
        <v>14384821458.995386</v>
      </c>
      <c r="C8" s="16">
        <f>'KEEI BAU - Industry'!S$53*'Others Split'!$D$48*'Others Split'!$M$10</f>
        <v>14703967604.315182</v>
      </c>
      <c r="D8" s="16">
        <f>'KEEI BAU - Industry'!T$53*'Others Split'!$D$48*'Others Split'!$M$10</f>
        <v>15023113749.634977</v>
      </c>
      <c r="E8" s="16">
        <f>'KEEI BAU - Industry'!U$53*'Others Split'!$D$48*'Others Split'!$M$10</f>
        <v>15342259894.954773</v>
      </c>
      <c r="F8" s="16">
        <f>'KEEI BAU - Industry'!V$53*'Others Split'!$D$48*'Others Split'!$M$10</f>
        <v>15661406040.274567</v>
      </c>
      <c r="G8" s="16">
        <f>'KEEI BAU - Industry'!W$53*'Others Split'!$D$48*'Others Split'!$M$10</f>
        <v>15980552185.594364</v>
      </c>
      <c r="H8" s="16">
        <f>'KEEI BAU - Industry'!X$53*'Others Split'!$D$48*'Others Split'!$M$10</f>
        <v>16128034822.659071</v>
      </c>
      <c r="I8" s="16">
        <f>'KEEI BAU - Industry'!Y$53*'Others Split'!$D$48*'Others Split'!$M$10</f>
        <v>16275517459.72373</v>
      </c>
      <c r="J8" s="16">
        <f>'KEEI BAU - Industry'!Z$53*'Others Split'!$D$48*'Others Split'!$M$10</f>
        <v>16423000096.788393</v>
      </c>
      <c r="K8" s="16">
        <f>'KEEI BAU - Industry'!AA$53*'Others Split'!$D$48*'Others Split'!$M$10</f>
        <v>16570482733.853052</v>
      </c>
      <c r="L8" s="16">
        <f>'KEEI BAU - Industry'!AB$53*'Others Split'!$D$48*'Others Split'!$M$10</f>
        <v>16717965370.917746</v>
      </c>
      <c r="M8" s="16">
        <f>'KEEI BAU - Industry'!AC$53*'Others Split'!$D$48*'Others Split'!$M$10</f>
        <v>16822820136.139765</v>
      </c>
      <c r="N8" s="16">
        <f>'KEEI BAU - Industry'!AD$53*'Others Split'!$D$48*'Others Split'!$M$10</f>
        <v>16927674901.361816</v>
      </c>
      <c r="O8" s="16">
        <f>'KEEI BAU - Industry'!AE$53*'Others Split'!$D$48*'Others Split'!$M$10</f>
        <v>17032529666.583866</v>
      </c>
      <c r="P8" s="16">
        <f>'KEEI BAU - Industry'!AF$53*'Others Split'!$D$48*'Others Split'!$M$10</f>
        <v>17137384431.80592</v>
      </c>
      <c r="Q8" s="16">
        <f>'KEEI BAU - Industry'!AG$53*'Others Split'!$D$48*'Others Split'!$M$10</f>
        <v>17242239197.027962</v>
      </c>
      <c r="R8" s="16">
        <f>'KEEI BAU - Industry'!AH$53*'Others Split'!$D$48*'Others Split'!$M$10</f>
        <v>17324555087.482697</v>
      </c>
      <c r="S8" s="16">
        <f>'KEEI BAU - Industry'!AI$53*'Others Split'!$D$48*'Others Split'!$M$10</f>
        <v>17406870977.937359</v>
      </c>
      <c r="T8" s="16">
        <f>'KEEI BAU - Industry'!AJ$53*'Others Split'!$D$48*'Others Split'!$M$10</f>
        <v>17489186868.392056</v>
      </c>
      <c r="U8" s="16">
        <f>'KEEI BAU - Industry'!AK$53*'Others Split'!$D$48*'Others Split'!$M$10</f>
        <v>17571502758.846748</v>
      </c>
      <c r="V8" s="16">
        <f>'KEEI BAU - Industry'!AL$53*'Others Split'!$D$48*'Others Split'!$M$10</f>
        <v>17653818649.301414</v>
      </c>
      <c r="W8" s="16">
        <f>'KEEI BAU - Industry'!AM$53*'Others Split'!$D$48*'Others Split'!$M$10</f>
        <v>17766186372.779259</v>
      </c>
      <c r="X8" s="16">
        <f>'KEEI BAU - Industry'!AN$53*'Others Split'!$D$48*'Others Split'!$M$10</f>
        <v>17858064210.104942</v>
      </c>
      <c r="Y8" s="16">
        <f>'KEEI BAU - Industry'!AO$53*'Others Split'!$D$48*'Others Split'!$M$10</f>
        <v>17949942047.43066</v>
      </c>
      <c r="Z8" s="16">
        <f>'KEEI BAU - Industry'!AP$53*'Others Split'!$D$48*'Others Split'!$M$10</f>
        <v>18041819884.756344</v>
      </c>
      <c r="AA8" s="16">
        <f>'KEEI BAU - Industry'!AQ$53*'Others Split'!$D$48*'Others Split'!$M$10</f>
        <v>18133697722.082031</v>
      </c>
      <c r="AB8" s="16">
        <f>'KEEI BAU - Industry'!AR$53*'Others Split'!$D$48*'Others Split'!$M$10</f>
        <v>18225575559.407715</v>
      </c>
      <c r="AC8" s="16">
        <f>'KEEI BAU - Industry'!AS$53*'Others Split'!$D$48*'Others Split'!$M$10</f>
        <v>18317453396.733433</v>
      </c>
      <c r="AD8" s="16">
        <f>'KEEI BAU - Industry'!AT$53*'Others Split'!$D$48*'Others Split'!$M$10</f>
        <v>18409331234.059116</v>
      </c>
      <c r="AE8" s="16">
        <f>'KEEI BAU - Industry'!AU$53*'Others Split'!$D$48*'Others Split'!$M$10</f>
        <v>18501209071.3848</v>
      </c>
      <c r="AF8" s="16">
        <f>'KEEI BAU - Industry'!AV$53*'Others Split'!$D$48*'Others Split'!$M$10</f>
        <v>18593086908.710518</v>
      </c>
    </row>
    <row r="9" spans="1:35">
      <c r="A9" t="s">
        <v>9</v>
      </c>
      <c r="B9" s="16">
        <f>'KEEI BAU - Industry'!R$53*'Others Split'!$D$48*'Others Split'!$M$11</f>
        <v>317540457103.1347</v>
      </c>
      <c r="C9" s="16">
        <f>'KEEI BAU - Industry'!S$53*'Others Split'!$D$48*'Others Split'!$M$11</f>
        <v>324585508941.72937</v>
      </c>
      <c r="D9" s="16">
        <f>'KEEI BAU - Industry'!T$53*'Others Split'!$D$48*'Others Split'!$M$11</f>
        <v>331630560780.32404</v>
      </c>
      <c r="E9" s="16">
        <f>'KEEI BAU - Industry'!U$53*'Others Split'!$D$48*'Others Split'!$M$11</f>
        <v>338675612618.91864</v>
      </c>
      <c r="F9" s="16">
        <f>'KEEI BAU - Industry'!V$53*'Others Split'!$D$48*'Others Split'!$M$11</f>
        <v>345720664457.51331</v>
      </c>
      <c r="G9" s="16">
        <f>'KEEI BAU - Industry'!W$53*'Others Split'!$D$48*'Others Split'!$M$11</f>
        <v>352765716296.10797</v>
      </c>
      <c r="H9" s="16">
        <f>'KEEI BAU - Industry'!X$53*'Others Split'!$D$48*'Others Split'!$M$11</f>
        <v>356021349612.22516</v>
      </c>
      <c r="I9" s="16">
        <f>'KEEI BAU - Industry'!Y$53*'Others Split'!$D$48*'Others Split'!$M$11</f>
        <v>359276982928.34131</v>
      </c>
      <c r="J9" s="16">
        <f>'KEEI BAU - Industry'!Z$53*'Others Split'!$D$48*'Others Split'!$M$11</f>
        <v>362532616244.45752</v>
      </c>
      <c r="K9" s="16">
        <f>'KEEI BAU - Industry'!AA$53*'Others Split'!$D$48*'Others Split'!$M$11</f>
        <v>365788249560.57367</v>
      </c>
      <c r="L9" s="16">
        <f>'KEEI BAU - Industry'!AB$53*'Others Split'!$D$48*'Others Split'!$M$11</f>
        <v>369043882876.69049</v>
      </c>
      <c r="M9" s="16">
        <f>'KEEI BAU - Industry'!AC$53*'Others Split'!$D$48*'Others Split'!$M$11</f>
        <v>371358519187.81561</v>
      </c>
      <c r="N9" s="16">
        <f>'KEEI BAU - Industry'!AD$53*'Others Split'!$D$48*'Others Split'!$M$11</f>
        <v>373673155498.94141</v>
      </c>
      <c r="O9" s="16">
        <f>'KEEI BAU - Industry'!AE$53*'Others Split'!$D$48*'Others Split'!$M$11</f>
        <v>375987791810.06714</v>
      </c>
      <c r="P9" s="16">
        <f>'KEEI BAU - Industry'!AF$53*'Others Split'!$D$48*'Others Split'!$M$11</f>
        <v>378302428121.19293</v>
      </c>
      <c r="Q9" s="16">
        <f>'KEEI BAU - Industry'!AG$53*'Others Split'!$D$48*'Others Split'!$M$11</f>
        <v>380617064432.31854</v>
      </c>
      <c r="R9" s="16">
        <f>'KEEI BAU - Industry'!AH$53*'Others Split'!$D$48*'Others Split'!$M$11</f>
        <v>382434162097.12842</v>
      </c>
      <c r="S9" s="16">
        <f>'KEEI BAU - Industry'!AI$53*'Others Split'!$D$48*'Others Split'!$M$11</f>
        <v>384251259761.93677</v>
      </c>
      <c r="T9" s="16">
        <f>'KEEI BAU - Industry'!AJ$53*'Others Split'!$D$48*'Others Split'!$M$11</f>
        <v>386068357426.74579</v>
      </c>
      <c r="U9" s="16">
        <f>'KEEI BAU - Industry'!AK$53*'Others Split'!$D$48*'Others Split'!$M$11</f>
        <v>387885455091.55481</v>
      </c>
      <c r="V9" s="16">
        <f>'KEEI BAU - Industry'!AL$53*'Others Split'!$D$48*'Others Split'!$M$11</f>
        <v>389702552756.36322</v>
      </c>
      <c r="W9" s="16">
        <f>'KEEI BAU - Industry'!AM$53*'Others Split'!$D$48*'Others Split'!$M$11</f>
        <v>392183035282.9281</v>
      </c>
      <c r="X9" s="16">
        <f>'KEEI BAU - Industry'!AN$53*'Others Split'!$D$48*'Others Split'!$M$11</f>
        <v>394211209949.20459</v>
      </c>
      <c r="Y9" s="16">
        <f>'KEEI BAU - Industry'!AO$53*'Others Split'!$D$48*'Others Split'!$M$11</f>
        <v>396239384615.48181</v>
      </c>
      <c r="Z9" s="16">
        <f>'KEEI BAU - Industry'!AP$53*'Others Split'!$D$48*'Others Split'!$M$11</f>
        <v>398267559281.75836</v>
      </c>
      <c r="AA9" s="16">
        <f>'KEEI BAU - Industry'!AQ$53*'Others Split'!$D$48*'Others Split'!$M$11</f>
        <v>400295733948.03491</v>
      </c>
      <c r="AB9" s="16">
        <f>'KEEI BAU - Industry'!AR$53*'Others Split'!$D$48*'Others Split'!$M$11</f>
        <v>402323908614.3114</v>
      </c>
      <c r="AC9" s="16">
        <f>'KEEI BAU - Industry'!AS$53*'Others Split'!$D$48*'Others Split'!$M$11</f>
        <v>404352083280.58868</v>
      </c>
      <c r="AD9" s="16">
        <f>'KEEI BAU - Industry'!AT$53*'Others Split'!$D$48*'Others Split'!$M$11</f>
        <v>406380257946.86517</v>
      </c>
      <c r="AE9" s="16">
        <f>'KEEI BAU - Industry'!AU$53*'Others Split'!$D$48*'Others Split'!$M$11</f>
        <v>408408432613.14172</v>
      </c>
      <c r="AF9" s="16">
        <f>'KEEI BAU - Industry'!AV$53*'Others Split'!$D$48*'Others Split'!$M$11</f>
        <v>410436607279.41895</v>
      </c>
    </row>
    <row r="10" spans="1:35">
      <c r="A10" t="s">
        <v>10</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c r="AC10" s="16">
        <v>0</v>
      </c>
      <c r="AD10" s="16">
        <v>0</v>
      </c>
      <c r="AE10" s="16">
        <v>0</v>
      </c>
      <c r="AF10" s="16">
        <v>0</v>
      </c>
    </row>
    <row r="11" spans="1:35">
      <c r="A11" t="s">
        <v>11</v>
      </c>
      <c r="B11" s="16">
        <f>'KEEI BAU - Industry'!R$11*'Petrochemicals Split'!$D$39*'Petrochemicals Split'!$I$6</f>
        <v>1182388377757947.5</v>
      </c>
      <c r="C11" s="16">
        <f>'KEEI BAU - Industry'!S$11*'Petrochemicals Split'!$D$39*'Petrochemicals Split'!$I$6</f>
        <v>1324183562883782.8</v>
      </c>
      <c r="D11" s="16">
        <f>'KEEI BAU - Industry'!T$11*'Petrochemicals Split'!$D$39*'Petrochemicals Split'!$I$6</f>
        <v>1249106075205871.3</v>
      </c>
      <c r="E11" s="16">
        <f>'KEEI BAU - Industry'!U$11*'Petrochemicals Split'!$D$39*'Petrochemicals Split'!$I$6</f>
        <v>1161594183144270.5</v>
      </c>
      <c r="F11" s="16">
        <f>'KEEI BAU - Industry'!V$11*'Petrochemicals Split'!$D$39*'Petrochemicals Split'!$I$6</f>
        <v>1124894516773593.6</v>
      </c>
      <c r="G11" s="16">
        <f>'KEEI BAU - Industry'!W$11*'Petrochemicals Split'!$D$39*'Petrochemicals Split'!$I$6</f>
        <v>1104710020678915.5</v>
      </c>
      <c r="H11" s="16">
        <f>'KEEI BAU - Industry'!X$11*'Petrochemicals Split'!$D$39*'Petrochemicals Split'!$I$6</f>
        <v>1083043365045169.1</v>
      </c>
      <c r="I11" s="16">
        <f>'KEEI BAU - Industry'!Y$11*'Petrochemicals Split'!$D$39*'Petrochemicals Split'!$I$6</f>
        <v>1059943065873484</v>
      </c>
      <c r="J11" s="16">
        <f>'KEEI BAU - Industry'!Z$11*'Petrochemicals Split'!$D$39*'Petrochemicals Split'!$I$6</f>
        <v>1035320991212099</v>
      </c>
      <c r="K11" s="16">
        <f>'KEEI BAU - Industry'!AA$11*'Petrochemicals Split'!$D$39*'Petrochemicals Split'!$I$6</f>
        <v>1002547532978037.5</v>
      </c>
      <c r="L11" s="16">
        <f>'KEEI BAU - Industry'!AB$11*'Petrochemicals Split'!$D$39*'Petrochemicals Split'!$I$6</f>
        <v>939474256524812.25</v>
      </c>
      <c r="M11" s="16">
        <f>'KEEI BAU - Industry'!AC$11*'Petrochemicals Split'!$D$39*'Petrochemicals Split'!$I$6</f>
        <v>932681682850487.63</v>
      </c>
      <c r="N11" s="16">
        <f>'KEEI BAU - Industry'!AD$11*'Petrochemicals Split'!$D$39*'Petrochemicals Split'!$I$6</f>
        <v>925868776085380</v>
      </c>
      <c r="O11" s="16">
        <f>'KEEI BAU - Industry'!AE$11*'Petrochemicals Split'!$D$39*'Petrochemicals Split'!$I$6</f>
        <v>919035188579882</v>
      </c>
      <c r="P11" s="16">
        <f>'KEEI BAU - Industry'!AF$11*'Petrochemicals Split'!$D$39*'Petrochemicals Split'!$I$6</f>
        <v>912180562556698.38</v>
      </c>
      <c r="Q11" s="16">
        <f>'KEEI BAU - Industry'!AG$11*'Petrochemicals Split'!$D$39*'Petrochemicals Split'!$I$6</f>
        <v>899076422072236.5</v>
      </c>
      <c r="R11" s="16">
        <f>'KEEI BAU - Industry'!AH$11*'Petrochemicals Split'!$D$39*'Petrochemicals Split'!$I$6</f>
        <v>897232527705330.5</v>
      </c>
      <c r="S11" s="16">
        <f>'KEEI BAU - Industry'!AI$11*'Petrochemicals Split'!$D$39*'Petrochemicals Split'!$I$6</f>
        <v>895388633338425.25</v>
      </c>
      <c r="T11" s="16">
        <f>'KEEI BAU - Industry'!AJ$11*'Petrochemicals Split'!$D$39*'Petrochemicals Split'!$I$6</f>
        <v>893544738971519.13</v>
      </c>
      <c r="U11" s="16">
        <f>'KEEI BAU - Industry'!AK$11*'Petrochemicals Split'!$D$39*'Petrochemicals Split'!$I$6</f>
        <v>891700844604613.13</v>
      </c>
      <c r="V11" s="16">
        <f>'KEEI BAU - Industry'!AL$11*'Petrochemicals Split'!$D$39*'Petrochemicals Split'!$I$6</f>
        <v>889856950237707.63</v>
      </c>
      <c r="W11" s="16">
        <f>'KEEI BAU - Industry'!AM$11*'Petrochemicals Split'!$D$39*'Petrochemicals Split'!$I$6</f>
        <v>888343745041025.75</v>
      </c>
      <c r="X11" s="16">
        <f>'KEEI BAU - Industry'!AN$11*'Petrochemicals Split'!$D$39*'Petrochemicals Split'!$I$6</f>
        <v>886830539844343.75</v>
      </c>
      <c r="Y11" s="16">
        <f>'KEEI BAU - Industry'!AO$11*'Petrochemicals Split'!$D$39*'Petrochemicals Split'!$I$6</f>
        <v>885317334647662.38</v>
      </c>
      <c r="Z11" s="16">
        <f>'KEEI BAU - Industry'!AP$11*'Petrochemicals Split'!$D$39*'Petrochemicals Split'!$I$6</f>
        <v>883804129450980.25</v>
      </c>
      <c r="AA11" s="16">
        <f>'KEEI BAU - Industry'!AQ$11*'Petrochemicals Split'!$D$39*'Petrochemicals Split'!$I$6</f>
        <v>882290924254298.88</v>
      </c>
      <c r="AB11" s="16">
        <f>'KEEI BAU - Industry'!AR$11*'Petrochemicals Split'!$D$39*'Petrochemicals Split'!$I$6</f>
        <v>880777719057617</v>
      </c>
      <c r="AC11" s="16">
        <f>'KEEI BAU - Industry'!AS$11*'Petrochemicals Split'!$D$39*'Petrochemicals Split'!$I$6</f>
        <v>879264513860935.63</v>
      </c>
      <c r="AD11" s="16">
        <f>'KEEI BAU - Industry'!AT$11*'Petrochemicals Split'!$D$39*'Petrochemicals Split'!$I$6</f>
        <v>877751308664253.5</v>
      </c>
      <c r="AE11" s="16">
        <f>'KEEI BAU - Industry'!AU$11*'Petrochemicals Split'!$D$39*'Petrochemicals Split'!$I$6</f>
        <v>876238103467571.38</v>
      </c>
      <c r="AF11" s="16">
        <f>'KEEI BAU - Industry'!AV$11*'Petrochemicals Split'!$D$39*'Petrochemicals Split'!$I$6</f>
        <v>874724898270890.25</v>
      </c>
    </row>
    <row r="12" spans="1:35">
      <c r="A12" t="s">
        <v>12</v>
      </c>
      <c r="B12" s="16">
        <f>'KEEI BAU - Industry'!R$11*'Petrochemicals Split'!$D$39*'Petrochemicals Split'!$I$7</f>
        <v>612308267053222.88</v>
      </c>
      <c r="C12" s="16">
        <f>'KEEI BAU - Industry'!S$11*'Petrochemicals Split'!$D$39*'Petrochemicals Split'!$I$7</f>
        <v>685737916493387.5</v>
      </c>
      <c r="D12" s="16">
        <f>'KEEI BAU - Industry'!T$11*'Petrochemicals Split'!$D$39*'Petrochemicals Split'!$I$7</f>
        <v>646858503231611.88</v>
      </c>
      <c r="E12" s="16">
        <f>'KEEI BAU - Industry'!U$11*'Petrochemicals Split'!$D$39*'Petrochemicals Split'!$I$7</f>
        <v>601539844842568.75</v>
      </c>
      <c r="F12" s="16">
        <f>'KEEI BAU - Industry'!V$11*'Petrochemicals Split'!$D$39*'Petrochemicals Split'!$I$7</f>
        <v>582534660472039.63</v>
      </c>
      <c r="G12" s="16">
        <f>'KEEI BAU - Industry'!W$11*'Petrochemicals Split'!$D$39*'Petrochemicals Split'!$I$7</f>
        <v>572081974994438.5</v>
      </c>
      <c r="H12" s="16">
        <f>'KEEI BAU - Industry'!X$11*'Petrochemicals Split'!$D$39*'Petrochemicals Split'!$I$7</f>
        <v>560861742612676.88</v>
      </c>
      <c r="I12" s="16">
        <f>'KEEI BAU - Industry'!Y$11*'Petrochemicals Split'!$D$39*'Petrochemicals Split'!$I$7</f>
        <v>548899087684482.81</v>
      </c>
      <c r="J12" s="16">
        <f>'KEEI BAU - Industry'!Z$11*'Petrochemicals Split'!$D$39*'Petrochemicals Split'!$I$7</f>
        <v>536148370449122.75</v>
      </c>
      <c r="K12" s="16">
        <f>'KEEI BAU - Industry'!AA$11*'Petrochemicals Split'!$D$39*'Petrochemicals Split'!$I$7</f>
        <v>519176401006483.75</v>
      </c>
      <c r="L12" s="16">
        <f>'KEEI BAU - Industry'!AB$11*'Petrochemicals Split'!$D$39*'Petrochemicals Split'!$I$7</f>
        <v>486513454271777.75</v>
      </c>
      <c r="M12" s="16">
        <f>'KEEI BAU - Industry'!AC$11*'Petrochemicals Split'!$D$39*'Petrochemicals Split'!$I$7</f>
        <v>482995871476145.38</v>
      </c>
      <c r="N12" s="16">
        <f>'KEEI BAU - Industry'!AD$11*'Petrochemicals Split'!$D$39*'Petrochemicals Split'!$I$7</f>
        <v>479467759044214.69</v>
      </c>
      <c r="O12" s="16">
        <f>'KEEI BAU - Industry'!AE$11*'Petrochemicals Split'!$D$39*'Petrochemicals Split'!$I$7</f>
        <v>475928936943153.19</v>
      </c>
      <c r="P12" s="16">
        <f>'KEEI BAU - Industry'!AF$11*'Petrochemicals Split'!$D$39*'Petrochemicals Split'!$I$7</f>
        <v>472379219895433.13</v>
      </c>
      <c r="Q12" s="16">
        <f>'KEEI BAU - Industry'!AG$11*'Petrochemicals Split'!$D$39*'Petrochemicals Split'!$I$7</f>
        <v>465593147144551.06</v>
      </c>
      <c r="R12" s="16">
        <f>'KEEI BAU - Industry'!AH$11*'Petrochemicals Split'!$D$39*'Petrochemicals Split'!$I$7</f>
        <v>464638273275974.75</v>
      </c>
      <c r="S12" s="16">
        <f>'KEEI BAU - Industry'!AI$11*'Petrochemicals Split'!$D$39*'Petrochemicals Split'!$I$7</f>
        <v>463683399407398.81</v>
      </c>
      <c r="T12" s="16">
        <f>'KEEI BAU - Industry'!AJ$11*'Petrochemicals Split'!$D$39*'Petrochemicals Split'!$I$7</f>
        <v>462728525538822.44</v>
      </c>
      <c r="U12" s="16">
        <f>'KEEI BAU - Industry'!AK$11*'Petrochemicals Split'!$D$39*'Petrochemicals Split'!$I$7</f>
        <v>461773651670246.13</v>
      </c>
      <c r="V12" s="16">
        <f>'KEEI BAU - Industry'!AL$11*'Petrochemicals Split'!$D$39*'Petrochemicals Split'!$I$7</f>
        <v>460818777801670.06</v>
      </c>
      <c r="W12" s="16">
        <f>'KEEI BAU - Industry'!AM$11*'Petrochemicals Split'!$D$39*'Petrochemicals Split'!$I$7</f>
        <v>460035153681959.75</v>
      </c>
      <c r="X12" s="16">
        <f>'KEEI BAU - Industry'!AN$11*'Petrochemicals Split'!$D$39*'Petrochemicals Split'!$I$7</f>
        <v>459251529562249.5</v>
      </c>
      <c r="Y12" s="16">
        <f>'KEEI BAU - Industry'!AO$11*'Petrochemicals Split'!$D$39*'Petrochemicals Split'!$I$7</f>
        <v>458467905442539.44</v>
      </c>
      <c r="Z12" s="16">
        <f>'KEEI BAU - Industry'!AP$11*'Petrochemicals Split'!$D$39*'Petrochemicals Split'!$I$7</f>
        <v>457684281322829.06</v>
      </c>
      <c r="AA12" s="16">
        <f>'KEEI BAU - Industry'!AQ$11*'Petrochemicals Split'!$D$39*'Petrochemicals Split'!$I$7</f>
        <v>456900657203119.13</v>
      </c>
      <c r="AB12" s="16">
        <f>'KEEI BAU - Industry'!AR$11*'Petrochemicals Split'!$D$39*'Petrochemicals Split'!$I$7</f>
        <v>456117033083408.81</v>
      </c>
      <c r="AC12" s="16">
        <f>'KEEI BAU - Industry'!AS$11*'Petrochemicals Split'!$D$39*'Petrochemicals Split'!$I$7</f>
        <v>455333408963698.81</v>
      </c>
      <c r="AD12" s="16">
        <f>'KEEI BAU - Industry'!AT$11*'Petrochemicals Split'!$D$39*'Petrochemicals Split'!$I$7</f>
        <v>454549784843988.44</v>
      </c>
      <c r="AE12" s="16">
        <f>'KEEI BAU - Industry'!AU$11*'Petrochemicals Split'!$D$39*'Petrochemicals Split'!$I$7</f>
        <v>453766160724278.06</v>
      </c>
      <c r="AF12" s="16">
        <f>'KEEI BAU - Industry'!AV$11*'Petrochemicals Split'!$D$39*'Petrochemicals Split'!$I$7</f>
        <v>452982536604568.19</v>
      </c>
    </row>
    <row r="13" spans="1:35">
      <c r="A13" t="s">
        <v>13</v>
      </c>
      <c r="B13" s="16">
        <f>'KEEI BAU - Industry'!R$53*'Others Split'!$D$48*'Others Split'!$M$12</f>
        <v>33774416995.999836</v>
      </c>
      <c r="C13" s="16">
        <f>'KEEI BAU - Industry'!S$53*'Others Split'!$D$48*'Others Split'!$M$12</f>
        <v>34523746768.734428</v>
      </c>
      <c r="D13" s="16">
        <f>'KEEI BAU - Industry'!T$53*'Others Split'!$D$48*'Others Split'!$M$12</f>
        <v>35273076541.469032</v>
      </c>
      <c r="E13" s="16">
        <f>'KEEI BAU - Industry'!U$53*'Others Split'!$D$48*'Others Split'!$M$12</f>
        <v>36022406314.203621</v>
      </c>
      <c r="F13" s="16">
        <f>'KEEI BAU - Industry'!V$53*'Others Split'!$D$48*'Others Split'!$M$12</f>
        <v>36771736086.938217</v>
      </c>
      <c r="G13" s="16">
        <f>'KEEI BAU - Industry'!W$53*'Others Split'!$D$48*'Others Split'!$M$12</f>
        <v>37521065859.672813</v>
      </c>
      <c r="H13" s="16">
        <f>'KEEI BAU - Industry'!X$53*'Others Split'!$D$48*'Others Split'!$M$12</f>
        <v>37867343364.617317</v>
      </c>
      <c r="I13" s="16">
        <f>'KEEI BAU - Industry'!Y$53*'Others Split'!$D$48*'Others Split'!$M$12</f>
        <v>38213620869.561714</v>
      </c>
      <c r="J13" s="16">
        <f>'KEEI BAU - Industry'!Z$53*'Others Split'!$D$48*'Others Split'!$M$12</f>
        <v>38559898374.506111</v>
      </c>
      <c r="K13" s="16">
        <f>'KEEI BAU - Industry'!AA$53*'Others Split'!$D$48*'Others Split'!$M$12</f>
        <v>38906175879.450508</v>
      </c>
      <c r="L13" s="16">
        <f>'KEEI BAU - Industry'!AB$53*'Others Split'!$D$48*'Others Split'!$M$12</f>
        <v>39252453384.394981</v>
      </c>
      <c r="M13" s="16">
        <f>'KEEI BAU - Industry'!AC$53*'Others Split'!$D$48*'Others Split'!$M$12</f>
        <v>39498644035.750725</v>
      </c>
      <c r="N13" s="16">
        <f>'KEEI BAU - Industry'!AD$53*'Others Split'!$D$48*'Others Split'!$M$12</f>
        <v>39744834687.106544</v>
      </c>
      <c r="O13" s="16">
        <f>'KEEI BAU - Industry'!AE$53*'Others Split'!$D$48*'Others Split'!$M$12</f>
        <v>39991025338.462364</v>
      </c>
      <c r="P13" s="16">
        <f>'KEEI BAU - Industry'!AF$53*'Others Split'!$D$48*'Others Split'!$M$12</f>
        <v>40237215989.818184</v>
      </c>
      <c r="Q13" s="16">
        <f>'KEEI BAU - Industry'!AG$53*'Others Split'!$D$48*'Others Split'!$M$12</f>
        <v>40483406641.173981</v>
      </c>
      <c r="R13" s="16">
        <f>'KEEI BAU - Industry'!AH$53*'Others Split'!$D$48*'Others Split'!$M$12</f>
        <v>40676677806.724434</v>
      </c>
      <c r="S13" s="16">
        <f>'KEEI BAU - Industry'!AI$53*'Others Split'!$D$48*'Others Split'!$M$12</f>
        <v>40869948972.274719</v>
      </c>
      <c r="T13" s="16">
        <f>'KEEI BAU - Industry'!AJ$53*'Others Split'!$D$48*'Others Split'!$M$12</f>
        <v>41063220137.825089</v>
      </c>
      <c r="U13" s="16">
        <f>'KEEI BAU - Industry'!AK$53*'Others Split'!$D$48*'Others Split'!$M$12</f>
        <v>41256491303.37545</v>
      </c>
      <c r="V13" s="16">
        <f>'KEEI BAU - Industry'!AL$53*'Others Split'!$D$48*'Others Split'!$M$12</f>
        <v>41449762468.925743</v>
      </c>
      <c r="W13" s="16">
        <f>'KEEI BAU - Industry'!AM$53*'Others Split'!$D$48*'Others Split'!$M$12</f>
        <v>41713592948.883392</v>
      </c>
      <c r="X13" s="16">
        <f>'KEEI BAU - Industry'!AN$53*'Others Split'!$D$48*'Others Split'!$M$12</f>
        <v>41929314805.381508</v>
      </c>
      <c r="Y13" s="16">
        <f>'KEEI BAU - Industry'!AO$53*'Others Split'!$D$48*'Others Split'!$M$12</f>
        <v>42145036661.879692</v>
      </c>
      <c r="Z13" s="16">
        <f>'KEEI BAU - Industry'!AP$53*'Others Split'!$D$48*'Others Split'!$M$12</f>
        <v>42360758518.3778</v>
      </c>
      <c r="AA13" s="16">
        <f>'KEEI BAU - Industry'!AQ$53*'Others Split'!$D$48*'Others Split'!$M$12</f>
        <v>42576480374.875908</v>
      </c>
      <c r="AB13" s="16">
        <f>'KEEI BAU - Industry'!AR$53*'Others Split'!$D$48*'Others Split'!$M$12</f>
        <v>42792202231.374016</v>
      </c>
      <c r="AC13" s="16">
        <f>'KEEI BAU - Industry'!AS$53*'Others Split'!$D$48*'Others Split'!$M$12</f>
        <v>43007924087.8722</v>
      </c>
      <c r="AD13" s="16">
        <f>'KEEI BAU - Industry'!AT$53*'Others Split'!$D$48*'Others Split'!$M$12</f>
        <v>43223645944.370308</v>
      </c>
      <c r="AE13" s="16">
        <f>'KEEI BAU - Industry'!AU$53*'Others Split'!$D$48*'Others Split'!$M$12</f>
        <v>43439367800.868416</v>
      </c>
      <c r="AF13" s="16">
        <f>'KEEI BAU - Industry'!AV$53*'Others Split'!$D$48*'Others Split'!$M$12</f>
        <v>43655089657.3666</v>
      </c>
    </row>
    <row r="14" spans="1:35">
      <c r="A14" t="s">
        <v>14</v>
      </c>
      <c r="B14" s="16">
        <f>'KEEI BAU - Industry'!R$53*'Others Split'!$D$48*'Others Split'!$M$13</f>
        <v>934425536889.32886</v>
      </c>
      <c r="C14" s="16">
        <f>'KEEI BAU - Industry'!S$53*'Others Split'!$D$48*'Others Split'!$M$13</f>
        <v>955156993934.98596</v>
      </c>
      <c r="D14" s="16">
        <f>'KEEI BAU - Industry'!T$53*'Others Split'!$D$48*'Others Split'!$M$13</f>
        <v>975888450980.64319</v>
      </c>
      <c r="E14" s="16">
        <f>'KEEI BAU - Industry'!U$53*'Others Split'!$D$48*'Others Split'!$M$13</f>
        <v>996619908026.30029</v>
      </c>
      <c r="F14" s="16">
        <f>'KEEI BAU - Industry'!V$53*'Others Split'!$D$48*'Others Split'!$M$13</f>
        <v>1017351365071.9574</v>
      </c>
      <c r="G14" s="16">
        <f>'KEEI BAU - Industry'!W$53*'Others Split'!$D$48*'Others Split'!$M$13</f>
        <v>1038082822117.6146</v>
      </c>
      <c r="H14" s="16">
        <f>'KEEI BAU - Industry'!X$53*'Others Split'!$D$48*'Others Split'!$M$13</f>
        <v>1047663166421.0792</v>
      </c>
      <c r="I14" s="16">
        <f>'KEEI BAU - Industry'!Y$53*'Others Split'!$D$48*'Others Split'!$M$13</f>
        <v>1057243510724.5409</v>
      </c>
      <c r="J14" s="16">
        <f>'KEEI BAU - Industry'!Z$53*'Others Split'!$D$48*'Others Split'!$M$13</f>
        <v>1066823855028.0026</v>
      </c>
      <c r="K14" s="16">
        <f>'KEEI BAU - Industry'!AA$53*'Others Split'!$D$48*'Others Split'!$M$13</f>
        <v>1076404199331.4642</v>
      </c>
      <c r="L14" s="16">
        <f>'KEEI BAU - Industry'!AB$53*'Others Split'!$D$48*'Others Split'!$M$13</f>
        <v>1085984543634.928</v>
      </c>
      <c r="M14" s="16">
        <f>'KEEI BAU - Industry'!AC$53*'Others Split'!$D$48*'Others Split'!$M$13</f>
        <v>1092795818322.4369</v>
      </c>
      <c r="N14" s="16">
        <f>'KEEI BAU - Industry'!AD$53*'Others Split'!$D$48*'Others Split'!$M$13</f>
        <v>1099607093009.9478</v>
      </c>
      <c r="O14" s="16">
        <f>'KEEI BAU - Industry'!AE$53*'Others Split'!$D$48*'Others Split'!$M$13</f>
        <v>1106418367697.4587</v>
      </c>
      <c r="P14" s="16">
        <f>'KEEI BAU - Industry'!AF$53*'Others Split'!$D$48*'Others Split'!$M$13</f>
        <v>1113229642384.9697</v>
      </c>
      <c r="Q14" s="16">
        <f>'KEEI BAU - Industry'!AG$53*'Others Split'!$D$48*'Others Split'!$M$13</f>
        <v>1120040917072.4802</v>
      </c>
      <c r="R14" s="16">
        <f>'KEEI BAU - Industry'!AH$53*'Others Split'!$D$48*'Others Split'!$M$13</f>
        <v>1125388085986.0427</v>
      </c>
      <c r="S14" s="16">
        <f>'KEEI BAU - Industry'!AI$53*'Others Split'!$D$48*'Others Split'!$M$13</f>
        <v>1130735254899.6008</v>
      </c>
      <c r="T14" s="16">
        <f>'KEEI BAU - Industry'!AJ$53*'Others Split'!$D$48*'Others Split'!$M$13</f>
        <v>1136082423813.1609</v>
      </c>
      <c r="U14" s="16">
        <f>'KEEI BAU - Industry'!AK$53*'Others Split'!$D$48*'Others Split'!$M$13</f>
        <v>1141429592726.7207</v>
      </c>
      <c r="V14" s="16">
        <f>'KEEI BAU - Industry'!AL$53*'Others Split'!$D$48*'Others Split'!$M$13</f>
        <v>1146776761640.2791</v>
      </c>
      <c r="W14" s="16">
        <f>'KEEI BAU - Industry'!AM$53*'Others Split'!$D$48*'Others Split'!$M$13</f>
        <v>1154076071585.7739</v>
      </c>
      <c r="X14" s="16">
        <f>'KEEI BAU - Industry'!AN$53*'Others Split'!$D$48*'Others Split'!$M$13</f>
        <v>1160044376282.2217</v>
      </c>
      <c r="Y14" s="16">
        <f>'KEEI BAU - Industry'!AO$53*'Others Split'!$D$48*'Others Split'!$M$13</f>
        <v>1166012680978.6714</v>
      </c>
      <c r="Z14" s="16">
        <f>'KEEI BAU - Industry'!AP$53*'Others Split'!$D$48*'Others Split'!$M$13</f>
        <v>1171980985675.1191</v>
      </c>
      <c r="AA14" s="16">
        <f>'KEEI BAU - Industry'!AQ$53*'Others Split'!$D$48*'Others Split'!$M$13</f>
        <v>1177949290371.5669</v>
      </c>
      <c r="AB14" s="16">
        <f>'KEEI BAU - Industry'!AR$53*'Others Split'!$D$48*'Others Split'!$M$13</f>
        <v>1183917595068.0144</v>
      </c>
      <c r="AC14" s="16">
        <f>'KEEI BAU - Industry'!AS$53*'Others Split'!$D$48*'Others Split'!$M$13</f>
        <v>1189885899764.4644</v>
      </c>
      <c r="AD14" s="16">
        <f>'KEEI BAU - Industry'!AT$53*'Others Split'!$D$48*'Others Split'!$M$13</f>
        <v>1195854204460.9119</v>
      </c>
      <c r="AE14" s="16">
        <f>'KEEI BAU - Industry'!AU$53*'Others Split'!$D$48*'Others Split'!$M$13</f>
        <v>1201822509157.3596</v>
      </c>
      <c r="AF14" s="16">
        <f>'KEEI BAU - Industry'!AV$53*'Others Split'!$D$48*'Others Split'!$M$13</f>
        <v>1207790813853.8093</v>
      </c>
    </row>
    <row r="15" spans="1:35">
      <c r="A15" t="s">
        <v>15</v>
      </c>
      <c r="B15" s="16">
        <f>'KEEI BAU - Industry'!R25*'Steel Split'!$D$12</f>
        <v>0</v>
      </c>
      <c r="C15" s="16">
        <f>'KEEI BAU - Industry'!S25*'Steel Split'!$D$12</f>
        <v>0</v>
      </c>
      <c r="D15" s="16">
        <f>'KEEI BAU - Industry'!T25*'Steel Split'!$D$12</f>
        <v>0</v>
      </c>
      <c r="E15" s="16">
        <f>'KEEI BAU - Industry'!U25*'Steel Split'!$D$12</f>
        <v>0</v>
      </c>
      <c r="F15" s="16">
        <f>'KEEI BAU - Industry'!V25*'Steel Split'!$D$12</f>
        <v>0</v>
      </c>
      <c r="G15" s="16">
        <f>'KEEI BAU - Industry'!W25*'Steel Split'!$D$12</f>
        <v>0</v>
      </c>
      <c r="H15" s="16">
        <f>'KEEI BAU - Industry'!X25*'Steel Split'!$D$12</f>
        <v>0</v>
      </c>
      <c r="I15" s="16">
        <f>'KEEI BAU - Industry'!Y25*'Steel Split'!$D$12</f>
        <v>0</v>
      </c>
      <c r="J15" s="16">
        <f>'KEEI BAU - Industry'!Z25*'Steel Split'!$D$12</f>
        <v>0</v>
      </c>
      <c r="K15" s="16">
        <f>'KEEI BAU - Industry'!AA25*'Steel Split'!$D$12</f>
        <v>0</v>
      </c>
      <c r="L15" s="16">
        <f>'KEEI BAU - Industry'!AB25*'Steel Split'!$D$12</f>
        <v>0</v>
      </c>
      <c r="M15" s="16">
        <f>'KEEI BAU - Industry'!AC25*'Steel Split'!$D$12</f>
        <v>0</v>
      </c>
      <c r="N15" s="16">
        <f>'KEEI BAU - Industry'!AD25*'Steel Split'!$D$12</f>
        <v>0</v>
      </c>
      <c r="O15" s="16">
        <f>'KEEI BAU - Industry'!AE25*'Steel Split'!$D$12</f>
        <v>0</v>
      </c>
      <c r="P15" s="16">
        <f>'KEEI BAU - Industry'!AF25*'Steel Split'!$D$12</f>
        <v>0</v>
      </c>
      <c r="Q15" s="16">
        <f>'KEEI BAU - Industry'!AG25*'Steel Split'!$D$12</f>
        <v>0</v>
      </c>
      <c r="R15" s="16">
        <f>'KEEI BAU - Industry'!AH25*'Steel Split'!$D$12</f>
        <v>0</v>
      </c>
      <c r="S15" s="16">
        <f>'KEEI BAU - Industry'!AI25*'Steel Split'!$D$12</f>
        <v>0</v>
      </c>
      <c r="T15" s="16">
        <f>'KEEI BAU - Industry'!AJ25*'Steel Split'!$D$12</f>
        <v>0</v>
      </c>
      <c r="U15" s="16">
        <f>'KEEI BAU - Industry'!AK25*'Steel Split'!$D$12</f>
        <v>0</v>
      </c>
      <c r="V15" s="16">
        <f>'KEEI BAU - Industry'!AL25*'Steel Split'!$D$12</f>
        <v>0</v>
      </c>
      <c r="W15" s="16">
        <f>'KEEI BAU - Industry'!AM25*'Steel Split'!$D$12</f>
        <v>0</v>
      </c>
      <c r="X15" s="16">
        <f>'KEEI BAU - Industry'!AN25*'Steel Split'!$D$12</f>
        <v>0</v>
      </c>
      <c r="Y15" s="16">
        <f>'KEEI BAU - Industry'!AO25*'Steel Split'!$D$12</f>
        <v>0</v>
      </c>
      <c r="Z15" s="16">
        <f>'KEEI BAU - Industry'!AP25*'Steel Split'!$D$12</f>
        <v>0</v>
      </c>
      <c r="AA15" s="16">
        <f>'KEEI BAU - Industry'!AQ25*'Steel Split'!$D$12</f>
        <v>0</v>
      </c>
      <c r="AB15" s="16">
        <f>'KEEI BAU - Industry'!AR25*'Steel Split'!$D$12</f>
        <v>0</v>
      </c>
      <c r="AC15" s="16">
        <f>'KEEI BAU - Industry'!AS25*'Steel Split'!$D$12</f>
        <v>0</v>
      </c>
      <c r="AD15" s="16">
        <f>'KEEI BAU - Industry'!AT25*'Steel Split'!$D$12</f>
        <v>0</v>
      </c>
      <c r="AE15" s="16">
        <f>'KEEI BAU - Industry'!AU25*'Steel Split'!$D$12</f>
        <v>0</v>
      </c>
      <c r="AF15" s="16">
        <f>'KEEI BAU - Industry'!AV25*'Steel Split'!$D$12</f>
        <v>0</v>
      </c>
    </row>
    <row r="16" spans="1:35">
      <c r="A16" t="s">
        <v>16</v>
      </c>
      <c r="B16" s="16">
        <f>'KEEI BAU - Industry'!R$18*'Non-ferrous Metals Split'!$I$6*'Non-ferrous Metals Split'!$D$46</f>
        <v>939726986000.62805</v>
      </c>
      <c r="C16" s="16">
        <f>'KEEI BAU - Industry'!S$18*'Non-ferrous Metals Split'!$I$6*'Non-ferrous Metals Split'!$D$46</f>
        <v>953167216436.2417</v>
      </c>
      <c r="D16" s="16">
        <f>'KEEI BAU - Industry'!T$18*'Non-ferrous Metals Split'!$I$6*'Non-ferrous Metals Split'!$D$46</f>
        <v>1006928138178.6971</v>
      </c>
      <c r="E16" s="16">
        <f>'KEEI BAU - Industry'!U$18*'Non-ferrous Metals Split'!$I$6*'Non-ferrous Metals Split'!$D$46</f>
        <v>980047677307.46936</v>
      </c>
      <c r="F16" s="16">
        <f>'KEEI BAU - Industry'!V$18*'Non-ferrous Metals Split'!$I$6*'Non-ferrous Metals Split'!$D$46</f>
        <v>993487907743.08325</v>
      </c>
      <c r="G16" s="16">
        <f>'KEEI BAU - Industry'!W$18*'Non-ferrous Metals Split'!$I$6*'Non-ferrous Metals Split'!$D$46</f>
        <v>1006928138178.6971</v>
      </c>
      <c r="H16" s="16">
        <f>'KEEI BAU - Industry'!X$18*'Non-ferrous Metals Split'!$I$6*'Non-ferrous Metals Split'!$D$46</f>
        <v>1006561315541.8378</v>
      </c>
      <c r="I16" s="16">
        <f>'KEEI BAU - Industry'!Y$18*'Non-ferrous Metals Split'!$I$6*'Non-ferrous Metals Split'!$D$46</f>
        <v>1006194492904.9785</v>
      </c>
      <c r="J16" s="16">
        <f>'KEEI BAU - Industry'!Z$18*'Non-ferrous Metals Split'!$I$6*'Non-ferrous Metals Split'!$D$46</f>
        <v>1005827670268.1191</v>
      </c>
      <c r="K16" s="16">
        <f>'KEEI BAU - Industry'!AA$18*'Non-ferrous Metals Split'!$I$6*'Non-ferrous Metals Split'!$D$46</f>
        <v>1005460847631.26</v>
      </c>
      <c r="L16" s="16">
        <f>'KEEI BAU - Industry'!AB$18*'Non-ferrous Metals Split'!$I$6*'Non-ferrous Metals Split'!$D$46</f>
        <v>1005094024994.4006</v>
      </c>
      <c r="M16" s="16">
        <f>'KEEI BAU - Industry'!AC$18*'Non-ferrous Metals Split'!$I$6*'Non-ferrous Metals Split'!$D$46</f>
        <v>1002893089173.2451</v>
      </c>
      <c r="N16" s="16">
        <f>'KEEI BAU - Industry'!AD$18*'Non-ferrous Metals Split'!$I$6*'Non-ferrous Metals Split'!$D$46</f>
        <v>1000692153352.0895</v>
      </c>
      <c r="O16" s="16">
        <f>'KEEI BAU - Industry'!AE$18*'Non-ferrous Metals Split'!$I$6*'Non-ferrous Metals Split'!$D$46</f>
        <v>998491217530.93384</v>
      </c>
      <c r="P16" s="16">
        <f>'KEEI BAU - Industry'!AF$18*'Non-ferrous Metals Split'!$I$6*'Non-ferrous Metals Split'!$D$46</f>
        <v>996290281709.77832</v>
      </c>
      <c r="Q16" s="16">
        <f>'KEEI BAU - Industry'!AG$18*'Non-ferrous Metals Split'!$I$6*'Non-ferrous Metals Split'!$D$46</f>
        <v>994089345888.62268</v>
      </c>
      <c r="R16" s="16">
        <f>'KEEI BAU - Industry'!AH$18*'Non-ferrous Metals Split'!$I$6*'Non-ferrous Metals Split'!$D$46</f>
        <v>994089345888.62268</v>
      </c>
      <c r="S16" s="16">
        <f>'KEEI BAU - Industry'!AI$18*'Non-ferrous Metals Split'!$I$6*'Non-ferrous Metals Split'!$D$46</f>
        <v>994089345888.62268</v>
      </c>
      <c r="T16" s="16">
        <f>'KEEI BAU - Industry'!AJ$18*'Non-ferrous Metals Split'!$I$6*'Non-ferrous Metals Split'!$D$46</f>
        <v>994089345888.62268</v>
      </c>
      <c r="U16" s="16">
        <f>'KEEI BAU - Industry'!AK$18*'Non-ferrous Metals Split'!$I$6*'Non-ferrous Metals Split'!$D$46</f>
        <v>994089345888.62268</v>
      </c>
      <c r="V16" s="16">
        <f>'KEEI BAU - Industry'!AL$18*'Non-ferrous Metals Split'!$I$6*'Non-ferrous Metals Split'!$D$46</f>
        <v>994089345888.62268</v>
      </c>
      <c r="W16" s="16">
        <f>'KEEI BAU - Industry'!AM$18*'Non-ferrous Metals Split'!$I$6*'Non-ferrous Metals Split'!$D$46</f>
        <v>991154764793.74841</v>
      </c>
      <c r="X16" s="16">
        <f>'KEEI BAU - Industry'!AN$18*'Non-ferrous Metals Split'!$I$6*'Non-ferrous Metals Split'!$D$46</f>
        <v>990221034445.37952</v>
      </c>
      <c r="Y16" s="16">
        <f>'KEEI BAU - Industry'!AO$18*'Non-ferrous Metals Split'!$I$6*'Non-ferrous Metals Split'!$D$46</f>
        <v>989287304097.01038</v>
      </c>
      <c r="Z16" s="16">
        <f>'KEEI BAU - Industry'!AP$18*'Non-ferrous Metals Split'!$I$6*'Non-ferrous Metals Split'!$D$46</f>
        <v>988353573748.6416</v>
      </c>
      <c r="AA16" s="16">
        <f>'KEEI BAU - Industry'!AQ$18*'Non-ferrous Metals Split'!$I$6*'Non-ferrous Metals Split'!$D$46</f>
        <v>987419843400.27246</v>
      </c>
      <c r="AB16" s="16">
        <f>'KEEI BAU - Industry'!AR$18*'Non-ferrous Metals Split'!$I$6*'Non-ferrous Metals Split'!$D$46</f>
        <v>986486113051.9032</v>
      </c>
      <c r="AC16" s="16">
        <f>'KEEI BAU - Industry'!AS$18*'Non-ferrous Metals Split'!$I$6*'Non-ferrous Metals Split'!$D$46</f>
        <v>985552382703.53406</v>
      </c>
      <c r="AD16" s="16">
        <f>'KEEI BAU - Industry'!AT$18*'Non-ferrous Metals Split'!$I$6*'Non-ferrous Metals Split'!$D$46</f>
        <v>984618652355.16516</v>
      </c>
      <c r="AE16" s="16">
        <f>'KEEI BAU - Industry'!AU$18*'Non-ferrous Metals Split'!$I$6*'Non-ferrous Metals Split'!$D$46</f>
        <v>983684922006.79614</v>
      </c>
      <c r="AF16" s="16">
        <f>'KEEI BAU - Industry'!AV$18*'Non-ferrous Metals Split'!$I$6*'Non-ferrous Metals Split'!$D$46</f>
        <v>982751191658.42725</v>
      </c>
    </row>
    <row r="17" spans="1:33">
      <c r="A17" t="s">
        <v>17</v>
      </c>
      <c r="B17" s="16">
        <f>'KEEI BAU - Industry'!R$18*'Non-ferrous Metals Split'!$I$7*'Non-ferrous Metals Split'!$D$46</f>
        <v>7987679381005.3379</v>
      </c>
      <c r="C17" s="16">
        <f>'KEEI BAU - Industry'!S$18*'Non-ferrous Metals Split'!$I$7*'Non-ferrous Metals Split'!$D$46</f>
        <v>8101921339708.0547</v>
      </c>
      <c r="D17" s="16">
        <f>'KEEI BAU - Industry'!T$18*'Non-ferrous Metals Split'!$I$7*'Non-ferrous Metals Split'!$D$46</f>
        <v>8558889174518.9238</v>
      </c>
      <c r="E17" s="16">
        <f>'KEEI BAU - Industry'!U$18*'Non-ferrous Metals Split'!$I$7*'Non-ferrous Metals Split'!$D$46</f>
        <v>8330405257113.4883</v>
      </c>
      <c r="F17" s="16">
        <f>'KEEI BAU - Industry'!V$18*'Non-ferrous Metals Split'!$I$7*'Non-ferrous Metals Split'!$D$46</f>
        <v>8444647215816.207</v>
      </c>
      <c r="G17" s="16">
        <f>'KEEI BAU - Industry'!W$18*'Non-ferrous Metals Split'!$I$7*'Non-ferrous Metals Split'!$D$46</f>
        <v>8558889174518.9238</v>
      </c>
      <c r="H17" s="16">
        <f>'KEEI BAU - Industry'!X$18*'Non-ferrous Metals Split'!$I$7*'Non-ferrous Metals Split'!$D$46</f>
        <v>8555771182105.6201</v>
      </c>
      <c r="I17" s="16">
        <f>'KEEI BAU - Industry'!Y$18*'Non-ferrous Metals Split'!$I$7*'Non-ferrous Metals Split'!$D$46</f>
        <v>8552653189692.3174</v>
      </c>
      <c r="J17" s="16">
        <f>'KEEI BAU - Industry'!Z$18*'Non-ferrous Metals Split'!$I$7*'Non-ferrous Metals Split'!$D$46</f>
        <v>8549535197279.0137</v>
      </c>
      <c r="K17" s="16">
        <f>'KEEI BAU - Industry'!AA$18*'Non-ferrous Metals Split'!$I$7*'Non-ferrous Metals Split'!$D$46</f>
        <v>8546417204865.709</v>
      </c>
      <c r="L17" s="16">
        <f>'KEEI BAU - Industry'!AB$18*'Non-ferrous Metals Split'!$I$7*'Non-ferrous Metals Split'!$D$46</f>
        <v>8543299212452.4053</v>
      </c>
      <c r="M17" s="16">
        <f>'KEEI BAU - Industry'!AC$18*'Non-ferrous Metals Split'!$I$7*'Non-ferrous Metals Split'!$D$46</f>
        <v>8524591257972.582</v>
      </c>
      <c r="N17" s="16">
        <f>'KEEI BAU - Industry'!AD$18*'Non-ferrous Metals Split'!$I$7*'Non-ferrous Metals Split'!$D$46</f>
        <v>8505883303492.7598</v>
      </c>
      <c r="O17" s="16">
        <f>'KEEI BAU - Industry'!AE$18*'Non-ferrous Metals Split'!$I$7*'Non-ferrous Metals Split'!$D$46</f>
        <v>8487175349012.9365</v>
      </c>
      <c r="P17" s="16">
        <f>'KEEI BAU - Industry'!AF$18*'Non-ferrous Metals Split'!$I$7*'Non-ferrous Metals Split'!$D$46</f>
        <v>8468467394533.1133</v>
      </c>
      <c r="Q17" s="16">
        <f>'KEEI BAU - Industry'!AG$18*'Non-ferrous Metals Split'!$I$7*'Non-ferrous Metals Split'!$D$46</f>
        <v>8449759440053.292</v>
      </c>
      <c r="R17" s="16">
        <f>'KEEI BAU - Industry'!AH$18*'Non-ferrous Metals Split'!$I$7*'Non-ferrous Metals Split'!$D$46</f>
        <v>8449759440053.292</v>
      </c>
      <c r="S17" s="16">
        <f>'KEEI BAU - Industry'!AI$18*'Non-ferrous Metals Split'!$I$7*'Non-ferrous Metals Split'!$D$46</f>
        <v>8449759440053.292</v>
      </c>
      <c r="T17" s="16">
        <f>'KEEI BAU - Industry'!AJ$18*'Non-ferrous Metals Split'!$I$7*'Non-ferrous Metals Split'!$D$46</f>
        <v>8449759440053.292</v>
      </c>
      <c r="U17" s="16">
        <f>'KEEI BAU - Industry'!AK$18*'Non-ferrous Metals Split'!$I$7*'Non-ferrous Metals Split'!$D$46</f>
        <v>8449759440053.292</v>
      </c>
      <c r="V17" s="16">
        <f>'KEEI BAU - Industry'!AL$18*'Non-ferrous Metals Split'!$I$7*'Non-ferrous Metals Split'!$D$46</f>
        <v>8449759440053.292</v>
      </c>
      <c r="W17" s="16">
        <f>'KEEI BAU - Industry'!AM$18*'Non-ferrous Metals Split'!$I$7*'Non-ferrous Metals Split'!$D$46</f>
        <v>8424815500746.8604</v>
      </c>
      <c r="X17" s="16">
        <f>'KEEI BAU - Industry'!AN$18*'Non-ferrous Metals Split'!$I$7*'Non-ferrous Metals Split'!$D$46</f>
        <v>8416878792785.7256</v>
      </c>
      <c r="Y17" s="16">
        <f>'KEEI BAU - Industry'!AO$18*'Non-ferrous Metals Split'!$I$7*'Non-ferrous Metals Split'!$D$46</f>
        <v>8408942084824.5889</v>
      </c>
      <c r="Z17" s="16">
        <f>'KEEI BAU - Industry'!AP$18*'Non-ferrous Metals Split'!$I$7*'Non-ferrous Metals Split'!$D$46</f>
        <v>8401005376863.4512</v>
      </c>
      <c r="AA17" s="16">
        <f>'KEEI BAU - Industry'!AQ$18*'Non-ferrous Metals Split'!$I$7*'Non-ferrous Metals Split'!$D$46</f>
        <v>8393068668902.3145</v>
      </c>
      <c r="AB17" s="16">
        <f>'KEEI BAU - Industry'!AR$18*'Non-ferrous Metals Split'!$I$7*'Non-ferrous Metals Split'!$D$46</f>
        <v>8385131960941.1758</v>
      </c>
      <c r="AC17" s="16">
        <f>'KEEI BAU - Industry'!AS$18*'Non-ferrous Metals Split'!$I$7*'Non-ferrous Metals Split'!$D$46</f>
        <v>8377195252980.0391</v>
      </c>
      <c r="AD17" s="16">
        <f>'KEEI BAU - Industry'!AT$18*'Non-ferrous Metals Split'!$I$7*'Non-ferrous Metals Split'!$D$46</f>
        <v>8369258545018.9043</v>
      </c>
      <c r="AE17" s="16">
        <f>'KEEI BAU - Industry'!AU$18*'Non-ferrous Metals Split'!$I$7*'Non-ferrous Metals Split'!$D$46</f>
        <v>8361321837057.7666</v>
      </c>
      <c r="AF17" s="16">
        <f>'KEEI BAU - Industry'!AV$18*'Non-ferrous Metals Split'!$I$7*'Non-ferrous Metals Split'!$D$46</f>
        <v>8353385129096.6299</v>
      </c>
    </row>
    <row r="18" spans="1:33">
      <c r="A18" t="s">
        <v>18</v>
      </c>
      <c r="B18" s="16">
        <f>'KEEI BAU - Industry'!R$35*'Machinery Split'!$M6*'Machinery Split'!$D$42</f>
        <v>0</v>
      </c>
      <c r="C18" s="16">
        <f>'KEEI BAU - Industry'!S$35*'Machinery Split'!$M6*'Machinery Split'!$D$42</f>
        <v>0</v>
      </c>
      <c r="D18" s="16">
        <f>'KEEI BAU - Industry'!T$35*'Machinery Split'!$M6*'Machinery Split'!$D$42</f>
        <v>0</v>
      </c>
      <c r="E18" s="16">
        <f>'KEEI BAU - Industry'!U$35*'Machinery Split'!$M6*'Machinery Split'!$D$42</f>
        <v>0</v>
      </c>
      <c r="F18" s="16">
        <f>'KEEI BAU - Industry'!V$35*'Machinery Split'!$M6*'Machinery Split'!$D$42</f>
        <v>0</v>
      </c>
      <c r="G18" s="16">
        <f>'KEEI BAU - Industry'!W$35*'Machinery Split'!$M6*'Machinery Split'!$D$42</f>
        <v>0</v>
      </c>
      <c r="H18" s="16">
        <f>'KEEI BAU - Industry'!X$35*'Machinery Split'!$M6*'Machinery Split'!$D$42</f>
        <v>0</v>
      </c>
      <c r="I18" s="16">
        <f>'KEEI BAU - Industry'!Y$35*'Machinery Split'!$M6*'Machinery Split'!$D$42</f>
        <v>0</v>
      </c>
      <c r="J18" s="16">
        <f>'KEEI BAU - Industry'!Z$35*'Machinery Split'!$M6*'Machinery Split'!$D$42</f>
        <v>0</v>
      </c>
      <c r="K18" s="16">
        <f>'KEEI BAU - Industry'!AA$35*'Machinery Split'!$M6*'Machinery Split'!$D$42</f>
        <v>0</v>
      </c>
      <c r="L18" s="16">
        <f>'KEEI BAU - Industry'!AB$35*'Machinery Split'!$M6*'Machinery Split'!$D$42</f>
        <v>0</v>
      </c>
      <c r="M18" s="16">
        <f>'KEEI BAU - Industry'!AC$35*'Machinery Split'!$M6*'Machinery Split'!$D$42</f>
        <v>0</v>
      </c>
      <c r="N18" s="16">
        <f>'KEEI BAU - Industry'!AD$35*'Machinery Split'!$M6*'Machinery Split'!$D$42</f>
        <v>0</v>
      </c>
      <c r="O18" s="16">
        <f>'KEEI BAU - Industry'!AE$35*'Machinery Split'!$M6*'Machinery Split'!$D$42</f>
        <v>0</v>
      </c>
      <c r="P18" s="16">
        <f>'KEEI BAU - Industry'!AF$35*'Machinery Split'!$M6*'Machinery Split'!$D$42</f>
        <v>0</v>
      </c>
      <c r="Q18" s="16">
        <f>'KEEI BAU - Industry'!AG$35*'Machinery Split'!$M6*'Machinery Split'!$D$42</f>
        <v>0</v>
      </c>
      <c r="R18" s="16">
        <f>'KEEI BAU - Industry'!AH$35*'Machinery Split'!$M6*'Machinery Split'!$D$42</f>
        <v>0</v>
      </c>
      <c r="S18" s="16">
        <f>'KEEI BAU - Industry'!AI$35*'Machinery Split'!$M6*'Machinery Split'!$D$42</f>
        <v>0</v>
      </c>
      <c r="T18" s="16">
        <f>'KEEI BAU - Industry'!AJ$35*'Machinery Split'!$M6*'Machinery Split'!$D$42</f>
        <v>0</v>
      </c>
      <c r="U18" s="16">
        <f>'KEEI BAU - Industry'!AK$35*'Machinery Split'!$M6*'Machinery Split'!$D$42</f>
        <v>0</v>
      </c>
      <c r="V18" s="16">
        <f>'KEEI BAU - Industry'!AL$35*'Machinery Split'!$M6*'Machinery Split'!$D$42</f>
        <v>0</v>
      </c>
      <c r="W18" s="16">
        <f>'KEEI BAU - Industry'!AM$35*'Machinery Split'!$M6*'Machinery Split'!$D$42</f>
        <v>0</v>
      </c>
      <c r="X18" s="16">
        <f>'KEEI BAU - Industry'!AN$35*'Machinery Split'!$M6*'Machinery Split'!$D$42</f>
        <v>0</v>
      </c>
      <c r="Y18" s="16">
        <f>'KEEI BAU - Industry'!AO$35*'Machinery Split'!$M6*'Machinery Split'!$D$42</f>
        <v>0</v>
      </c>
      <c r="Z18" s="16">
        <f>'KEEI BAU - Industry'!AP$35*'Machinery Split'!$M6*'Machinery Split'!$D$42</f>
        <v>0</v>
      </c>
      <c r="AA18" s="16">
        <f>'KEEI BAU - Industry'!AQ$35*'Machinery Split'!$M6*'Machinery Split'!$D$42</f>
        <v>0</v>
      </c>
      <c r="AB18" s="16">
        <f>'KEEI BAU - Industry'!AR$35*'Machinery Split'!$M6*'Machinery Split'!$D$42</f>
        <v>0</v>
      </c>
      <c r="AC18" s="16">
        <f>'KEEI BAU - Industry'!AS$35*'Machinery Split'!$M6*'Machinery Split'!$D$42</f>
        <v>0</v>
      </c>
      <c r="AD18" s="16">
        <f>'KEEI BAU - Industry'!AT$35*'Machinery Split'!$M6*'Machinery Split'!$D$42</f>
        <v>0</v>
      </c>
      <c r="AE18" s="16">
        <f>'KEEI BAU - Industry'!AU$35*'Machinery Split'!$M6*'Machinery Split'!$D$42</f>
        <v>0</v>
      </c>
      <c r="AF18" s="16">
        <f>'KEEI BAU - Industry'!AV$35*'Machinery Split'!$M6*'Machinery Split'!$D$42</f>
        <v>0</v>
      </c>
    </row>
    <row r="19" spans="1:33">
      <c r="A19" t="s">
        <v>19</v>
      </c>
      <c r="B19" s="16">
        <f>'KEEI BAU - Industry'!R$35*'Machinery Split'!$M7*'Machinery Split'!$D$42</f>
        <v>0</v>
      </c>
      <c r="C19" s="16">
        <f>'KEEI BAU - Industry'!S$35*'Machinery Split'!$M7*'Machinery Split'!$D$42</f>
        <v>0</v>
      </c>
      <c r="D19" s="16">
        <f>'KEEI BAU - Industry'!T$35*'Machinery Split'!$M7*'Machinery Split'!$D$42</f>
        <v>0</v>
      </c>
      <c r="E19" s="16">
        <f>'KEEI BAU - Industry'!U$35*'Machinery Split'!$M7*'Machinery Split'!$D$42</f>
        <v>0</v>
      </c>
      <c r="F19" s="16">
        <f>'KEEI BAU - Industry'!V$35*'Machinery Split'!$M7*'Machinery Split'!$D$42</f>
        <v>0</v>
      </c>
      <c r="G19" s="16">
        <f>'KEEI BAU - Industry'!W$35*'Machinery Split'!$M7*'Machinery Split'!$D$42</f>
        <v>0</v>
      </c>
      <c r="H19" s="16">
        <f>'KEEI BAU - Industry'!X$35*'Machinery Split'!$M7*'Machinery Split'!$D$42</f>
        <v>0</v>
      </c>
      <c r="I19" s="16">
        <f>'KEEI BAU - Industry'!Y$35*'Machinery Split'!$M7*'Machinery Split'!$D$42</f>
        <v>0</v>
      </c>
      <c r="J19" s="16">
        <f>'KEEI BAU - Industry'!Z$35*'Machinery Split'!$M7*'Machinery Split'!$D$42</f>
        <v>0</v>
      </c>
      <c r="K19" s="16">
        <f>'KEEI BAU - Industry'!AA$35*'Machinery Split'!$M7*'Machinery Split'!$D$42</f>
        <v>0</v>
      </c>
      <c r="L19" s="16">
        <f>'KEEI BAU - Industry'!AB$35*'Machinery Split'!$M7*'Machinery Split'!$D$42</f>
        <v>0</v>
      </c>
      <c r="M19" s="16">
        <f>'KEEI BAU - Industry'!AC$35*'Machinery Split'!$M7*'Machinery Split'!$D$42</f>
        <v>0</v>
      </c>
      <c r="N19" s="16">
        <f>'KEEI BAU - Industry'!AD$35*'Machinery Split'!$M7*'Machinery Split'!$D$42</f>
        <v>0</v>
      </c>
      <c r="O19" s="16">
        <f>'KEEI BAU - Industry'!AE$35*'Machinery Split'!$M7*'Machinery Split'!$D$42</f>
        <v>0</v>
      </c>
      <c r="P19" s="16">
        <f>'KEEI BAU - Industry'!AF$35*'Machinery Split'!$M7*'Machinery Split'!$D$42</f>
        <v>0</v>
      </c>
      <c r="Q19" s="16">
        <f>'KEEI BAU - Industry'!AG$35*'Machinery Split'!$M7*'Machinery Split'!$D$42</f>
        <v>0</v>
      </c>
      <c r="R19" s="16">
        <f>'KEEI BAU - Industry'!AH$35*'Machinery Split'!$M7*'Machinery Split'!$D$42</f>
        <v>0</v>
      </c>
      <c r="S19" s="16">
        <f>'KEEI BAU - Industry'!AI$35*'Machinery Split'!$M7*'Machinery Split'!$D$42</f>
        <v>0</v>
      </c>
      <c r="T19" s="16">
        <f>'KEEI BAU - Industry'!AJ$35*'Machinery Split'!$M7*'Machinery Split'!$D$42</f>
        <v>0</v>
      </c>
      <c r="U19" s="16">
        <f>'KEEI BAU - Industry'!AK$35*'Machinery Split'!$M7*'Machinery Split'!$D$42</f>
        <v>0</v>
      </c>
      <c r="V19" s="16">
        <f>'KEEI BAU - Industry'!AL$35*'Machinery Split'!$M7*'Machinery Split'!$D$42</f>
        <v>0</v>
      </c>
      <c r="W19" s="16">
        <f>'KEEI BAU - Industry'!AM$35*'Machinery Split'!$M7*'Machinery Split'!$D$42</f>
        <v>0</v>
      </c>
      <c r="X19" s="16">
        <f>'KEEI BAU - Industry'!AN$35*'Machinery Split'!$M7*'Machinery Split'!$D$42</f>
        <v>0</v>
      </c>
      <c r="Y19" s="16">
        <f>'KEEI BAU - Industry'!AO$35*'Machinery Split'!$M7*'Machinery Split'!$D$42</f>
        <v>0</v>
      </c>
      <c r="Z19" s="16">
        <f>'KEEI BAU - Industry'!AP$35*'Machinery Split'!$M7*'Machinery Split'!$D$42</f>
        <v>0</v>
      </c>
      <c r="AA19" s="16">
        <f>'KEEI BAU - Industry'!AQ$35*'Machinery Split'!$M7*'Machinery Split'!$D$42</f>
        <v>0</v>
      </c>
      <c r="AB19" s="16">
        <f>'KEEI BAU - Industry'!AR$35*'Machinery Split'!$M7*'Machinery Split'!$D$42</f>
        <v>0</v>
      </c>
      <c r="AC19" s="16">
        <f>'KEEI BAU - Industry'!AS$35*'Machinery Split'!$M7*'Machinery Split'!$D$42</f>
        <v>0</v>
      </c>
      <c r="AD19" s="16">
        <f>'KEEI BAU - Industry'!AT$35*'Machinery Split'!$M7*'Machinery Split'!$D$42</f>
        <v>0</v>
      </c>
      <c r="AE19" s="16">
        <f>'KEEI BAU - Industry'!AU$35*'Machinery Split'!$M7*'Machinery Split'!$D$42</f>
        <v>0</v>
      </c>
      <c r="AF19" s="16">
        <f>'KEEI BAU - Industry'!AV$35*'Machinery Split'!$M7*'Machinery Split'!$D$42</f>
        <v>0</v>
      </c>
    </row>
    <row r="20" spans="1:33">
      <c r="A20" t="s">
        <v>20</v>
      </c>
      <c r="B20" s="16">
        <f>'KEEI BAU - Industry'!R$35*'Machinery Split'!$M8*'Machinery Split'!$D$42</f>
        <v>0</v>
      </c>
      <c r="C20" s="16">
        <f>'KEEI BAU - Industry'!S$35*'Machinery Split'!$M8*'Machinery Split'!$D$42</f>
        <v>0</v>
      </c>
      <c r="D20" s="16">
        <f>'KEEI BAU - Industry'!T$35*'Machinery Split'!$M8*'Machinery Split'!$D$42</f>
        <v>0</v>
      </c>
      <c r="E20" s="16">
        <f>'KEEI BAU - Industry'!U$35*'Machinery Split'!$M8*'Machinery Split'!$D$42</f>
        <v>0</v>
      </c>
      <c r="F20" s="16">
        <f>'KEEI BAU - Industry'!V$35*'Machinery Split'!$M8*'Machinery Split'!$D$42</f>
        <v>0</v>
      </c>
      <c r="G20" s="16">
        <f>'KEEI BAU - Industry'!W$35*'Machinery Split'!$M8*'Machinery Split'!$D$42</f>
        <v>0</v>
      </c>
      <c r="H20" s="16">
        <f>'KEEI BAU - Industry'!X$35*'Machinery Split'!$M8*'Machinery Split'!$D$42</f>
        <v>0</v>
      </c>
      <c r="I20" s="16">
        <f>'KEEI BAU - Industry'!Y$35*'Machinery Split'!$M8*'Machinery Split'!$D$42</f>
        <v>0</v>
      </c>
      <c r="J20" s="16">
        <f>'KEEI BAU - Industry'!Z$35*'Machinery Split'!$M8*'Machinery Split'!$D$42</f>
        <v>0</v>
      </c>
      <c r="K20" s="16">
        <f>'KEEI BAU - Industry'!AA$35*'Machinery Split'!$M8*'Machinery Split'!$D$42</f>
        <v>0</v>
      </c>
      <c r="L20" s="16">
        <f>'KEEI BAU - Industry'!AB$35*'Machinery Split'!$M8*'Machinery Split'!$D$42</f>
        <v>0</v>
      </c>
      <c r="M20" s="16">
        <f>'KEEI BAU - Industry'!AC$35*'Machinery Split'!$M8*'Machinery Split'!$D$42</f>
        <v>0</v>
      </c>
      <c r="N20" s="16">
        <f>'KEEI BAU - Industry'!AD$35*'Machinery Split'!$M8*'Machinery Split'!$D$42</f>
        <v>0</v>
      </c>
      <c r="O20" s="16">
        <f>'KEEI BAU - Industry'!AE$35*'Machinery Split'!$M8*'Machinery Split'!$D$42</f>
        <v>0</v>
      </c>
      <c r="P20" s="16">
        <f>'KEEI BAU - Industry'!AF$35*'Machinery Split'!$M8*'Machinery Split'!$D$42</f>
        <v>0</v>
      </c>
      <c r="Q20" s="16">
        <f>'KEEI BAU - Industry'!AG$35*'Machinery Split'!$M8*'Machinery Split'!$D$42</f>
        <v>0</v>
      </c>
      <c r="R20" s="16">
        <f>'KEEI BAU - Industry'!AH$35*'Machinery Split'!$M8*'Machinery Split'!$D$42</f>
        <v>0</v>
      </c>
      <c r="S20" s="16">
        <f>'KEEI BAU - Industry'!AI$35*'Machinery Split'!$M8*'Machinery Split'!$D$42</f>
        <v>0</v>
      </c>
      <c r="T20" s="16">
        <f>'KEEI BAU - Industry'!AJ$35*'Machinery Split'!$M8*'Machinery Split'!$D$42</f>
        <v>0</v>
      </c>
      <c r="U20" s="16">
        <f>'KEEI BAU - Industry'!AK$35*'Machinery Split'!$M8*'Machinery Split'!$D$42</f>
        <v>0</v>
      </c>
      <c r="V20" s="16">
        <f>'KEEI BAU - Industry'!AL$35*'Machinery Split'!$M8*'Machinery Split'!$D$42</f>
        <v>0</v>
      </c>
      <c r="W20" s="16">
        <f>'KEEI BAU - Industry'!AM$35*'Machinery Split'!$M8*'Machinery Split'!$D$42</f>
        <v>0</v>
      </c>
      <c r="X20" s="16">
        <f>'KEEI BAU - Industry'!AN$35*'Machinery Split'!$M8*'Machinery Split'!$D$42</f>
        <v>0</v>
      </c>
      <c r="Y20" s="16">
        <f>'KEEI BAU - Industry'!AO$35*'Machinery Split'!$M8*'Machinery Split'!$D$42</f>
        <v>0</v>
      </c>
      <c r="Z20" s="16">
        <f>'KEEI BAU - Industry'!AP$35*'Machinery Split'!$M8*'Machinery Split'!$D$42</f>
        <v>0</v>
      </c>
      <c r="AA20" s="16">
        <f>'KEEI BAU - Industry'!AQ$35*'Machinery Split'!$M8*'Machinery Split'!$D$42</f>
        <v>0</v>
      </c>
      <c r="AB20" s="16">
        <f>'KEEI BAU - Industry'!AR$35*'Machinery Split'!$M8*'Machinery Split'!$D$42</f>
        <v>0</v>
      </c>
      <c r="AC20" s="16">
        <f>'KEEI BAU - Industry'!AS$35*'Machinery Split'!$M8*'Machinery Split'!$D$42</f>
        <v>0</v>
      </c>
      <c r="AD20" s="16">
        <f>'KEEI BAU - Industry'!AT$35*'Machinery Split'!$M8*'Machinery Split'!$D$42</f>
        <v>0</v>
      </c>
      <c r="AE20" s="16">
        <f>'KEEI BAU - Industry'!AU$35*'Machinery Split'!$M8*'Machinery Split'!$D$42</f>
        <v>0</v>
      </c>
      <c r="AF20" s="16">
        <f>'KEEI BAU - Industry'!AV$35*'Machinery Split'!$M8*'Machinery Split'!$D$42</f>
        <v>0</v>
      </c>
    </row>
    <row r="21" spans="1:33">
      <c r="A21" t="s">
        <v>21</v>
      </c>
      <c r="B21" s="16">
        <f>'KEEI BAU - Industry'!R$35*'Machinery Split'!$M9*'Machinery Split'!$D$42</f>
        <v>0</v>
      </c>
      <c r="C21" s="16">
        <f>'KEEI BAU - Industry'!S$35*'Machinery Split'!$M9*'Machinery Split'!$D$42</f>
        <v>0</v>
      </c>
      <c r="D21" s="16">
        <f>'KEEI BAU - Industry'!T$35*'Machinery Split'!$M9*'Machinery Split'!$D$42</f>
        <v>0</v>
      </c>
      <c r="E21" s="16">
        <f>'KEEI BAU - Industry'!U$35*'Machinery Split'!$M9*'Machinery Split'!$D$42</f>
        <v>0</v>
      </c>
      <c r="F21" s="16">
        <f>'KEEI BAU - Industry'!V$35*'Machinery Split'!$M9*'Machinery Split'!$D$42</f>
        <v>0</v>
      </c>
      <c r="G21" s="16">
        <f>'KEEI BAU - Industry'!W$35*'Machinery Split'!$M9*'Machinery Split'!$D$42</f>
        <v>0</v>
      </c>
      <c r="H21" s="16">
        <f>'KEEI BAU - Industry'!X$35*'Machinery Split'!$M9*'Machinery Split'!$D$42</f>
        <v>0</v>
      </c>
      <c r="I21" s="16">
        <f>'KEEI BAU - Industry'!Y$35*'Machinery Split'!$M9*'Machinery Split'!$D$42</f>
        <v>0</v>
      </c>
      <c r="J21" s="16">
        <f>'KEEI BAU - Industry'!Z$35*'Machinery Split'!$M9*'Machinery Split'!$D$42</f>
        <v>0</v>
      </c>
      <c r="K21" s="16">
        <f>'KEEI BAU - Industry'!AA$35*'Machinery Split'!$M9*'Machinery Split'!$D$42</f>
        <v>0</v>
      </c>
      <c r="L21" s="16">
        <f>'KEEI BAU - Industry'!AB$35*'Machinery Split'!$M9*'Machinery Split'!$D$42</f>
        <v>0</v>
      </c>
      <c r="M21" s="16">
        <f>'KEEI BAU - Industry'!AC$35*'Machinery Split'!$M9*'Machinery Split'!$D$42</f>
        <v>0</v>
      </c>
      <c r="N21" s="16">
        <f>'KEEI BAU - Industry'!AD$35*'Machinery Split'!$M9*'Machinery Split'!$D$42</f>
        <v>0</v>
      </c>
      <c r="O21" s="16">
        <f>'KEEI BAU - Industry'!AE$35*'Machinery Split'!$M9*'Machinery Split'!$D$42</f>
        <v>0</v>
      </c>
      <c r="P21" s="16">
        <f>'KEEI BAU - Industry'!AF$35*'Machinery Split'!$M9*'Machinery Split'!$D$42</f>
        <v>0</v>
      </c>
      <c r="Q21" s="16">
        <f>'KEEI BAU - Industry'!AG$35*'Machinery Split'!$M9*'Machinery Split'!$D$42</f>
        <v>0</v>
      </c>
      <c r="R21" s="16">
        <f>'KEEI BAU - Industry'!AH$35*'Machinery Split'!$M9*'Machinery Split'!$D$42</f>
        <v>0</v>
      </c>
      <c r="S21" s="16">
        <f>'KEEI BAU - Industry'!AI$35*'Machinery Split'!$M9*'Machinery Split'!$D$42</f>
        <v>0</v>
      </c>
      <c r="T21" s="16">
        <f>'KEEI BAU - Industry'!AJ$35*'Machinery Split'!$M9*'Machinery Split'!$D$42</f>
        <v>0</v>
      </c>
      <c r="U21" s="16">
        <f>'KEEI BAU - Industry'!AK$35*'Machinery Split'!$M9*'Machinery Split'!$D$42</f>
        <v>0</v>
      </c>
      <c r="V21" s="16">
        <f>'KEEI BAU - Industry'!AL$35*'Machinery Split'!$M9*'Machinery Split'!$D$42</f>
        <v>0</v>
      </c>
      <c r="W21" s="16">
        <f>'KEEI BAU - Industry'!AM$35*'Machinery Split'!$M9*'Machinery Split'!$D$42</f>
        <v>0</v>
      </c>
      <c r="X21" s="16">
        <f>'KEEI BAU - Industry'!AN$35*'Machinery Split'!$M9*'Machinery Split'!$D$42</f>
        <v>0</v>
      </c>
      <c r="Y21" s="16">
        <f>'KEEI BAU - Industry'!AO$35*'Machinery Split'!$M9*'Machinery Split'!$D$42</f>
        <v>0</v>
      </c>
      <c r="Z21" s="16">
        <f>'KEEI BAU - Industry'!AP$35*'Machinery Split'!$M9*'Machinery Split'!$D$42</f>
        <v>0</v>
      </c>
      <c r="AA21" s="16">
        <f>'KEEI BAU - Industry'!AQ$35*'Machinery Split'!$M9*'Machinery Split'!$D$42</f>
        <v>0</v>
      </c>
      <c r="AB21" s="16">
        <f>'KEEI BAU - Industry'!AR$35*'Machinery Split'!$M9*'Machinery Split'!$D$42</f>
        <v>0</v>
      </c>
      <c r="AC21" s="16">
        <f>'KEEI BAU - Industry'!AS$35*'Machinery Split'!$M9*'Machinery Split'!$D$42</f>
        <v>0</v>
      </c>
      <c r="AD21" s="16">
        <f>'KEEI BAU - Industry'!AT$35*'Machinery Split'!$M9*'Machinery Split'!$D$42</f>
        <v>0</v>
      </c>
      <c r="AE21" s="16">
        <f>'KEEI BAU - Industry'!AU$35*'Machinery Split'!$M9*'Machinery Split'!$D$42</f>
        <v>0</v>
      </c>
      <c r="AF21" s="16">
        <f>'KEEI BAU - Industry'!AV$35*'Machinery Split'!$M9*'Machinery Split'!$D$42</f>
        <v>0</v>
      </c>
    </row>
    <row r="22" spans="1:33">
      <c r="A22" t="s">
        <v>22</v>
      </c>
      <c r="B22" s="16">
        <f>'KEEI BAU - Industry'!R$35*'Machinery Split'!$M10*'Machinery Split'!$D$42</f>
        <v>0</v>
      </c>
      <c r="C22" s="16">
        <f>'KEEI BAU - Industry'!S$35*'Machinery Split'!$M10*'Machinery Split'!$D$42</f>
        <v>0</v>
      </c>
      <c r="D22" s="16">
        <f>'KEEI BAU - Industry'!T$35*'Machinery Split'!$M10*'Machinery Split'!$D$42</f>
        <v>0</v>
      </c>
      <c r="E22" s="16">
        <f>'KEEI BAU - Industry'!U$35*'Machinery Split'!$M10*'Machinery Split'!$D$42</f>
        <v>0</v>
      </c>
      <c r="F22" s="16">
        <f>'KEEI BAU - Industry'!V$35*'Machinery Split'!$M10*'Machinery Split'!$D$42</f>
        <v>0</v>
      </c>
      <c r="G22" s="16">
        <f>'KEEI BAU - Industry'!W$35*'Machinery Split'!$M10*'Machinery Split'!$D$42</f>
        <v>0</v>
      </c>
      <c r="H22" s="16">
        <f>'KEEI BAU - Industry'!X$35*'Machinery Split'!$M10*'Machinery Split'!$D$42</f>
        <v>0</v>
      </c>
      <c r="I22" s="16">
        <f>'KEEI BAU - Industry'!Y$35*'Machinery Split'!$M10*'Machinery Split'!$D$42</f>
        <v>0</v>
      </c>
      <c r="J22" s="16">
        <f>'KEEI BAU - Industry'!Z$35*'Machinery Split'!$M10*'Machinery Split'!$D$42</f>
        <v>0</v>
      </c>
      <c r="K22" s="16">
        <f>'KEEI BAU - Industry'!AA$35*'Machinery Split'!$M10*'Machinery Split'!$D$42</f>
        <v>0</v>
      </c>
      <c r="L22" s="16">
        <f>'KEEI BAU - Industry'!AB$35*'Machinery Split'!$M10*'Machinery Split'!$D$42</f>
        <v>0</v>
      </c>
      <c r="M22" s="16">
        <f>'KEEI BAU - Industry'!AC$35*'Machinery Split'!$M10*'Machinery Split'!$D$42</f>
        <v>0</v>
      </c>
      <c r="N22" s="16">
        <f>'KEEI BAU - Industry'!AD$35*'Machinery Split'!$M10*'Machinery Split'!$D$42</f>
        <v>0</v>
      </c>
      <c r="O22" s="16">
        <f>'KEEI BAU - Industry'!AE$35*'Machinery Split'!$M10*'Machinery Split'!$D$42</f>
        <v>0</v>
      </c>
      <c r="P22" s="16">
        <f>'KEEI BAU - Industry'!AF$35*'Machinery Split'!$M10*'Machinery Split'!$D$42</f>
        <v>0</v>
      </c>
      <c r="Q22" s="16">
        <f>'KEEI BAU - Industry'!AG$35*'Machinery Split'!$M10*'Machinery Split'!$D$42</f>
        <v>0</v>
      </c>
      <c r="R22" s="16">
        <f>'KEEI BAU - Industry'!AH$35*'Machinery Split'!$M10*'Machinery Split'!$D$42</f>
        <v>0</v>
      </c>
      <c r="S22" s="16">
        <f>'KEEI BAU - Industry'!AI$35*'Machinery Split'!$M10*'Machinery Split'!$D$42</f>
        <v>0</v>
      </c>
      <c r="T22" s="16">
        <f>'KEEI BAU - Industry'!AJ$35*'Machinery Split'!$M10*'Machinery Split'!$D$42</f>
        <v>0</v>
      </c>
      <c r="U22" s="16">
        <f>'KEEI BAU - Industry'!AK$35*'Machinery Split'!$M10*'Machinery Split'!$D$42</f>
        <v>0</v>
      </c>
      <c r="V22" s="16">
        <f>'KEEI BAU - Industry'!AL$35*'Machinery Split'!$M10*'Machinery Split'!$D$42</f>
        <v>0</v>
      </c>
      <c r="W22" s="16">
        <f>'KEEI BAU - Industry'!AM$35*'Machinery Split'!$M10*'Machinery Split'!$D$42</f>
        <v>0</v>
      </c>
      <c r="X22" s="16">
        <f>'KEEI BAU - Industry'!AN$35*'Machinery Split'!$M10*'Machinery Split'!$D$42</f>
        <v>0</v>
      </c>
      <c r="Y22" s="16">
        <f>'KEEI BAU - Industry'!AO$35*'Machinery Split'!$M10*'Machinery Split'!$D$42</f>
        <v>0</v>
      </c>
      <c r="Z22" s="16">
        <f>'KEEI BAU - Industry'!AP$35*'Machinery Split'!$M10*'Machinery Split'!$D$42</f>
        <v>0</v>
      </c>
      <c r="AA22" s="16">
        <f>'KEEI BAU - Industry'!AQ$35*'Machinery Split'!$M10*'Machinery Split'!$D$42</f>
        <v>0</v>
      </c>
      <c r="AB22" s="16">
        <f>'KEEI BAU - Industry'!AR$35*'Machinery Split'!$M10*'Machinery Split'!$D$42</f>
        <v>0</v>
      </c>
      <c r="AC22" s="16">
        <f>'KEEI BAU - Industry'!AS$35*'Machinery Split'!$M10*'Machinery Split'!$D$42</f>
        <v>0</v>
      </c>
      <c r="AD22" s="16">
        <f>'KEEI BAU - Industry'!AT$35*'Machinery Split'!$M10*'Machinery Split'!$D$42</f>
        <v>0</v>
      </c>
      <c r="AE22" s="16">
        <f>'KEEI BAU - Industry'!AU$35*'Machinery Split'!$M10*'Machinery Split'!$D$42</f>
        <v>0</v>
      </c>
      <c r="AF22" s="16">
        <f>'KEEI BAU - Industry'!AV$35*'Machinery Split'!$M10*'Machinery Split'!$D$42</f>
        <v>0</v>
      </c>
    </row>
    <row r="23" spans="1:33">
      <c r="A23" t="s">
        <v>23</v>
      </c>
      <c r="B23" s="16">
        <f>'KEEI BAU - Industry'!R$53*'Others Split'!$D$48*'Others Split'!$M$14</f>
        <v>51359841102254.023</v>
      </c>
      <c r="C23" s="16">
        <f>'KEEI BAU - Industry'!S$53*'Others Split'!$D$48*'Others Split'!$M$14</f>
        <v>52499326591090</v>
      </c>
      <c r="D23" s="16">
        <f>'KEEI BAU - Industry'!T$53*'Others Split'!$D$48*'Others Split'!$M$14</f>
        <v>53638812079925.977</v>
      </c>
      <c r="E23" s="16">
        <f>'KEEI BAU - Industry'!U$53*'Others Split'!$D$48*'Others Split'!$M$14</f>
        <v>54778297568761.945</v>
      </c>
      <c r="F23" s="16">
        <f>'KEEI BAU - Industry'!V$53*'Others Split'!$D$48*'Others Split'!$M$14</f>
        <v>55917783057597.922</v>
      </c>
      <c r="G23" s="16">
        <f>'KEEI BAU - Industry'!W$53*'Others Split'!$D$48*'Others Split'!$M$14</f>
        <v>57057268546433.898</v>
      </c>
      <c r="H23" s="16">
        <f>'KEEI BAU - Industry'!X$53*'Others Split'!$D$48*'Others Split'!$M$14</f>
        <v>57583843368831.016</v>
      </c>
      <c r="I23" s="16">
        <f>'KEEI BAU - Industry'!Y$53*'Others Split'!$D$48*'Others Split'!$M$14</f>
        <v>58110418191227.961</v>
      </c>
      <c r="J23" s="16">
        <f>'KEEI BAU - Industry'!Z$53*'Others Split'!$D$48*'Others Split'!$M$14</f>
        <v>58636993013624.922</v>
      </c>
      <c r="K23" s="16">
        <f>'KEEI BAU - Industry'!AA$53*'Others Split'!$D$48*'Others Split'!$M$14</f>
        <v>59163567836021.875</v>
      </c>
      <c r="L23" s="16">
        <f>'KEEI BAU - Industry'!AB$53*'Others Split'!$D$48*'Others Split'!$M$14</f>
        <v>59690142658418.938</v>
      </c>
      <c r="M23" s="16">
        <f>'KEEI BAU - Industry'!AC$53*'Others Split'!$D$48*'Others Split'!$M$14</f>
        <v>60064518113544.898</v>
      </c>
      <c r="N23" s="16">
        <f>'KEEI BAU - Industry'!AD$53*'Others Split'!$D$48*'Others Split'!$M$14</f>
        <v>60438893568670.977</v>
      </c>
      <c r="O23" s="16">
        <f>'KEEI BAU - Industry'!AE$53*'Others Split'!$D$48*'Others Split'!$M$14</f>
        <v>60813269023797.047</v>
      </c>
      <c r="P23" s="16">
        <f>'KEEI BAU - Industry'!AF$53*'Others Split'!$D$48*'Others Split'!$M$14</f>
        <v>61187644478923.117</v>
      </c>
      <c r="Q23" s="16">
        <f>'KEEI BAU - Industry'!AG$53*'Others Split'!$D$48*'Others Split'!$M$14</f>
        <v>61562019934049.172</v>
      </c>
      <c r="R23" s="16">
        <f>'KEEI BAU - Industry'!AH$53*'Others Split'!$D$48*'Others Split'!$M$14</f>
        <v>61855922160503.422</v>
      </c>
      <c r="S23" s="16">
        <f>'KEEI BAU - Industry'!AI$53*'Others Split'!$D$48*'Others Split'!$M$14</f>
        <v>62149824386957.422</v>
      </c>
      <c r="T23" s="16">
        <f>'KEEI BAU - Industry'!AJ$53*'Others Split'!$D$48*'Others Split'!$M$14</f>
        <v>62443726613411.539</v>
      </c>
      <c r="U23" s="16">
        <f>'KEEI BAU - Industry'!AK$53*'Others Split'!$D$48*'Others Split'!$M$14</f>
        <v>62737628839865.648</v>
      </c>
      <c r="V23" s="16">
        <f>'KEEI BAU - Industry'!AL$53*'Others Split'!$D$48*'Others Split'!$M$14</f>
        <v>63031531066319.664</v>
      </c>
      <c r="W23" s="16">
        <f>'KEEI BAU - Industry'!AM$53*'Others Split'!$D$48*'Others Split'!$M$14</f>
        <v>63432730931003.086</v>
      </c>
      <c r="X23" s="16">
        <f>'KEEI BAU - Industry'!AN$53*'Others Split'!$D$48*'Others Split'!$M$14</f>
        <v>63760773315075.57</v>
      </c>
      <c r="Y23" s="16">
        <f>'KEEI BAU - Industry'!AO$53*'Others Split'!$D$48*'Others Split'!$M$14</f>
        <v>64088815699148.172</v>
      </c>
      <c r="Z23" s="16">
        <f>'KEEI BAU - Industry'!AP$53*'Others Split'!$D$48*'Others Split'!$M$14</f>
        <v>64416858083220.656</v>
      </c>
      <c r="AA23" s="16">
        <f>'KEEI BAU - Industry'!AQ$53*'Others Split'!$D$48*'Others Split'!$M$14</f>
        <v>64744900467293.141</v>
      </c>
      <c r="AB23" s="16">
        <f>'KEEI BAU - Industry'!AR$53*'Others Split'!$D$48*'Others Split'!$M$14</f>
        <v>65072942851365.633</v>
      </c>
      <c r="AC23" s="16">
        <f>'KEEI BAU - Industry'!AS$53*'Others Split'!$D$48*'Others Split'!$M$14</f>
        <v>65400985235438.234</v>
      </c>
      <c r="AD23" s="16">
        <f>'KEEI BAU - Industry'!AT$53*'Others Split'!$D$48*'Others Split'!$M$14</f>
        <v>65729027619510.719</v>
      </c>
      <c r="AE23" s="16">
        <f>'KEEI BAU - Industry'!AU$53*'Others Split'!$D$48*'Others Split'!$M$14</f>
        <v>66057070003583.203</v>
      </c>
      <c r="AF23" s="16">
        <f>'KEEI BAU - Industry'!AV$53*'Others Split'!$D$48*'Others Split'!$M$14</f>
        <v>66385112387655.805</v>
      </c>
    </row>
    <row r="24" spans="1:33">
      <c r="A24" t="s">
        <v>24</v>
      </c>
      <c r="B24" s="16">
        <f>-SUM('2019 KESIS Energy Balance'!W44:Y44)*'KEEI BAU - Industry'!$N$3/1000*(1+'KEEI BAU - Gas Supply'!R9)</f>
        <v>3754639994066.9683</v>
      </c>
      <c r="C24" s="16">
        <f>B24*(1+'KEEI BAU - Gas Supply'!S9)</f>
        <v>3863642470395.6367</v>
      </c>
      <c r="D24" s="16">
        <f>C24*(1+'KEEI BAU - Gas Supply'!T9)</f>
        <v>3982766250853.1348</v>
      </c>
      <c r="E24" s="16">
        <f>D24*(1+'KEEI BAU - Gas Supply'!U9)</f>
        <v>4088394959138.8555</v>
      </c>
      <c r="F24" s="16">
        <f>E24*(1+'KEEI BAU - Gas Supply'!V9)</f>
        <v>4194023667424.5562</v>
      </c>
      <c r="G24" s="16">
        <f>F24*(1+'KEEI BAU - Gas Supply'!W9)</f>
        <v>4299652375710.2837</v>
      </c>
      <c r="H24" s="16">
        <f>G24*(1+'KEEI BAU - Gas Supply'!X9)</f>
        <v>4405281083995.9844</v>
      </c>
      <c r="I24" s="16">
        <f>H24*(1+'KEEI BAU - Gas Supply'!Y9)</f>
        <v>4510909792281.7119</v>
      </c>
      <c r="J24" s="16">
        <f>I24*(1+'KEEI BAU - Gas Supply'!Z9)</f>
        <v>4616538500567.4121</v>
      </c>
      <c r="K24" s="16">
        <f>J24*(1+'KEEI BAU - Gas Supply'!AA9)</f>
        <v>4722167208853.1396</v>
      </c>
      <c r="L24" s="16">
        <f>K24*(1+'KEEI BAU - Gas Supply'!AB9)</f>
        <v>4827795917138.8535</v>
      </c>
      <c r="M24" s="16">
        <f>L24*(1+'KEEI BAU - Gas Supply'!AC9)</f>
        <v>4915685882273.2803</v>
      </c>
      <c r="N24" s="16">
        <f>M24*(1+'KEEI BAU - Gas Supply'!AD9)</f>
        <v>5003575847407.7197</v>
      </c>
      <c r="O24" s="16">
        <f>N24*(1+'KEEI BAU - Gas Supply'!AE9)</f>
        <v>5091465812542.1592</v>
      </c>
      <c r="P24" s="16">
        <f>O24*(1+'KEEI BAU - Gas Supply'!AF9)</f>
        <v>5179355777676.5723</v>
      </c>
      <c r="Q24" s="16">
        <f>P24*(1+'KEEI BAU - Gas Supply'!AG9)</f>
        <v>5267245742811.0117</v>
      </c>
      <c r="R24" s="16">
        <f>Q24*(1+'KEEI BAU - Gas Supply'!AH9)</f>
        <v>5355135707945.4512</v>
      </c>
      <c r="S24" s="16">
        <f>R24*(1+'KEEI BAU - Gas Supply'!AI9)</f>
        <v>5443025673079.8643</v>
      </c>
      <c r="T24" s="16">
        <f>S24*(1+'KEEI BAU - Gas Supply'!AJ9)</f>
        <v>5530915638214.3047</v>
      </c>
      <c r="U24" s="16">
        <f>T24*(1+'KEEI BAU - Gas Supply'!AK9)</f>
        <v>5618805603348.7178</v>
      </c>
      <c r="V24" s="16">
        <f>U24*(1+'KEEI BAU - Gas Supply'!AL9)</f>
        <v>5706695568483.1504</v>
      </c>
      <c r="W24" s="16">
        <f>V24*(1+'KEEI BAU - Gas Supply'!AM9)</f>
        <v>5746711103565.0615</v>
      </c>
      <c r="X24" s="16">
        <f>W24*(1+'KEEI BAU - Gas Supply'!AN9)</f>
        <v>5786726638646.9658</v>
      </c>
      <c r="Y24" s="16">
        <f>X24*(1+'KEEI BAU - Gas Supply'!AO9)</f>
        <v>5826742173728.8701</v>
      </c>
      <c r="Z24" s="16">
        <f>Y24*(1+'KEEI BAU - Gas Supply'!AP9)</f>
        <v>5866757708810.7607</v>
      </c>
      <c r="AA24" s="16">
        <f>Z24*(1+'KEEI BAU - Gas Supply'!AQ9)</f>
        <v>5906773243892.666</v>
      </c>
      <c r="AB24" s="16">
        <f>AA24*(1+'KEEI BAU - Gas Supply'!AR9)</f>
        <v>5946788778974.5713</v>
      </c>
      <c r="AC24" s="16">
        <f>AB24*(1+'KEEI BAU - Gas Supply'!AS9)</f>
        <v>5986804314056.4756</v>
      </c>
      <c r="AD24" s="16">
        <f>AC24*(1+'KEEI BAU - Gas Supply'!AT9)</f>
        <v>6026819849138.3809</v>
      </c>
      <c r="AE24" s="16">
        <f>AD24*(1+'KEEI BAU - Gas Supply'!AU9)</f>
        <v>6066835384220.2852</v>
      </c>
      <c r="AF24" s="16">
        <f>AE24*(1+'KEEI BAU - Gas Supply'!AV9)</f>
        <v>6106850919302.1797</v>
      </c>
    </row>
    <row r="25" spans="1:33">
      <c r="A25" t="s">
        <v>25</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row>
    <row r="26" spans="1:33">
      <c r="A26" t="s">
        <v>26</v>
      </c>
      <c r="B26" s="16">
        <f>'KEEI BAU - Industry'!R$53*'Others Split'!$D$48*'Others Split'!$M$15</f>
        <v>1202594949194.353</v>
      </c>
      <c r="C26" s="16">
        <f>'KEEI BAU - Industry'!S$53*'Others Split'!$D$48*'Others Split'!$M$15</f>
        <v>1229276096646.2336</v>
      </c>
      <c r="D26" s="16">
        <f>'KEEI BAU - Industry'!T$53*'Others Split'!$D$48*'Others Split'!$M$15</f>
        <v>1255957244098.1145</v>
      </c>
      <c r="E26" s="16">
        <f>'KEEI BAU - Industry'!U$53*'Others Split'!$D$48*'Others Split'!$M$15</f>
        <v>1282638391549.9951</v>
      </c>
      <c r="F26" s="16">
        <f>'KEEI BAU - Industry'!V$53*'Others Split'!$D$48*'Others Split'!$M$15</f>
        <v>1309319539001.8757</v>
      </c>
      <c r="G26" s="16">
        <f>'KEEI BAU - Industry'!W$53*'Others Split'!$D$48*'Others Split'!$M$15</f>
        <v>1336000686453.7563</v>
      </c>
      <c r="H26" s="16">
        <f>'KEEI BAU - Industry'!X$53*'Others Split'!$D$48*'Others Split'!$M$15</f>
        <v>1348330479696.8257</v>
      </c>
      <c r="I26" s="16">
        <f>'KEEI BAU - Industry'!Y$53*'Others Split'!$D$48*'Others Split'!$M$15</f>
        <v>1360660272939.8911</v>
      </c>
      <c r="J26" s="16">
        <f>'KEEI BAU - Industry'!Z$53*'Others Split'!$D$48*'Others Split'!$M$15</f>
        <v>1372990066182.9568</v>
      </c>
      <c r="K26" s="16">
        <f>'KEEI BAU - Industry'!AA$53*'Others Split'!$D$48*'Others Split'!$M$15</f>
        <v>1385319859426.0222</v>
      </c>
      <c r="L26" s="16">
        <f>'KEEI BAU - Industry'!AB$53*'Others Split'!$D$48*'Others Split'!$M$15</f>
        <v>1397649652669.0903</v>
      </c>
      <c r="M26" s="16">
        <f>'KEEI BAU - Industry'!AC$53*'Others Split'!$D$48*'Others Split'!$M$15</f>
        <v>1406415685074.4565</v>
      </c>
      <c r="N26" s="16">
        <f>'KEEI BAU - Industry'!AD$53*'Others Split'!$D$48*'Others Split'!$M$15</f>
        <v>1415181717479.8254</v>
      </c>
      <c r="O26" s="16">
        <f>'KEEI BAU - Industry'!AE$53*'Others Split'!$D$48*'Others Split'!$M$15</f>
        <v>1423947749885.1941</v>
      </c>
      <c r="P26" s="16">
        <f>'KEEI BAU - Industry'!AF$53*'Others Split'!$D$48*'Others Split'!$M$15</f>
        <v>1432713782290.563</v>
      </c>
      <c r="Q26" s="16">
        <f>'KEEI BAU - Industry'!AG$53*'Others Split'!$D$48*'Others Split'!$M$15</f>
        <v>1441479814695.9314</v>
      </c>
      <c r="R26" s="16">
        <f>'KEEI BAU - Industry'!AH$53*'Others Split'!$D$48*'Others Split'!$M$15</f>
        <v>1448361559761.8315</v>
      </c>
      <c r="S26" s="16">
        <f>'KEEI BAU - Industry'!AI$53*'Others Split'!$D$48*'Others Split'!$M$15</f>
        <v>1455243304827.7261</v>
      </c>
      <c r="T26" s="16">
        <f>'KEEI BAU - Industry'!AJ$53*'Others Split'!$D$48*'Others Split'!$M$15</f>
        <v>1462125049893.623</v>
      </c>
      <c r="U26" s="16">
        <f>'KEEI BAU - Industry'!AK$53*'Others Split'!$D$48*'Others Split'!$M$15</f>
        <v>1469006794959.52</v>
      </c>
      <c r="V26" s="16">
        <f>'KEEI BAU - Industry'!AL$53*'Others Split'!$D$48*'Others Split'!$M$15</f>
        <v>1475888540025.4148</v>
      </c>
      <c r="W26" s="16">
        <f>'KEEI BAU - Industry'!AM$53*'Others Split'!$D$48*'Others Split'!$M$15</f>
        <v>1485282668210.6082</v>
      </c>
      <c r="X26" s="16">
        <f>'KEEI BAU - Industry'!AN$53*'Others Split'!$D$48*'Others Split'!$M$15</f>
        <v>1492963807905.3711</v>
      </c>
      <c r="Y26" s="16">
        <f>'KEEI BAU - Industry'!AO$53*'Others Split'!$D$48*'Others Split'!$M$15</f>
        <v>1500644947600.137</v>
      </c>
      <c r="Z26" s="16">
        <f>'KEEI BAU - Industry'!AP$53*'Others Split'!$D$48*'Others Split'!$M$15</f>
        <v>1508326087294.8999</v>
      </c>
      <c r="AA26" s="16">
        <f>'KEEI BAU - Industry'!AQ$53*'Others Split'!$D$48*'Others Split'!$M$15</f>
        <v>1516007226989.6631</v>
      </c>
      <c r="AB26" s="16">
        <f>'KEEI BAU - Industry'!AR$53*'Others Split'!$D$48*'Others Split'!$M$15</f>
        <v>1523688366684.426</v>
      </c>
      <c r="AC26" s="16">
        <f>'KEEI BAU - Industry'!AS$53*'Others Split'!$D$48*'Others Split'!$M$15</f>
        <v>1531369506379.1919</v>
      </c>
      <c r="AD26" s="16">
        <f>'KEEI BAU - Industry'!AT$53*'Others Split'!$D$48*'Others Split'!$M$15</f>
        <v>1539050646073.9548</v>
      </c>
      <c r="AE26" s="16">
        <f>'KEEI BAU - Industry'!AU$53*'Others Split'!$D$48*'Others Split'!$M$15</f>
        <v>1546731785768.718</v>
      </c>
      <c r="AF26" s="16">
        <f>'KEEI BAU - Industry'!AV$53*'Others Split'!$D$48*'Others Split'!$M$15</f>
        <v>1554412925463.4836</v>
      </c>
    </row>
    <row r="28" spans="1:33">
      <c r="B28" s="221"/>
    </row>
    <row r="29" spans="1:33">
      <c r="B29" s="221"/>
    </row>
    <row r="30" spans="1:33">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row>
    <row r="34" spans="2:33">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row>
    <row r="35" spans="2:33">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row>
    <row r="36" spans="2:33">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row>
    <row r="37" spans="2:33">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row>
    <row r="39" spans="2:33">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row>
    <row r="40" spans="2:33">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row>
    <row r="41" spans="2:33">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row>
    <row r="42" spans="2:33">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row>
    <row r="43" spans="2:33">
      <c r="B43" s="16"/>
      <c r="C43" s="16"/>
      <c r="D43" s="16"/>
      <c r="E43" s="16"/>
      <c r="F43" s="16"/>
      <c r="G43" s="16"/>
      <c r="H43" s="16"/>
      <c r="I43" s="16"/>
      <c r="J43" s="16"/>
      <c r="K43" s="16"/>
    </row>
    <row r="44" spans="2:33">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row>
    <row r="45" spans="2:33">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row>
    <row r="46" spans="2:33">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row>
    <row r="47" spans="2:33">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row>
    <row r="48" spans="2:33">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row>
    <row r="49" spans="2:33">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row>
    <row r="50" spans="2:33">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row>
    <row r="51" spans="2:33">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row>
    <row r="54" spans="2:33">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row>
    <row r="56" spans="2:33">
      <c r="B56" s="21"/>
    </row>
    <row r="57" spans="2:33">
      <c r="B57" s="21"/>
    </row>
    <row r="58" spans="2:33">
      <c r="B58" s="21"/>
    </row>
    <row r="59" spans="2:33">
      <c r="B59" s="21"/>
    </row>
    <row r="60" spans="2:33">
      <c r="B60" s="21"/>
    </row>
    <row r="61" spans="2:33">
      <c r="B61" s="21"/>
    </row>
    <row r="62" spans="2:33">
      <c r="B62" s="21"/>
    </row>
    <row r="63" spans="2:33">
      <c r="B63" s="21"/>
    </row>
    <row r="64" spans="2:33">
      <c r="B64" s="21"/>
    </row>
    <row r="65" spans="2:2">
      <c r="B65" s="21"/>
    </row>
    <row r="66" spans="2:2">
      <c r="B66" s="21"/>
    </row>
    <row r="67" spans="2:2">
      <c r="B67" s="21"/>
    </row>
    <row r="68" spans="2:2">
      <c r="B68" s="21"/>
    </row>
    <row r="69" spans="2:2">
      <c r="B69" s="21"/>
    </row>
    <row r="70" spans="2:2">
      <c r="B70" s="21"/>
    </row>
    <row r="71" spans="2:2">
      <c r="B71" s="21"/>
    </row>
    <row r="72" spans="2:2">
      <c r="B72" s="21"/>
    </row>
    <row r="73" spans="2:2">
      <c r="B73" s="21"/>
    </row>
    <row r="74" spans="2:2">
      <c r="B74" s="21"/>
    </row>
    <row r="75" spans="2:2">
      <c r="B75" s="21"/>
    </row>
    <row r="76" spans="2:2">
      <c r="B76" s="21"/>
    </row>
    <row r="77" spans="2:2">
      <c r="B77" s="21"/>
    </row>
    <row r="78" spans="2:2">
      <c r="B78" s="21"/>
    </row>
    <row r="79" spans="2:2">
      <c r="B79" s="21"/>
    </row>
    <row r="80" spans="2:2">
      <c r="B80" s="21"/>
    </row>
    <row r="81" spans="2:2">
      <c r="B81" s="21"/>
    </row>
    <row r="82" spans="2:2">
      <c r="B82" s="21"/>
    </row>
    <row r="83" spans="2:2">
      <c r="B83" s="21"/>
    </row>
    <row r="84" spans="2:2">
      <c r="B84" s="21"/>
    </row>
    <row r="85" spans="2:2">
      <c r="B85" s="21"/>
    </row>
    <row r="86" spans="2:2">
      <c r="B86" s="21"/>
    </row>
  </sheetData>
  <phoneticPr fontId="37"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I26"/>
  <sheetViews>
    <sheetView zoomScale="61" workbookViewId="0">
      <pane xSplit="1" ySplit="1" topLeftCell="C2" activePane="bottomRight" state="frozen"/>
      <selection pane="topRight" activeCell="B1" sqref="B1"/>
      <selection pane="bottomLeft" activeCell="A2" sqref="A2"/>
      <selection pane="bottomRight" activeCell="R27" sqref="R27"/>
    </sheetView>
  </sheetViews>
  <sheetFormatPr defaultColWidth="9.125" defaultRowHeight="16.5"/>
  <cols>
    <col min="1" max="1" width="39.875" customWidth="1"/>
  </cols>
  <sheetData>
    <row r="1" spans="1:35">
      <c r="A1" s="24" t="s">
        <v>27</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5">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5">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5">
      <c r="A5" t="s">
        <v>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5">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5">
      <c r="A7" t="s">
        <v>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5">
      <c r="A8" t="s">
        <v>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5">
      <c r="A9" t="s">
        <v>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5">
      <c r="A10" t="s">
        <v>10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5">
      <c r="A11" t="s">
        <v>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5">
      <c r="A12" t="s">
        <v>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5">
      <c r="A13" t="s">
        <v>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5">
      <c r="A14" t="s">
        <v>14</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5">
      <c r="A15" t="s">
        <v>15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5">
      <c r="A16" t="s">
        <v>16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c r="A17" t="s">
        <v>17</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18</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19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20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21</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22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23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c r="A24" t="s">
        <v>24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25</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26</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sheetData>
  <phoneticPr fontId="37"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59C87379D9A4242BB3A95F198D6F941" ma:contentTypeVersion="4" ma:contentTypeDescription="Create a new document." ma:contentTypeScope="" ma:versionID="07a235b40ffe2d9a960bde50f6511605">
  <xsd:schema xmlns:xsd="http://www.w3.org/2001/XMLSchema" xmlns:xs="http://www.w3.org/2001/XMLSchema" xmlns:p="http://schemas.microsoft.com/office/2006/metadata/properties" xmlns:ns2="40f4d404-d193-41dc-bb72-733c1e774208" targetNamespace="http://schemas.microsoft.com/office/2006/metadata/properties" ma:root="true" ma:fieldsID="485fc8e6f691b86ce0aee9b7e82feca0" ns2:_="">
    <xsd:import namespace="40f4d404-d193-41dc-bb72-733c1e7742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d404-d193-41dc-bb72-733c1e7742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B0DC22-C996-47D0-8F6B-90DC464054B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85CFE0D-79D8-459C-8DEC-AA55A14825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f4d404-d193-41dc-bb72-733c1e7742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E003242-8B03-47C8-BCD4-9040A060FD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33</vt:i4>
      </vt:variant>
    </vt:vector>
  </HeadingPairs>
  <TitlesOfParts>
    <vt:vector size="33" baseType="lpstr">
      <vt:lpstr>About</vt:lpstr>
      <vt:lpstr>KEEI BAU - Overview</vt:lpstr>
      <vt:lpstr>KEEI BAU - Industry</vt:lpstr>
      <vt:lpstr>KEEI BAU - Gas Supply</vt:lpstr>
      <vt:lpstr>KEEI BAU - Coal Supply</vt:lpstr>
      <vt:lpstr>2019 KESIS Energy Balance</vt:lpstr>
      <vt:lpstr>2022 Energy Balance</vt:lpstr>
      <vt:lpstr>BAU Energy Forecast_Transport</vt:lpstr>
      <vt:lpstr>Energy BAU_Residential</vt:lpstr>
      <vt:lpstr>Energy BAU_Service</vt:lpstr>
      <vt:lpstr>Steel Split</vt:lpstr>
      <vt:lpstr>Petrochemicals Split</vt:lpstr>
      <vt:lpstr>Non-ferrous Metals Split</vt:lpstr>
      <vt:lpstr>Others Split</vt:lpstr>
      <vt:lpstr>Machinery Split</vt:lpstr>
      <vt:lpstr>Water and Waste</vt:lpstr>
      <vt:lpstr>CHP</vt:lpstr>
      <vt:lpstr>BIFUbC-coal pre-CHP</vt:lpstr>
      <vt:lpstr>BIFUbC-natural-gas pre-CHP</vt:lpstr>
      <vt:lpstr>BIFUbC-biomass pre-CHP</vt:lpstr>
      <vt:lpstr>BIFUbC-petroleum-diesel pre-CHP</vt:lpstr>
      <vt:lpstr>sum_all</vt:lpstr>
      <vt:lpstr>BIFUbC-coal</vt:lpstr>
      <vt:lpstr>BIFUbC-natural-gas</vt:lpstr>
      <vt:lpstr>BIFUbC-biomass</vt:lpstr>
      <vt:lpstr>BIFUbC-petroleum-diesel</vt:lpstr>
      <vt:lpstr>BIFUbC-electricity</vt:lpstr>
      <vt:lpstr>BIFUbC-heat</vt:lpstr>
      <vt:lpstr>KEEI BAU - Oil Supply</vt:lpstr>
      <vt:lpstr>BIFUbC-crude-oil</vt:lpstr>
      <vt:lpstr>BIFUbC-heavy-or-residual-oil</vt:lpstr>
      <vt:lpstr>BIFUbC-LPG-propane-or-butane</vt:lpstr>
      <vt:lpstr>BIFUbC-hydrogen</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공용계정2</cp:lastModifiedBy>
  <dcterms:created xsi:type="dcterms:W3CDTF">2014-03-20T21:01:41Z</dcterms:created>
  <dcterms:modified xsi:type="dcterms:W3CDTF">2025-05-07T05:00:36Z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