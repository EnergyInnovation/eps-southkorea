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ister\Dropbox\NEXT Group\20. 프로젝트 관리\2025 에너지 수요전망 모형 구축\EPS 모형\eps-southkorea-3.3.1\InputData\io-model\BECbIC\"/>
    </mc:Choice>
  </mc:AlternateContent>
  <xr:revisionPtr revIDLastSave="0" documentId="13_ncr:1_{D473E300-8A37-4ECE-8828-5C7DC2E56D8F}" xr6:coauthVersionLast="47" xr6:coauthVersionMax="47" xr10:uidLastSave="{00000000-0000-0000-0000-000000000000}"/>
  <bookViews>
    <workbookView xWindow="-105" yWindow="0" windowWidth="14610" windowHeight="15585" tabRatio="798" xr2:uid="{627AEC81-F936-4D4B-BC36-6A75B79A7E15}"/>
  </bookViews>
  <sheets>
    <sheet name="About" sheetId="1" r:id="rId1"/>
    <sheet name="OECD VAL" sheetId="7" r:id="rId2"/>
    <sheet name="EXIOBASE EMP Splits" sheetId="16" r:id="rId3"/>
    <sheet name="OECD Chem Pharma Split" sheetId="13" r:id="rId4"/>
    <sheet name="BECbIC" sheetId="2" r:id="rId5"/>
  </sheets>
  <definedNames>
    <definedName name="CAP_CT" localSheetId="2">#REF!</definedName>
    <definedName name="CAP_CT">#REF!</definedName>
    <definedName name="CAP_GFCF" localSheetId="2">#REF!</definedName>
    <definedName name="CAP_GFCF">#REF!</definedName>
    <definedName name="CAP_IT" localSheetId="2">#REF!</definedName>
    <definedName name="CAP_IT">#REF!</definedName>
    <definedName name="CAP_OCon" localSheetId="2">#REF!</definedName>
    <definedName name="CAP_OCon">#REF!</definedName>
    <definedName name="CAP_OMach" localSheetId="2">#REF!</definedName>
    <definedName name="CAP_OMach">#REF!</definedName>
    <definedName name="CAP_Other" localSheetId="2">#REF!</definedName>
    <definedName name="CAP_Other">#REF!</definedName>
    <definedName name="CAP_QI" localSheetId="2">#REF!</definedName>
    <definedName name="CAP_QI">#REF!</definedName>
    <definedName name="CAP_RStruc" localSheetId="2">#REF!</definedName>
    <definedName name="CAP_RStruc">#REF!</definedName>
    <definedName name="CAP_Soft" localSheetId="2">#REF!</definedName>
    <definedName name="CAP_Soft">#REF!</definedName>
    <definedName name="CAP_TraEq" localSheetId="2">#REF!</definedName>
    <definedName name="CAP_TraEq">#REF!</definedName>
    <definedName name="CAPIT" localSheetId="2">#REF!</definedName>
    <definedName name="CAPIT">#REF!</definedName>
    <definedName name="CAPIT_QI" localSheetId="2">#REF!</definedName>
    <definedName name="CAPIT_QI">#REF!</definedName>
    <definedName name="capit_qph" localSheetId="2">#REF!</definedName>
    <definedName name="capit_qph">#REF!</definedName>
    <definedName name="CAPNIT" localSheetId="2">#REF!</definedName>
    <definedName name="CAPNIT">#REF!</definedName>
    <definedName name="CAPNIT_QI" localSheetId="2">#REF!</definedName>
    <definedName name="CAPNIT_QI">#REF!</definedName>
    <definedName name="capnit_qph" localSheetId="2">#REF!</definedName>
    <definedName name="capnit_qph">#REF!</definedName>
    <definedName name="FLAPPIE" localSheetId="2">#REF!</definedName>
    <definedName name="FLAPPIE">#REF!</definedName>
    <definedName name="VAConL" localSheetId="2">#REF!</definedName>
    <definedName name="VACon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" i="2" l="1"/>
  <c r="L2" i="2"/>
  <c r="AQ2" i="2" l="1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K2" i="2"/>
  <c r="J2" i="2"/>
  <c r="I2" i="2"/>
  <c r="H2" i="2"/>
  <c r="G2" i="2"/>
  <c r="F2" i="2"/>
  <c r="E2" i="2"/>
  <c r="D2" i="2"/>
  <c r="C2" i="2"/>
  <c r="B2" i="2"/>
  <c r="A1" i="13"/>
  <c r="K7" i="16"/>
  <c r="J7" i="16"/>
  <c r="I7" i="16"/>
  <c r="H7" i="16"/>
  <c r="G7" i="16"/>
  <c r="F7" i="16"/>
  <c r="E7" i="16"/>
  <c r="D7" i="16"/>
  <c r="C7" i="16"/>
  <c r="A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27" authorId="0" shapeId="0" xr:uid="{7EC1440A-CC69-4D1B-A63F-0F5BF8B99504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D27" authorId="0" shapeId="0" xr:uid="{C052C5C2-DA4B-40DC-AC94-DA414C18CA2B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E27" authorId="0" shapeId="0" xr:uid="{934F1FE1-EC8A-413D-A1B1-7901BBE1E1FB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F27" authorId="0" shapeId="0" xr:uid="{5BE01F41-E556-4377-A325-0D6A5E8B190D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G27" authorId="0" shapeId="0" xr:uid="{A7D42CED-7CB8-4E61-A5A8-E64012253C6D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H27" authorId="0" shapeId="0" xr:uid="{0428C234-95DE-4985-92D5-32AA8EA826DF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I27" authorId="0" shapeId="0" xr:uid="{411B1567-2494-4E3F-A208-45D617C84625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J27" authorId="0" shapeId="0" xr:uid="{803758D3-A7E7-452D-91E9-9DA0DD4841CF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K27" authorId="0" shapeId="0" xr:uid="{C26176C8-D449-470C-94F6-0187CB953CC9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L27" authorId="0" shapeId="0" xr:uid="{37DF621B-DEB4-44CB-8A21-916F655CD908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M27" authorId="0" shapeId="0" xr:uid="{596DFCF9-BFD0-44B1-91B8-0432354D005F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N27" authorId="0" shapeId="0" xr:uid="{FCE14E21-CF62-469D-AA03-ADC62DA4FE3A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O27" authorId="0" shapeId="0" xr:uid="{4B3883BD-C800-453A-992E-1E82409C5894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P27" authorId="0" shapeId="0" xr:uid="{0EC7096B-8CF9-4753-AE5A-C710CE7E40BB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Q27" authorId="0" shapeId="0" xr:uid="{DD0E799D-1D7E-4DF5-BBBF-A7EEE1C9C56F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R27" authorId="0" shapeId="0" xr:uid="{5E29D68A-E9EB-430A-A388-7FE97912B43A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S27" authorId="0" shapeId="0" xr:uid="{EF2473EF-A0AF-4356-9165-280E7D7C1AE1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T27" authorId="0" shapeId="0" xr:uid="{A03C6167-0922-43C0-8BDB-21E7D7F795CC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U27" authorId="0" shapeId="0" xr:uid="{8A4126EC-787C-4DAD-BBBF-E209725B2F84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V27" authorId="0" shapeId="0" xr:uid="{8C19A905-42EB-44FD-A6B3-22903375DAA8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W27" authorId="0" shapeId="0" xr:uid="{FF31556C-9BD5-46D7-8D5D-CC6DD127C287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X27" authorId="0" shapeId="0" xr:uid="{FB44DB7E-CB70-4C89-A1D0-28CD046E5585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Y27" authorId="0" shapeId="0" xr:uid="{5C937324-C268-4661-8D06-98A017D81528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Z27" authorId="0" shapeId="0" xr:uid="{FF8F7BCF-03A8-4D37-8BD8-7EE5BB747523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A27" authorId="0" shapeId="0" xr:uid="{2A5ACADE-E96E-40EF-B527-8EC2524442F3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B27" authorId="0" shapeId="0" xr:uid="{D80F3004-E09B-412F-B340-2A0669A2B676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C27" authorId="0" shapeId="0" xr:uid="{9FBCDAB1-360B-4FCC-B800-A566D5BD95AE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D27" authorId="0" shapeId="0" xr:uid="{57B61073-1783-4209-94C8-E90D3320D677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E27" authorId="0" shapeId="0" xr:uid="{A7ACD678-B1EC-4F4F-9868-69FEC7198C51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F27" authorId="0" shapeId="0" xr:uid="{F88D3038-954A-40EC-8AF4-A3553A595875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G27" authorId="0" shapeId="0" xr:uid="{7FC92884-CC32-4C7E-A517-DA7944A61D0B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H27" authorId="0" shapeId="0" xr:uid="{A1C71DA3-0EAA-4AE3-A324-F311AB7DC28C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I27" authorId="0" shapeId="0" xr:uid="{11787DB2-066C-4AF0-90CB-B4B8C01E85DE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J27" authorId="0" shapeId="0" xr:uid="{C1CE1A34-B7E3-4BB1-BF8F-4DB0367594CF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K27" authorId="0" shapeId="0" xr:uid="{6042A41D-634A-4AAA-8344-333E94E2C3E1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L27" authorId="0" shapeId="0" xr:uid="{47B1B706-C8AA-452E-89CB-524AF34A8494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C28" authorId="0" shapeId="0" xr:uid="{F236D714-6841-4919-9734-86EA608E27C8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D28" authorId="0" shapeId="0" xr:uid="{FDE5D983-452A-4369-8138-EE2DB7C17B02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E28" authorId="0" shapeId="0" xr:uid="{A21ED2D8-1F09-4227-BF97-C0592CB6F831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F28" authorId="0" shapeId="0" xr:uid="{5335814F-B382-4728-A239-2006CBE59808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G28" authorId="0" shapeId="0" xr:uid="{3A9F82B9-5A7D-4666-9959-A63C94016B3E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H28" authorId="0" shapeId="0" xr:uid="{A7CA23B8-F745-4B38-9C06-BCBFAA775E8B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I28" authorId="0" shapeId="0" xr:uid="{15AEBBFF-AC2E-4D38-ABAF-90714EB6BEF9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J28" authorId="0" shapeId="0" xr:uid="{56445019-1D45-4F93-A2D2-B972AED5953F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K28" authorId="0" shapeId="0" xr:uid="{622B1097-7825-4AC8-A20C-94AC3DA3D662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L28" authorId="0" shapeId="0" xr:uid="{F6A37B03-1C1F-40E5-8475-50A419654CEA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M28" authorId="0" shapeId="0" xr:uid="{0939EBD5-A852-47B4-9179-5D4B10A237A0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N28" authorId="0" shapeId="0" xr:uid="{ECCCF0D1-03F6-4037-9BCB-2117660BEF23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O28" authorId="0" shapeId="0" xr:uid="{606A5BF5-A79D-4A83-8F5C-C9EDB15E0FA0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P28" authorId="0" shapeId="0" xr:uid="{E59FEDA0-A224-401B-B7A3-59C5D8CF6560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Q28" authorId="0" shapeId="0" xr:uid="{2FFC2EBE-C550-4ED5-9C0B-1E4EA143E818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R28" authorId="0" shapeId="0" xr:uid="{BF694B89-049F-4416-A0FA-88A868F15856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S28" authorId="0" shapeId="0" xr:uid="{83471D0E-052F-4CD6-9C38-8CDA16FB1219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T28" authorId="0" shapeId="0" xr:uid="{117C8707-A94C-491F-A6B0-922E0A037824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U28" authorId="0" shapeId="0" xr:uid="{F84FD334-7B27-43F4-B2A7-4080E50CB8CC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V28" authorId="0" shapeId="0" xr:uid="{B819A7D1-668C-48A0-BFF2-36306D2E47F0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W28" authorId="0" shapeId="0" xr:uid="{53DEB6F6-1662-4E79-A402-588AF11A968D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X28" authorId="0" shapeId="0" xr:uid="{742108C9-D06A-4604-B6A1-821F818EC260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Y28" authorId="0" shapeId="0" xr:uid="{D4ACDEF5-B35E-4291-B144-23BE74D810F7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Z28" authorId="0" shapeId="0" xr:uid="{FDA9DB2B-8E64-4D55-B9E2-084705C737FF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A28" authorId="0" shapeId="0" xr:uid="{CFA8C02C-A8FC-4C21-827A-829BBE4B3F59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B28" authorId="0" shapeId="0" xr:uid="{A259E894-584C-4488-B3E5-FCBACDBA7357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C28" authorId="0" shapeId="0" xr:uid="{E94C0276-4B75-44A1-A92F-1DF310C660F3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D28" authorId="0" shapeId="0" xr:uid="{DE7AE2BC-0FFC-40B2-8701-66B46B89BEE4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E28" authorId="0" shapeId="0" xr:uid="{7590803C-7554-472A-BC60-A62718D078C9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F28" authorId="0" shapeId="0" xr:uid="{F03AE96C-389C-4055-9D15-ECF25DEC1971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G28" authorId="0" shapeId="0" xr:uid="{2E6F98AF-836F-4EF8-8DC5-62416CC5E92C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H28" authorId="0" shapeId="0" xr:uid="{C3BD7001-F17D-4F5E-A5E6-AFAF4AFF5438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I28" authorId="0" shapeId="0" xr:uid="{BF27E5BD-F4A3-47EE-91BA-2A7EFABA6AD5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J28" authorId="0" shapeId="0" xr:uid="{53FF0A20-4421-4C06-A94E-38AD125D5157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K28" authorId="0" shapeId="0" xr:uid="{EC459139-0FC9-4525-BDB4-1AA832F56399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L28" authorId="0" shapeId="0" xr:uid="{17116732-A0FC-4A98-A44A-991304C0DE59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C29" authorId="0" shapeId="0" xr:uid="{2A0EF02B-D8E6-4DBE-9B74-3C28581B119E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D29" authorId="0" shapeId="0" xr:uid="{504DAE99-DDDB-47D2-973E-ECBEA124E4DD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E29" authorId="0" shapeId="0" xr:uid="{184DBA7D-2F61-486F-A9A7-851D502510C6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F29" authorId="0" shapeId="0" xr:uid="{B7577DBD-914C-4082-AD3D-FC9C67491295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G29" authorId="0" shapeId="0" xr:uid="{AF5725B8-7790-4789-9088-87701186D1A6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H29" authorId="0" shapeId="0" xr:uid="{3FDC3A9C-BF50-4962-A726-D64E12A57914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I29" authorId="0" shapeId="0" xr:uid="{8377B504-CAFF-4D93-8102-191082AEE5BD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J29" authorId="0" shapeId="0" xr:uid="{363D8431-11D4-4213-B33C-27670CACD26E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K29" authorId="0" shapeId="0" xr:uid="{B43AAD89-F1B6-44D4-A2BD-256BE8DD58B3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L29" authorId="0" shapeId="0" xr:uid="{94FED033-E75C-4697-A617-ED1DD7EF0AC3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M29" authorId="0" shapeId="0" xr:uid="{02F71447-4333-4CFA-8EB5-43E746FCC598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N29" authorId="0" shapeId="0" xr:uid="{5B055EC5-5FCB-42DE-94A4-988DA9C2435D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O29" authorId="0" shapeId="0" xr:uid="{D69D55D6-9D89-47A1-AAD8-104481271CFC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P29" authorId="0" shapeId="0" xr:uid="{07C1D680-6EF4-4101-B342-805ABB749676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Q29" authorId="0" shapeId="0" xr:uid="{5EC1BC0B-B508-4C06-9CFA-6A0E6C25EB69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R29" authorId="0" shapeId="0" xr:uid="{15487768-DEC3-4246-91EF-D6750E10D3F2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S29" authorId="0" shapeId="0" xr:uid="{4E2BA540-4E64-4CD1-9F67-F1D5CDBB1CDD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T29" authorId="0" shapeId="0" xr:uid="{94C93930-C592-497F-9078-775390228C4B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U29" authorId="0" shapeId="0" xr:uid="{F1E6684A-9D34-4AE8-8D97-0BE55E739080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V29" authorId="0" shapeId="0" xr:uid="{BEAEFE79-2B76-4B71-A8D8-CCE22B136BD2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W29" authorId="0" shapeId="0" xr:uid="{A41B2F05-1446-4D95-820E-D327D1EBC37C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X29" authorId="0" shapeId="0" xr:uid="{3B63B0AB-5F85-488D-BB32-D49EFA6AFDE7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Y29" authorId="0" shapeId="0" xr:uid="{E39C1C85-96B6-4FB3-8DEB-C4AF78D5DC38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Z29" authorId="0" shapeId="0" xr:uid="{189C06A8-5FC3-47AC-93CF-E7AED076E59D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A29" authorId="0" shapeId="0" xr:uid="{E2EB96CC-E078-46FE-A0BB-66FF5B77ADBC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B29" authorId="0" shapeId="0" xr:uid="{D9896675-8427-4907-8F0F-CA8AA108FAF7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C29" authorId="0" shapeId="0" xr:uid="{2B58DBB4-C46E-4C69-B462-CA1855B48C4F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D29" authorId="0" shapeId="0" xr:uid="{C58A8F18-2F03-48DC-9C76-9FE2F68E6ED7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E29" authorId="0" shapeId="0" xr:uid="{0CA738D4-925B-4153-8D58-4F57739C9FB6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F29" authorId="0" shapeId="0" xr:uid="{AAC2B70C-F493-456A-9427-A90CDF89AAE5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G29" authorId="0" shapeId="0" xr:uid="{29F67E8A-C0CF-4298-8CB4-A6362AAE21A4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H29" authorId="0" shapeId="0" xr:uid="{E7BF42F6-7E87-469C-8463-FED2CF66E414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I29" authorId="0" shapeId="0" xr:uid="{6F90BAA8-556E-4678-9840-A729E6823A98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J29" authorId="0" shapeId="0" xr:uid="{0DD52C32-6608-4656-AB58-4B613311E3A2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K29" authorId="0" shapeId="0" xr:uid="{0B9DC9AC-251D-4932-B446-10902C08ECE9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  <comment ref="AL29" authorId="0" shapeId="0" xr:uid="{89E06151-E662-4B9F-B7CA-438795730605}">
      <text>
        <r>
          <rPr>
            <sz val="11"/>
            <color theme="1"/>
            <rFont val="맑은 고딕"/>
            <family val="2"/>
            <scheme val="minor"/>
          </rPr>
          <t>Observation Status: A
Combined unit of measure: US Dollar, Millions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</authors>
  <commentList>
    <comment ref="C7" authorId="0" shapeId="0" xr:uid="{276F43FB-5A2C-4F9B-8A9F-D180E57898C4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D7" authorId="0" shapeId="0" xr:uid="{BE21856C-5E6A-4033-9AE2-6D696E2B9276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</commentList>
</comments>
</file>

<file path=xl/sharedStrings.xml><?xml version="1.0" encoding="utf-8"?>
<sst xmlns="http://schemas.openxmlformats.org/spreadsheetml/2006/main" count="241" uniqueCount="180">
  <si>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</si>
  <si>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</si>
  <si>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</si>
  <si>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</si>
  <si>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</si>
  <si>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</si>
  <si>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</si>
  <si>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</si>
  <si>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</si>
  <si>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</si>
  <si>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</si>
  <si>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</si>
  <si>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</si>
  <si>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</si>
  <si>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</si>
  <si>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</si>
  <si>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</si>
  <si>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</si>
  <si>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</si>
  <si>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</si>
  <si>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</si>
  <si>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</si>
  <si>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</si>
  <si>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</si>
  <si>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</si>
  <si>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</si>
  <si>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</si>
  <si>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</si>
  <si>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</si>
  <si>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</si>
  <si>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</si>
  <si>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</si>
  <si>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</si>
  <si>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</si>
  <si>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</si>
  <si>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</si>
  <si>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</si>
  <si>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</si>
  <si>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</si>
  <si>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</si>
  <si>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</si>
  <si>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</si>
  <si>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VAL: Value added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</si>
  <si>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</si>
  <si>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</si>
  <si>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</si>
  <si>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</si>
  <si>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</si>
  <si>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</si>
  <si>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</si>
  <si>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</si>
  <si>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</si>
  <si>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</si>
  <si>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</si>
  <si>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</si>
  <si>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</si>
  <si>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</si>
  <si>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</si>
  <si>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</si>
  <si>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</si>
  <si>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</si>
  <si>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</si>
  <si>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</si>
  <si>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</si>
  <si>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</si>
  <si>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</si>
  <si>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</si>
  <si>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</si>
  <si>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</si>
  <si>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</si>
  <si>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</si>
  <si>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</si>
  <si>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</si>
  <si>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</si>
  <si>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</si>
  <si>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</si>
  <si>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</si>
  <si>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</si>
  <si>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</si>
  <si>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</si>
  <si>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</si>
  <si>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</si>
  <si>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>LABR: Compensation of employees</t>
  </si>
  <si>
    <t>OTXS: Other taxes less subsidies on production</t>
  </si>
  <si>
    <t>GOPS: Gross operating surplus and mixed income</t>
  </si>
  <si>
    <t>Employee Compensation</t>
  </si>
  <si>
    <t>Unit: $</t>
  </si>
  <si>
    <t>Input-Output Tables 2018 Edition (ISIC Rev. 4)</t>
  </si>
  <si>
    <t>Variable: VAL</t>
  </si>
  <si>
    <t>In the OECD dataset, employee compensation includes not just salary and bonuses</t>
  </si>
  <si>
    <t>but also employer-paid benefits and employer-paid retirement plan contributions.</t>
  </si>
  <si>
    <t>We convert 2015 USD to 2012 USD with the following conversion factor:</t>
  </si>
  <si>
    <t>2012 USD per 2015 USD</t>
  </si>
  <si>
    <t>BECbIC BAU Employee Compensation by ISIC Code</t>
  </si>
  <si>
    <t>ISIC 20</t>
  </si>
  <si>
    <t>ISIC 21</t>
  </si>
  <si>
    <t>Most Industries</t>
  </si>
  <si>
    <t>https://stats.oecd.org/Index.aspx?DataSetCode=IOTSI4_2018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</si>
  <si>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</si>
  <si>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</si>
  <si>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</si>
  <si>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</si>
  <si>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</si>
  <si>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</si>
  <si>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</si>
  <si>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</si>
  <si>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</si>
  <si>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Korea</t>
  </si>
  <si>
    <t>D21: Basic pharmaceutical products and pharmaceutical preparations [CF]</t>
  </si>
  <si>
    <t>D20: Chemicals and chemical products [CE]</t>
  </si>
  <si>
    <t>Industry</t>
  </si>
  <si>
    <t>LABR: Labour costs (compensation of employees)</t>
  </si>
  <si>
    <t>&lt;?xml version="1.0" encoding="utf-16"?&gt;&lt;WebTableParameter xmlns:xsd="http://www.w3.org/2001/XMLSchema" xmlns:xsi="http://www.w3.org/2001/XMLSchema-instance" xmlns="http://stats.oecd.org/OECDStatWS/2004/03/01/"&gt;&lt;DataTable Code="STANI4_2020" HasMetadata="true"&gt;&lt;Name LocaleIsoCode="en"&gt;STAN Industrial Analysis (2020 ed.)&lt;/Name&gt;&lt;Name LocaleIsoCode="fr"&gt;STAN pour l'Analyse Structurelle (éd. 2020)&lt;/Name&gt;&lt;Dimension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Code="HUN" HasMetadata="true" HasOnlyUnitMetadata="false" HasChild="0"&gt;&lt;Name LocaleIsoCode="en"&gt;Hungary&lt;/Name&gt;&lt;Name LocaleIsoCode="fr"&gt;Hongrie&lt;/Name&gt;&lt;/Member&gt;&lt;Member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Code="LVA" HasMetadata="true"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Code="NOR" HasMetadata="true" HasOnlyUnitMetadata="false" HasChild="0"&gt;&lt;Name LocaleIsoCode="en"&gt;Norway&lt;/Name&gt;&lt;Name LocaleIsoCode="fr"&gt;Norvège&lt;/Name&gt;&lt;/Member&gt;&lt;Member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Code="ESP" HasMetadata="true" HasOnlyUnitMetadata="false" HasChild="0"&gt;&lt;Name LocaleIsoCode="en"&gt;Spain&lt;/Name&gt;&lt;Name LocaleIsoCode="fr"&gt;Espagne&lt;/Name&gt;&lt;/Member&gt;&lt;Member Code="CHE" HasMetadata="true" HasOnlyUnitMetadata="false" HasChild="0"&gt;&lt;Name LocaleIsoCode="en"&gt;Switzerland&lt;/Name&gt;&lt;Name LocaleIsoCode="fr"&gt;Suisse&lt;/Name&gt;&lt;/Member&gt;&lt;Member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LocaleIsoCode="fr"&gt;États-Unis&lt;/Name&gt;&lt;/Member&gt;&lt;/Dimension&gt;&lt;Dimension Code="VAR" HasMetadata="false" Display="codesandlabels"&gt;&lt;Name LocaleIsoCode="en"&gt;Variable&lt;/Name&gt;&lt;Name LocaleIsoCode="fr"&gt;Variable&lt;/Name&gt;&lt;Member Code="PROD" HasMetadata="true" HasOnlyUnitMetadata="true" HasChild="0"&gt;&lt;Name LocaleIsoCode="en"&gt;Production (gross output), current prices&lt;/Name&gt;&lt;Name LocaleIsoCode="fr"&gt;Production (brute), prix courants&lt;/Name&gt;&lt;/Member&gt;&lt;Member Code="VALU" HasMetadata="true" HasOnlyUnitMetadata="false" HasChild="0"&gt;&lt;Name LocaleIsoCode="en"&gt;Value added, current prices&lt;/Name&gt;&lt;Name LocaleIsoCode="fr"&gt;Valeur ajoutée, prix courants&lt;/Name&gt;&lt;/Member&gt;&lt;Member Code="LABR" HasMetadata="true" HasOnlyUnitMetadata="false" HasChild="0"&gt;&lt;Name LocaleIsoCode="en"&gt;Labour costs (compensation of employees)&lt;/Name&gt;&lt;Name LocaleIsoCode="fr"&gt;Coût de la main-d'oeuvre (rémunération)&lt;/Name&gt;&lt;/Member&gt;&lt;Member Code="GOPS" HasMetadata="true" HasOnlyUnitMetadata="true" HasChild="0"&gt;&lt;Name LocaleIsoCode="en"&gt;Gross operating surplus and mixed income&lt;/Name&gt;&lt;Name LocaleIsoCode="fr"&gt;Excédent brut d'exploitation et revenu mixte&lt;/Name&gt;&lt;/Member&gt;&lt;Member Code="OTXS" HasMetadata="true" HasOnlyUnitMetadata="true" HasChild="0"&gt;&lt;Name LocaleIsoCode="en"&gt;Other taxes less subsidies on production&lt;/Name&gt;&lt;Name LocaleIsoCode="fr"&gt;Autres impôts moins subventions sur la production&lt;/Name&gt;&lt;/Member&gt;&lt;Member Code="EMPN" HasMetadata="true" HasOnlyUnitMetadata="true" HasChild="0"&gt;&lt;Name LocaleIsoCode="en"&gt;Number of persons engaged (total employment)&lt;/Name&gt;&lt;Name LocaleIsoCode="fr"&gt;Actifs occupés - emploi total&lt;/Name&gt;&lt;/Member&gt;&lt;/Dimension&gt;&lt;Dimension Code="IND" HasMetadata="false" Display="codesandlabels"&gt;&lt;Name LocaleIsoCode="en"&gt;Industry&lt;/Name&gt;&lt;Name LocaleIsoCode="fr"&gt;Activité&lt;/Name&gt;&lt;Member Code="D20" HasMetadata="false" HasOnlyUnitMetadata="false" HasChild="0"&gt;&lt;Name LocaleIsoCode="en"&gt; Chemicals and chemical products [CE]&lt;/Name&gt;&lt;Name LocaleIsoCode="fr"&gt;Produits chimiques [CE]&lt;/Name&gt;&lt;/Member&gt;&lt;Member Code="D21" HasMetadata="false" HasOnlyUnitMetadata="false" HasChild="0"&gt;&lt;Name LocaleIsoCode="en"&gt; Basic pharmaceutical products and pharmaceutical preparations [CF]&lt;/Name&gt;&lt;Name LocaleIsoCode="fr"&gt;Produits et préparations pharmaceutiques [CF]&lt;/Name&gt;&lt;/Member&gt;&lt;/Dimension&gt;&lt;Dimension Code="TIME" HasMetadata="false" CommonCode="TIME" Display="labels"&gt;&lt;Name LocaleIsoCode="en"&gt;Time&lt;/Name&gt;&lt;Name LocaleIsoCode="fr"&gt;Temps&lt;/Name&gt;&lt;Member Code="2015" HasMetadata="false"&gt;&lt;Name LocaleIsoCode="en"&gt;2015&lt;/Name&gt;&lt;Name LocaleIsoCode="fr"&gt;2015&lt;/Name&gt;&lt;/Member&gt;&lt;/Dimension&gt;&lt;WBOSInformations&gt;&lt;TimeDimension WebTreeWasUsed="false"&gt;&lt;StartCodes Annual="2015" /&gt;&lt;EndCodes Annual="2015" /&gt;&lt;/TimeDimension&gt;&lt;/WBOSInformations&gt;&lt;Tabulation Axis="horizontal"&gt;&lt;Dimension Code="VAR" /&gt;&lt;Dimension Code="IND" /&gt;&lt;/Tabulation&gt;&lt;Tabulation Axis="vertical"&gt;&lt;Dimension Code="LOCATION" /&gt;&lt;/Tabulation&gt;&lt;Tabulation Axis="page"&gt;&lt;Dimension Code="TIME" /&gt;&lt;/Tabulation&gt;&lt;Formatting&gt;&lt;Labels LocaleIsoCode="en" /&gt;&lt;Power&gt;0&lt;/Power&gt;&lt;Decimals&gt;1&lt;/Decimals&gt;&lt;SkipEmptyLines&gt;true&lt;/SkipEmptyLines&gt;&lt;SkipEmptyCols&gt;false&lt;/SkipEmptyCols&gt;&lt;SkipLineHierarchy&gt;tru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</si>
  <si>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Source: EXIOBASE</t>
  </si>
  <si>
    <t>Unit: M Euro</t>
  </si>
  <si>
    <t>ISIC Splits</t>
  </si>
  <si>
    <t>Exiobase</t>
  </si>
  <si>
    <t>Exiobase 3rx, 2016</t>
  </si>
  <si>
    <t>https://zenodo.org/record/2654460#.YEFjHmhKg2w</t>
  </si>
  <si>
    <t>Total compensation</t>
  </si>
  <si>
    <t>We divide up a number of ISIC splits by applying EXIOBASE data on employee compensation to OECD data for the combined category</t>
  </si>
  <si>
    <t xml:space="preserve">We do the same for chemicals and pharmaceuticals (ISIC 20T21), splitting them into separate chemicals (ISIC 20) and pharmaceuticals </t>
  </si>
  <si>
    <t>ISIC</t>
  </si>
  <si>
    <t>EMP Compensation</t>
  </si>
  <si>
    <t>Ratio</t>
  </si>
  <si>
    <t>(ISIC 21) industries using OECD data.</t>
  </si>
  <si>
    <t>KOR: Korea</t>
  </si>
  <si>
    <t>Data extracted on 20 May 2021 15:47 UTC (GMT) from OECD.Stat</t>
  </si>
  <si>
    <t>Input-Output Tables (IOTs) 2018 ed.</t>
  </si>
  <si>
    <t>Variable: Value added</t>
  </si>
  <si>
    <t>Country: Korea</t>
  </si>
  <si>
    <t>Time: 2015</t>
  </si>
  <si>
    <t>Agriculture, forestry and fishing</t>
  </si>
  <si>
    <t>Mining and extraction of energy producing products</t>
  </si>
  <si>
    <t>Mining and quarrying of non-energy producing products</t>
  </si>
  <si>
    <t>Mining support service activities</t>
  </si>
  <si>
    <t>Food products, beverages and tobacco</t>
  </si>
  <si>
    <t>Textiles, wearing apparel, leather and related products</t>
  </si>
  <si>
    <t>Wood and products of wood and cork</t>
  </si>
  <si>
    <t>Paper products and printing</t>
  </si>
  <si>
    <t>Coke and refined petroleum products</t>
  </si>
  <si>
    <t>Chemicals and pharmaceutical products</t>
  </si>
  <si>
    <t>Rubber and plastic products</t>
  </si>
  <si>
    <t>Other non-metallic mineral products</t>
  </si>
  <si>
    <t>Basic metals</t>
  </si>
  <si>
    <t>Fabricated metal products</t>
  </si>
  <si>
    <t>Computer, electronic and optical products</t>
  </si>
  <si>
    <t>Electrical equipment</t>
  </si>
  <si>
    <t>Machinery and equipment, nec</t>
  </si>
  <si>
    <t>Motor vehicles, trailers and semi-trailers</t>
  </si>
  <si>
    <t>Other transport equipment</t>
  </si>
  <si>
    <t>Other manufacturing; repair and installation of machinery and equipment</t>
  </si>
  <si>
    <t>Electricity, gas, water supply, sewerage, waste and remediation services</t>
  </si>
  <si>
    <t>Construction</t>
  </si>
  <si>
    <t>Wholesale and retail trade; repair of motor vehicles</t>
  </si>
  <si>
    <t>Transportation and storage</t>
  </si>
  <si>
    <t>Accomodation and food services</t>
  </si>
  <si>
    <t>Publishing, audiovisual and broadcasting activities</t>
  </si>
  <si>
    <t>Telecommunications</t>
  </si>
  <si>
    <t>IT and other information services</t>
  </si>
  <si>
    <t>Financial and insurance activities</t>
  </si>
  <si>
    <t>Real estate activities</t>
  </si>
  <si>
    <t>Other business sector services</t>
  </si>
  <si>
    <t>Public admin. and defence; compulsory social security</t>
  </si>
  <si>
    <t>Education</t>
  </si>
  <si>
    <t>Human health and social work</t>
  </si>
  <si>
    <t>Arts, entertainment, recreation and other service activities</t>
  </si>
  <si>
    <t>Private households with employed persons</t>
  </si>
  <si>
    <t>Compensation of employees</t>
  </si>
  <si>
    <t>Other taxes less subsidies on production</t>
  </si>
  <si>
    <t>Gross operating surplus and mixed income</t>
  </si>
  <si>
    <t xml:space="preserve">© Terms &amp; conditions </t>
  </si>
  <si>
    <r>
      <t>[</t>
    </r>
    <r>
      <rPr>
        <sz val="10"/>
        <rFont val="맑은 고딕"/>
        <family val="2"/>
        <charset val="129"/>
      </rPr>
      <t>참고</t>
    </r>
    <r>
      <rPr>
        <sz val="10"/>
        <rFont val="Arial"/>
        <family val="2"/>
      </rPr>
      <t>] 2018</t>
    </r>
    <r>
      <rPr>
        <sz val="10"/>
        <rFont val="맑은 고딕"/>
        <family val="2"/>
        <charset val="129"/>
      </rPr>
      <t>자료 원본 데이터</t>
    </r>
    <phoneticPr fontId="17" type="noConversion"/>
  </si>
  <si>
    <r>
      <t>Applied filter(</t>
    </r>
    <r>
      <rPr>
        <sz val="10"/>
        <rFont val="맑은 고딕"/>
        <family val="2"/>
        <charset val="129"/>
      </rPr>
      <t>조회 조건) :  Variable: value added/ Country: Korea/ To:(sector in column): 36 items / Time: start 2015, end: 2015</t>
    </r>
    <phoneticPr fontId="17" type="noConversion"/>
  </si>
  <si>
    <t>STAN Database for Structural Analysis,2025 edition</t>
  </si>
  <si>
    <t>STAN Database for Structural Analysis, 2025 edition</t>
    <phoneticPr fontId="17" type="noConversion"/>
  </si>
  <si>
    <t>STAN Database for Structural Analysis_2025 edition</t>
  </si>
  <si>
    <t>Last updated: January 22, 2025 at 11:47:47 PM</t>
    <phoneticPr fontId="17" type="noConversion"/>
  </si>
  <si>
    <t>2012 USD per 2020 USD</t>
    <phoneticPr fontId="17" type="noConversion"/>
  </si>
  <si>
    <t>for OECD Chem Pharma Split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</si>
</sst>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.00_);_(* \(#,##0.00\);_(* &quot;-&quot;??_);_(@_)"/>
    <numFmt numFmtId="177" formatCode="#,##0.0_ ;\-#,##0.0\ "/>
    <numFmt numFmtId="178" formatCode="0.000"/>
    <numFmt numFmtId="179" formatCode="_(* #,##0_);_(* \(#,##0\);_(* &quot;-&quot;??_);_(@_)"/>
    <numFmt numFmtId="180" formatCode="\A\,\*\ \ \ #,##0.000;\A\,\*\ \ \ \-#,##0.000"/>
    <numFmt numFmtId="181" formatCode="\A\,\*\ \ \ #,##0.00;\A\,\*\ \ \ \-#,##0.00"/>
    <numFmt numFmtId="182" formatCode="\A\,\*\ \ \ #,##0.0;\A\,\*\ \ \ \-#,##0.0"/>
    <numFmt numFmtId="183" formatCode="\A\,\*\ \ \ #,##0;\A\,\*\ \ \ \-#,##0"/>
  </numFmts>
  <fonts count="30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9"/>
      <color indexed="81"/>
      <name val="Tahoma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8"/>
      <color rgb="FFFF0000"/>
      <name val="Arial"/>
      <family val="2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53F1B"/>
      </patternFill>
    </fill>
    <fill>
      <patternFill patternType="solid">
        <fgColor rgb="FFFFE8C4"/>
      </patternFill>
    </fill>
    <fill>
      <patternFill patternType="solid">
        <fgColor rgb="FFF1F1F1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  <xf numFmtId="176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13" fillId="0" borderId="0" xfId="0" applyFont="1" applyAlignment="1">
      <alignment horizontal="left"/>
    </xf>
    <xf numFmtId="178" fontId="0" fillId="0" borderId="0" xfId="0" applyNumberFormat="1"/>
    <xf numFmtId="0" fontId="1" fillId="8" borderId="0" xfId="0" applyFont="1" applyFill="1"/>
    <xf numFmtId="0" fontId="0" fillId="7" borderId="5" xfId="0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11" fontId="0" fillId="7" borderId="7" xfId="0" applyNumberFormat="1" applyFill="1" applyBorder="1"/>
    <xf numFmtId="11" fontId="0" fillId="7" borderId="8" xfId="0" applyNumberFormat="1" applyFill="1" applyBorder="1"/>
    <xf numFmtId="0" fontId="0" fillId="7" borderId="9" xfId="0" applyFill="1" applyBorder="1" applyAlignment="1">
      <alignment horizontal="right"/>
    </xf>
    <xf numFmtId="11" fontId="0" fillId="7" borderId="10" xfId="0" applyNumberFormat="1" applyFill="1" applyBorder="1"/>
    <xf numFmtId="0" fontId="8" fillId="3" borderId="2" xfId="0" applyFont="1" applyFill="1" applyBorder="1" applyAlignment="1">
      <alignment vertical="top" wrapText="1"/>
    </xf>
    <xf numFmtId="0" fontId="9" fillId="4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top" wrapText="1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2" fillId="4" borderId="1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4" fillId="0" borderId="1" xfId="0" applyFont="1" applyBorder="1"/>
    <xf numFmtId="179" fontId="0" fillId="0" borderId="0" xfId="0" applyNumberFormat="1"/>
    <xf numFmtId="176" fontId="0" fillId="0" borderId="0" xfId="4" applyFont="1"/>
    <xf numFmtId="0" fontId="2" fillId="0" borderId="0" xfId="1" applyFill="1" applyBorder="1"/>
    <xf numFmtId="11" fontId="0" fillId="7" borderId="7" xfId="4" applyNumberFormat="1" applyFont="1" applyFill="1" applyBorder="1"/>
    <xf numFmtId="11" fontId="0" fillId="7" borderId="8" xfId="4" applyNumberFormat="1" applyFont="1" applyFill="1" applyBorder="1"/>
    <xf numFmtId="0" fontId="0" fillId="7" borderId="5" xfId="0" applyFill="1" applyBorder="1" applyAlignment="1">
      <alignment horizontal="left" indent="1"/>
    </xf>
    <xf numFmtId="0" fontId="0" fillId="7" borderId="6" xfId="0" applyFill="1" applyBorder="1" applyAlignment="1">
      <alignment horizontal="left" indent="1"/>
    </xf>
    <xf numFmtId="179" fontId="0" fillId="0" borderId="11" xfId="0" applyNumberFormat="1" applyBorder="1"/>
    <xf numFmtId="179" fontId="0" fillId="0" borderId="12" xfId="0" applyNumberFormat="1" applyBorder="1"/>
    <xf numFmtId="0" fontId="0" fillId="7" borderId="9" xfId="0" applyFill="1" applyBorder="1" applyAlignment="1">
      <alignment horizontal="left" indent="1"/>
    </xf>
    <xf numFmtId="9" fontId="0" fillId="0" borderId="7" xfId="5" applyFont="1" applyBorder="1"/>
    <xf numFmtId="9" fontId="0" fillId="0" borderId="8" xfId="5" applyFont="1" applyBorder="1"/>
    <xf numFmtId="9" fontId="0" fillId="0" borderId="10" xfId="5" applyFont="1" applyBorder="1"/>
    <xf numFmtId="0" fontId="19" fillId="0" borderId="0" xfId="0" applyFont="1" applyAlignment="1">
      <alignment horizontal="left" readingOrder="1"/>
    </xf>
    <xf numFmtId="0" fontId="20" fillId="0" borderId="0" xfId="0" applyFont="1" applyAlignment="1">
      <alignment horizontal="left" readingOrder="1"/>
    </xf>
    <xf numFmtId="0" fontId="22" fillId="9" borderId="13" xfId="0" applyFont="1" applyFill="1" applyBorder="1" applyAlignment="1">
      <alignment horizontal="center" vertical="top" wrapText="1" readingOrder="1"/>
    </xf>
    <xf numFmtId="0" fontId="23" fillId="10" borderId="13" xfId="0" applyFont="1" applyFill="1" applyBorder="1" applyAlignment="1">
      <alignment horizontal="left" vertical="top" wrapText="1" readingOrder="1"/>
    </xf>
    <xf numFmtId="0" fontId="20" fillId="11" borderId="13" xfId="0" applyFont="1" applyFill="1" applyBorder="1" applyAlignment="1">
      <alignment horizontal="left" vertical="top" wrapText="1" readingOrder="1"/>
    </xf>
    <xf numFmtId="0" fontId="24" fillId="10" borderId="13" xfId="0" applyFont="1" applyFill="1" applyBorder="1" applyAlignment="1">
      <alignment horizontal="left" vertical="top" wrapText="1" readingOrder="1"/>
    </xf>
    <xf numFmtId="0" fontId="20" fillId="11" borderId="13" xfId="0" applyFont="1" applyFill="1" applyBorder="1" applyAlignment="1">
      <alignment horizontal="right" vertical="top" wrapText="1" readingOrder="1"/>
    </xf>
    <xf numFmtId="180" fontId="20" fillId="0" borderId="13" xfId="0" applyNumberFormat="1" applyFont="1" applyBorder="1" applyAlignment="1">
      <alignment horizontal="right" wrapText="1" readingOrder="1"/>
    </xf>
    <xf numFmtId="181" fontId="20" fillId="0" borderId="13" xfId="0" applyNumberFormat="1" applyFont="1" applyBorder="1" applyAlignment="1">
      <alignment horizontal="right" wrapText="1" readingOrder="1"/>
    </xf>
    <xf numFmtId="182" fontId="20" fillId="0" borderId="13" xfId="0" applyNumberFormat="1" applyFont="1" applyBorder="1" applyAlignment="1">
      <alignment horizontal="right" wrapText="1" readingOrder="1"/>
    </xf>
    <xf numFmtId="183" fontId="20" fillId="0" borderId="13" xfId="0" applyNumberFormat="1" applyFont="1" applyBorder="1" applyAlignment="1">
      <alignment horizontal="right" wrapText="1" readingOrder="1"/>
    </xf>
    <xf numFmtId="0" fontId="25" fillId="0" borderId="0" xfId="0" applyFont="1" applyAlignment="1">
      <alignment readingOrder="1"/>
    </xf>
    <xf numFmtId="177" fontId="26" fillId="0" borderId="1" xfId="2" applyNumberFormat="1" applyFont="1" applyBorder="1" applyAlignment="1">
      <alignment horizontal="right"/>
    </xf>
    <xf numFmtId="177" fontId="26" fillId="6" borderId="1" xfId="2" applyNumberFormat="1" applyFont="1" applyFill="1" applyBorder="1" applyAlignment="1">
      <alignment horizontal="right"/>
    </xf>
    <xf numFmtId="177" fontId="4" fillId="7" borderId="1" xfId="2" applyNumberFormat="1" applyFont="1" applyFill="1" applyBorder="1" applyAlignment="1">
      <alignment horizontal="right"/>
    </xf>
    <xf numFmtId="0" fontId="2" fillId="0" borderId="1" xfId="1" applyBorder="1" applyAlignment="1">
      <alignment horizontal="left"/>
    </xf>
    <xf numFmtId="0" fontId="27" fillId="0" borderId="0" xfId="0" applyFont="1"/>
    <xf numFmtId="0" fontId="28" fillId="0" borderId="0" xfId="0" applyFont="1" applyAlignment="1">
      <alignment horizontal="left"/>
    </xf>
    <xf numFmtId="0" fontId="28" fillId="0" borderId="0" xfId="0" applyFont="1"/>
    <xf numFmtId="0" fontId="29" fillId="0" borderId="0" xfId="1" applyFont="1"/>
    <xf numFmtId="0" fontId="28" fillId="0" borderId="0" xfId="0" applyFont="1" applyAlignment="1">
      <alignment wrapText="1"/>
    </xf>
    <xf numFmtId="178" fontId="27" fillId="0" borderId="0" xfId="0" applyNumberFormat="1" applyFont="1"/>
    <xf numFmtId="0" fontId="21" fillId="9" borderId="13" xfId="0" applyFont="1" applyFill="1" applyBorder="1" applyAlignment="1">
      <alignment horizontal="left" vertical="top" wrapText="1" readingOrder="1"/>
    </xf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</cellXfs>
  <cellStyles count="6">
    <cellStyle name="Normal 2" xfId="2" xr:uid="{3ADF3FF5-E4D2-4BC8-9960-7408DCCB591E}"/>
    <cellStyle name="Normal 3" xfId="3" xr:uid="{EC7586F6-9038-4498-85FD-BEB0422CDDC4}"/>
    <cellStyle name="백분율" xfId="5" builtinId="5"/>
    <cellStyle name="쉼표" xfId="4" builtinId="3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-explorer.oecd.org/vis?tm=stan&amp;pg=0&amp;snb=2&amp;vw=ov&amp;df%5bds%5d=dsDisseminateFinalDMZ&amp;df%5bid%5d=DSD_STAN%40DF_STAN_2025&amp;df%5bag%5d=OECD.STI.PIE&amp;df%5bvs%5d=1.0&amp;dq=A.KOR.C20%2BC21.EMP%2BD1..XDC%2BPS&amp;pd=2015%2C2020&amp;to%5bTIME_PERIOD%5d=false&amp;ly%5bcl%5d=TIME_PERIOD&amp;ly%5brs%5d=COMBINED_UNIT_MEASURE&amp;ly%5brw%5d=MEASURE%2CACTIVITY" TargetMode="External"/><Relationship Id="rId2" Type="http://schemas.openxmlformats.org/officeDocument/2006/relationships/hyperlink" Target="https://zenodo.org/record/2654460" TargetMode="External"/><Relationship Id="rId1" Type="http://schemas.openxmlformats.org/officeDocument/2006/relationships/hyperlink" Target="https://stats.oecd.org/Index.aspx?DataSetCode=IOTSI4_2018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2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VA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://www.oecd.org/termsandcondition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-explorer.oecd.org/vis?tm=stan&amp;pg=0&amp;snb=2&amp;vw=ov&amp;df%5bds%5d=dsDisseminateFinalDMZ&amp;df%5bid%5d=DSD_STAN%40DF_STAN_2025&amp;df%5bag%5d=OECD.STI.PIE&amp;df%5bvs%5d=1.0&amp;dq=A.KOR.C20%2BC21.EMP%2BD1..XDC%2BPS&amp;pd=2015%2C2020&amp;to%5bTIME_PERIOD%5d=false" TargetMode="External"/><Relationship Id="rId2" Type="http://schemas.openxmlformats.org/officeDocument/2006/relationships/hyperlink" Target="http://stats.oecd.org/OECDStat_Metadata/ShowMetadata.ashx?Dataset=STANI4_2020&amp;Coords=%5bLOCATION%5d.%5bKOR%5d&amp;ShowOnWeb=true&amp;Lang=en" TargetMode="External"/><Relationship Id="rId1" Type="http://schemas.openxmlformats.org/officeDocument/2006/relationships/hyperlink" Target="http://stats.oecd.org/OECDStat_Metadata/ShowMetadata.ashx?Dataset=STANI4_2020&amp;Coords=%5bVAR%5d.%5bLABR%5d&amp;ShowOnWeb=true&amp;Lang=en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C10" sqref="C10"/>
    </sheetView>
  </sheetViews>
  <sheetFormatPr defaultRowHeight="16.5"/>
  <cols>
    <col min="2" max="2" width="56.875" bestFit="1" customWidth="1"/>
    <col min="3" max="3" width="26" customWidth="1"/>
    <col min="4" max="4" width="12.875" customWidth="1"/>
  </cols>
  <sheetData>
    <row r="1" spans="1:4">
      <c r="A1" s="1" t="s">
        <v>93</v>
      </c>
    </row>
    <row r="3" spans="1:4">
      <c r="A3" s="1" t="s">
        <v>0</v>
      </c>
      <c r="B3" s="10" t="s">
        <v>96</v>
      </c>
    </row>
    <row r="4" spans="1:4">
      <c r="B4" t="s">
        <v>1</v>
      </c>
    </row>
    <row r="5" spans="1:4">
      <c r="B5" s="2">
        <v>2018</v>
      </c>
    </row>
    <row r="6" spans="1:4">
      <c r="B6" t="s">
        <v>87</v>
      </c>
    </row>
    <row r="7" spans="1:4">
      <c r="B7" s="3" t="s">
        <v>97</v>
      </c>
    </row>
    <row r="8" spans="1:4">
      <c r="B8" t="s">
        <v>88</v>
      </c>
    </row>
    <row r="10" spans="1:4">
      <c r="B10" s="56" t="s">
        <v>1</v>
      </c>
      <c r="D10" s="1"/>
    </row>
    <row r="11" spans="1:4">
      <c r="B11" s="57">
        <v>2025</v>
      </c>
    </row>
    <row r="12" spans="1:4">
      <c r="B12" s="58" t="s">
        <v>175</v>
      </c>
      <c r="D12" s="2"/>
    </row>
    <row r="13" spans="1:4">
      <c r="B13" s="59" t="s">
        <v>176</v>
      </c>
    </row>
    <row r="14" spans="1:4">
      <c r="B14" s="60" t="s">
        <v>177</v>
      </c>
      <c r="D14" s="29"/>
    </row>
    <row r="17" spans="1:4">
      <c r="B17" s="10" t="s">
        <v>115</v>
      </c>
      <c r="D17" s="1"/>
    </row>
    <row r="18" spans="1:4">
      <c r="B18" t="s">
        <v>116</v>
      </c>
    </row>
    <row r="19" spans="1:4">
      <c r="B19" s="2">
        <v>2019</v>
      </c>
      <c r="D19" s="2"/>
    </row>
    <row r="20" spans="1:4">
      <c r="B20" t="s">
        <v>117</v>
      </c>
    </row>
    <row r="21" spans="1:4">
      <c r="B21" s="3" t="s">
        <v>118</v>
      </c>
      <c r="D21" s="29"/>
    </row>
    <row r="22" spans="1:4">
      <c r="B22" t="s">
        <v>119</v>
      </c>
    </row>
    <row r="23" spans="1:4">
      <c r="B23" s="2"/>
    </row>
    <row r="24" spans="1:4">
      <c r="B24" s="2"/>
    </row>
    <row r="25" spans="1:4">
      <c r="B25" s="2"/>
    </row>
    <row r="26" spans="1:4">
      <c r="A26" s="1" t="s">
        <v>2</v>
      </c>
    </row>
    <row r="27" spans="1:4">
      <c r="A27" t="s">
        <v>89</v>
      </c>
    </row>
    <row r="28" spans="1:4">
      <c r="A28" t="s">
        <v>90</v>
      </c>
    </row>
    <row r="30" spans="1:4">
      <c r="A30" t="s">
        <v>120</v>
      </c>
    </row>
    <row r="31" spans="1:4">
      <c r="A31" t="s">
        <v>121</v>
      </c>
    </row>
    <row r="32" spans="1:4">
      <c r="A32" t="s">
        <v>125</v>
      </c>
    </row>
    <row r="34" spans="1:3">
      <c r="A34" t="s">
        <v>91</v>
      </c>
    </row>
    <row r="35" spans="1:3">
      <c r="A35" s="9">
        <v>0.9686815713640794</v>
      </c>
      <c r="B35" t="s">
        <v>92</v>
      </c>
    </row>
    <row r="36" spans="1:3">
      <c r="A36" s="61">
        <v>0.88711067149387013</v>
      </c>
      <c r="B36" s="56" t="s">
        <v>178</v>
      </c>
      <c r="C36" s="58" t="s">
        <v>179</v>
      </c>
    </row>
    <row r="40" spans="1:3">
      <c r="C40" s="56"/>
    </row>
    <row r="41" spans="1:3">
      <c r="C41" s="58"/>
    </row>
    <row r="42" spans="1:3">
      <c r="C42" s="58"/>
    </row>
    <row r="43" spans="1:3">
      <c r="C43" s="58"/>
    </row>
  </sheetData>
  <phoneticPr fontId="17" type="noConversion"/>
  <hyperlinks>
    <hyperlink ref="B7" r:id="rId1" xr:uid="{76C6D4C7-D7EC-494D-8F4C-BBD7E04D8351}"/>
    <hyperlink ref="B21" r:id="rId2" location=".YEFjHmhKg2w" xr:uid="{376527CC-DC19-4F85-B38F-AE880CD42C00}"/>
    <hyperlink ref="B13" r:id="rId3" xr:uid="{926DAD7D-4D02-4774-9546-FD941B87BC94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B116-01EC-4BC2-9D61-4219A6E9217A}">
  <dimension ref="A1:AL33"/>
  <sheetViews>
    <sheetView topLeftCell="A2" workbookViewId="0">
      <selection activeCell="AG18" sqref="AG18"/>
    </sheetView>
  </sheetViews>
  <sheetFormatPr defaultColWidth="9.125" defaultRowHeight="12.75"/>
  <cols>
    <col min="1" max="1" width="27.375" style="6" customWidth="1"/>
    <col min="2" max="2" width="2.375" style="6" customWidth="1"/>
    <col min="3" max="3" width="18.25" style="6" customWidth="1"/>
    <col min="4" max="4" width="12.375" style="6" bestFit="1" customWidth="1"/>
    <col min="5" max="5" width="13.875" style="6" bestFit="1" customWidth="1"/>
    <col min="6" max="6" width="11.25" style="6" bestFit="1" customWidth="1"/>
    <col min="7" max="11" width="13.875" style="6" bestFit="1" customWidth="1"/>
    <col min="12" max="13" width="15" style="6" bestFit="1" customWidth="1"/>
    <col min="14" max="14" width="13.875" style="6" bestFit="1" customWidth="1"/>
    <col min="15" max="21" width="15" style="6" bestFit="1" customWidth="1"/>
    <col min="22" max="22" width="13.875" style="6" bestFit="1" customWidth="1"/>
    <col min="23" max="27" width="15" style="6" bestFit="1" customWidth="1"/>
    <col min="28" max="28" width="13.875" style="6" bestFit="1" customWidth="1"/>
    <col min="29" max="37" width="15" style="6" bestFit="1" customWidth="1"/>
    <col min="38" max="38" width="11.625" style="6" bestFit="1" customWidth="1"/>
    <col min="39" max="16384" width="9.125" style="6"/>
  </cols>
  <sheetData>
    <row r="1" spans="1:38" hidden="1">
      <c r="A1" s="5" t="e">
        <f ca="1">DotStatQuery(B1)</f>
        <v>#NAME?</v>
      </c>
      <c r="B1" s="5" t="s">
        <v>3</v>
      </c>
    </row>
    <row r="2" spans="1:38" ht="23.25">
      <c r="A2" s="7" t="s">
        <v>40</v>
      </c>
    </row>
    <row r="3" spans="1:38" ht="12.6" customHeight="1">
      <c r="A3" s="63" t="s">
        <v>41</v>
      </c>
      <c r="B3" s="64"/>
      <c r="C3" s="69" t="s">
        <v>42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</row>
    <row r="4" spans="1:38" ht="12.6" customHeight="1">
      <c r="A4" s="63" t="s">
        <v>4</v>
      </c>
      <c r="B4" s="64"/>
      <c r="C4" s="65" t="s">
        <v>126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</row>
    <row r="5" spans="1:38" ht="12.6" customHeight="1">
      <c r="A5" s="63" t="s">
        <v>5</v>
      </c>
      <c r="B5" s="64"/>
      <c r="C5" s="65" t="s">
        <v>6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</row>
    <row r="6" spans="1:38" ht="12.6" customHeight="1">
      <c r="A6" s="63" t="s">
        <v>7</v>
      </c>
      <c r="B6" s="64"/>
      <c r="C6" s="65" t="s">
        <v>43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</row>
    <row r="7" spans="1:38" ht="95.25" customHeight="1">
      <c r="A7" s="67" t="s">
        <v>44</v>
      </c>
      <c r="B7" s="68"/>
      <c r="C7" s="17" t="s">
        <v>45</v>
      </c>
      <c r="D7" s="17" t="s">
        <v>46</v>
      </c>
      <c r="E7" s="17" t="s">
        <v>47</v>
      </c>
      <c r="F7" s="17" t="s">
        <v>48</v>
      </c>
      <c r="G7" s="17" t="s">
        <v>49</v>
      </c>
      <c r="H7" s="17" t="s">
        <v>50</v>
      </c>
      <c r="I7" s="17" t="s">
        <v>51</v>
      </c>
      <c r="J7" s="17" t="s">
        <v>52</v>
      </c>
      <c r="K7" s="17" t="s">
        <v>53</v>
      </c>
      <c r="L7" s="17" t="s">
        <v>54</v>
      </c>
      <c r="M7" s="17" t="s">
        <v>55</v>
      </c>
      <c r="N7" s="17" t="s">
        <v>56</v>
      </c>
      <c r="O7" s="17" t="s">
        <v>57</v>
      </c>
      <c r="P7" s="17" t="s">
        <v>58</v>
      </c>
      <c r="Q7" s="17" t="s">
        <v>59</v>
      </c>
      <c r="R7" s="17" t="s">
        <v>60</v>
      </c>
      <c r="S7" s="17" t="s">
        <v>61</v>
      </c>
      <c r="T7" s="17" t="s">
        <v>62</v>
      </c>
      <c r="U7" s="17" t="s">
        <v>63</v>
      </c>
      <c r="V7" s="17" t="s">
        <v>64</v>
      </c>
      <c r="W7" s="17" t="s">
        <v>65</v>
      </c>
      <c r="X7" s="17" t="s">
        <v>66</v>
      </c>
      <c r="Y7" s="17" t="s">
        <v>67</v>
      </c>
      <c r="Z7" s="17" t="s">
        <v>68</v>
      </c>
      <c r="AA7" s="17" t="s">
        <v>69</v>
      </c>
      <c r="AB7" s="17" t="s">
        <v>70</v>
      </c>
      <c r="AC7" s="17" t="s">
        <v>71</v>
      </c>
      <c r="AD7" s="17" t="s">
        <v>72</v>
      </c>
      <c r="AE7" s="17" t="s">
        <v>73</v>
      </c>
      <c r="AF7" s="17" t="s">
        <v>74</v>
      </c>
      <c r="AG7" s="17" t="s">
        <v>75</v>
      </c>
      <c r="AH7" s="17" t="s">
        <v>76</v>
      </c>
      <c r="AI7" s="17" t="s">
        <v>77</v>
      </c>
      <c r="AJ7" s="17" t="s">
        <v>78</v>
      </c>
      <c r="AK7" s="17" t="s">
        <v>79</v>
      </c>
      <c r="AL7" s="17" t="s">
        <v>80</v>
      </c>
    </row>
    <row r="8" spans="1:38" ht="16.5">
      <c r="A8" s="18" t="s">
        <v>81</v>
      </c>
      <c r="B8" s="19" t="s">
        <v>8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ht="13.5">
      <c r="A9" s="20" t="s">
        <v>82</v>
      </c>
      <c r="B9" s="19" t="s">
        <v>8</v>
      </c>
      <c r="C9" s="52">
        <v>3941.7959999999998</v>
      </c>
      <c r="D9" s="52">
        <v>358.16399999999999</v>
      </c>
      <c r="E9" s="52">
        <v>487.61200000000002</v>
      </c>
      <c r="F9" s="52">
        <v>20.216000000000001</v>
      </c>
      <c r="G9" s="52">
        <v>8738.0519999999997</v>
      </c>
      <c r="H9" s="52">
        <v>9088.7360000000008</v>
      </c>
      <c r="I9" s="52">
        <v>1111.481</v>
      </c>
      <c r="J9" s="52">
        <v>4109.3509999999997</v>
      </c>
      <c r="K9" s="52">
        <v>1197.279</v>
      </c>
      <c r="L9" s="52">
        <v>10943.87</v>
      </c>
      <c r="M9" s="52">
        <v>11094.304</v>
      </c>
      <c r="N9" s="52">
        <v>3714.2429999999999</v>
      </c>
      <c r="O9" s="52">
        <v>9765.1919999999991</v>
      </c>
      <c r="P9" s="52">
        <v>15768.858</v>
      </c>
      <c r="Q9" s="52">
        <v>25452.727999999999</v>
      </c>
      <c r="R9" s="52">
        <v>10930.598</v>
      </c>
      <c r="S9" s="52">
        <v>18842.475999999999</v>
      </c>
      <c r="T9" s="52">
        <v>21089.246999999999</v>
      </c>
      <c r="U9" s="52">
        <v>10541.995000000001</v>
      </c>
      <c r="V9" s="52">
        <v>3535.1260000000002</v>
      </c>
      <c r="W9" s="52">
        <v>10755.867</v>
      </c>
      <c r="X9" s="52">
        <v>52109.947</v>
      </c>
      <c r="Y9" s="52">
        <v>40831.531000000003</v>
      </c>
      <c r="Z9" s="52">
        <v>27553.891</v>
      </c>
      <c r="AA9" s="52">
        <v>18542.383999999998</v>
      </c>
      <c r="AB9" s="52">
        <v>4676.9380000000001</v>
      </c>
      <c r="AC9" s="52">
        <v>3866.5059999999999</v>
      </c>
      <c r="AD9" s="52">
        <v>14280.075000000001</v>
      </c>
      <c r="AE9" s="52">
        <v>30508.38</v>
      </c>
      <c r="AF9" s="52">
        <v>8656.7459999999992</v>
      </c>
      <c r="AG9" s="52">
        <v>64938.642</v>
      </c>
      <c r="AH9" s="52">
        <v>56918.25</v>
      </c>
      <c r="AI9" s="52">
        <v>56466.362999999998</v>
      </c>
      <c r="AJ9" s="52">
        <v>41175.733999999997</v>
      </c>
      <c r="AK9" s="52">
        <v>15089.665000000001</v>
      </c>
      <c r="AL9" s="52">
        <v>1812.9</v>
      </c>
    </row>
    <row r="10" spans="1:38" ht="21">
      <c r="A10" s="20" t="s">
        <v>83</v>
      </c>
      <c r="B10" s="19" t="s">
        <v>8</v>
      </c>
      <c r="C10" s="53">
        <v>1193.557</v>
      </c>
      <c r="D10" s="53">
        <v>7.3179999999999996</v>
      </c>
      <c r="E10" s="53">
        <v>16.634</v>
      </c>
      <c r="F10" s="53">
        <v>2.5099999999999998</v>
      </c>
      <c r="G10" s="53">
        <v>181.03200000000001</v>
      </c>
      <c r="H10" s="53">
        <v>123.002</v>
      </c>
      <c r="I10" s="53">
        <v>13.654999999999999</v>
      </c>
      <c r="J10" s="53">
        <v>50.731999999999999</v>
      </c>
      <c r="K10" s="53">
        <v>179.07599999999999</v>
      </c>
      <c r="L10" s="53">
        <v>310.90300000000002</v>
      </c>
      <c r="M10" s="53">
        <v>130.809</v>
      </c>
      <c r="N10" s="53">
        <v>67.192999999999998</v>
      </c>
      <c r="O10" s="53">
        <v>224.875</v>
      </c>
      <c r="P10" s="53">
        <v>164.06899999999999</v>
      </c>
      <c r="Q10" s="53">
        <v>508.05500000000001</v>
      </c>
      <c r="R10" s="53">
        <v>145.333</v>
      </c>
      <c r="S10" s="53">
        <v>205.55199999999999</v>
      </c>
      <c r="T10" s="53">
        <v>279.822</v>
      </c>
      <c r="U10" s="53">
        <v>142.72499999999999</v>
      </c>
      <c r="V10" s="53">
        <v>27.702999999999999</v>
      </c>
      <c r="W10" s="53">
        <v>317.51299999999998</v>
      </c>
      <c r="X10" s="53">
        <v>1123.1410000000001</v>
      </c>
      <c r="Y10" s="53">
        <v>1348.4369999999999</v>
      </c>
      <c r="Z10" s="53">
        <v>653.05700000000002</v>
      </c>
      <c r="AA10" s="53">
        <v>742.61500000000001</v>
      </c>
      <c r="AB10" s="53">
        <v>105.134</v>
      </c>
      <c r="AC10" s="53">
        <v>172.56200000000001</v>
      </c>
      <c r="AD10" s="53">
        <v>218.411</v>
      </c>
      <c r="AE10" s="53">
        <v>320.11099999999999</v>
      </c>
      <c r="AF10" s="53">
        <v>4310.0820000000003</v>
      </c>
      <c r="AG10" s="53">
        <v>535.00800000000004</v>
      </c>
      <c r="AH10" s="53">
        <v>2.9489999999999998</v>
      </c>
      <c r="AI10" s="53">
        <v>125.807</v>
      </c>
      <c r="AJ10" s="53">
        <v>189.02500000000001</v>
      </c>
      <c r="AK10" s="53">
        <v>1294.2190000000001</v>
      </c>
      <c r="AL10" s="53">
        <v>0</v>
      </c>
    </row>
    <row r="11" spans="1:38" ht="21">
      <c r="A11" s="20" t="s">
        <v>84</v>
      </c>
      <c r="B11" s="19" t="s">
        <v>8</v>
      </c>
      <c r="C11" s="52">
        <v>23693.246999999999</v>
      </c>
      <c r="D11" s="52">
        <v>373.81799999999998</v>
      </c>
      <c r="E11" s="52">
        <v>1090.153</v>
      </c>
      <c r="F11" s="52">
        <v>19.974</v>
      </c>
      <c r="G11" s="52">
        <v>8593.1170000000002</v>
      </c>
      <c r="H11" s="52">
        <v>8578.9609999999993</v>
      </c>
      <c r="I11" s="52">
        <v>715.76400000000001</v>
      </c>
      <c r="J11" s="52">
        <v>4223.018</v>
      </c>
      <c r="K11" s="52">
        <v>6675.3450000000003</v>
      </c>
      <c r="L11" s="52">
        <v>23007.226999999999</v>
      </c>
      <c r="M11" s="52">
        <v>7876.8879999999999</v>
      </c>
      <c r="N11" s="52">
        <v>7009.0640000000003</v>
      </c>
      <c r="O11" s="52">
        <v>16491.233</v>
      </c>
      <c r="P11" s="52">
        <v>12836.473</v>
      </c>
      <c r="Q11" s="52">
        <v>55454.116999999998</v>
      </c>
      <c r="R11" s="52">
        <v>11630.269</v>
      </c>
      <c r="S11" s="52">
        <v>14470.071</v>
      </c>
      <c r="T11" s="52">
        <v>19966.830999999998</v>
      </c>
      <c r="U11" s="52">
        <v>5894.18</v>
      </c>
      <c r="V11" s="52">
        <v>2399.5709999999999</v>
      </c>
      <c r="W11" s="52">
        <v>28695.919999999998</v>
      </c>
      <c r="X11" s="52">
        <v>12643.012000000001</v>
      </c>
      <c r="Y11" s="52">
        <v>62280.332000000002</v>
      </c>
      <c r="Z11" s="52">
        <v>21432.651999999998</v>
      </c>
      <c r="AA11" s="52">
        <v>14476.701999999999</v>
      </c>
      <c r="AB11" s="52">
        <v>4080.1280000000002</v>
      </c>
      <c r="AC11" s="52">
        <v>11080.132</v>
      </c>
      <c r="AD11" s="52">
        <v>9482.3140000000003</v>
      </c>
      <c r="AE11" s="52">
        <v>38740.508999999998</v>
      </c>
      <c r="AF11" s="52">
        <v>84668.270999999993</v>
      </c>
      <c r="AG11" s="52">
        <v>32748.65</v>
      </c>
      <c r="AH11" s="52">
        <v>33994.800999999999</v>
      </c>
      <c r="AI11" s="52">
        <v>10800.129000000001</v>
      </c>
      <c r="AJ11" s="52">
        <v>13424.741</v>
      </c>
      <c r="AK11" s="52">
        <v>14679.816000000001</v>
      </c>
      <c r="AL11" s="52">
        <v>0</v>
      </c>
    </row>
    <row r="12" spans="1:38" ht="16.5">
      <c r="A12" s="21" t="s">
        <v>127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9" spans="1:38" ht="13.5">
      <c r="A19" s="6" t="s">
        <v>172</v>
      </c>
    </row>
    <row r="20" spans="1:38" ht="16.5">
      <c r="A20" s="40" t="s">
        <v>128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</row>
    <row r="21" spans="1:38" ht="16.5">
      <c r="A21" s="41" t="s">
        <v>129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ht="16.5">
      <c r="A22" s="41" t="s">
        <v>130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</row>
    <row r="23" spans="1:38" ht="16.5">
      <c r="A23" s="41" t="s">
        <v>131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 ht="99">
      <c r="A25" s="62" t="s">
        <v>44</v>
      </c>
      <c r="B25" s="62" t="s">
        <v>44</v>
      </c>
      <c r="C25" s="42" t="s">
        <v>132</v>
      </c>
      <c r="D25" s="42" t="s">
        <v>133</v>
      </c>
      <c r="E25" s="42" t="s">
        <v>134</v>
      </c>
      <c r="F25" s="42" t="s">
        <v>135</v>
      </c>
      <c r="G25" s="42" t="s">
        <v>136</v>
      </c>
      <c r="H25" s="42" t="s">
        <v>137</v>
      </c>
      <c r="I25" s="42" t="s">
        <v>138</v>
      </c>
      <c r="J25" s="42" t="s">
        <v>139</v>
      </c>
      <c r="K25" s="42" t="s">
        <v>140</v>
      </c>
      <c r="L25" s="42" t="s">
        <v>141</v>
      </c>
      <c r="M25" s="42" t="s">
        <v>142</v>
      </c>
      <c r="N25" s="42" t="s">
        <v>143</v>
      </c>
      <c r="O25" s="42" t="s">
        <v>144</v>
      </c>
      <c r="P25" s="42" t="s">
        <v>145</v>
      </c>
      <c r="Q25" s="42" t="s">
        <v>146</v>
      </c>
      <c r="R25" s="42" t="s">
        <v>147</v>
      </c>
      <c r="S25" s="42" t="s">
        <v>148</v>
      </c>
      <c r="T25" s="42" t="s">
        <v>149</v>
      </c>
      <c r="U25" s="42" t="s">
        <v>150</v>
      </c>
      <c r="V25" s="42" t="s">
        <v>151</v>
      </c>
      <c r="W25" s="42" t="s">
        <v>152</v>
      </c>
      <c r="X25" s="42" t="s">
        <v>153</v>
      </c>
      <c r="Y25" s="42" t="s">
        <v>154</v>
      </c>
      <c r="Z25" s="42" t="s">
        <v>155</v>
      </c>
      <c r="AA25" s="42" t="s">
        <v>156</v>
      </c>
      <c r="AB25" s="42" t="s">
        <v>157</v>
      </c>
      <c r="AC25" s="42" t="s">
        <v>158</v>
      </c>
      <c r="AD25" s="42" t="s">
        <v>159</v>
      </c>
      <c r="AE25" s="42" t="s">
        <v>160</v>
      </c>
      <c r="AF25" s="42" t="s">
        <v>161</v>
      </c>
      <c r="AG25" s="42" t="s">
        <v>162</v>
      </c>
      <c r="AH25" s="42" t="s">
        <v>163</v>
      </c>
      <c r="AI25" s="42" t="s">
        <v>164</v>
      </c>
      <c r="AJ25" s="42" t="s">
        <v>165</v>
      </c>
      <c r="AK25" s="42" t="s">
        <v>166</v>
      </c>
      <c r="AL25" s="42" t="s">
        <v>167</v>
      </c>
    </row>
    <row r="26" spans="1:38" ht="16.5">
      <c r="A26" s="43" t="s">
        <v>81</v>
      </c>
      <c r="B26" s="44" t="s">
        <v>8</v>
      </c>
      <c r="C26" s="44" t="s">
        <v>8</v>
      </c>
      <c r="D26" s="44" t="s">
        <v>8</v>
      </c>
      <c r="E26" s="44" t="s">
        <v>8</v>
      </c>
      <c r="F26" s="44" t="s">
        <v>8</v>
      </c>
      <c r="G26" s="44" t="s">
        <v>8</v>
      </c>
      <c r="H26" s="44" t="s">
        <v>8</v>
      </c>
      <c r="I26" s="44" t="s">
        <v>8</v>
      </c>
      <c r="J26" s="44" t="s">
        <v>8</v>
      </c>
      <c r="K26" s="44" t="s">
        <v>8</v>
      </c>
      <c r="L26" s="44" t="s">
        <v>8</v>
      </c>
      <c r="M26" s="44" t="s">
        <v>8</v>
      </c>
      <c r="N26" s="44" t="s">
        <v>8</v>
      </c>
      <c r="O26" s="44" t="s">
        <v>8</v>
      </c>
      <c r="P26" s="44" t="s">
        <v>8</v>
      </c>
      <c r="Q26" s="44" t="s">
        <v>8</v>
      </c>
      <c r="R26" s="44" t="s">
        <v>8</v>
      </c>
      <c r="S26" s="44" t="s">
        <v>8</v>
      </c>
      <c r="T26" s="44" t="s">
        <v>8</v>
      </c>
      <c r="U26" s="44" t="s">
        <v>8</v>
      </c>
      <c r="V26" s="44" t="s">
        <v>8</v>
      </c>
      <c r="W26" s="44" t="s">
        <v>8</v>
      </c>
      <c r="X26" s="44" t="s">
        <v>8</v>
      </c>
      <c r="Y26" s="44" t="s">
        <v>8</v>
      </c>
      <c r="Z26" s="44" t="s">
        <v>8</v>
      </c>
      <c r="AA26" s="44" t="s">
        <v>8</v>
      </c>
      <c r="AB26" s="44" t="s">
        <v>8</v>
      </c>
      <c r="AC26" s="44" t="s">
        <v>8</v>
      </c>
      <c r="AD26" s="44" t="s">
        <v>8</v>
      </c>
      <c r="AE26" s="44" t="s">
        <v>8</v>
      </c>
      <c r="AF26" s="44" t="s">
        <v>8</v>
      </c>
      <c r="AG26" s="44" t="s">
        <v>8</v>
      </c>
      <c r="AH26" s="44" t="s">
        <v>8</v>
      </c>
      <c r="AI26" s="44" t="s">
        <v>8</v>
      </c>
      <c r="AJ26" s="44" t="s">
        <v>8</v>
      </c>
      <c r="AK26" s="44" t="s">
        <v>8</v>
      </c>
      <c r="AL26" s="44" t="s">
        <v>8</v>
      </c>
    </row>
    <row r="27" spans="1:38" ht="16.5">
      <c r="A27" s="45" t="s">
        <v>168</v>
      </c>
      <c r="B27" s="46" t="s">
        <v>8</v>
      </c>
      <c r="C27" s="47">
        <v>3941.7959999999998</v>
      </c>
      <c r="D27" s="47">
        <v>358.16399999999999</v>
      </c>
      <c r="E27" s="47">
        <v>487.61200000000002</v>
      </c>
      <c r="F27" s="47">
        <v>20.216000000000001</v>
      </c>
      <c r="G27" s="47">
        <v>8738.0519999999997</v>
      </c>
      <c r="H27" s="47">
        <v>9088.7360000000008</v>
      </c>
      <c r="I27" s="47">
        <v>1111.481</v>
      </c>
      <c r="J27" s="47">
        <v>4109.3509999999997</v>
      </c>
      <c r="K27" s="47">
        <v>1197.279</v>
      </c>
      <c r="L27" s="48">
        <v>10943.87</v>
      </c>
      <c r="M27" s="47">
        <v>11094.304</v>
      </c>
      <c r="N27" s="47">
        <v>3714.2429999999999</v>
      </c>
      <c r="O27" s="47">
        <v>9765.1919999999991</v>
      </c>
      <c r="P27" s="47">
        <v>15768.858</v>
      </c>
      <c r="Q27" s="47">
        <v>25452.727999999999</v>
      </c>
      <c r="R27" s="47">
        <v>10930.598</v>
      </c>
      <c r="S27" s="47">
        <v>18842.475999999999</v>
      </c>
      <c r="T27" s="47">
        <v>21089.246999999999</v>
      </c>
      <c r="U27" s="47">
        <v>10541.995000000001</v>
      </c>
      <c r="V27" s="47">
        <v>3535.1260000000002</v>
      </c>
      <c r="W27" s="47">
        <v>10755.867</v>
      </c>
      <c r="X27" s="47">
        <v>52109.947</v>
      </c>
      <c r="Y27" s="47">
        <v>40831.531000000003</v>
      </c>
      <c r="Z27" s="47">
        <v>27553.891</v>
      </c>
      <c r="AA27" s="47">
        <v>18542.383999999998</v>
      </c>
      <c r="AB27" s="47">
        <v>4676.9380000000001</v>
      </c>
      <c r="AC27" s="47">
        <v>3866.5059999999999</v>
      </c>
      <c r="AD27" s="47">
        <v>14280.075000000001</v>
      </c>
      <c r="AE27" s="48">
        <v>30508.38</v>
      </c>
      <c r="AF27" s="47">
        <v>8656.7459999999992</v>
      </c>
      <c r="AG27" s="47">
        <v>64938.642</v>
      </c>
      <c r="AH27" s="48">
        <v>56918.25</v>
      </c>
      <c r="AI27" s="47">
        <v>56466.362999999998</v>
      </c>
      <c r="AJ27" s="47">
        <v>41175.733999999997</v>
      </c>
      <c r="AK27" s="47">
        <v>15089.665000000001</v>
      </c>
      <c r="AL27" s="49">
        <v>1812.9</v>
      </c>
    </row>
    <row r="28" spans="1:38" ht="33">
      <c r="A28" s="45" t="s">
        <v>169</v>
      </c>
      <c r="B28" s="46" t="s">
        <v>8</v>
      </c>
      <c r="C28" s="47">
        <v>1193.557</v>
      </c>
      <c r="D28" s="47">
        <v>7.3179999999999996</v>
      </c>
      <c r="E28" s="47">
        <v>16.634</v>
      </c>
      <c r="F28" s="48">
        <v>2.5099999999999998</v>
      </c>
      <c r="G28" s="47">
        <v>181.03200000000001</v>
      </c>
      <c r="H28" s="47">
        <v>123.002</v>
      </c>
      <c r="I28" s="47">
        <v>13.654999999999999</v>
      </c>
      <c r="J28" s="47">
        <v>50.731999999999999</v>
      </c>
      <c r="K28" s="47">
        <v>179.07599999999999</v>
      </c>
      <c r="L28" s="47">
        <v>310.90300000000002</v>
      </c>
      <c r="M28" s="47">
        <v>130.809</v>
      </c>
      <c r="N28" s="47">
        <v>67.192999999999998</v>
      </c>
      <c r="O28" s="47">
        <v>224.875</v>
      </c>
      <c r="P28" s="47">
        <v>164.06899999999999</v>
      </c>
      <c r="Q28" s="47">
        <v>508.05500000000001</v>
      </c>
      <c r="R28" s="47">
        <v>145.333</v>
      </c>
      <c r="S28" s="47">
        <v>205.55199999999999</v>
      </c>
      <c r="T28" s="47">
        <v>279.822</v>
      </c>
      <c r="U28" s="47">
        <v>142.72499999999999</v>
      </c>
      <c r="V28" s="47">
        <v>27.702999999999999</v>
      </c>
      <c r="W28" s="47">
        <v>317.51299999999998</v>
      </c>
      <c r="X28" s="47">
        <v>1123.1410000000001</v>
      </c>
      <c r="Y28" s="47">
        <v>1348.4369999999999</v>
      </c>
      <c r="Z28" s="47">
        <v>653.05700000000002</v>
      </c>
      <c r="AA28" s="47">
        <v>742.61500000000001</v>
      </c>
      <c r="AB28" s="47">
        <v>105.134</v>
      </c>
      <c r="AC28" s="47">
        <v>172.56200000000001</v>
      </c>
      <c r="AD28" s="47">
        <v>218.411</v>
      </c>
      <c r="AE28" s="47">
        <v>320.11099999999999</v>
      </c>
      <c r="AF28" s="47">
        <v>4310.0820000000003</v>
      </c>
      <c r="AG28" s="47">
        <v>535.00800000000004</v>
      </c>
      <c r="AH28" s="47">
        <v>2.9489999999999998</v>
      </c>
      <c r="AI28" s="47">
        <v>125.807</v>
      </c>
      <c r="AJ28" s="47">
        <v>189.02500000000001</v>
      </c>
      <c r="AK28" s="47">
        <v>1294.2190000000001</v>
      </c>
      <c r="AL28" s="50">
        <v>0</v>
      </c>
    </row>
    <row r="29" spans="1:38" ht="33">
      <c r="A29" s="45" t="s">
        <v>170</v>
      </c>
      <c r="B29" s="46" t="s">
        <v>8</v>
      </c>
      <c r="C29" s="47">
        <v>23693.246999999999</v>
      </c>
      <c r="D29" s="47">
        <v>373.81799999999998</v>
      </c>
      <c r="E29" s="47">
        <v>1090.153</v>
      </c>
      <c r="F29" s="47">
        <v>19.974</v>
      </c>
      <c r="G29" s="47">
        <v>8593.1170000000002</v>
      </c>
      <c r="H29" s="47">
        <v>8578.9609999999993</v>
      </c>
      <c r="I29" s="47">
        <v>715.76400000000001</v>
      </c>
      <c r="J29" s="47">
        <v>4223.018</v>
      </c>
      <c r="K29" s="47">
        <v>6675.3450000000003</v>
      </c>
      <c r="L29" s="47">
        <v>23007.226999999999</v>
      </c>
      <c r="M29" s="47">
        <v>7876.8879999999999</v>
      </c>
      <c r="N29" s="47">
        <v>7009.0640000000003</v>
      </c>
      <c r="O29" s="47">
        <v>16491.233</v>
      </c>
      <c r="P29" s="47">
        <v>12836.473</v>
      </c>
      <c r="Q29" s="47">
        <v>55454.116999999998</v>
      </c>
      <c r="R29" s="47">
        <v>11630.269</v>
      </c>
      <c r="S29" s="47">
        <v>14470.071</v>
      </c>
      <c r="T29" s="47">
        <v>19966.830999999998</v>
      </c>
      <c r="U29" s="48">
        <v>5894.18</v>
      </c>
      <c r="V29" s="47">
        <v>2399.5709999999999</v>
      </c>
      <c r="W29" s="48">
        <v>28695.919999999998</v>
      </c>
      <c r="X29" s="47">
        <v>12643.012000000001</v>
      </c>
      <c r="Y29" s="47">
        <v>62280.332000000002</v>
      </c>
      <c r="Z29" s="47">
        <v>21432.651999999998</v>
      </c>
      <c r="AA29" s="47">
        <v>14476.701999999999</v>
      </c>
      <c r="AB29" s="47">
        <v>4080.1280000000002</v>
      </c>
      <c r="AC29" s="47">
        <v>11080.132</v>
      </c>
      <c r="AD29" s="47">
        <v>9482.3140000000003</v>
      </c>
      <c r="AE29" s="47">
        <v>38740.508999999998</v>
      </c>
      <c r="AF29" s="47">
        <v>84668.270999999993</v>
      </c>
      <c r="AG29" s="48">
        <v>32748.65</v>
      </c>
      <c r="AH29" s="47">
        <v>33994.800999999999</v>
      </c>
      <c r="AI29" s="47">
        <v>10800.129000000001</v>
      </c>
      <c r="AJ29" s="47">
        <v>13424.741</v>
      </c>
      <c r="AK29" s="47">
        <v>14679.816000000001</v>
      </c>
      <c r="AL29" s="50">
        <v>0</v>
      </c>
    </row>
    <row r="30" spans="1:38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38" ht="16.5">
      <c r="A31" s="51" t="s">
        <v>171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3" spans="1:1" ht="13.5">
      <c r="A33" s="6" t="s">
        <v>173</v>
      </c>
    </row>
  </sheetData>
  <mergeCells count="10">
    <mergeCell ref="A25:B25"/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phoneticPr fontId="17" type="noConversion"/>
  <hyperlinks>
    <hyperlink ref="A2" r:id="rId1" display="http://localhost/OECDStat_Metadata/ShowMetadata.ashx?Dataset=IOTSI4_2018&amp;ShowOnWeb=true&amp;Lang=en" xr:uid="{7A9908BF-E2DD-4D69-BCE4-1F9CB14D94BB}"/>
    <hyperlink ref="C3" r:id="rId2" display="http://localhost/OECDStat_Metadata/ShowMetadata.ashx?Dataset=IOTSI4_2018&amp;Coords=[VAR].[VAL]&amp;ShowOnWeb=true&amp;Lang=en" xr:uid="{A623D5AE-897D-44A9-A3AF-FDAE1572430A}"/>
    <hyperlink ref="A12" r:id="rId3" display="https://stats-2.oecd.org/index.aspx?DatasetCode=IOTSI4_2018" xr:uid="{4D71F05E-6E0A-4EA9-8921-1A888A6650DB}"/>
    <hyperlink ref="A31" r:id="rId4" xr:uid="{17317DF8-C774-4012-838F-15B34D5FD6AF}"/>
  </hyperlinks>
  <pageMargins left="0.75" right="0.75" top="1" bottom="1" header="0.5" footer="0.5"/>
  <pageSetup orientation="portrait" horizontalDpi="0" verticalDpi="0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DA01-3F25-4597-8501-050C51662002}">
  <dimension ref="B2:K7"/>
  <sheetViews>
    <sheetView workbookViewId="0">
      <selection activeCell="D14" sqref="D14"/>
    </sheetView>
  </sheetViews>
  <sheetFormatPr defaultRowHeight="16.5"/>
  <cols>
    <col min="2" max="2" width="32.75" customWidth="1"/>
    <col min="11" max="11" width="11" bestFit="1" customWidth="1"/>
  </cols>
  <sheetData>
    <row r="2" spans="2:11">
      <c r="B2" t="s">
        <v>113</v>
      </c>
    </row>
    <row r="3" spans="2:11">
      <c r="B3" t="s">
        <v>114</v>
      </c>
    </row>
    <row r="4" spans="2:11" ht="17.25" thickBot="1"/>
    <row r="5" spans="2:11">
      <c r="B5" t="s">
        <v>122</v>
      </c>
      <c r="C5" s="32" t="s">
        <v>98</v>
      </c>
      <c r="D5" s="33" t="s">
        <v>99</v>
      </c>
      <c r="E5" s="32" t="s">
        <v>100</v>
      </c>
      <c r="F5" s="33" t="s">
        <v>101</v>
      </c>
      <c r="G5" s="32" t="s">
        <v>102</v>
      </c>
      <c r="H5" s="36" t="s">
        <v>103</v>
      </c>
      <c r="I5" s="32" t="s">
        <v>104</v>
      </c>
      <c r="J5" s="36" t="s">
        <v>105</v>
      </c>
      <c r="K5" s="33" t="s">
        <v>106</v>
      </c>
    </row>
    <row r="6" spans="2:11">
      <c r="B6" t="s">
        <v>123</v>
      </c>
      <c r="C6" s="34">
        <v>270.65143294335809</v>
      </c>
      <c r="D6" s="35">
        <v>126.89114032466233</v>
      </c>
      <c r="E6" s="34">
        <v>1399.0963966132683</v>
      </c>
      <c r="F6" s="35">
        <v>2804.2150285444986</v>
      </c>
      <c r="G6" s="34">
        <v>8404.0067644680657</v>
      </c>
      <c r="H6" s="27">
        <v>1897.0135867349613</v>
      </c>
      <c r="I6" s="34">
        <v>5285.7095254540718</v>
      </c>
      <c r="J6" s="27">
        <v>703.06305168575625</v>
      </c>
      <c r="K6" s="35">
        <v>5163.3144871152326</v>
      </c>
    </row>
    <row r="7" spans="2:11" ht="17.25" thickBot="1">
      <c r="B7" t="s">
        <v>124</v>
      </c>
      <c r="C7" s="37">
        <f>C6/SUM(C6:D6)</f>
        <v>0.68081119141140833</v>
      </c>
      <c r="D7" s="38">
        <f>D6/SUM(C6:D6)</f>
        <v>0.31918880858859161</v>
      </c>
      <c r="E7" s="37">
        <f>E6/SUM(E6:F6)</f>
        <v>0.33285575468887713</v>
      </c>
      <c r="F7" s="38">
        <f>F6/SUM(E6:F6)</f>
        <v>0.66714424531112282</v>
      </c>
      <c r="G7" s="37">
        <f>G6/SUM(G6:H6)</f>
        <v>0.8158421668865633</v>
      </c>
      <c r="H7" s="39">
        <f>H6/SUM(G6:H6)</f>
        <v>0.18415783311343661</v>
      </c>
      <c r="I7" s="37">
        <f>I6/SUM($I$6:$K$6)</f>
        <v>0.47396594870532849</v>
      </c>
      <c r="J7" s="39">
        <f>J6/SUM($I$6:$K$6)</f>
        <v>6.3043181750188346E-2</v>
      </c>
      <c r="K7" s="38">
        <f>K6/SUM($I$6:$K$6)</f>
        <v>0.4629908695444831</v>
      </c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0AB0-2EA4-420F-9EAD-A9893BC69FE8}">
  <dimension ref="A1:D29"/>
  <sheetViews>
    <sheetView topLeftCell="A2" workbookViewId="0">
      <selection activeCell="E15" sqref="E15"/>
    </sheetView>
  </sheetViews>
  <sheetFormatPr defaultRowHeight="16.5"/>
  <cols>
    <col min="1" max="1" width="27.375" customWidth="1"/>
    <col min="2" max="2" width="2.375" customWidth="1"/>
    <col min="3" max="4" width="14.125" customWidth="1"/>
  </cols>
  <sheetData>
    <row r="1" spans="1:4" hidden="1">
      <c r="A1" s="26" t="e">
        <f ca="1">DotStatQuery(B1)</f>
        <v>#NAME?</v>
      </c>
      <c r="B1" s="26" t="s">
        <v>112</v>
      </c>
    </row>
    <row r="2" spans="1:4">
      <c r="A2" s="55" t="s">
        <v>174</v>
      </c>
    </row>
    <row r="3" spans="1:4">
      <c r="A3" s="63" t="s">
        <v>5</v>
      </c>
      <c r="B3" s="64"/>
      <c r="C3" s="25">
        <v>2020</v>
      </c>
      <c r="D3" s="25"/>
    </row>
    <row r="4" spans="1:4" ht="24" customHeight="1">
      <c r="A4" s="67" t="s">
        <v>41</v>
      </c>
      <c r="B4" s="68"/>
      <c r="C4" s="71" t="s">
        <v>111</v>
      </c>
      <c r="D4" s="72"/>
    </row>
    <row r="5" spans="1:4" ht="52.5">
      <c r="A5" s="67" t="s">
        <v>110</v>
      </c>
      <c r="B5" s="68"/>
      <c r="C5" s="17" t="s">
        <v>109</v>
      </c>
      <c r="D5" s="17" t="s">
        <v>108</v>
      </c>
    </row>
    <row r="6" spans="1:4">
      <c r="A6" s="18" t="s">
        <v>4</v>
      </c>
      <c r="B6" s="19" t="s">
        <v>8</v>
      </c>
    </row>
    <row r="7" spans="1:4">
      <c r="A7" s="24" t="s">
        <v>107</v>
      </c>
      <c r="B7" s="19" t="s">
        <v>8</v>
      </c>
      <c r="C7" s="54">
        <v>14186746.247377699</v>
      </c>
      <c r="D7" s="54">
        <v>4380310.7310625399</v>
      </c>
    </row>
    <row r="8" spans="1:4">
      <c r="A8" s="21"/>
    </row>
    <row r="9" spans="1:4">
      <c r="A9" s="22"/>
    </row>
    <row r="10" spans="1:4">
      <c r="A10" s="23"/>
      <c r="B10" s="22"/>
    </row>
    <row r="11" spans="1:4">
      <c r="A11" s="23"/>
      <c r="B11" s="22"/>
    </row>
    <row r="15" spans="1:4">
      <c r="A15" s="1"/>
    </row>
    <row r="16" spans="1:4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</sheetData>
  <mergeCells count="4">
    <mergeCell ref="A5:B5"/>
    <mergeCell ref="A3:B3"/>
    <mergeCell ref="A4:B4"/>
    <mergeCell ref="C4:D4"/>
  </mergeCells>
  <phoneticPr fontId="17" type="noConversion"/>
  <hyperlinks>
    <hyperlink ref="C4" r:id="rId1" display="http://stats.oecd.org/OECDStat_Metadata/ShowMetadata.ashx?Dataset=STANI4_2020&amp;Coords=[VAR].[LABR]&amp;ShowOnWeb=true&amp;Lang=en" xr:uid="{8A9C55D0-F7B6-4C84-B3FC-05068FD92F30}"/>
    <hyperlink ref="A7" r:id="rId2" display="http://stats.oecd.org/OECDStat_Metadata/ShowMetadata.ashx?Dataset=STANI4_2020&amp;Coords=[LOCATION].[KOR]&amp;ShowOnWeb=true&amp;Lang=en" xr:uid="{377821DD-92CB-4F2C-9673-DBE7471B5DA9}"/>
    <hyperlink ref="A2" r:id="rId3" xr:uid="{CD370B74-DB2C-4B1A-AA4B-4697B7764982}"/>
  </hyperlinks>
  <pageMargins left="0.7" right="0.7" top="0.75" bottom="0.75" header="0.3" footer="0.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3"/>
  <sheetViews>
    <sheetView workbookViewId="0">
      <selection activeCell="H12" sqref="H12"/>
    </sheetView>
  </sheetViews>
  <sheetFormatPr defaultRowHeight="16.5"/>
  <cols>
    <col min="1" max="1" width="12.125" bestFit="1" customWidth="1"/>
    <col min="2" max="2" width="10.125" customWidth="1"/>
    <col min="3" max="4" width="8.625" bestFit="1" customWidth="1"/>
    <col min="5" max="11" width="10.125" customWidth="1"/>
    <col min="12" max="12" width="9.25" bestFit="1" customWidth="1"/>
    <col min="13" max="26" width="10.125" customWidth="1"/>
    <col min="27" max="27" width="13.625" customWidth="1"/>
    <col min="28" max="28" width="10.125" customWidth="1"/>
    <col min="29" max="29" width="13.125" customWidth="1"/>
    <col min="30" max="43" width="10.125" customWidth="1"/>
  </cols>
  <sheetData>
    <row r="1" spans="1:43" s="4" customFormat="1">
      <c r="A1" s="8" t="s">
        <v>86</v>
      </c>
      <c r="B1" s="4" t="s">
        <v>9</v>
      </c>
      <c r="C1" s="11" t="s">
        <v>98</v>
      </c>
      <c r="D1" s="12" t="s">
        <v>99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11" t="s">
        <v>94</v>
      </c>
      <c r="M1" s="12" t="s">
        <v>95</v>
      </c>
      <c r="N1" s="4" t="s">
        <v>17</v>
      </c>
      <c r="O1" s="11" t="s">
        <v>100</v>
      </c>
      <c r="P1" s="12" t="s">
        <v>101</v>
      </c>
      <c r="Q1" s="11" t="s">
        <v>102</v>
      </c>
      <c r="R1" s="12" t="s">
        <v>103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1" t="s">
        <v>104</v>
      </c>
      <c r="AA1" s="15" t="s">
        <v>105</v>
      </c>
      <c r="AB1" s="12" t="s">
        <v>106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</row>
    <row r="2" spans="1:43" ht="17.25" thickBot="1">
      <c r="A2" t="s">
        <v>85</v>
      </c>
      <c r="B2">
        <f>'OECD VAL'!C9*10^6*About!$A$35</f>
        <v>3818345143.2766428</v>
      </c>
      <c r="C2" s="30">
        <f>'OECD VAL'!D9*10^6*About!$A$35*'EXIOBASE EMP Splits'!C7</f>
        <v>236205309.41988873</v>
      </c>
      <c r="D2" s="31">
        <f>'OECD VAL'!D9*10^6*About!$A$35*'EXIOBASE EMP Splits'!D7</f>
        <v>110741556.90615538</v>
      </c>
      <c r="E2">
        <f>'OECD VAL'!E9*10^6*About!$A$35</f>
        <v>472340758.37598151</v>
      </c>
      <c r="F2">
        <f>'OECD VAL'!F9*10^6*About!$A$35</f>
        <v>19582866.646696229</v>
      </c>
      <c r="G2">
        <f>'OECD VAL'!G9*10^6*About!$A$35</f>
        <v>8464389942.0210371</v>
      </c>
      <c r="H2">
        <f>'OECD VAL'!H9*10^6*About!$A$35</f>
        <v>8804091070.1932774</v>
      </c>
      <c r="I2">
        <f>'OECD VAL'!I9*10^6*About!$A$35</f>
        <v>1076671161.6213183</v>
      </c>
      <c r="J2">
        <f>'OECD VAL'!J9*10^6*About!$A$35</f>
        <v>3980652583.9665504</v>
      </c>
      <c r="K2">
        <f>'OECD VAL'!K9*10^6*About!$A$35</f>
        <v>1159782103.0812137</v>
      </c>
      <c r="L2" s="13">
        <f>'OECD VAL'!L9*10^6*About!$A$36*('OECD Chem Pharma Split'!C7/SUM('OECD Chem Pharma Split'!C7:D7))</f>
        <v>7418027853.6738567</v>
      </c>
      <c r="M2" s="14">
        <f>'OECD VAL'!L9*10^6*About!$A$36*('OECD Chem Pharma Split'!D7/SUM('OECD Chem Pharma Split'!C7:D7))</f>
        <v>2290396010.7677631</v>
      </c>
      <c r="N2">
        <f>'OECD VAL'!M9*10^6*About!$A$35</f>
        <v>10746847831.910791</v>
      </c>
      <c r="O2" s="13">
        <f>'OECD VAL'!N9*10^6*About!$A$35*'EXIOBASE EMP Splits'!E7</f>
        <v>1197587959.398591</v>
      </c>
      <c r="P2" s="14">
        <f>'OECD VAL'!N9*10^6*About!$A$35*'EXIOBASE EMP Splits'!F7</f>
        <v>2400330786.2694411</v>
      </c>
      <c r="Q2" s="13">
        <f>'OECD VAL'!O9*10^6*About!$A$35*'EXIOBASE EMP Splits'!G7</f>
        <v>7717346009.0036631</v>
      </c>
      <c r="R2" s="14">
        <f>'OECD VAL'!O9*10^6*About!$A$35*'EXIOBASE EMP Splits'!H7</f>
        <v>1742015522.2282734</v>
      </c>
      <c r="S2">
        <f>'OECD VAL'!P9*10^6*About!$A$35</f>
        <v>15275002146.057034</v>
      </c>
      <c r="T2">
        <f>'OECD VAL'!Q9*10^6*About!$A$35</f>
        <v>24655588554.542503</v>
      </c>
      <c r="U2">
        <f>'OECD VAL'!R9*10^6*About!$A$35</f>
        <v>10588268846.589064</v>
      </c>
      <c r="V2">
        <f>'OECD VAL'!S9*10^6*About!$A$35</f>
        <v>18252359260.069954</v>
      </c>
      <c r="W2">
        <f>'OECD VAL'!T9*10^6*About!$A$35</f>
        <v>20428764922.845196</v>
      </c>
      <c r="X2">
        <f>'OECD VAL'!U9*10^6*About!$A$35</f>
        <v>10211836281.912268</v>
      </c>
      <c r="Y2">
        <f>'OECD VAL'!V9*10^6*About!$A$35</f>
        <v>3424411408.6500125</v>
      </c>
      <c r="Z2" s="13">
        <f>'OECD VAL'!W9*10^6*About!$A$35*'EXIOBASE EMP Splits'!I7</f>
        <v>4938256028.8663054</v>
      </c>
      <c r="AA2" s="16">
        <f>'OECD VAL'!W9*10^6*About!$A$35*'EXIOBASE EMP Splits'!J7</f>
        <v>656847550.35078704</v>
      </c>
      <c r="AB2" s="14">
        <f>'OECD VAL'!W9*10^6*About!$A$35*'EXIOBASE EMP Splits'!K7</f>
        <v>4823906567.7259541</v>
      </c>
      <c r="AC2">
        <f>'OECD VAL'!X9*10^6*About!$A$35</f>
        <v>50477945343.658897</v>
      </c>
      <c r="AD2">
        <f>'OECD VAL'!Y9*10^6*About!$A$35</f>
        <v>39552751610.28112</v>
      </c>
      <c r="AE2">
        <f>'OECD VAL'!Z9*10^6*About!$A$35</f>
        <v>26690946431.074566</v>
      </c>
      <c r="AF2">
        <f>'OECD VAL'!AA9*10^6*About!$A$35</f>
        <v>17961665669.956165</v>
      </c>
      <c r="AG2">
        <f>'OECD VAL'!AB9*10^6*About!$A$35</f>
        <v>4530463651.0123749</v>
      </c>
      <c r="AH2">
        <f>'OECD VAL'!AC9*10^6*About!$A$35</f>
        <v>3745413107.768641</v>
      </c>
      <c r="AI2">
        <f>'OECD VAL'!AD9*10^6*About!$A$35</f>
        <v>13832845490.196907</v>
      </c>
      <c r="AJ2">
        <f>'OECD VAL'!AE9*10^6*About!$A$35</f>
        <v>29552905478.172451</v>
      </c>
      <c r="AK2">
        <f>'OECD VAL'!AF9*10^6*About!$A$35</f>
        <v>8385630318.1797085</v>
      </c>
      <c r="AL2">
        <f>'OECD VAL'!AG9*10^6*About!$A$35</f>
        <v>62904865774.809402</v>
      </c>
      <c r="AM2">
        <f>'OECD VAL'!AH9*10^6*About!$A$35</f>
        <v>55135659849.29351</v>
      </c>
      <c r="AN2">
        <f>'OECD VAL'!AI9*10^6*About!$A$35</f>
        <v>54697925240.054512</v>
      </c>
      <c r="AO2">
        <f>'OECD VAL'!AJ9*10^6*About!$A$35</f>
        <v>39886174713.189354</v>
      </c>
      <c r="AP2">
        <f>'OECD VAL'!AK9*10^6*About!$A$35</f>
        <v>14617080403.55755</v>
      </c>
      <c r="AQ2">
        <f>'OECD VAL'!AL9*10^6*About!$A$35</f>
        <v>1756122820.7259395</v>
      </c>
    </row>
    <row r="3" spans="1:43">
      <c r="C3" s="28"/>
      <c r="E3" s="28"/>
    </row>
  </sheetData>
  <phoneticPr fontId="1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099FCB-93C8-47A6-A87D-6837CF36FE30}"/>
</file>

<file path=customXml/itemProps2.xml><?xml version="1.0" encoding="utf-8"?>
<ds:datastoreItem xmlns:ds="http://schemas.openxmlformats.org/officeDocument/2006/customXml" ds:itemID="{5C14B0DF-DB6D-4BBF-8CEE-010D4258B152}"/>
</file>

<file path=customXml/itemProps3.xml><?xml version="1.0" encoding="utf-8"?>
<ds:datastoreItem xmlns:ds="http://schemas.openxmlformats.org/officeDocument/2006/customXml" ds:itemID="{B5888A5B-8337-464E-A95D-27B7487995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About</vt:lpstr>
      <vt:lpstr>OECD VAL</vt:lpstr>
      <vt:lpstr>EXIOBASE EMP Splits</vt:lpstr>
      <vt:lpstr>OECD Chem Pharma Split</vt:lpstr>
      <vt:lpstr>BECbIC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2019-12-02T22:49:06Z</dcterms:created>
  <dcterms:modified xsi:type="dcterms:W3CDTF">2025-02-10T08:29:25Z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