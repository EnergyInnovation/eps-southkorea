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jh_local\NEXTgroup_local\2025_local\2. EPS\업데이트 파일\eps-southkorea-3.3.1_2025update_v4.0.3\InputData\io-model\BEaCP\"/>
    </mc:Choice>
  </mc:AlternateContent>
  <xr:revisionPtr revIDLastSave="0" documentId="13_ncr:1_{1A493E78-B1E2-4969-9A52-D59C3D211E8E}" xr6:coauthVersionLast="47" xr6:coauthVersionMax="47" xr10:uidLastSave="{00000000-0000-0000-0000-000000000000}"/>
  <bookViews>
    <workbookView xWindow="-120" yWindow="-120" windowWidth="29040" windowHeight="15720" xr2:uid="{9CFCDA60-17E9-4D3E-A3D3-81B3C018F06B}"/>
  </bookViews>
  <sheets>
    <sheet name="About" sheetId="1" r:id="rId1"/>
    <sheet name="Census Pop Projection" sheetId="2" r:id="rId2"/>
    <sheet name="Emp Pop Ratio" sheetId="3" r:id="rId3"/>
    <sheet name="Avg Emp-Pop Ratio" sheetId="4" r:id="rId4"/>
    <sheet name="OECD VAL" sheetId="10" r:id="rId5"/>
    <sheet name="BLS Comp per Hr Worked" sheetId="12" r:id="rId6"/>
    <sheet name="exchange rate" sheetId="15" r:id="rId7"/>
    <sheet name="EE Comp Projection" sheetId="13" r:id="rId8"/>
    <sheet name="population" sheetId="6" r:id="rId9"/>
    <sheet name="BEaCP-employedpop" sheetId="8" r:id="rId10"/>
    <sheet name="BEaCP-employeecomp" sheetId="14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0" i="13" l="1"/>
  <c r="C30" i="13"/>
  <c r="B29" i="13"/>
  <c r="C31" i="13"/>
  <c r="B31" i="13"/>
  <c r="B11" i="13" a="1"/>
  <c r="B11" i="13" s="1"/>
  <c r="B13" i="13" s="1"/>
  <c r="B15" i="13" s="1"/>
  <c r="C13" i="13"/>
  <c r="C15" i="13" s="1"/>
  <c r="D13" i="13"/>
  <c r="D15" i="13" s="1"/>
  <c r="E13" i="13"/>
  <c r="E15" i="13" s="1"/>
  <c r="F13" i="13"/>
  <c r="F15" i="13" s="1"/>
  <c r="G13" i="13"/>
  <c r="G15" i="13" s="1"/>
  <c r="H13" i="13"/>
  <c r="H15" i="13" s="1"/>
  <c r="I13" i="13"/>
  <c r="I15" i="13" s="1"/>
  <c r="J13" i="13"/>
  <c r="J15" i="13" s="1"/>
  <c r="K13" i="13"/>
  <c r="L13" i="13"/>
  <c r="L15" i="13" s="1"/>
  <c r="M13" i="13"/>
  <c r="M15" i="13" s="1"/>
  <c r="N13" i="13"/>
  <c r="N15" i="13" s="1"/>
  <c r="O13" i="13"/>
  <c r="O15" i="13" s="1"/>
  <c r="P13" i="13"/>
  <c r="P15" i="13" s="1"/>
  <c r="Q13" i="13"/>
  <c r="Q15" i="13" s="1"/>
  <c r="R13" i="13"/>
  <c r="R15" i="13" s="1"/>
  <c r="S13" i="13"/>
  <c r="S15" i="13" s="1"/>
  <c r="T13" i="13"/>
  <c r="T15" i="13" s="1"/>
  <c r="U13" i="13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U15" i="13"/>
  <c r="K15" i="13"/>
  <c r="C12" i="13" l="1"/>
  <c r="D12" i="13"/>
  <c r="E12" i="13"/>
  <c r="F12" i="13"/>
  <c r="G12" i="13"/>
  <c r="H12" i="13"/>
  <c r="I12" i="13"/>
  <c r="J12" i="13"/>
  <c r="K12" i="13"/>
  <c r="L12" i="13"/>
  <c r="M12" i="13"/>
  <c r="N12" i="13"/>
  <c r="O12" i="13"/>
  <c r="P12" i="13"/>
  <c r="Q12" i="13"/>
  <c r="R12" i="13"/>
  <c r="S12" i="13"/>
  <c r="T12" i="13"/>
  <c r="U12" i="13"/>
  <c r="B12" i="13"/>
  <c r="C29" i="13" l="1"/>
  <c r="D29" i="13"/>
  <c r="E29" i="13"/>
  <c r="F29" i="13"/>
  <c r="G29" i="13"/>
  <c r="H29" i="13"/>
  <c r="I29" i="13"/>
  <c r="J29" i="13"/>
  <c r="K29" i="13"/>
  <c r="L29" i="13"/>
  <c r="M29" i="13"/>
  <c r="N29" i="13"/>
  <c r="O29" i="13"/>
  <c r="P29" i="13"/>
  <c r="Q29" i="13"/>
  <c r="R29" i="13"/>
  <c r="S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AJ29" i="13"/>
  <c r="AK29" i="13"/>
  <c r="B1" i="6" l="1" a="1"/>
  <c r="B1" i="6" s="1"/>
  <c r="B5" i="4"/>
  <c r="T16" i="13" l="1"/>
  <c r="U16" i="13"/>
  <c r="AB2" i="8"/>
  <c r="P2" i="8"/>
  <c r="F2" i="8"/>
  <c r="S2" i="8"/>
  <c r="B2" i="8"/>
  <c r="N2" i="8"/>
  <c r="AD2" i="8"/>
  <c r="AC2" i="8"/>
  <c r="C2" i="8"/>
  <c r="R2" i="8"/>
  <c r="Q2" i="8"/>
  <c r="AG2" i="8"/>
  <c r="O2" i="8"/>
  <c r="AF2" i="8"/>
  <c r="AE2" i="8"/>
  <c r="M2" i="8"/>
  <c r="L2" i="8"/>
  <c r="K2" i="8"/>
  <c r="J2" i="8"/>
  <c r="AA2" i="8"/>
  <c r="I2" i="8"/>
  <c r="Z2" i="8"/>
  <c r="H2" i="8"/>
  <c r="Y2" i="8"/>
  <c r="G2" i="8"/>
  <c r="X2" i="8"/>
  <c r="W2" i="8"/>
  <c r="E2" i="8"/>
  <c r="V2" i="8"/>
  <c r="D2" i="8"/>
  <c r="U2" i="8"/>
  <c r="T2" i="8"/>
  <c r="A24" i="13"/>
  <c r="A25" i="13" s="1"/>
  <c r="D16" i="13"/>
  <c r="C16" i="13" l="1"/>
  <c r="R16" i="13"/>
  <c r="S16" i="13"/>
  <c r="H16" i="13"/>
  <c r="K16" i="13"/>
  <c r="O16" i="13"/>
  <c r="P16" i="13"/>
  <c r="L16" i="13"/>
  <c r="G16" i="13"/>
  <c r="Q16" i="13"/>
  <c r="M16" i="13"/>
  <c r="I16" i="13"/>
  <c r="E16" i="13"/>
  <c r="N16" i="13"/>
  <c r="J16" i="13"/>
  <c r="F16" i="13"/>
  <c r="B17" i="13" l="1"/>
  <c r="E30" i="13" s="1"/>
  <c r="F30" i="13" s="1"/>
  <c r="G30" i="13" s="1"/>
  <c r="H30" i="13" s="1"/>
  <c r="I30" i="13" s="1"/>
  <c r="J30" i="13" s="1"/>
  <c r="K30" i="13" s="1"/>
  <c r="L30" i="13" s="1"/>
  <c r="M30" i="13" s="1"/>
  <c r="N30" i="13" s="1"/>
  <c r="O30" i="13" s="1"/>
  <c r="P30" i="13" s="1"/>
  <c r="Q30" i="13" s="1"/>
  <c r="R30" i="13" s="1"/>
  <c r="S30" i="13" s="1"/>
  <c r="T30" i="13" s="1"/>
  <c r="U30" i="13" s="1"/>
  <c r="V30" i="13" s="1"/>
  <c r="W30" i="13" s="1"/>
  <c r="X30" i="13" s="1"/>
  <c r="Y30" i="13" s="1"/>
  <c r="Z30" i="13" s="1"/>
  <c r="AA30" i="13" s="1"/>
  <c r="AB30" i="13" s="1"/>
  <c r="AC30" i="13" s="1"/>
  <c r="AD30" i="13" s="1"/>
  <c r="AE30" i="13" s="1"/>
  <c r="AF30" i="13" s="1"/>
  <c r="AG30" i="13" s="1"/>
  <c r="AH30" i="13" s="1"/>
  <c r="AI30" i="13" s="1"/>
  <c r="AJ30" i="13" s="1"/>
  <c r="AK30" i="13" s="1"/>
  <c r="AK31" i="13" s="1"/>
  <c r="AG2" i="14" s="1"/>
  <c r="G31" i="13" l="1"/>
  <c r="C2" i="14" s="1"/>
  <c r="L31" i="13"/>
  <c r="H2" i="14" s="1"/>
  <c r="I31" i="13"/>
  <c r="E2" i="14" s="1"/>
  <c r="J31" i="13"/>
  <c r="F2" i="14" s="1"/>
  <c r="D31" i="13"/>
  <c r="E31" i="13"/>
  <c r="F31" i="13"/>
  <c r="B2" i="14" s="1"/>
  <c r="M31" i="13"/>
  <c r="I2" i="14" s="1"/>
  <c r="Q31" i="13"/>
  <c r="M2" i="14" s="1"/>
  <c r="K31" i="13"/>
  <c r="G2" i="14" s="1"/>
  <c r="N31" i="13"/>
  <c r="J2" i="14" s="1"/>
  <c r="X31" i="13"/>
  <c r="T2" i="14" s="1"/>
  <c r="U31" i="13"/>
  <c r="Q2" i="14" s="1"/>
  <c r="AA31" i="13"/>
  <c r="W2" i="14" s="1"/>
  <c r="V31" i="13"/>
  <c r="R2" i="14" s="1"/>
  <c r="Z31" i="13"/>
  <c r="V2" i="14" s="1"/>
  <c r="AE31" i="13"/>
  <c r="AA2" i="14" s="1"/>
  <c r="H31" i="13"/>
  <c r="D2" i="14" s="1"/>
  <c r="T31" i="13"/>
  <c r="P2" i="14" s="1"/>
  <c r="AD31" i="13"/>
  <c r="Z2" i="14" s="1"/>
  <c r="O31" i="13"/>
  <c r="K2" i="14" s="1"/>
  <c r="AJ31" i="13"/>
  <c r="AF2" i="14" s="1"/>
  <c r="AI31" i="13"/>
  <c r="AE2" i="14" s="1"/>
  <c r="AH31" i="13"/>
  <c r="AD2" i="14" s="1"/>
  <c r="AC31" i="13"/>
  <c r="Y2" i="14" s="1"/>
  <c r="R31" i="13"/>
  <c r="N2" i="14" s="1"/>
  <c r="P31" i="13"/>
  <c r="L2" i="14" s="1"/>
  <c r="AG31" i="13"/>
  <c r="AC2" i="14" s="1"/>
  <c r="AB31" i="13"/>
  <c r="X2" i="14" s="1"/>
  <c r="W31" i="13"/>
  <c r="S2" i="14" s="1"/>
  <c r="S31" i="13"/>
  <c r="O2" i="14" s="1"/>
  <c r="Y31" i="13"/>
  <c r="U2" i="14" s="1"/>
  <c r="AF31" i="13"/>
  <c r="AB2" i="14" s="1"/>
  <c r="A1" i="10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<sst xmlns="http://schemas.openxmlformats.org/spreadsheetml/2006/main" count="670" uniqueCount="430">
  <si>
    <t>Sources:</t>
  </si>
  <si>
    <t>Population Projection</t>
  </si>
  <si>
    <t>Employment-to-Population Ratio</t>
  </si>
  <si>
    <t>Average Employment-to-Population Ratio</t>
  </si>
  <si>
    <t>from date</t>
  </si>
  <si>
    <t>to date</t>
  </si>
  <si>
    <t>is:</t>
  </si>
  <si>
    <t>Population</t>
  </si>
  <si>
    <t>Unit: people</t>
  </si>
  <si>
    <t>Employed Population</t>
  </si>
  <si>
    <t>Notes</t>
  </si>
  <si>
    <t>Sorry, the query is too large to fit into the Excel cell. You will not be able to update your table with the .Stat Populator.</t>
  </si>
  <si>
    <t>Dataset: Input-Output Tables 2018 edition</t>
  </si>
  <si>
    <t>Variable</t>
  </si>
  <si>
    <t>VAL: Value added</t>
  </si>
  <si>
    <t>Country</t>
  </si>
  <si>
    <t>USA: United States</t>
  </si>
  <si>
    <t>Time</t>
  </si>
  <si>
    <t>2015</t>
  </si>
  <si>
    <t>Unit</t>
  </si>
  <si>
    <t>US Dollar, Millions</t>
  </si>
  <si>
    <t>To: (sector in column)</t>
  </si>
  <si>
    <t>D01T03: Agriculture, forestry and fishing</t>
  </si>
  <si>
    <t>D05T06: Mining and extraction of energy producing products</t>
  </si>
  <si>
    <t>D07T08: Mining and quarrying of non-energy producing products</t>
  </si>
  <si>
    <t>D09: Mining support service activities</t>
  </si>
  <si>
    <t>D10T12: Food products, beverages and tobacco</t>
  </si>
  <si>
    <t>D13T15: Textiles, wearing apparel, leather and related products</t>
  </si>
  <si>
    <t>D16: Wood and products of wood and cork</t>
  </si>
  <si>
    <t>D17T18: Paper products and printing</t>
  </si>
  <si>
    <t>D19: Coke and refined petroleum products</t>
  </si>
  <si>
    <t>D20T21: Chemicals and pharmaceutical products</t>
  </si>
  <si>
    <t>D22: Rubber and plastic products</t>
  </si>
  <si>
    <t>D23: Other non-metallic mineral products</t>
  </si>
  <si>
    <t>D24: Basic metals</t>
  </si>
  <si>
    <t>D25: Fabricated metal products</t>
  </si>
  <si>
    <t>D26: Computer, electronic and optical products</t>
  </si>
  <si>
    <t>D27: Electrical equipment</t>
  </si>
  <si>
    <t>D28: Machinery and equipment, nec</t>
  </si>
  <si>
    <t>D29: Motor vehicles, trailers and semi-trailers</t>
  </si>
  <si>
    <t>D30: Other transport equipment</t>
  </si>
  <si>
    <t>D31T33: Other manufacturing; repair and installation of machinery and equipment</t>
  </si>
  <si>
    <t>D35T39: Electricity, gas, water supply, sewerage, waste and remediation services</t>
  </si>
  <si>
    <t>D41T43: Construction</t>
  </si>
  <si>
    <t>D45T47: Wholesale and retail trade; repair of motor vehicles</t>
  </si>
  <si>
    <t>D49T53: Transportation and storage</t>
  </si>
  <si>
    <t>D55T56: Accomodation and food services</t>
  </si>
  <si>
    <t>D58T60: Publishing, audiovisual and broadcasting activities</t>
  </si>
  <si>
    <t>D61: Telecommunications</t>
  </si>
  <si>
    <t>D62T63: IT and other information services</t>
  </si>
  <si>
    <t>D64T66: Financial and insurance activities</t>
  </si>
  <si>
    <t>D68: Real estate activities</t>
  </si>
  <si>
    <t>D69T82: Other business sector services</t>
  </si>
  <si>
    <t>D84: Public admin. and defence; compulsory social security</t>
  </si>
  <si>
    <t>D85: Education</t>
  </si>
  <si>
    <t>D86T88: Human health and social work</t>
  </si>
  <si>
    <t>D90T96: Arts, entertainment, recreation and other service activities</t>
  </si>
  <si>
    <t>D97T98: Private households with employed persons</t>
  </si>
  <si>
    <t>From: (sector in row)</t>
  </si>
  <si>
    <t/>
  </si>
  <si>
    <t>LABR: Compensation of employees</t>
  </si>
  <si>
    <t>OTXS: Other taxes less subsidies on production</t>
  </si>
  <si>
    <t>GOPS: Gross operating surplus and mixed income</t>
  </si>
  <si>
    <t>Data extracted on 03 Jun 2020 20:52 UTC (GMT) from OECD.Stat</t>
  </si>
  <si>
    <t>To calculate future total employee compensation, we begin by establishing a trend of</t>
  </si>
  <si>
    <t>cost change per hour worked.  We then will scale the historical total EE compensation</t>
  </si>
  <si>
    <t>figure from the OECD by the number of employees, adjusting for the change in cost</t>
  </si>
  <si>
    <t>per hour worked.</t>
  </si>
  <si>
    <t>These figures refer to total employee compensation, not just wages and salaries.</t>
  </si>
  <si>
    <t>E.g. this includes employer-paid benefits, employer contribution to retirement plans, etc.</t>
  </si>
  <si>
    <t>Average Employee Compensation per Hour Worked</t>
  </si>
  <si>
    <t>2012 $/hr</t>
  </si>
  <si>
    <t>2012 $ / nominal $ (from CPI)</t>
  </si>
  <si>
    <t>OECD 2015 Total Employee Compensation</t>
  </si>
  <si>
    <t>2015 USD</t>
  </si>
  <si>
    <t>2012 USD</t>
  </si>
  <si>
    <t>Projected Compensation (2012 $)</t>
  </si>
  <si>
    <t>Total EE Compensation</t>
  </si>
  <si>
    <t>Unit: 2012 $</t>
  </si>
  <si>
    <t>Projected Future Employee Compensation (2012 USD)</t>
  </si>
  <si>
    <t>Perc Change in Number of EEs (vs. 2015)</t>
  </si>
  <si>
    <t>Perc Change in Compensation / EE (vs. 2015)</t>
  </si>
  <si>
    <t>Annual Perc Change</t>
  </si>
  <si>
    <t>Avg Annual Perc Cng / Yr</t>
  </si>
  <si>
    <t>Total Employee Compensation (from IO tables, historical year)</t>
  </si>
  <si>
    <t>OECD</t>
  </si>
  <si>
    <t>Input-Output Tables 2018 Edition (ISIC Rev. 4)</t>
  </si>
  <si>
    <t>https://stats.oecd.org/Index.aspx?DataSetCode=IOTS#</t>
  </si>
  <si>
    <t>Variable: VAL</t>
  </si>
  <si>
    <t>Annual Change in Compensation per EE Hour Worked</t>
  </si>
  <si>
    <t>Use data finder to create table for all civilian workers nationally</t>
  </si>
  <si>
    <t>Population projections are available directly from the U.S. Census department.</t>
  </si>
  <si>
    <t>To project future numbers of employees, we sample the share of the population that is</t>
  </si>
  <si>
    <t>employed over a wide historical rage, and use that average going forward.  The share of</t>
  </si>
  <si>
    <t>the population that is employed has remained relatively stable over time despite tremendous</t>
  </si>
  <si>
    <t>increases in productivity (output per employee), so we believe this is likely to continue to</t>
  </si>
  <si>
    <t>happen in the future, and we do not need to adjust for productivity increases.  (That is,</t>
  </si>
  <si>
    <t>any displaced workers are integrated elsewhere in the economy.)</t>
  </si>
  <si>
    <t>Number of Employees</t>
  </si>
  <si>
    <t>Total Compensation</t>
  </si>
  <si>
    <t>We start with the total compensation number from the OECD input data we use in</t>
  </si>
  <si>
    <t>the input-output segment of the model, to ensure our assumptions are aligned.</t>
  </si>
  <si>
    <t>We project this forward by adjusting for (1) change in number of employees, from above,</t>
  </si>
  <si>
    <t>and (2) change in inflation-adjusted compensation per hour worked.</t>
  </si>
  <si>
    <t>BEaCP BAU Employment and Compensation Projections</t>
  </si>
  <si>
    <t>STAN Database for Structural Analysis, 2025 edition</t>
    <phoneticPr fontId="18" type="noConversion"/>
  </si>
  <si>
    <t>STAN Database for Structural Analysis_2025 edition</t>
  </si>
  <si>
    <t>Last updated: January 22, 2025 at 11:47:47 PM</t>
    <phoneticPr fontId="18" type="noConversion"/>
  </si>
  <si>
    <t>○ 통계표ID</t>
  </si>
  <si>
    <t>DT_1BPA001</t>
  </si>
  <si>
    <t>○ 통계표명</t>
  </si>
  <si>
    <t>성 및 연령별 추계인구(1세별, 5세별) / 전국</t>
  </si>
  <si>
    <t>○ 조회기간</t>
  </si>
  <si>
    <t xml:space="preserve">[년] 2014~2072  </t>
  </si>
  <si>
    <t>○ 출처</t>
  </si>
  <si>
    <t>「장래인구추계」, 통계청</t>
  </si>
  <si>
    <t>○ 자료다운일자</t>
  </si>
  <si>
    <t>○ 통계표URL</t>
  </si>
  <si>
    <t>https://kosis.kr/statHtml/statHtml.do?orgId=101&amp;tblId=DT_1BPA001&amp;conn_path=I3</t>
  </si>
  <si>
    <t>* KOSIS 개편 시 통계표 URL은 달라질 수 있음</t>
  </si>
  <si>
    <t>○ 주석</t>
  </si>
  <si>
    <t>통계표</t>
  </si>
  <si>
    <t>주1) 2023년 12월에 공표한 장래인구추계 자료임.</t>
  </si>
  <si>
    <t>주2) 매년 7월 1일 시점 자료임.</t>
  </si>
  <si>
    <t>주3) 작성대상 인구는 국적과 상관없이 대한민국에 상주하는 인구임.(외국인 포함)</t>
  </si>
  <si>
    <t>주4) 1960~2022년까지는 확정인구이며, 2023년 이후는 다음 인구추계시 변경될 수 있음.</t>
  </si>
  <si>
    <t>주5) 중위추계(기본추계)는 인구변동요인별(출생, 사망, 국제이동) 중위가정을 조합한 결과,</t>
  </si>
  <si>
    <t xml:space="preserve">       고위추계(최대인구 추계)는 인구변동요인별(출생, 사망, 국제이동) 고위가정을 조합한 결과,</t>
  </si>
  <si>
    <t xml:space="preserve">       저위추계(최소인구 추계)는 인구변동요인별(출생, 사망, 국제이동) 저위가정을 조합한 결과임.</t>
  </si>
  <si>
    <t>주6) 단위 : 명</t>
  </si>
  <si>
    <t>가정별</t>
  </si>
  <si>
    <t>시점</t>
  </si>
  <si>
    <t>계</t>
  </si>
  <si>
    <t>0세</t>
  </si>
  <si>
    <t>1세</t>
  </si>
  <si>
    <t>2세</t>
  </si>
  <si>
    <t>3세</t>
  </si>
  <si>
    <t>4세</t>
  </si>
  <si>
    <t>5세</t>
  </si>
  <si>
    <t>6세</t>
  </si>
  <si>
    <t>7세</t>
  </si>
  <si>
    <t>8세</t>
  </si>
  <si>
    <t>9세</t>
  </si>
  <si>
    <t>10세</t>
  </si>
  <si>
    <t>11세</t>
  </si>
  <si>
    <t>12세</t>
  </si>
  <si>
    <t>13세</t>
  </si>
  <si>
    <t>14세</t>
  </si>
  <si>
    <t>15세</t>
  </si>
  <si>
    <t>16세</t>
  </si>
  <si>
    <t>17세</t>
  </si>
  <si>
    <t>18세</t>
  </si>
  <si>
    <t>19세</t>
  </si>
  <si>
    <t>20세</t>
  </si>
  <si>
    <t>21세</t>
  </si>
  <si>
    <t>22세</t>
  </si>
  <si>
    <t>23세</t>
  </si>
  <si>
    <t>24세</t>
  </si>
  <si>
    <t>25세</t>
  </si>
  <si>
    <t>26세</t>
  </si>
  <si>
    <t>27세</t>
  </si>
  <si>
    <t>28세</t>
  </si>
  <si>
    <t>29세</t>
  </si>
  <si>
    <t>30세</t>
  </si>
  <si>
    <t>31세</t>
  </si>
  <si>
    <t>32세</t>
  </si>
  <si>
    <t>33세</t>
  </si>
  <si>
    <t>34세</t>
  </si>
  <si>
    <t>35세</t>
  </si>
  <si>
    <t>36세</t>
  </si>
  <si>
    <t>37세</t>
  </si>
  <si>
    <t>38세</t>
  </si>
  <si>
    <t>39세</t>
  </si>
  <si>
    <t>40세</t>
  </si>
  <si>
    <t>41세</t>
  </si>
  <si>
    <t>42세</t>
  </si>
  <si>
    <t>43세</t>
  </si>
  <si>
    <t>44세</t>
  </si>
  <si>
    <t>45세</t>
  </si>
  <si>
    <t>46세</t>
  </si>
  <si>
    <t>47세</t>
  </si>
  <si>
    <t>48세</t>
  </si>
  <si>
    <t>49세</t>
  </si>
  <si>
    <t>50세</t>
  </si>
  <si>
    <t>51세</t>
  </si>
  <si>
    <t>52세</t>
  </si>
  <si>
    <t>53세</t>
  </si>
  <si>
    <t>54세</t>
  </si>
  <si>
    <t>55세</t>
  </si>
  <si>
    <t>56세</t>
  </si>
  <si>
    <t>57세</t>
  </si>
  <si>
    <t>58세</t>
  </si>
  <si>
    <t>59세</t>
  </si>
  <si>
    <t>60세</t>
  </si>
  <si>
    <t>61세</t>
  </si>
  <si>
    <t>62세</t>
  </si>
  <si>
    <t>63세</t>
  </si>
  <si>
    <t>64세</t>
  </si>
  <si>
    <t>65세</t>
  </si>
  <si>
    <t>66세</t>
  </si>
  <si>
    <t>67세</t>
  </si>
  <si>
    <t>68세</t>
  </si>
  <si>
    <t>69세</t>
  </si>
  <si>
    <t>70세</t>
  </si>
  <si>
    <t>71세</t>
  </si>
  <si>
    <t>72세</t>
  </si>
  <si>
    <t>73세</t>
  </si>
  <si>
    <t>74세</t>
  </si>
  <si>
    <t>75세</t>
  </si>
  <si>
    <t>76세</t>
  </si>
  <si>
    <t>77세</t>
  </si>
  <si>
    <t>78세</t>
  </si>
  <si>
    <t>79세</t>
  </si>
  <si>
    <t>80세</t>
  </si>
  <si>
    <t>81세</t>
  </si>
  <si>
    <t>82세</t>
  </si>
  <si>
    <t>83세</t>
  </si>
  <si>
    <t>84세</t>
  </si>
  <si>
    <t>85세</t>
  </si>
  <si>
    <t>86세</t>
  </si>
  <si>
    <t>87세</t>
  </si>
  <si>
    <t>88세</t>
  </si>
  <si>
    <t>89세</t>
  </si>
  <si>
    <t>90세</t>
  </si>
  <si>
    <t>91세</t>
  </si>
  <si>
    <t>92세</t>
  </si>
  <si>
    <t>93세</t>
  </si>
  <si>
    <t>94세</t>
  </si>
  <si>
    <t>95세</t>
  </si>
  <si>
    <t>96세</t>
  </si>
  <si>
    <t>97세</t>
  </si>
  <si>
    <t>98세</t>
  </si>
  <si>
    <t>99세</t>
  </si>
  <si>
    <t>중위 추계(기본 추계: 출산율-중위 / 기대수명-중위 / 국제순이동-중위)</t>
  </si>
  <si>
    <t>2014</t>
  </si>
  <si>
    <t>전체</t>
  </si>
  <si>
    <t>2016</t>
  </si>
  <si>
    <t>2017</t>
  </si>
  <si>
    <t>2018</t>
  </si>
  <si>
    <t>2019</t>
  </si>
  <si>
    <t>2020</t>
  </si>
  <si>
    <t>2021</t>
  </si>
  <si>
    <t>2022</t>
  </si>
  <si>
    <t>2023</t>
  </si>
  <si>
    <t>100세 이상</t>
  </si>
  <si>
    <t>2025.02.26 16:23</t>
  </si>
  <si>
    <t>DT_1DA7012S</t>
  </si>
  <si>
    <t>성/연령별 경제활동인구</t>
  </si>
  <si>
    <t xml:space="preserve">[월] 199906~202501  </t>
  </si>
  <si>
    <t>「경제활동인구조사」, 통계청</t>
  </si>
  <si>
    <t>2025.02.26 16:38</t>
  </si>
  <si>
    <t>https://kosis.kr/statHtml/statHtml.do?orgId=101&amp;tblId=DT_1DA7012S&amp;conn_path=I3</t>
  </si>
  <si>
    <t>○ 단위</t>
  </si>
  <si>
    <t>%</t>
  </si>
  <si>
    <t xml:space="preserve">   - 2015년 인구총조사(등록센서스) 결과를 토대로 소급작성된 추계인구의 변경을 반영하여 2018년 1월에 2000년 7월 ~ 2017년 12월까지의 자료를 변경 하였음</t>
  </si>
  <si>
    <t xml:space="preserve">   - 15세이상인구 중 군인, 사회복무요원, 형이 확정된 교도소 수감자 등은 제외</t>
  </si>
  <si>
    <t xml:space="preserve">   - '2024년 1월 고용동향' 공표 시부터 2023년 이후 자료에 대해 '70~74세', '75세이상' 인구, 취업자 및 고용률을 제공</t>
  </si>
  <si>
    <t>연령계층별</t>
  </si>
  <si>
    <t>'2020년 12월 및 연간 고용동향' 공표 시 부터 2018년 이후 자료에 대하여 '65-69세', '70세이상' 인구, 취업자 및 고용률을 제공합니다.</t>
  </si>
  <si>
    <t>https://kosis.kr/statHtml/statHtml.do?orgId=118&amp;tblId=DT_118N_ENTN041&amp;conn_path=I2</t>
  </si>
  <si>
    <t>노동비용</t>
  </si>
  <si>
    <t>노동비용</t>
    <phoneticPr fontId="18" type="noConversion"/>
  </si>
  <si>
    <t>고용노동부,「기업체노동비용조사」</t>
    <phoneticPr fontId="18" type="noConversion"/>
  </si>
  <si>
    <t>DT_118N_ENTN031</t>
  </si>
  <si>
    <t>「기업체노동비용조사」, 고용노동부</t>
  </si>
  <si>
    <t>2025.02.27 08:03</t>
  </si>
  <si>
    <t>https://kosis.kr/statHtml/statHtml.do?orgId=118&amp;tblId=DT_118N_ENTN031&amp;conn_path=I3</t>
  </si>
  <si>
    <t>천원</t>
  </si>
  <si>
    <t>현물지급비용과 기타노동비용은 '13년 이후에는 법정외복지비용에 포함됨</t>
  </si>
  <si>
    <t xml:space="preserve">[년] 2004~2023  </t>
    <phoneticPr fontId="18" type="noConversion"/>
  </si>
  <si>
    <t>기업규모별</t>
  </si>
  <si>
    <t>산업분류별</t>
  </si>
  <si>
    <t>전규모(10인이상)</t>
  </si>
  <si>
    <t>전산업</t>
  </si>
  <si>
    <t>2004</t>
  </si>
  <si>
    <t>2005</t>
  </si>
  <si>
    <t>2006</t>
  </si>
  <si>
    <t>2007</t>
  </si>
  <si>
    <t>전규모(상용근로자 10인 이상)</t>
  </si>
  <si>
    <t>2008</t>
  </si>
  <si>
    <t>2009</t>
  </si>
  <si>
    <t>2010</t>
  </si>
  <si>
    <t>2011</t>
  </si>
  <si>
    <t>2012</t>
  </si>
  <si>
    <t>2013</t>
  </si>
  <si>
    <t>nominal $/hr</t>
    <phoneticPr fontId="18" type="noConversion"/>
  </si>
  <si>
    <t>nominal \/hr</t>
    <phoneticPr fontId="18" type="noConversion"/>
  </si>
  <si>
    <t>통계표명:</t>
  </si>
  <si>
    <t>환율</t>
  </si>
  <si>
    <t>단위:</t>
  </si>
  <si>
    <t>원/달러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</si>
  <si>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</si>
  <si>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</si>
  <si>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</si>
  <si>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</si>
  <si>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</si>
  <si>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</si>
  <si>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</si>
  <si>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</si>
  <si>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</si>
  <si>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</si>
  <si>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</si>
  <si>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</si>
  <si>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</si>
  <si>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</si>
  <si>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</si>
  <si>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</si>
  <si>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</si>
  <si>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</si>
  <si>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</si>
  <si>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</si>
  <si>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</si>
  <si>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</si>
  <si>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</si>
  <si>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</si>
  <si>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</si>
  <si>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</si>
  <si>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</si>
  <si>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</si>
  <si>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</si>
  <si>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</si>
  <si>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</si>
  <si>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</si>
  <si>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</si>
  <si>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</si>
  <si>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316.7</t>
  </si>
  <si>
    <t>373.3</t>
  </si>
  <si>
    <t>398.9</t>
  </si>
  <si>
    <t>397.5</t>
  </si>
  <si>
    <t>484.0</t>
  </si>
  <si>
    <t>659.9</t>
  </si>
  <si>
    <t>700.5</t>
  </si>
  <si>
    <t>748.8</t>
  </si>
  <si>
    <t>795.5</t>
  </si>
  <si>
    <t>827.4</t>
  </si>
  <si>
    <t>890.2</t>
  </si>
  <si>
    <t>861.4</t>
  </si>
  <si>
    <t>792.3</t>
  </si>
  <si>
    <t>684.1</t>
  </si>
  <si>
    <t>679.6</t>
  </si>
  <si>
    <t>716.7</t>
  </si>
  <si>
    <t>759.5</t>
  </si>
  <si>
    <t>786.5</t>
  </si>
  <si>
    <t>807.2</t>
  </si>
  <si>
    <t>788.5</t>
  </si>
  <si>
    <t>775.7</t>
  </si>
  <si>
    <t>844.2</t>
  </si>
  <si>
    <t>1,695.0</t>
  </si>
  <si>
    <t>1,204.0</t>
  </si>
  <si>
    <t>1,138.0</t>
  </si>
  <si>
    <t>1,264.5</t>
  </si>
  <si>
    <t>1,313.5</t>
  </si>
  <si>
    <t>1,186.2</t>
  </si>
  <si>
    <t>1,192.6</t>
  </si>
  <si>
    <t>1,035.1</t>
  </si>
  <si>
    <t>1,011.6</t>
  </si>
  <si>
    <t>929.8</t>
  </si>
  <si>
    <t>936.1</t>
  </si>
  <si>
    <t>1,259.5</t>
  </si>
  <si>
    <t>1,164.5</t>
  </si>
  <si>
    <t>1,134.8</t>
  </si>
  <si>
    <t>1,151.8</t>
  </si>
  <si>
    <t>1,070.6</t>
  </si>
  <si>
    <t>1,055.4</t>
  </si>
  <si>
    <t>1,099.3</t>
  </si>
  <si>
    <t>1,172.5</t>
  </si>
  <si>
    <t>1,207.7</t>
  </si>
  <si>
    <t>1,070.5</t>
  </si>
  <si>
    <t>1,115.7</t>
  </si>
  <si>
    <t>1,156.4</t>
  </si>
  <si>
    <t>1,086.3</t>
  </si>
  <si>
    <t>1,188.8</t>
  </si>
  <si>
    <t>1,288.0</t>
  </si>
  <si>
    <t>절상율(%)</t>
  </si>
  <si>
    <t>-3.9</t>
  </si>
  <si>
    <t>-15.2</t>
  </si>
  <si>
    <t>-6.4</t>
  </si>
  <si>
    <t>0.4</t>
  </si>
  <si>
    <t>-17.9</t>
  </si>
  <si>
    <t>0.0</t>
  </si>
  <si>
    <t>-26.7</t>
  </si>
  <si>
    <t>-5.8</t>
  </si>
  <si>
    <t>-6.5</t>
  </si>
  <si>
    <t>-5.9</t>
  </si>
  <si>
    <t>-7.1</t>
  </si>
  <si>
    <t>3.3</t>
  </si>
  <si>
    <t>8.7</t>
  </si>
  <si>
    <t>15.8</t>
  </si>
  <si>
    <t>0.7</t>
  </si>
  <si>
    <t>-5.2</t>
  </si>
  <si>
    <t>-5.6</t>
  </si>
  <si>
    <t>-3.4</t>
  </si>
  <si>
    <t>-2.6</t>
  </si>
  <si>
    <t>2.4</t>
  </si>
  <si>
    <t>1.7</t>
  </si>
  <si>
    <t>-8.2</t>
  </si>
  <si>
    <t>-50.2</t>
  </si>
  <si>
    <t>40.8</t>
  </si>
  <si>
    <t>5.8</t>
  </si>
  <si>
    <t>-10.0</t>
  </si>
  <si>
    <t>-3.7</t>
  </si>
  <si>
    <t>10.7</t>
  </si>
  <si>
    <t>-0.5</t>
  </si>
  <si>
    <t>15.2</t>
  </si>
  <si>
    <t>2.3</t>
  </si>
  <si>
    <t>8.8</t>
  </si>
  <si>
    <t>-0.7</t>
  </si>
  <si>
    <t>-25.7</t>
  </si>
  <si>
    <t>8.2</t>
  </si>
  <si>
    <t>2.6</t>
  </si>
  <si>
    <t>-1.5</t>
  </si>
  <si>
    <t>7.6</t>
  </si>
  <si>
    <t>1.4</t>
  </si>
  <si>
    <t>-4.0</t>
  </si>
  <si>
    <t>-6.2</t>
  </si>
  <si>
    <t>-2.9</t>
  </si>
  <si>
    <t>12.8</t>
  </si>
  <si>
    <t>-3.5</t>
  </si>
  <si>
    <t>6.5</t>
  </si>
  <si>
    <t>-8.6</t>
  </si>
  <si>
    <t>-6.0</t>
  </si>
  <si>
    <t>-1.8</t>
  </si>
  <si>
    <t>출처:</t>
  </si>
  <si>
    <t>기획재정부 (통화별 환율 조사통계)</t>
  </si>
  <si>
    <t>주석:</t>
  </si>
  <si>
    <t>* 환율은 서울외환시장 종가(15:30현재, &amp;apos;05.2월 이전은 16:00현재, &amp;apos;03년 이전은 16:30현재)</t>
  </si>
  <si>
    <t>* 절상율은 전년말비 변동율</t>
  </si>
  <si>
    <t>월 평균 노동비용총액 (천원)</t>
    <phoneticPr fontId="18" type="noConversion"/>
  </si>
  <si>
    <t>exchange rate \/$</t>
    <phoneticPr fontId="18" type="noConversion"/>
  </si>
  <si>
    <t>시급(주40 시간 기준)*
nominal $/hr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</si>
</sst>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\-mm\-dd"/>
    <numFmt numFmtId="177" formatCode="0.0"/>
    <numFmt numFmtId="178" formatCode="0.0%"/>
    <numFmt numFmtId="179" formatCode="#,##0.0_ ;\-#,##0.0\ "/>
    <numFmt numFmtId="182" formatCode="#,##0.0"/>
  </numFmts>
  <fonts count="2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u/>
      <sz val="9"/>
      <color indexed="18"/>
      <name val="Verdana"/>
      <family val="2"/>
    </font>
    <font>
      <b/>
      <sz val="8"/>
      <color indexed="9"/>
      <name val="Verdana"/>
      <family val="2"/>
    </font>
    <font>
      <u/>
      <sz val="8"/>
      <color indexed="9"/>
      <name val="Verdana"/>
      <family val="2"/>
    </font>
    <font>
      <sz val="8"/>
      <color indexed="9"/>
      <name val="Verdana"/>
      <family val="2"/>
    </font>
    <font>
      <b/>
      <sz val="8"/>
      <name val="Verdana"/>
      <family val="2"/>
    </font>
    <font>
      <b/>
      <sz val="9"/>
      <color indexed="10"/>
      <name val="Courier New"/>
      <family val="3"/>
    </font>
    <font>
      <sz val="8"/>
      <name val="Verdana"/>
      <family val="2"/>
    </font>
    <font>
      <u/>
      <sz val="8"/>
      <name val="Verdana"/>
      <family val="2"/>
    </font>
    <font>
      <sz val="11"/>
      <color indexed="8"/>
      <name val="맑은 고딕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i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color rgb="FFFF0000"/>
      <name val="Arial"/>
      <family val="2"/>
    </font>
    <font>
      <sz val="11"/>
      <color rgb="FFFF0000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  <font>
      <u/>
      <sz val="11"/>
      <color rgb="FFFF0000"/>
      <name val="맑은 고딕"/>
      <family val="3"/>
      <charset val="129"/>
      <scheme val="minor"/>
    </font>
    <font>
      <sz val="11"/>
      <color rgb="FF00B0F0"/>
      <name val="맑은 고딕"/>
      <family val="2"/>
      <scheme val="minor"/>
    </font>
    <font>
      <b/>
      <sz val="1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2973BD"/>
        <bgColor indexed="64"/>
      </patternFill>
    </fill>
    <fill>
      <patternFill patternType="solid">
        <fgColor rgb="FF00A1E3"/>
        <bgColor indexed="64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  <fill>
      <patternFill patternType="solid">
        <fgColor rgb="FFF0F8FF"/>
        <bgColor indexed="64"/>
      </patternFill>
    </fill>
    <fill>
      <patternFill patternType="solid">
        <fgColor rgb="FFBCCCE0"/>
      </patternFill>
    </fill>
    <fill>
      <patternFill patternType="solid">
        <fgColor rgb="FFF0EBD7"/>
      </patternFill>
    </fill>
    <fill>
      <patternFill patternType="solid">
        <fgColor rgb="FFE2ECF8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14" fillId="0" borderId="0"/>
  </cellStyleXfs>
  <cellXfs count="68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0" borderId="0" xfId="0" applyAlignment="1">
      <alignment horizontal="left"/>
    </xf>
    <xf numFmtId="0" fontId="3" fillId="0" borderId="0" xfId="2"/>
    <xf numFmtId="176" fontId="0" fillId="0" borderId="0" xfId="0" applyNumberFormat="1"/>
    <xf numFmtId="177" fontId="0" fillId="0" borderId="0" xfId="0" applyNumberFormat="1"/>
    <xf numFmtId="14" fontId="0" fillId="3" borderId="0" xfId="0" applyNumberFormat="1" applyFill="1"/>
    <xf numFmtId="178" fontId="0" fillId="4" borderId="0" xfId="1" applyNumberFormat="1" applyFont="1" applyFill="1"/>
    <xf numFmtId="0" fontId="5" fillId="0" borderId="1" xfId="3" applyFont="1" applyBorder="1"/>
    <xf numFmtId="0" fontId="4" fillId="0" borderId="0" xfId="3"/>
    <xf numFmtId="0" fontId="6" fillId="0" borderId="1" xfId="3" applyFont="1" applyBorder="1" applyAlignment="1">
      <alignment horizontal="left" wrapText="1"/>
    </xf>
    <xf numFmtId="0" fontId="9" fillId="6" borderId="1" xfId="3" applyFont="1" applyFill="1" applyBorder="1" applyAlignment="1">
      <alignment horizontal="center" vertical="top" wrapText="1"/>
    </xf>
    <xf numFmtId="0" fontId="10" fillId="7" borderId="1" xfId="3" applyFont="1" applyFill="1" applyBorder="1" applyAlignment="1">
      <alignment wrapText="1"/>
    </xf>
    <xf numFmtId="0" fontId="11" fillId="8" borderId="1" xfId="3" applyFont="1" applyFill="1" applyBorder="1" applyAlignment="1">
      <alignment horizontal="center"/>
    </xf>
    <xf numFmtId="0" fontId="12" fillId="7" borderId="1" xfId="3" applyFont="1" applyFill="1" applyBorder="1" applyAlignment="1">
      <alignment vertical="top" wrapText="1"/>
    </xf>
    <xf numFmtId="0" fontId="13" fillId="0" borderId="0" xfId="3" applyFont="1" applyAlignment="1">
      <alignment horizontal="left"/>
    </xf>
    <xf numFmtId="0" fontId="0" fillId="2" borderId="0" xfId="0" applyFill="1"/>
    <xf numFmtId="11" fontId="0" fillId="0" borderId="0" xfId="0" applyNumberFormat="1"/>
    <xf numFmtId="0" fontId="0" fillId="0" borderId="0" xfId="0" applyAlignment="1">
      <alignment wrapText="1"/>
    </xf>
    <xf numFmtId="0" fontId="14" fillId="0" borderId="0" xfId="4"/>
    <xf numFmtId="0" fontId="16" fillId="0" borderId="0" xfId="4" applyFont="1" applyAlignment="1">
      <alignment horizontal="left" vertical="top" wrapText="1"/>
    </xf>
    <xf numFmtId="178" fontId="0" fillId="0" borderId="0" xfId="1" applyNumberFormat="1" applyFont="1"/>
    <xf numFmtId="10" fontId="0" fillId="0" borderId="0" xfId="1" applyNumberFormat="1" applyFont="1"/>
    <xf numFmtId="0" fontId="17" fillId="0" borderId="0" xfId="0" applyFont="1"/>
    <xf numFmtId="10" fontId="2" fillId="0" borderId="0" xfId="1" applyNumberFormat="1" applyFont="1" applyFill="1"/>
    <xf numFmtId="11" fontId="0" fillId="4" borderId="0" xfId="0" applyNumberFormat="1" applyFill="1"/>
    <xf numFmtId="0" fontId="7" fillId="5" borderId="2" xfId="3" applyFont="1" applyFill="1" applyBorder="1" applyAlignment="1">
      <alignment horizontal="right" vertical="top" wrapText="1"/>
    </xf>
    <xf numFmtId="0" fontId="7" fillId="5" borderId="3" xfId="3" applyFont="1" applyFill="1" applyBorder="1" applyAlignment="1">
      <alignment horizontal="right" vertical="top" wrapText="1"/>
    </xf>
    <xf numFmtId="0" fontId="9" fillId="5" borderId="2" xfId="3" applyFont="1" applyFill="1" applyBorder="1" applyAlignment="1">
      <alignment vertical="top" wrapText="1"/>
    </xf>
    <xf numFmtId="0" fontId="9" fillId="5" borderId="4" xfId="3" applyFont="1" applyFill="1" applyBorder="1" applyAlignment="1">
      <alignment vertical="top" wrapText="1"/>
    </xf>
    <xf numFmtId="0" fontId="9" fillId="5" borderId="3" xfId="3" applyFont="1" applyFill="1" applyBorder="1" applyAlignment="1">
      <alignment vertical="top" wrapText="1"/>
    </xf>
    <xf numFmtId="0" fontId="7" fillId="6" borderId="2" xfId="3" applyFont="1" applyFill="1" applyBorder="1" applyAlignment="1">
      <alignment horizontal="right" vertical="center" wrapText="1"/>
    </xf>
    <xf numFmtId="0" fontId="7" fillId="6" borderId="3" xfId="3" applyFont="1" applyFill="1" applyBorder="1" applyAlignment="1">
      <alignment horizontal="right" vertical="center" wrapText="1"/>
    </xf>
    <xf numFmtId="0" fontId="8" fillId="5" borderId="2" xfId="3" applyFont="1" applyFill="1" applyBorder="1" applyAlignment="1">
      <alignment vertical="top" wrapText="1"/>
    </xf>
    <xf numFmtId="0" fontId="8" fillId="5" borderId="4" xfId="3" applyFont="1" applyFill="1" applyBorder="1" applyAlignment="1">
      <alignment vertical="top" wrapText="1"/>
    </xf>
    <xf numFmtId="0" fontId="8" fillId="5" borderId="3" xfId="3" applyFont="1" applyFill="1" applyBorder="1" applyAlignment="1">
      <alignment vertical="top" wrapText="1"/>
    </xf>
    <xf numFmtId="0" fontId="15" fillId="0" borderId="0" xfId="4" applyFont="1" applyAlignment="1">
      <alignment horizontal="left" vertical="top" wrapText="1"/>
    </xf>
    <xf numFmtId="0" fontId="14" fillId="0" borderId="0" xfId="4"/>
    <xf numFmtId="0" fontId="15" fillId="0" borderId="0" xfId="4" applyFont="1" applyAlignment="1">
      <alignment horizontal="left"/>
    </xf>
    <xf numFmtId="179" fontId="19" fillId="0" borderId="1" xfId="3" applyNumberFormat="1" applyFont="1" applyBorder="1" applyAlignment="1">
      <alignment horizontal="right"/>
    </xf>
    <xf numFmtId="179" fontId="19" fillId="9" borderId="1" xfId="3" applyNumberFormat="1" applyFont="1" applyFill="1" applyBorder="1" applyAlignment="1">
      <alignment horizontal="right"/>
    </xf>
    <xf numFmtId="0" fontId="20" fillId="0" borderId="0" xfId="0" applyFont="1"/>
    <xf numFmtId="0" fontId="21" fillId="0" borderId="0" xfId="0" applyFont="1" applyAlignment="1">
      <alignment horizontal="left"/>
    </xf>
    <xf numFmtId="0" fontId="21" fillId="0" borderId="0" xfId="0" applyFont="1"/>
    <xf numFmtId="0" fontId="22" fillId="0" borderId="0" xfId="2" applyFont="1"/>
    <xf numFmtId="0" fontId="21" fillId="0" borderId="0" xfId="0" applyFont="1" applyAlignment="1">
      <alignment wrapText="1"/>
    </xf>
    <xf numFmtId="0" fontId="0" fillId="0" borderId="0" xfId="0" applyAlignment="1">
      <alignment vertical="center"/>
    </xf>
    <xf numFmtId="0" fontId="0" fillId="10" borderId="5" xfId="0" applyFill="1" applyBorder="1" applyAlignment="1">
      <alignment vertical="center"/>
    </xf>
    <xf numFmtId="0" fontId="0" fillId="11" borderId="5" xfId="0" applyFill="1" applyBorder="1"/>
    <xf numFmtId="0" fontId="0" fillId="12" borderId="6" xfId="0" applyFill="1" applyBorder="1"/>
    <xf numFmtId="3" fontId="0" fillId="0" borderId="5" xfId="0" applyNumberFormat="1" applyBorder="1" applyAlignment="1">
      <alignment horizontal="right"/>
    </xf>
    <xf numFmtId="0" fontId="0" fillId="12" borderId="7" xfId="0" applyFill="1" applyBorder="1"/>
    <xf numFmtId="0" fontId="0" fillId="12" borderId="8" xfId="0" applyFill="1" applyBorder="1"/>
    <xf numFmtId="0" fontId="0" fillId="12" borderId="5" xfId="0" applyFill="1" applyBorder="1"/>
    <xf numFmtId="0" fontId="0" fillId="10" borderId="5" xfId="0" applyFill="1" applyBorder="1" applyAlignment="1">
      <alignment vertical="center"/>
    </xf>
    <xf numFmtId="0" fontId="0" fillId="11" borderId="5" xfId="0" applyFill="1" applyBorder="1"/>
    <xf numFmtId="182" fontId="0" fillId="0" borderId="5" xfId="0" applyNumberFormat="1" applyBorder="1" applyAlignment="1">
      <alignment horizontal="right"/>
    </xf>
    <xf numFmtId="14" fontId="0" fillId="12" borderId="6" xfId="0" applyNumberFormat="1" applyFill="1" applyBorder="1"/>
    <xf numFmtId="14" fontId="0" fillId="12" borderId="5" xfId="0" applyNumberFormat="1" applyFill="1" applyBorder="1"/>
    <xf numFmtId="0" fontId="0" fillId="12" borderId="6" xfId="0" applyNumberFormat="1" applyFill="1" applyBorder="1"/>
    <xf numFmtId="0" fontId="23" fillId="0" borderId="0" xfId="0" applyFont="1"/>
    <xf numFmtId="0" fontId="0" fillId="12" borderId="5" xfId="0" applyNumberFormat="1" applyFill="1" applyBorder="1"/>
    <xf numFmtId="0" fontId="0" fillId="0" borderId="0" xfId="0" applyAlignment="1">
      <alignment horizontal="right"/>
    </xf>
    <xf numFmtId="0" fontId="24" fillId="13" borderId="5" xfId="0" applyFont="1" applyFill="1" applyBorder="1" applyAlignment="1">
      <alignment horizontal="center" vertical="center"/>
    </xf>
    <xf numFmtId="0" fontId="24" fillId="1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right" vertical="center"/>
    </xf>
    <xf numFmtId="0" fontId="14" fillId="0" borderId="0" xfId="4" applyAlignment="1">
      <alignment wrapText="1"/>
    </xf>
  </cellXfs>
  <cellStyles count="5">
    <cellStyle name="Normal 2" xfId="3" xr:uid="{60584C86-1C12-49F9-A2AE-BB99BAC4A6EC}"/>
    <cellStyle name="Normal 3" xfId="4" xr:uid="{B4C9DD1A-39F2-4630-9872-DFCC541C84AB}"/>
    <cellStyle name="백분율" xfId="1" builtinId="5"/>
    <cellStyle name="표준" xfId="0" builtinId="0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'Emp Pop Ratio'!$A$19:$A$326</c:f>
              <c:numCache>
                <c:formatCode>m/d/yyyy</c:formatCode>
                <c:ptCount val="308"/>
                <c:pt idx="0">
                  <c:v>36312</c:v>
                </c:pt>
                <c:pt idx="1">
                  <c:v>36342</c:v>
                </c:pt>
                <c:pt idx="2">
                  <c:v>36373</c:v>
                </c:pt>
                <c:pt idx="3">
                  <c:v>36404</c:v>
                </c:pt>
                <c:pt idx="4">
                  <c:v>36434</c:v>
                </c:pt>
                <c:pt idx="5">
                  <c:v>36465</c:v>
                </c:pt>
                <c:pt idx="6">
                  <c:v>36495</c:v>
                </c:pt>
                <c:pt idx="7">
                  <c:v>36526</c:v>
                </c:pt>
                <c:pt idx="8">
                  <c:v>36557</c:v>
                </c:pt>
                <c:pt idx="9">
                  <c:v>36586</c:v>
                </c:pt>
                <c:pt idx="10">
                  <c:v>36617</c:v>
                </c:pt>
                <c:pt idx="11">
                  <c:v>36647</c:v>
                </c:pt>
                <c:pt idx="12">
                  <c:v>36678</c:v>
                </c:pt>
                <c:pt idx="13">
                  <c:v>36708</c:v>
                </c:pt>
                <c:pt idx="14">
                  <c:v>36739</c:v>
                </c:pt>
                <c:pt idx="15">
                  <c:v>36770</c:v>
                </c:pt>
                <c:pt idx="16">
                  <c:v>36800</c:v>
                </c:pt>
                <c:pt idx="17">
                  <c:v>36831</c:v>
                </c:pt>
                <c:pt idx="18">
                  <c:v>36861</c:v>
                </c:pt>
                <c:pt idx="19">
                  <c:v>36892</c:v>
                </c:pt>
                <c:pt idx="20">
                  <c:v>36923</c:v>
                </c:pt>
                <c:pt idx="21">
                  <c:v>36951</c:v>
                </c:pt>
                <c:pt idx="22">
                  <c:v>36982</c:v>
                </c:pt>
                <c:pt idx="23">
                  <c:v>37012</c:v>
                </c:pt>
                <c:pt idx="24">
                  <c:v>37043</c:v>
                </c:pt>
                <c:pt idx="25">
                  <c:v>37073</c:v>
                </c:pt>
                <c:pt idx="26">
                  <c:v>37104</c:v>
                </c:pt>
                <c:pt idx="27">
                  <c:v>37135</c:v>
                </c:pt>
                <c:pt idx="28">
                  <c:v>37165</c:v>
                </c:pt>
                <c:pt idx="29">
                  <c:v>37196</c:v>
                </c:pt>
                <c:pt idx="30">
                  <c:v>37226</c:v>
                </c:pt>
                <c:pt idx="31">
                  <c:v>37257</c:v>
                </c:pt>
                <c:pt idx="32">
                  <c:v>37288</c:v>
                </c:pt>
                <c:pt idx="33">
                  <c:v>37316</c:v>
                </c:pt>
                <c:pt idx="34">
                  <c:v>37347</c:v>
                </c:pt>
                <c:pt idx="35">
                  <c:v>37377</c:v>
                </c:pt>
                <c:pt idx="36">
                  <c:v>37408</c:v>
                </c:pt>
                <c:pt idx="37">
                  <c:v>37438</c:v>
                </c:pt>
                <c:pt idx="38">
                  <c:v>37469</c:v>
                </c:pt>
                <c:pt idx="39">
                  <c:v>37500</c:v>
                </c:pt>
                <c:pt idx="40">
                  <c:v>37530</c:v>
                </c:pt>
                <c:pt idx="41">
                  <c:v>37561</c:v>
                </c:pt>
                <c:pt idx="42">
                  <c:v>37591</c:v>
                </c:pt>
                <c:pt idx="43">
                  <c:v>37622</c:v>
                </c:pt>
                <c:pt idx="44">
                  <c:v>37653</c:v>
                </c:pt>
                <c:pt idx="45">
                  <c:v>37681</c:v>
                </c:pt>
                <c:pt idx="46">
                  <c:v>37712</c:v>
                </c:pt>
                <c:pt idx="47">
                  <c:v>37742</c:v>
                </c:pt>
                <c:pt idx="48">
                  <c:v>37773</c:v>
                </c:pt>
                <c:pt idx="49">
                  <c:v>37803</c:v>
                </c:pt>
                <c:pt idx="50">
                  <c:v>37834</c:v>
                </c:pt>
                <c:pt idx="51">
                  <c:v>37865</c:v>
                </c:pt>
                <c:pt idx="52">
                  <c:v>37895</c:v>
                </c:pt>
                <c:pt idx="53">
                  <c:v>37926</c:v>
                </c:pt>
                <c:pt idx="54">
                  <c:v>37956</c:v>
                </c:pt>
                <c:pt idx="55">
                  <c:v>37987</c:v>
                </c:pt>
                <c:pt idx="56">
                  <c:v>38018</c:v>
                </c:pt>
                <c:pt idx="57">
                  <c:v>38047</c:v>
                </c:pt>
                <c:pt idx="58">
                  <c:v>38078</c:v>
                </c:pt>
                <c:pt idx="59">
                  <c:v>38108</c:v>
                </c:pt>
                <c:pt idx="60">
                  <c:v>38139</c:v>
                </c:pt>
                <c:pt idx="61">
                  <c:v>38169</c:v>
                </c:pt>
                <c:pt idx="62">
                  <c:v>38200</c:v>
                </c:pt>
                <c:pt idx="63">
                  <c:v>38231</c:v>
                </c:pt>
                <c:pt idx="64">
                  <c:v>38261</c:v>
                </c:pt>
                <c:pt idx="65">
                  <c:v>38292</c:v>
                </c:pt>
                <c:pt idx="66">
                  <c:v>38322</c:v>
                </c:pt>
                <c:pt idx="67">
                  <c:v>38353</c:v>
                </c:pt>
                <c:pt idx="68">
                  <c:v>38384</c:v>
                </c:pt>
                <c:pt idx="69">
                  <c:v>38412</c:v>
                </c:pt>
                <c:pt idx="70">
                  <c:v>38443</c:v>
                </c:pt>
                <c:pt idx="71">
                  <c:v>38473</c:v>
                </c:pt>
                <c:pt idx="72">
                  <c:v>38504</c:v>
                </c:pt>
                <c:pt idx="73">
                  <c:v>38534</c:v>
                </c:pt>
                <c:pt idx="74">
                  <c:v>38565</c:v>
                </c:pt>
                <c:pt idx="75">
                  <c:v>38596</c:v>
                </c:pt>
                <c:pt idx="76">
                  <c:v>38626</c:v>
                </c:pt>
                <c:pt idx="77">
                  <c:v>38657</c:v>
                </c:pt>
                <c:pt idx="78">
                  <c:v>38687</c:v>
                </c:pt>
                <c:pt idx="79">
                  <c:v>38718</c:v>
                </c:pt>
                <c:pt idx="80">
                  <c:v>38749</c:v>
                </c:pt>
                <c:pt idx="81">
                  <c:v>38777</c:v>
                </c:pt>
                <c:pt idx="82">
                  <c:v>38808</c:v>
                </c:pt>
                <c:pt idx="83">
                  <c:v>38838</c:v>
                </c:pt>
                <c:pt idx="84">
                  <c:v>38869</c:v>
                </c:pt>
                <c:pt idx="85">
                  <c:v>38899</c:v>
                </c:pt>
                <c:pt idx="86">
                  <c:v>38930</c:v>
                </c:pt>
                <c:pt idx="87">
                  <c:v>38961</c:v>
                </c:pt>
                <c:pt idx="88">
                  <c:v>38991</c:v>
                </c:pt>
                <c:pt idx="89">
                  <c:v>39022</c:v>
                </c:pt>
                <c:pt idx="90">
                  <c:v>39052</c:v>
                </c:pt>
                <c:pt idx="91">
                  <c:v>39083</c:v>
                </c:pt>
                <c:pt idx="92">
                  <c:v>39114</c:v>
                </c:pt>
                <c:pt idx="93">
                  <c:v>39142</c:v>
                </c:pt>
                <c:pt idx="94">
                  <c:v>39173</c:v>
                </c:pt>
                <c:pt idx="95">
                  <c:v>39203</c:v>
                </c:pt>
                <c:pt idx="96">
                  <c:v>39234</c:v>
                </c:pt>
                <c:pt idx="97">
                  <c:v>39264</c:v>
                </c:pt>
                <c:pt idx="98">
                  <c:v>39295</c:v>
                </c:pt>
                <c:pt idx="99">
                  <c:v>39326</c:v>
                </c:pt>
                <c:pt idx="100">
                  <c:v>39356</c:v>
                </c:pt>
                <c:pt idx="101">
                  <c:v>39387</c:v>
                </c:pt>
                <c:pt idx="102">
                  <c:v>39417</c:v>
                </c:pt>
                <c:pt idx="103">
                  <c:v>39448</c:v>
                </c:pt>
                <c:pt idx="104">
                  <c:v>39479</c:v>
                </c:pt>
                <c:pt idx="105">
                  <c:v>39508</c:v>
                </c:pt>
                <c:pt idx="106">
                  <c:v>39539</c:v>
                </c:pt>
                <c:pt idx="107">
                  <c:v>39569</c:v>
                </c:pt>
                <c:pt idx="108">
                  <c:v>39600</c:v>
                </c:pt>
                <c:pt idx="109">
                  <c:v>39630</c:v>
                </c:pt>
                <c:pt idx="110">
                  <c:v>39661</c:v>
                </c:pt>
                <c:pt idx="111">
                  <c:v>39692</c:v>
                </c:pt>
                <c:pt idx="112">
                  <c:v>39722</c:v>
                </c:pt>
                <c:pt idx="113">
                  <c:v>39753</c:v>
                </c:pt>
                <c:pt idx="114">
                  <c:v>39783</c:v>
                </c:pt>
                <c:pt idx="115">
                  <c:v>39814</c:v>
                </c:pt>
                <c:pt idx="116">
                  <c:v>39845</c:v>
                </c:pt>
                <c:pt idx="117">
                  <c:v>39873</c:v>
                </c:pt>
                <c:pt idx="118">
                  <c:v>39904</c:v>
                </c:pt>
                <c:pt idx="119">
                  <c:v>39934</c:v>
                </c:pt>
                <c:pt idx="120">
                  <c:v>39965</c:v>
                </c:pt>
                <c:pt idx="121">
                  <c:v>39995</c:v>
                </c:pt>
                <c:pt idx="122">
                  <c:v>40026</c:v>
                </c:pt>
                <c:pt idx="123">
                  <c:v>40057</c:v>
                </c:pt>
                <c:pt idx="124">
                  <c:v>40087</c:v>
                </c:pt>
                <c:pt idx="125">
                  <c:v>40118</c:v>
                </c:pt>
                <c:pt idx="126">
                  <c:v>40148</c:v>
                </c:pt>
                <c:pt idx="127">
                  <c:v>40179</c:v>
                </c:pt>
                <c:pt idx="128">
                  <c:v>40210</c:v>
                </c:pt>
                <c:pt idx="129">
                  <c:v>40238</c:v>
                </c:pt>
                <c:pt idx="130">
                  <c:v>40269</c:v>
                </c:pt>
                <c:pt idx="131">
                  <c:v>40299</c:v>
                </c:pt>
                <c:pt idx="132">
                  <c:v>40330</c:v>
                </c:pt>
                <c:pt idx="133">
                  <c:v>40360</c:v>
                </c:pt>
                <c:pt idx="134">
                  <c:v>40391</c:v>
                </c:pt>
                <c:pt idx="135">
                  <c:v>40422</c:v>
                </c:pt>
                <c:pt idx="136">
                  <c:v>40452</c:v>
                </c:pt>
                <c:pt idx="137">
                  <c:v>40483</c:v>
                </c:pt>
                <c:pt idx="138">
                  <c:v>40513</c:v>
                </c:pt>
                <c:pt idx="139">
                  <c:v>40544</c:v>
                </c:pt>
                <c:pt idx="140">
                  <c:v>40575</c:v>
                </c:pt>
                <c:pt idx="141">
                  <c:v>40603</c:v>
                </c:pt>
                <c:pt idx="142">
                  <c:v>40634</c:v>
                </c:pt>
                <c:pt idx="143">
                  <c:v>40664</c:v>
                </c:pt>
                <c:pt idx="144">
                  <c:v>40695</c:v>
                </c:pt>
                <c:pt idx="145">
                  <c:v>40725</c:v>
                </c:pt>
                <c:pt idx="146">
                  <c:v>40756</c:v>
                </c:pt>
                <c:pt idx="147">
                  <c:v>40787</c:v>
                </c:pt>
                <c:pt idx="148">
                  <c:v>40817</c:v>
                </c:pt>
                <c:pt idx="149">
                  <c:v>40848</c:v>
                </c:pt>
                <c:pt idx="150">
                  <c:v>40878</c:v>
                </c:pt>
                <c:pt idx="151">
                  <c:v>40909</c:v>
                </c:pt>
                <c:pt idx="152">
                  <c:v>40940</c:v>
                </c:pt>
                <c:pt idx="153">
                  <c:v>40969</c:v>
                </c:pt>
                <c:pt idx="154">
                  <c:v>41000</c:v>
                </c:pt>
                <c:pt idx="155">
                  <c:v>41030</c:v>
                </c:pt>
                <c:pt idx="156">
                  <c:v>41061</c:v>
                </c:pt>
                <c:pt idx="157">
                  <c:v>41091</c:v>
                </c:pt>
                <c:pt idx="158">
                  <c:v>41122</c:v>
                </c:pt>
                <c:pt idx="159">
                  <c:v>41153</c:v>
                </c:pt>
                <c:pt idx="160">
                  <c:v>41183</c:v>
                </c:pt>
                <c:pt idx="161">
                  <c:v>41214</c:v>
                </c:pt>
                <c:pt idx="162">
                  <c:v>41244</c:v>
                </c:pt>
                <c:pt idx="163">
                  <c:v>41275</c:v>
                </c:pt>
                <c:pt idx="164">
                  <c:v>41306</c:v>
                </c:pt>
                <c:pt idx="165">
                  <c:v>41334</c:v>
                </c:pt>
                <c:pt idx="166">
                  <c:v>41365</c:v>
                </c:pt>
                <c:pt idx="167">
                  <c:v>41395</c:v>
                </c:pt>
                <c:pt idx="168">
                  <c:v>41426</c:v>
                </c:pt>
                <c:pt idx="169">
                  <c:v>41456</c:v>
                </c:pt>
                <c:pt idx="170">
                  <c:v>41487</c:v>
                </c:pt>
                <c:pt idx="171">
                  <c:v>41518</c:v>
                </c:pt>
                <c:pt idx="172">
                  <c:v>41548</c:v>
                </c:pt>
                <c:pt idx="173">
                  <c:v>41579</c:v>
                </c:pt>
                <c:pt idx="174">
                  <c:v>41609</c:v>
                </c:pt>
                <c:pt idx="175">
                  <c:v>41640</c:v>
                </c:pt>
                <c:pt idx="176">
                  <c:v>41671</c:v>
                </c:pt>
                <c:pt idx="177">
                  <c:v>41699</c:v>
                </c:pt>
                <c:pt idx="178">
                  <c:v>41730</c:v>
                </c:pt>
                <c:pt idx="179">
                  <c:v>41760</c:v>
                </c:pt>
                <c:pt idx="180">
                  <c:v>41791</c:v>
                </c:pt>
                <c:pt idx="181">
                  <c:v>41821</c:v>
                </c:pt>
                <c:pt idx="182">
                  <c:v>41852</c:v>
                </c:pt>
                <c:pt idx="183">
                  <c:v>41883</c:v>
                </c:pt>
                <c:pt idx="184">
                  <c:v>41913</c:v>
                </c:pt>
                <c:pt idx="185">
                  <c:v>41944</c:v>
                </c:pt>
                <c:pt idx="186">
                  <c:v>41974</c:v>
                </c:pt>
                <c:pt idx="187">
                  <c:v>42005</c:v>
                </c:pt>
                <c:pt idx="188">
                  <c:v>42036</c:v>
                </c:pt>
                <c:pt idx="189">
                  <c:v>42064</c:v>
                </c:pt>
                <c:pt idx="190">
                  <c:v>42095</c:v>
                </c:pt>
                <c:pt idx="191">
                  <c:v>42125</c:v>
                </c:pt>
                <c:pt idx="192">
                  <c:v>42156</c:v>
                </c:pt>
                <c:pt idx="193">
                  <c:v>42186</c:v>
                </c:pt>
                <c:pt idx="194">
                  <c:v>42217</c:v>
                </c:pt>
                <c:pt idx="195">
                  <c:v>42248</c:v>
                </c:pt>
                <c:pt idx="196">
                  <c:v>42278</c:v>
                </c:pt>
                <c:pt idx="197">
                  <c:v>42309</c:v>
                </c:pt>
                <c:pt idx="198">
                  <c:v>42339</c:v>
                </c:pt>
                <c:pt idx="199">
                  <c:v>42370</c:v>
                </c:pt>
                <c:pt idx="200">
                  <c:v>42401</c:v>
                </c:pt>
                <c:pt idx="201">
                  <c:v>42430</c:v>
                </c:pt>
                <c:pt idx="202">
                  <c:v>42461</c:v>
                </c:pt>
                <c:pt idx="203">
                  <c:v>42491</c:v>
                </c:pt>
                <c:pt idx="204">
                  <c:v>42522</c:v>
                </c:pt>
                <c:pt idx="205">
                  <c:v>42552</c:v>
                </c:pt>
                <c:pt idx="206">
                  <c:v>42583</c:v>
                </c:pt>
                <c:pt idx="207">
                  <c:v>42614</c:v>
                </c:pt>
                <c:pt idx="208">
                  <c:v>42644</c:v>
                </c:pt>
                <c:pt idx="209">
                  <c:v>42675</c:v>
                </c:pt>
                <c:pt idx="210">
                  <c:v>42705</c:v>
                </c:pt>
                <c:pt idx="211">
                  <c:v>42736</c:v>
                </c:pt>
                <c:pt idx="212">
                  <c:v>42767</c:v>
                </c:pt>
                <c:pt idx="213">
                  <c:v>42795</c:v>
                </c:pt>
                <c:pt idx="214">
                  <c:v>42826</c:v>
                </c:pt>
                <c:pt idx="215">
                  <c:v>42856</c:v>
                </c:pt>
                <c:pt idx="216">
                  <c:v>42887</c:v>
                </c:pt>
                <c:pt idx="217">
                  <c:v>42917</c:v>
                </c:pt>
                <c:pt idx="218">
                  <c:v>42948</c:v>
                </c:pt>
                <c:pt idx="219">
                  <c:v>42979</c:v>
                </c:pt>
                <c:pt idx="220">
                  <c:v>43009</c:v>
                </c:pt>
                <c:pt idx="221">
                  <c:v>43040</c:v>
                </c:pt>
                <c:pt idx="222">
                  <c:v>43070</c:v>
                </c:pt>
                <c:pt idx="223">
                  <c:v>43101</c:v>
                </c:pt>
                <c:pt idx="224">
                  <c:v>43132</c:v>
                </c:pt>
                <c:pt idx="225">
                  <c:v>43160</c:v>
                </c:pt>
                <c:pt idx="226">
                  <c:v>43191</c:v>
                </c:pt>
                <c:pt idx="227">
                  <c:v>43221</c:v>
                </c:pt>
                <c:pt idx="228">
                  <c:v>43252</c:v>
                </c:pt>
                <c:pt idx="229">
                  <c:v>43282</c:v>
                </c:pt>
                <c:pt idx="230">
                  <c:v>43313</c:v>
                </c:pt>
                <c:pt idx="231">
                  <c:v>43344</c:v>
                </c:pt>
                <c:pt idx="232">
                  <c:v>43374</c:v>
                </c:pt>
                <c:pt idx="233">
                  <c:v>43405</c:v>
                </c:pt>
                <c:pt idx="234">
                  <c:v>43435</c:v>
                </c:pt>
                <c:pt idx="235">
                  <c:v>43466</c:v>
                </c:pt>
                <c:pt idx="236">
                  <c:v>43497</c:v>
                </c:pt>
                <c:pt idx="237">
                  <c:v>43525</c:v>
                </c:pt>
                <c:pt idx="238">
                  <c:v>43556</c:v>
                </c:pt>
                <c:pt idx="239">
                  <c:v>43586</c:v>
                </c:pt>
                <c:pt idx="240">
                  <c:v>43617</c:v>
                </c:pt>
                <c:pt idx="241">
                  <c:v>43647</c:v>
                </c:pt>
                <c:pt idx="242">
                  <c:v>43678</c:v>
                </c:pt>
                <c:pt idx="243">
                  <c:v>43709</c:v>
                </c:pt>
                <c:pt idx="244">
                  <c:v>43739</c:v>
                </c:pt>
                <c:pt idx="245">
                  <c:v>43770</c:v>
                </c:pt>
                <c:pt idx="246">
                  <c:v>43800</c:v>
                </c:pt>
                <c:pt idx="247">
                  <c:v>43831</c:v>
                </c:pt>
                <c:pt idx="248">
                  <c:v>43862</c:v>
                </c:pt>
                <c:pt idx="249">
                  <c:v>43891</c:v>
                </c:pt>
                <c:pt idx="250">
                  <c:v>43922</c:v>
                </c:pt>
                <c:pt idx="251">
                  <c:v>43952</c:v>
                </c:pt>
                <c:pt idx="252">
                  <c:v>43983</c:v>
                </c:pt>
                <c:pt idx="253">
                  <c:v>44013</c:v>
                </c:pt>
                <c:pt idx="254">
                  <c:v>44044</c:v>
                </c:pt>
                <c:pt idx="255">
                  <c:v>44075</c:v>
                </c:pt>
                <c:pt idx="256">
                  <c:v>44105</c:v>
                </c:pt>
                <c:pt idx="257">
                  <c:v>44136</c:v>
                </c:pt>
                <c:pt idx="258">
                  <c:v>44166</c:v>
                </c:pt>
                <c:pt idx="259">
                  <c:v>44197</c:v>
                </c:pt>
                <c:pt idx="260">
                  <c:v>44228</c:v>
                </c:pt>
                <c:pt idx="261">
                  <c:v>44256</c:v>
                </c:pt>
                <c:pt idx="262">
                  <c:v>44287</c:v>
                </c:pt>
                <c:pt idx="263">
                  <c:v>44317</c:v>
                </c:pt>
                <c:pt idx="264">
                  <c:v>44348</c:v>
                </c:pt>
                <c:pt idx="265">
                  <c:v>44378</c:v>
                </c:pt>
                <c:pt idx="266">
                  <c:v>44409</c:v>
                </c:pt>
                <c:pt idx="267">
                  <c:v>44440</c:v>
                </c:pt>
                <c:pt idx="268">
                  <c:v>44470</c:v>
                </c:pt>
                <c:pt idx="269">
                  <c:v>44501</c:v>
                </c:pt>
                <c:pt idx="270">
                  <c:v>44531</c:v>
                </c:pt>
                <c:pt idx="271">
                  <c:v>44562</c:v>
                </c:pt>
                <c:pt idx="272">
                  <c:v>44593</c:v>
                </c:pt>
                <c:pt idx="273">
                  <c:v>44621</c:v>
                </c:pt>
                <c:pt idx="274">
                  <c:v>44652</c:v>
                </c:pt>
                <c:pt idx="275">
                  <c:v>44682</c:v>
                </c:pt>
                <c:pt idx="276">
                  <c:v>44713</c:v>
                </c:pt>
                <c:pt idx="277">
                  <c:v>44743</c:v>
                </c:pt>
                <c:pt idx="278">
                  <c:v>44774</c:v>
                </c:pt>
                <c:pt idx="279">
                  <c:v>44805</c:v>
                </c:pt>
                <c:pt idx="280">
                  <c:v>44835</c:v>
                </c:pt>
                <c:pt idx="281">
                  <c:v>44866</c:v>
                </c:pt>
                <c:pt idx="282">
                  <c:v>44896</c:v>
                </c:pt>
                <c:pt idx="283">
                  <c:v>44927</c:v>
                </c:pt>
                <c:pt idx="284">
                  <c:v>44958</c:v>
                </c:pt>
                <c:pt idx="285">
                  <c:v>44986</c:v>
                </c:pt>
                <c:pt idx="286">
                  <c:v>45017</c:v>
                </c:pt>
                <c:pt idx="287">
                  <c:v>45047</c:v>
                </c:pt>
                <c:pt idx="288">
                  <c:v>45078</c:v>
                </c:pt>
                <c:pt idx="289">
                  <c:v>45108</c:v>
                </c:pt>
                <c:pt idx="290">
                  <c:v>45139</c:v>
                </c:pt>
                <c:pt idx="291">
                  <c:v>45170</c:v>
                </c:pt>
                <c:pt idx="292">
                  <c:v>45200</c:v>
                </c:pt>
                <c:pt idx="293">
                  <c:v>45231</c:v>
                </c:pt>
                <c:pt idx="294">
                  <c:v>45261</c:v>
                </c:pt>
                <c:pt idx="295">
                  <c:v>45292</c:v>
                </c:pt>
                <c:pt idx="296">
                  <c:v>45323</c:v>
                </c:pt>
                <c:pt idx="297">
                  <c:v>45352</c:v>
                </c:pt>
                <c:pt idx="298">
                  <c:v>45383</c:v>
                </c:pt>
                <c:pt idx="299">
                  <c:v>45413</c:v>
                </c:pt>
                <c:pt idx="300">
                  <c:v>45444</c:v>
                </c:pt>
                <c:pt idx="301">
                  <c:v>45474</c:v>
                </c:pt>
                <c:pt idx="302">
                  <c:v>45505</c:v>
                </c:pt>
                <c:pt idx="303">
                  <c:v>45536</c:v>
                </c:pt>
                <c:pt idx="304">
                  <c:v>45566</c:v>
                </c:pt>
                <c:pt idx="305">
                  <c:v>45597</c:v>
                </c:pt>
                <c:pt idx="306">
                  <c:v>45627</c:v>
                </c:pt>
                <c:pt idx="307">
                  <c:v>45658</c:v>
                </c:pt>
              </c:numCache>
            </c:numRef>
          </c:cat>
          <c:val>
            <c:numRef>
              <c:f>'Emp Pop Ratio'!$B$19:$B$326</c:f>
              <c:numCache>
                <c:formatCode>#,##0.0</c:formatCode>
                <c:ptCount val="308"/>
                <c:pt idx="0">
                  <c:v>57.6</c:v>
                </c:pt>
                <c:pt idx="1">
                  <c:v>57.5</c:v>
                </c:pt>
                <c:pt idx="2">
                  <c:v>57.3</c:v>
                </c:pt>
                <c:pt idx="3">
                  <c:v>58.6</c:v>
                </c:pt>
                <c:pt idx="4">
                  <c:v>59</c:v>
                </c:pt>
                <c:pt idx="5">
                  <c:v>58.8</c:v>
                </c:pt>
                <c:pt idx="6">
                  <c:v>57.5</c:v>
                </c:pt>
                <c:pt idx="7">
                  <c:v>56.2</c:v>
                </c:pt>
                <c:pt idx="8">
                  <c:v>56.2</c:v>
                </c:pt>
                <c:pt idx="9">
                  <c:v>57.4</c:v>
                </c:pt>
                <c:pt idx="10">
                  <c:v>58.5</c:v>
                </c:pt>
                <c:pt idx="11">
                  <c:v>59.3</c:v>
                </c:pt>
                <c:pt idx="12">
                  <c:v>59.4</c:v>
                </c:pt>
                <c:pt idx="13">
                  <c:v>59.7</c:v>
                </c:pt>
                <c:pt idx="14">
                  <c:v>59</c:v>
                </c:pt>
                <c:pt idx="15">
                  <c:v>59.4</c:v>
                </c:pt>
                <c:pt idx="16">
                  <c:v>59.8</c:v>
                </c:pt>
                <c:pt idx="17">
                  <c:v>59.3</c:v>
                </c:pt>
                <c:pt idx="18">
                  <c:v>57.9</c:v>
                </c:pt>
                <c:pt idx="19">
                  <c:v>56.3</c:v>
                </c:pt>
                <c:pt idx="20">
                  <c:v>56.1</c:v>
                </c:pt>
                <c:pt idx="21">
                  <c:v>57.4</c:v>
                </c:pt>
                <c:pt idx="22">
                  <c:v>59.4</c:v>
                </c:pt>
                <c:pt idx="23">
                  <c:v>60.1</c:v>
                </c:pt>
                <c:pt idx="24">
                  <c:v>60.1</c:v>
                </c:pt>
                <c:pt idx="25">
                  <c:v>60.1</c:v>
                </c:pt>
                <c:pt idx="26">
                  <c:v>59.4</c:v>
                </c:pt>
                <c:pt idx="27">
                  <c:v>60.1</c:v>
                </c:pt>
                <c:pt idx="28">
                  <c:v>60.3</c:v>
                </c:pt>
                <c:pt idx="29">
                  <c:v>60.2</c:v>
                </c:pt>
                <c:pt idx="30">
                  <c:v>58.9</c:v>
                </c:pt>
                <c:pt idx="31">
                  <c:v>58.1</c:v>
                </c:pt>
                <c:pt idx="32">
                  <c:v>58.2</c:v>
                </c:pt>
                <c:pt idx="33">
                  <c:v>59.1</c:v>
                </c:pt>
                <c:pt idx="34">
                  <c:v>60.5</c:v>
                </c:pt>
                <c:pt idx="35">
                  <c:v>60.9</c:v>
                </c:pt>
                <c:pt idx="36">
                  <c:v>61</c:v>
                </c:pt>
                <c:pt idx="37">
                  <c:v>61</c:v>
                </c:pt>
                <c:pt idx="38">
                  <c:v>60.1</c:v>
                </c:pt>
                <c:pt idx="39">
                  <c:v>60.8</c:v>
                </c:pt>
                <c:pt idx="40">
                  <c:v>60.9</c:v>
                </c:pt>
                <c:pt idx="41">
                  <c:v>60.5</c:v>
                </c:pt>
                <c:pt idx="42">
                  <c:v>59.5</c:v>
                </c:pt>
                <c:pt idx="43">
                  <c:v>58.1</c:v>
                </c:pt>
                <c:pt idx="44">
                  <c:v>57.9</c:v>
                </c:pt>
                <c:pt idx="45">
                  <c:v>58.7</c:v>
                </c:pt>
                <c:pt idx="46">
                  <c:v>59.6</c:v>
                </c:pt>
                <c:pt idx="47">
                  <c:v>60.1</c:v>
                </c:pt>
                <c:pt idx="48">
                  <c:v>60.1</c:v>
                </c:pt>
                <c:pt idx="49">
                  <c:v>60.2</c:v>
                </c:pt>
                <c:pt idx="50">
                  <c:v>59.3</c:v>
                </c:pt>
                <c:pt idx="51">
                  <c:v>59.7</c:v>
                </c:pt>
                <c:pt idx="52">
                  <c:v>60.1</c:v>
                </c:pt>
                <c:pt idx="53">
                  <c:v>60</c:v>
                </c:pt>
                <c:pt idx="54">
                  <c:v>59</c:v>
                </c:pt>
                <c:pt idx="55">
                  <c:v>58.6</c:v>
                </c:pt>
                <c:pt idx="56">
                  <c:v>58.7</c:v>
                </c:pt>
                <c:pt idx="57">
                  <c:v>59.7</c:v>
                </c:pt>
                <c:pt idx="58">
                  <c:v>60.5</c:v>
                </c:pt>
                <c:pt idx="59">
                  <c:v>60.6</c:v>
                </c:pt>
                <c:pt idx="60">
                  <c:v>60.8</c:v>
                </c:pt>
                <c:pt idx="61">
                  <c:v>60.6</c:v>
                </c:pt>
                <c:pt idx="62">
                  <c:v>59.6</c:v>
                </c:pt>
                <c:pt idx="63">
                  <c:v>60.6</c:v>
                </c:pt>
                <c:pt idx="64">
                  <c:v>60.8</c:v>
                </c:pt>
                <c:pt idx="65">
                  <c:v>60.5</c:v>
                </c:pt>
                <c:pt idx="66">
                  <c:v>59.6</c:v>
                </c:pt>
                <c:pt idx="67">
                  <c:v>58.4</c:v>
                </c:pt>
                <c:pt idx="68">
                  <c:v>58.3</c:v>
                </c:pt>
                <c:pt idx="69">
                  <c:v>59.4</c:v>
                </c:pt>
                <c:pt idx="70">
                  <c:v>60.3</c:v>
                </c:pt>
                <c:pt idx="71">
                  <c:v>60.8</c:v>
                </c:pt>
                <c:pt idx="72">
                  <c:v>60.8</c:v>
                </c:pt>
                <c:pt idx="73">
                  <c:v>60.6</c:v>
                </c:pt>
                <c:pt idx="74">
                  <c:v>59.7</c:v>
                </c:pt>
                <c:pt idx="75">
                  <c:v>60.2</c:v>
                </c:pt>
                <c:pt idx="76">
                  <c:v>60.5</c:v>
                </c:pt>
                <c:pt idx="77">
                  <c:v>60.5</c:v>
                </c:pt>
                <c:pt idx="78">
                  <c:v>59.2</c:v>
                </c:pt>
                <c:pt idx="79">
                  <c:v>58.5</c:v>
                </c:pt>
                <c:pt idx="80">
                  <c:v>58.3</c:v>
                </c:pt>
                <c:pt idx="81">
                  <c:v>59.4</c:v>
                </c:pt>
                <c:pt idx="82">
                  <c:v>60.4</c:v>
                </c:pt>
                <c:pt idx="83">
                  <c:v>60.9</c:v>
                </c:pt>
                <c:pt idx="84">
                  <c:v>60.9</c:v>
                </c:pt>
                <c:pt idx="85">
                  <c:v>60.7</c:v>
                </c:pt>
                <c:pt idx="86">
                  <c:v>60</c:v>
                </c:pt>
                <c:pt idx="87">
                  <c:v>60.4</c:v>
                </c:pt>
                <c:pt idx="88">
                  <c:v>60.7</c:v>
                </c:pt>
                <c:pt idx="89">
                  <c:v>60.6</c:v>
                </c:pt>
                <c:pt idx="90">
                  <c:v>59.4</c:v>
                </c:pt>
                <c:pt idx="91">
                  <c:v>58.7</c:v>
                </c:pt>
                <c:pt idx="92">
                  <c:v>58.5</c:v>
                </c:pt>
                <c:pt idx="93">
                  <c:v>59.6</c:v>
                </c:pt>
                <c:pt idx="94">
                  <c:v>60.5</c:v>
                </c:pt>
                <c:pt idx="95">
                  <c:v>61</c:v>
                </c:pt>
                <c:pt idx="96">
                  <c:v>61.1</c:v>
                </c:pt>
                <c:pt idx="97">
                  <c:v>60.9</c:v>
                </c:pt>
                <c:pt idx="98">
                  <c:v>60.1</c:v>
                </c:pt>
                <c:pt idx="99">
                  <c:v>60.5</c:v>
                </c:pt>
                <c:pt idx="100">
                  <c:v>60.7</c:v>
                </c:pt>
                <c:pt idx="101">
                  <c:v>60.7</c:v>
                </c:pt>
                <c:pt idx="102">
                  <c:v>59.4</c:v>
                </c:pt>
                <c:pt idx="103">
                  <c:v>58.6</c:v>
                </c:pt>
                <c:pt idx="104">
                  <c:v>58.3</c:v>
                </c:pt>
                <c:pt idx="105">
                  <c:v>59.3</c:v>
                </c:pt>
                <c:pt idx="106">
                  <c:v>60.3</c:v>
                </c:pt>
                <c:pt idx="107">
                  <c:v>60.8</c:v>
                </c:pt>
                <c:pt idx="108">
                  <c:v>60.8</c:v>
                </c:pt>
                <c:pt idx="109">
                  <c:v>60.6</c:v>
                </c:pt>
                <c:pt idx="110">
                  <c:v>59.8</c:v>
                </c:pt>
                <c:pt idx="111">
                  <c:v>60</c:v>
                </c:pt>
                <c:pt idx="112">
                  <c:v>60.2</c:v>
                </c:pt>
                <c:pt idx="113">
                  <c:v>60.1</c:v>
                </c:pt>
                <c:pt idx="114">
                  <c:v>58.6</c:v>
                </c:pt>
                <c:pt idx="115">
                  <c:v>57.5</c:v>
                </c:pt>
                <c:pt idx="116">
                  <c:v>57.1</c:v>
                </c:pt>
                <c:pt idx="117">
                  <c:v>58</c:v>
                </c:pt>
                <c:pt idx="118">
                  <c:v>59</c:v>
                </c:pt>
                <c:pt idx="119">
                  <c:v>59.4</c:v>
                </c:pt>
                <c:pt idx="120">
                  <c:v>60</c:v>
                </c:pt>
                <c:pt idx="121">
                  <c:v>59.5</c:v>
                </c:pt>
                <c:pt idx="122">
                  <c:v>59</c:v>
                </c:pt>
                <c:pt idx="123">
                  <c:v>59.4</c:v>
                </c:pt>
                <c:pt idx="124">
                  <c:v>59.4</c:v>
                </c:pt>
                <c:pt idx="125">
                  <c:v>59.2</c:v>
                </c:pt>
                <c:pt idx="126">
                  <c:v>57.8</c:v>
                </c:pt>
                <c:pt idx="127">
                  <c:v>56.8</c:v>
                </c:pt>
                <c:pt idx="128">
                  <c:v>56.7</c:v>
                </c:pt>
                <c:pt idx="129">
                  <c:v>57.9</c:v>
                </c:pt>
                <c:pt idx="130">
                  <c:v>59.2</c:v>
                </c:pt>
                <c:pt idx="131">
                  <c:v>60.1</c:v>
                </c:pt>
                <c:pt idx="132">
                  <c:v>60</c:v>
                </c:pt>
                <c:pt idx="133">
                  <c:v>60</c:v>
                </c:pt>
                <c:pt idx="134">
                  <c:v>59.2</c:v>
                </c:pt>
                <c:pt idx="135">
                  <c:v>59.3</c:v>
                </c:pt>
                <c:pt idx="136">
                  <c:v>59.5</c:v>
                </c:pt>
                <c:pt idx="137">
                  <c:v>59.3</c:v>
                </c:pt>
                <c:pt idx="138">
                  <c:v>58.2</c:v>
                </c:pt>
                <c:pt idx="139">
                  <c:v>57</c:v>
                </c:pt>
                <c:pt idx="140">
                  <c:v>57.3</c:v>
                </c:pt>
                <c:pt idx="141">
                  <c:v>58.5</c:v>
                </c:pt>
                <c:pt idx="142">
                  <c:v>59.5</c:v>
                </c:pt>
                <c:pt idx="143">
                  <c:v>60.4</c:v>
                </c:pt>
                <c:pt idx="144">
                  <c:v>60.5</c:v>
                </c:pt>
                <c:pt idx="145">
                  <c:v>60.2</c:v>
                </c:pt>
                <c:pt idx="146">
                  <c:v>59.8</c:v>
                </c:pt>
                <c:pt idx="147">
                  <c:v>59.3</c:v>
                </c:pt>
                <c:pt idx="148">
                  <c:v>60.1</c:v>
                </c:pt>
                <c:pt idx="149">
                  <c:v>59.9</c:v>
                </c:pt>
                <c:pt idx="150">
                  <c:v>58.7</c:v>
                </c:pt>
                <c:pt idx="151">
                  <c:v>57.7</c:v>
                </c:pt>
                <c:pt idx="152">
                  <c:v>57.7</c:v>
                </c:pt>
                <c:pt idx="153">
                  <c:v>58.9</c:v>
                </c:pt>
                <c:pt idx="154">
                  <c:v>60</c:v>
                </c:pt>
                <c:pt idx="155">
                  <c:v>60.8</c:v>
                </c:pt>
                <c:pt idx="156">
                  <c:v>60.7</c:v>
                </c:pt>
                <c:pt idx="157">
                  <c:v>60.6</c:v>
                </c:pt>
                <c:pt idx="158">
                  <c:v>59.9</c:v>
                </c:pt>
                <c:pt idx="159">
                  <c:v>60.2</c:v>
                </c:pt>
                <c:pt idx="160">
                  <c:v>60.3</c:v>
                </c:pt>
                <c:pt idx="161">
                  <c:v>59.9</c:v>
                </c:pt>
                <c:pt idx="162">
                  <c:v>58.6</c:v>
                </c:pt>
                <c:pt idx="163">
                  <c:v>57.7</c:v>
                </c:pt>
                <c:pt idx="164">
                  <c:v>57.5</c:v>
                </c:pt>
                <c:pt idx="165">
                  <c:v>58.7</c:v>
                </c:pt>
                <c:pt idx="166">
                  <c:v>60</c:v>
                </c:pt>
                <c:pt idx="167">
                  <c:v>60.6</c:v>
                </c:pt>
                <c:pt idx="168">
                  <c:v>60.8</c:v>
                </c:pt>
                <c:pt idx="169">
                  <c:v>60.7</c:v>
                </c:pt>
                <c:pt idx="170">
                  <c:v>60.2</c:v>
                </c:pt>
                <c:pt idx="171">
                  <c:v>60.6</c:v>
                </c:pt>
                <c:pt idx="172">
                  <c:v>60.8</c:v>
                </c:pt>
                <c:pt idx="173">
                  <c:v>60.7</c:v>
                </c:pt>
                <c:pt idx="174">
                  <c:v>59.4</c:v>
                </c:pt>
                <c:pt idx="175">
                  <c:v>58.8</c:v>
                </c:pt>
                <c:pt idx="176">
                  <c:v>58.9</c:v>
                </c:pt>
                <c:pt idx="177">
                  <c:v>59.7</c:v>
                </c:pt>
                <c:pt idx="178">
                  <c:v>60.9</c:v>
                </c:pt>
                <c:pt idx="179">
                  <c:v>61.1</c:v>
                </c:pt>
                <c:pt idx="180">
                  <c:v>61.2</c:v>
                </c:pt>
                <c:pt idx="181">
                  <c:v>61.4</c:v>
                </c:pt>
                <c:pt idx="182">
                  <c:v>61.1</c:v>
                </c:pt>
                <c:pt idx="183">
                  <c:v>61.1</c:v>
                </c:pt>
                <c:pt idx="184">
                  <c:v>61.1</c:v>
                </c:pt>
                <c:pt idx="185">
                  <c:v>61.1</c:v>
                </c:pt>
                <c:pt idx="186">
                  <c:v>59.7</c:v>
                </c:pt>
                <c:pt idx="187">
                  <c:v>59</c:v>
                </c:pt>
                <c:pt idx="188">
                  <c:v>59.1</c:v>
                </c:pt>
                <c:pt idx="189">
                  <c:v>59.8</c:v>
                </c:pt>
                <c:pt idx="190">
                  <c:v>60.6</c:v>
                </c:pt>
                <c:pt idx="191">
                  <c:v>61.2</c:v>
                </c:pt>
                <c:pt idx="192">
                  <c:v>61.2</c:v>
                </c:pt>
                <c:pt idx="193">
                  <c:v>61.3</c:v>
                </c:pt>
                <c:pt idx="194">
                  <c:v>60.9</c:v>
                </c:pt>
                <c:pt idx="195">
                  <c:v>61.1</c:v>
                </c:pt>
                <c:pt idx="196">
                  <c:v>61.2</c:v>
                </c:pt>
                <c:pt idx="197">
                  <c:v>61</c:v>
                </c:pt>
                <c:pt idx="198">
                  <c:v>60.1</c:v>
                </c:pt>
                <c:pt idx="199">
                  <c:v>59</c:v>
                </c:pt>
                <c:pt idx="200">
                  <c:v>58.9</c:v>
                </c:pt>
                <c:pt idx="201">
                  <c:v>59.7</c:v>
                </c:pt>
                <c:pt idx="202">
                  <c:v>60.5</c:v>
                </c:pt>
                <c:pt idx="203">
                  <c:v>61.1</c:v>
                </c:pt>
                <c:pt idx="204">
                  <c:v>61.3</c:v>
                </c:pt>
                <c:pt idx="205">
                  <c:v>61.3</c:v>
                </c:pt>
                <c:pt idx="206">
                  <c:v>61.2</c:v>
                </c:pt>
                <c:pt idx="207">
                  <c:v>61.1</c:v>
                </c:pt>
                <c:pt idx="208">
                  <c:v>61.2</c:v>
                </c:pt>
                <c:pt idx="209">
                  <c:v>61.2</c:v>
                </c:pt>
                <c:pt idx="210">
                  <c:v>60.2</c:v>
                </c:pt>
                <c:pt idx="211">
                  <c:v>59.1</c:v>
                </c:pt>
                <c:pt idx="212">
                  <c:v>59.3</c:v>
                </c:pt>
                <c:pt idx="213">
                  <c:v>60.3</c:v>
                </c:pt>
                <c:pt idx="214">
                  <c:v>61</c:v>
                </c:pt>
                <c:pt idx="215">
                  <c:v>61.5</c:v>
                </c:pt>
                <c:pt idx="216">
                  <c:v>61.5</c:v>
                </c:pt>
                <c:pt idx="217">
                  <c:v>61.6</c:v>
                </c:pt>
                <c:pt idx="218">
                  <c:v>61.2</c:v>
                </c:pt>
                <c:pt idx="219">
                  <c:v>61.4</c:v>
                </c:pt>
                <c:pt idx="220">
                  <c:v>61.4</c:v>
                </c:pt>
                <c:pt idx="221">
                  <c:v>61.4</c:v>
                </c:pt>
                <c:pt idx="222">
                  <c:v>60.4</c:v>
                </c:pt>
                <c:pt idx="223">
                  <c:v>59.5</c:v>
                </c:pt>
                <c:pt idx="224">
                  <c:v>59.2</c:v>
                </c:pt>
                <c:pt idx="225">
                  <c:v>60.2</c:v>
                </c:pt>
                <c:pt idx="226">
                  <c:v>60.9</c:v>
                </c:pt>
                <c:pt idx="227">
                  <c:v>61.3</c:v>
                </c:pt>
                <c:pt idx="228">
                  <c:v>61.4</c:v>
                </c:pt>
                <c:pt idx="229">
                  <c:v>61.3</c:v>
                </c:pt>
                <c:pt idx="230">
                  <c:v>60.9</c:v>
                </c:pt>
                <c:pt idx="231">
                  <c:v>61.2</c:v>
                </c:pt>
                <c:pt idx="232">
                  <c:v>61.2</c:v>
                </c:pt>
                <c:pt idx="233">
                  <c:v>61.4</c:v>
                </c:pt>
                <c:pt idx="234">
                  <c:v>60.1</c:v>
                </c:pt>
                <c:pt idx="235">
                  <c:v>59.2</c:v>
                </c:pt>
                <c:pt idx="236">
                  <c:v>59.4</c:v>
                </c:pt>
                <c:pt idx="237">
                  <c:v>60.4</c:v>
                </c:pt>
                <c:pt idx="238">
                  <c:v>60.8</c:v>
                </c:pt>
                <c:pt idx="239">
                  <c:v>61.5</c:v>
                </c:pt>
                <c:pt idx="240">
                  <c:v>61.6</c:v>
                </c:pt>
                <c:pt idx="241">
                  <c:v>61.5</c:v>
                </c:pt>
                <c:pt idx="242">
                  <c:v>61.4</c:v>
                </c:pt>
                <c:pt idx="243">
                  <c:v>61.5</c:v>
                </c:pt>
                <c:pt idx="244">
                  <c:v>61.7</c:v>
                </c:pt>
                <c:pt idx="245">
                  <c:v>61.7</c:v>
                </c:pt>
                <c:pt idx="246">
                  <c:v>60.8</c:v>
                </c:pt>
                <c:pt idx="247">
                  <c:v>60</c:v>
                </c:pt>
                <c:pt idx="248">
                  <c:v>60</c:v>
                </c:pt>
                <c:pt idx="249">
                  <c:v>59.5</c:v>
                </c:pt>
                <c:pt idx="250">
                  <c:v>59.4</c:v>
                </c:pt>
                <c:pt idx="251">
                  <c:v>60.2</c:v>
                </c:pt>
                <c:pt idx="252">
                  <c:v>60.4</c:v>
                </c:pt>
                <c:pt idx="253">
                  <c:v>60.5</c:v>
                </c:pt>
                <c:pt idx="254">
                  <c:v>60.4</c:v>
                </c:pt>
                <c:pt idx="255">
                  <c:v>60.3</c:v>
                </c:pt>
                <c:pt idx="256">
                  <c:v>60.4</c:v>
                </c:pt>
                <c:pt idx="257">
                  <c:v>60.7</c:v>
                </c:pt>
                <c:pt idx="258">
                  <c:v>59.1</c:v>
                </c:pt>
                <c:pt idx="259">
                  <c:v>57.4</c:v>
                </c:pt>
                <c:pt idx="260">
                  <c:v>58.6</c:v>
                </c:pt>
                <c:pt idx="261">
                  <c:v>59.8</c:v>
                </c:pt>
                <c:pt idx="262">
                  <c:v>60.4</c:v>
                </c:pt>
                <c:pt idx="263">
                  <c:v>61.2</c:v>
                </c:pt>
                <c:pt idx="264">
                  <c:v>61.3</c:v>
                </c:pt>
                <c:pt idx="265">
                  <c:v>61.3</c:v>
                </c:pt>
                <c:pt idx="266">
                  <c:v>61.2</c:v>
                </c:pt>
                <c:pt idx="267">
                  <c:v>61.3</c:v>
                </c:pt>
                <c:pt idx="268">
                  <c:v>61.4</c:v>
                </c:pt>
                <c:pt idx="269">
                  <c:v>61.5</c:v>
                </c:pt>
                <c:pt idx="270">
                  <c:v>60.4</c:v>
                </c:pt>
                <c:pt idx="271">
                  <c:v>59.6</c:v>
                </c:pt>
                <c:pt idx="272">
                  <c:v>60.6</c:v>
                </c:pt>
                <c:pt idx="273">
                  <c:v>61.4</c:v>
                </c:pt>
                <c:pt idx="274">
                  <c:v>62.1</c:v>
                </c:pt>
                <c:pt idx="275">
                  <c:v>63</c:v>
                </c:pt>
                <c:pt idx="276">
                  <c:v>62.9</c:v>
                </c:pt>
                <c:pt idx="277">
                  <c:v>62.9</c:v>
                </c:pt>
                <c:pt idx="278">
                  <c:v>62.8</c:v>
                </c:pt>
                <c:pt idx="279">
                  <c:v>62.7</c:v>
                </c:pt>
                <c:pt idx="280">
                  <c:v>62.7</c:v>
                </c:pt>
                <c:pt idx="281">
                  <c:v>62.7</c:v>
                </c:pt>
                <c:pt idx="282">
                  <c:v>61.3</c:v>
                </c:pt>
                <c:pt idx="283">
                  <c:v>60.3</c:v>
                </c:pt>
                <c:pt idx="284">
                  <c:v>61.1</c:v>
                </c:pt>
                <c:pt idx="285">
                  <c:v>62.2</c:v>
                </c:pt>
                <c:pt idx="286">
                  <c:v>62.7</c:v>
                </c:pt>
                <c:pt idx="287">
                  <c:v>63.5</c:v>
                </c:pt>
                <c:pt idx="288">
                  <c:v>63.5</c:v>
                </c:pt>
                <c:pt idx="289">
                  <c:v>63.2</c:v>
                </c:pt>
                <c:pt idx="290">
                  <c:v>63.1</c:v>
                </c:pt>
                <c:pt idx="291">
                  <c:v>63.2</c:v>
                </c:pt>
                <c:pt idx="292">
                  <c:v>63.3</c:v>
                </c:pt>
                <c:pt idx="293">
                  <c:v>63.1</c:v>
                </c:pt>
                <c:pt idx="294">
                  <c:v>61.7</c:v>
                </c:pt>
                <c:pt idx="295">
                  <c:v>61</c:v>
                </c:pt>
                <c:pt idx="296">
                  <c:v>61.6</c:v>
                </c:pt>
                <c:pt idx="297">
                  <c:v>62.4</c:v>
                </c:pt>
                <c:pt idx="298">
                  <c:v>63</c:v>
                </c:pt>
                <c:pt idx="299">
                  <c:v>63.5</c:v>
                </c:pt>
                <c:pt idx="300">
                  <c:v>63.5</c:v>
                </c:pt>
                <c:pt idx="301">
                  <c:v>63.3</c:v>
                </c:pt>
                <c:pt idx="302">
                  <c:v>63.2</c:v>
                </c:pt>
                <c:pt idx="303">
                  <c:v>63.3</c:v>
                </c:pt>
                <c:pt idx="304">
                  <c:v>63.3</c:v>
                </c:pt>
                <c:pt idx="305">
                  <c:v>63.2</c:v>
                </c:pt>
                <c:pt idx="306">
                  <c:v>61.4</c:v>
                </c:pt>
                <c:pt idx="307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5D-4ECB-B42E-B6BE639CC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6061215"/>
        <c:axId val="256061695"/>
      </c:lineChart>
      <c:dateAx>
        <c:axId val="256061215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56061695"/>
        <c:crosses val="autoZero"/>
        <c:auto val="1"/>
        <c:lblOffset val="100"/>
        <c:baseTimeUnit val="months"/>
      </c:dateAx>
      <c:valAx>
        <c:axId val="256061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56061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0</xdr:rowOff>
    </xdr:from>
    <xdr:to>
      <xdr:col>14</xdr:col>
      <xdr:colOff>119063</xdr:colOff>
      <xdr:row>24</xdr:row>
      <xdr:rowOff>161925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23CA7862-F739-4BEB-96FF-3BEA7CE1AB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ata-explorer.oecd.org/vis?tm=stan&amp;pg=0&amp;snb=2&amp;vw=ov&amp;df%5bds%5d=dsDisseminateFinalDMZ&amp;df%5bid%5d=DSD_STAN%40DF_STAN_2025&amp;df%5bag%5d=OECD.STI.PIE&amp;df%5bvs%5d=1.0&amp;dq=A.KOR.C20%2BC21.EMP%2BD1..XDC%2BPS&amp;pd=2015%2C2020&amp;to%5bTIME_PERIOD%5d=false&amp;ly%5bcl%5d=TIME_PERIOD&amp;ly%5brs%5d=COMBINED_UNIT_MEASURE&amp;ly%5brw%5d=MEASURE%2CACTIVITY" TargetMode="External"/><Relationship Id="rId1" Type="http://schemas.openxmlformats.org/officeDocument/2006/relationships/hyperlink" Target="https://stats.oecd.org/Index.aspx?DataSetCode=IOT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stats-3.oecd.org/index.aspx?DatasetCode=IOTSI4_2018" TargetMode="External"/><Relationship Id="rId2" Type="http://schemas.openxmlformats.org/officeDocument/2006/relationships/hyperlink" Target="http://localhost/OECDStat_Metadata/ShowMetadata.ashx?Dataset=IOTSI4_2018&amp;Coords=%5bVAR%5d.%5bVAL%5d&amp;ShowOnWeb=true&amp;Lang=en" TargetMode="External"/><Relationship Id="rId1" Type="http://schemas.openxmlformats.org/officeDocument/2006/relationships/hyperlink" Target="http://localhost/OECDStat_Metadata/ShowMetadata.ashx?Dataset=IOTSI4_2018&amp;ShowOnWeb=true&amp;Lang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24350-AB87-478F-BE2E-F548EFE9AD6A}">
  <dimension ref="A1:K58"/>
  <sheetViews>
    <sheetView tabSelected="1" workbookViewId="0">
      <selection activeCell="A31" sqref="A31"/>
    </sheetView>
  </sheetViews>
  <sheetFormatPr defaultRowHeight="16.5" x14ac:dyDescent="0.3"/>
  <cols>
    <col min="1" max="1" width="13.75" customWidth="1"/>
    <col min="2" max="2" width="73.25" customWidth="1"/>
  </cols>
  <sheetData>
    <row r="1" spans="1:11" x14ac:dyDescent="0.3">
      <c r="A1" s="1" t="s">
        <v>104</v>
      </c>
    </row>
    <row r="3" spans="1:11" x14ac:dyDescent="0.3">
      <c r="A3" t="s">
        <v>0</v>
      </c>
      <c r="B3" s="2" t="s">
        <v>1</v>
      </c>
    </row>
    <row r="4" spans="1:11" x14ac:dyDescent="0.3">
      <c r="A4" s="3" t="s">
        <v>108</v>
      </c>
      <c r="B4" s="3" t="s">
        <v>109</v>
      </c>
      <c r="C4" s="47"/>
      <c r="D4" s="47"/>
      <c r="E4" s="47"/>
      <c r="F4" s="47"/>
      <c r="G4" s="47"/>
      <c r="H4" s="47"/>
      <c r="I4" s="47"/>
      <c r="J4" s="47"/>
      <c r="K4" s="47"/>
    </row>
    <row r="5" spans="1:11" x14ac:dyDescent="0.3">
      <c r="A5" s="3" t="s">
        <v>110</v>
      </c>
      <c r="B5" s="3" t="s">
        <v>111</v>
      </c>
      <c r="C5" s="47"/>
      <c r="D5" s="47"/>
      <c r="E5" s="47"/>
      <c r="F5" s="47"/>
      <c r="G5" s="47"/>
      <c r="H5" s="47"/>
      <c r="I5" s="47"/>
      <c r="J5" s="47"/>
      <c r="K5" s="47"/>
    </row>
    <row r="6" spans="1:11" x14ac:dyDescent="0.3">
      <c r="A6" s="3" t="s">
        <v>112</v>
      </c>
      <c r="B6" s="3" t="s">
        <v>113</v>
      </c>
      <c r="C6" s="47"/>
      <c r="D6" s="47"/>
      <c r="E6" s="47"/>
      <c r="F6" s="47"/>
      <c r="G6" s="47"/>
      <c r="H6" s="47"/>
      <c r="I6" s="47"/>
      <c r="J6" s="47"/>
      <c r="K6" s="47"/>
    </row>
    <row r="7" spans="1:11" x14ac:dyDescent="0.3">
      <c r="A7" s="3" t="s">
        <v>114</v>
      </c>
      <c r="B7" s="3" t="s">
        <v>115</v>
      </c>
      <c r="C7" s="47"/>
      <c r="D7" s="47"/>
      <c r="E7" s="47"/>
      <c r="F7" s="47"/>
      <c r="G7" s="47"/>
      <c r="H7" s="47"/>
      <c r="I7" s="47"/>
      <c r="J7" s="47"/>
      <c r="K7" s="47"/>
    </row>
    <row r="8" spans="1:11" x14ac:dyDescent="0.3">
      <c r="A8" s="3" t="s">
        <v>116</v>
      </c>
      <c r="B8" s="3" t="s">
        <v>245</v>
      </c>
      <c r="C8" s="47"/>
      <c r="D8" s="47"/>
      <c r="E8" s="47"/>
      <c r="F8" s="47"/>
      <c r="G8" s="47"/>
      <c r="H8" s="47"/>
      <c r="I8" s="47"/>
      <c r="J8" s="47"/>
      <c r="K8" s="47"/>
    </row>
    <row r="9" spans="1:11" x14ac:dyDescent="0.3">
      <c r="A9" s="3" t="s">
        <v>117</v>
      </c>
      <c r="B9" s="3" t="s">
        <v>118</v>
      </c>
      <c r="C9" s="47"/>
      <c r="D9" s="47"/>
      <c r="E9" s="47"/>
      <c r="F9" s="47"/>
      <c r="G9" s="47"/>
      <c r="H9" s="47"/>
      <c r="I9" s="47"/>
      <c r="J9" s="47"/>
      <c r="K9" s="47"/>
    </row>
    <row r="10" spans="1:11" x14ac:dyDescent="0.3">
      <c r="A10" s="3" t="s">
        <v>59</v>
      </c>
      <c r="B10" s="3" t="s">
        <v>119</v>
      </c>
      <c r="C10" s="47"/>
      <c r="D10" s="47"/>
      <c r="E10" s="47"/>
      <c r="F10" s="47"/>
      <c r="G10" s="47"/>
      <c r="H10" s="47"/>
      <c r="I10" s="47"/>
      <c r="J10" s="47"/>
      <c r="K10" s="47"/>
    </row>
    <row r="12" spans="1:11" x14ac:dyDescent="0.3">
      <c r="B12" s="2" t="s">
        <v>2</v>
      </c>
    </row>
    <row r="13" spans="1:11" s="47" customFormat="1" x14ac:dyDescent="0.3">
      <c r="A13" s="3" t="s">
        <v>108</v>
      </c>
      <c r="B13" s="3" t="s">
        <v>246</v>
      </c>
    </row>
    <row r="14" spans="1:11" s="47" customFormat="1" x14ac:dyDescent="0.3">
      <c r="A14" s="3" t="s">
        <v>110</v>
      </c>
      <c r="B14" s="3" t="s">
        <v>247</v>
      </c>
    </row>
    <row r="15" spans="1:11" s="47" customFormat="1" x14ac:dyDescent="0.3">
      <c r="A15" s="3" t="s">
        <v>112</v>
      </c>
      <c r="B15" s="3" t="s">
        <v>248</v>
      </c>
    </row>
    <row r="16" spans="1:11" s="47" customFormat="1" x14ac:dyDescent="0.3">
      <c r="A16" s="3" t="s">
        <v>114</v>
      </c>
      <c r="B16" s="3" t="s">
        <v>249</v>
      </c>
    </row>
    <row r="17" spans="1:2" s="47" customFormat="1" x14ac:dyDescent="0.3">
      <c r="A17" s="3" t="s">
        <v>116</v>
      </c>
      <c r="B17" s="3" t="s">
        <v>250</v>
      </c>
    </row>
    <row r="18" spans="1:2" s="47" customFormat="1" x14ac:dyDescent="0.3">
      <c r="A18" s="3" t="s">
        <v>117</v>
      </c>
      <c r="B18" s="3" t="s">
        <v>251</v>
      </c>
    </row>
    <row r="19" spans="1:2" s="47" customFormat="1" x14ac:dyDescent="0.3">
      <c r="A19" s="3" t="s">
        <v>59</v>
      </c>
      <c r="B19" s="3" t="s">
        <v>119</v>
      </c>
    </row>
    <row r="21" spans="1:2" x14ac:dyDescent="0.3">
      <c r="B21" s="2" t="s">
        <v>84</v>
      </c>
    </row>
    <row r="22" spans="1:2" x14ac:dyDescent="0.3">
      <c r="B22" t="s">
        <v>85</v>
      </c>
    </row>
    <row r="23" spans="1:2" x14ac:dyDescent="0.3">
      <c r="B23" s="3">
        <v>2018</v>
      </c>
    </row>
    <row r="24" spans="1:2" x14ac:dyDescent="0.3">
      <c r="B24" t="s">
        <v>86</v>
      </c>
    </row>
    <row r="25" spans="1:2" x14ac:dyDescent="0.3">
      <c r="B25" s="4" t="s">
        <v>87</v>
      </c>
    </row>
    <row r="26" spans="1:2" x14ac:dyDescent="0.3">
      <c r="B26" t="s">
        <v>88</v>
      </c>
    </row>
    <row r="28" spans="1:2" x14ac:dyDescent="0.3">
      <c r="B28" s="42" t="s">
        <v>85</v>
      </c>
    </row>
    <row r="29" spans="1:2" x14ac:dyDescent="0.3">
      <c r="B29" s="43">
        <v>2025</v>
      </c>
    </row>
    <row r="30" spans="1:2" x14ac:dyDescent="0.3">
      <c r="B30" s="44" t="s">
        <v>105</v>
      </c>
    </row>
    <row r="31" spans="1:2" x14ac:dyDescent="0.3">
      <c r="B31" s="45" t="s">
        <v>106</v>
      </c>
    </row>
    <row r="32" spans="1:2" x14ac:dyDescent="0.3">
      <c r="B32" s="46" t="s">
        <v>107</v>
      </c>
    </row>
    <row r="34" spans="1:2" x14ac:dyDescent="0.3">
      <c r="B34" s="2" t="s">
        <v>89</v>
      </c>
    </row>
    <row r="35" spans="1:2" x14ac:dyDescent="0.3">
      <c r="B35" t="s">
        <v>262</v>
      </c>
    </row>
    <row r="36" spans="1:2" x14ac:dyDescent="0.3">
      <c r="B36" s="3">
        <v>2023</v>
      </c>
    </row>
    <row r="37" spans="1:2" x14ac:dyDescent="0.3">
      <c r="B37" t="s">
        <v>261</v>
      </c>
    </row>
    <row r="38" spans="1:2" x14ac:dyDescent="0.3">
      <c r="B38" s="4" t="s">
        <v>259</v>
      </c>
    </row>
    <row r="39" spans="1:2" x14ac:dyDescent="0.3">
      <c r="B39" t="s">
        <v>90</v>
      </c>
    </row>
    <row r="41" spans="1:2" x14ac:dyDescent="0.3">
      <c r="A41" s="1" t="s">
        <v>10</v>
      </c>
    </row>
    <row r="43" spans="1:2" x14ac:dyDescent="0.3">
      <c r="A43" s="1" t="s">
        <v>7</v>
      </c>
    </row>
    <row r="44" spans="1:2" x14ac:dyDescent="0.3">
      <c r="A44" t="s">
        <v>91</v>
      </c>
    </row>
    <row r="46" spans="1:2" x14ac:dyDescent="0.3">
      <c r="A46" s="1" t="s">
        <v>98</v>
      </c>
    </row>
    <row r="47" spans="1:2" x14ac:dyDescent="0.3">
      <c r="A47" t="s">
        <v>92</v>
      </c>
    </row>
    <row r="48" spans="1:2" x14ac:dyDescent="0.3">
      <c r="A48" t="s">
        <v>93</v>
      </c>
    </row>
    <row r="49" spans="1:1" x14ac:dyDescent="0.3">
      <c r="A49" t="s">
        <v>94</v>
      </c>
    </row>
    <row r="50" spans="1:1" x14ac:dyDescent="0.3">
      <c r="A50" t="s">
        <v>95</v>
      </c>
    </row>
    <row r="51" spans="1:1" x14ac:dyDescent="0.3">
      <c r="A51" t="s">
        <v>96</v>
      </c>
    </row>
    <row r="52" spans="1:1" x14ac:dyDescent="0.3">
      <c r="A52" t="s">
        <v>97</v>
      </c>
    </row>
    <row r="54" spans="1:1" x14ac:dyDescent="0.3">
      <c r="A54" s="1" t="s">
        <v>99</v>
      </c>
    </row>
    <row r="55" spans="1:1" x14ac:dyDescent="0.3">
      <c r="A55" t="s">
        <v>100</v>
      </c>
    </row>
    <row r="56" spans="1:1" x14ac:dyDescent="0.3">
      <c r="A56" t="s">
        <v>101</v>
      </c>
    </row>
    <row r="57" spans="1:1" x14ac:dyDescent="0.3">
      <c r="A57" t="s">
        <v>102</v>
      </c>
    </row>
    <row r="58" spans="1:1" x14ac:dyDescent="0.3">
      <c r="A58" t="s">
        <v>103</v>
      </c>
    </row>
  </sheetData>
  <phoneticPr fontId="18" type="noConversion"/>
  <hyperlinks>
    <hyperlink ref="B25" r:id="rId1" display="https://stats.oecd.org/Index.aspx?DataSetCode=IOTS" xr:uid="{6BFC046D-FBF4-4CDE-94E6-3BD9264C4041}"/>
    <hyperlink ref="B31" r:id="rId2" xr:uid="{A5BB6F21-6B32-43A2-82A0-EA517E6DD45D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D4569-D43B-407E-BF6B-D144DA4F7038}">
  <dimension ref="A1:CZ77"/>
  <sheetViews>
    <sheetView topLeftCell="A14" workbookViewId="0">
      <selection activeCell="C1" sqref="C1:C1048576"/>
    </sheetView>
  </sheetViews>
  <sheetFormatPr defaultRowHeight="16.5" x14ac:dyDescent="0.3"/>
  <cols>
    <col min="3" max="3" width="15.375" customWidth="1"/>
  </cols>
  <sheetData>
    <row r="1" spans="1:104" x14ac:dyDescent="0.3">
      <c r="A1" s="48" t="s">
        <v>130</v>
      </c>
      <c r="B1" s="48" t="s">
        <v>131</v>
      </c>
      <c r="C1" s="49" t="s">
        <v>132</v>
      </c>
      <c r="D1" s="49" t="s">
        <v>133</v>
      </c>
      <c r="E1" s="49" t="s">
        <v>134</v>
      </c>
      <c r="F1" s="49" t="s">
        <v>135</v>
      </c>
      <c r="G1" s="49" t="s">
        <v>136</v>
      </c>
      <c r="H1" s="49" t="s">
        <v>137</v>
      </c>
      <c r="I1" s="49" t="s">
        <v>138</v>
      </c>
      <c r="J1" s="49" t="s">
        <v>139</v>
      </c>
      <c r="K1" s="49" t="s">
        <v>140</v>
      </c>
      <c r="L1" s="49" t="s">
        <v>141</v>
      </c>
      <c r="M1" s="49" t="s">
        <v>142</v>
      </c>
      <c r="N1" s="49" t="s">
        <v>143</v>
      </c>
      <c r="O1" s="49" t="s">
        <v>144</v>
      </c>
      <c r="P1" s="49" t="s">
        <v>145</v>
      </c>
      <c r="Q1" s="49" t="s">
        <v>146</v>
      </c>
      <c r="R1" s="49" t="s">
        <v>147</v>
      </c>
      <c r="S1" s="49" t="s">
        <v>148</v>
      </c>
      <c r="T1" s="49" t="s">
        <v>149</v>
      </c>
      <c r="U1" s="49" t="s">
        <v>150</v>
      </c>
      <c r="V1" s="49" t="s">
        <v>151</v>
      </c>
      <c r="W1" s="49" t="s">
        <v>152</v>
      </c>
      <c r="X1" s="49" t="s">
        <v>153</v>
      </c>
      <c r="Y1" s="49" t="s">
        <v>154</v>
      </c>
      <c r="Z1" s="49" t="s">
        <v>155</v>
      </c>
      <c r="AA1" s="49" t="s">
        <v>156</v>
      </c>
      <c r="AB1" s="49" t="s">
        <v>157</v>
      </c>
      <c r="AC1" s="49" t="s">
        <v>158</v>
      </c>
      <c r="AD1" s="49" t="s">
        <v>159</v>
      </c>
      <c r="AE1" s="49" t="s">
        <v>160</v>
      </c>
      <c r="AF1" s="49" t="s">
        <v>161</v>
      </c>
      <c r="AG1" s="49" t="s">
        <v>162</v>
      </c>
      <c r="AH1" s="49" t="s">
        <v>163</v>
      </c>
      <c r="AI1" s="49" t="s">
        <v>164</v>
      </c>
      <c r="AJ1" s="49" t="s">
        <v>165</v>
      </c>
      <c r="AK1" s="49" t="s">
        <v>166</v>
      </c>
      <c r="AL1" s="49" t="s">
        <v>167</v>
      </c>
      <c r="AM1" s="49" t="s">
        <v>168</v>
      </c>
      <c r="AN1" s="49" t="s">
        <v>169</v>
      </c>
      <c r="AO1" s="49" t="s">
        <v>170</v>
      </c>
      <c r="AP1" s="49" t="s">
        <v>171</v>
      </c>
      <c r="AQ1" s="49" t="s">
        <v>172</v>
      </c>
      <c r="AR1" s="49" t="s">
        <v>173</v>
      </c>
      <c r="AS1" s="49" t="s">
        <v>174</v>
      </c>
      <c r="AT1" s="49" t="s">
        <v>175</v>
      </c>
      <c r="AU1" s="49" t="s">
        <v>176</v>
      </c>
      <c r="AV1" s="49" t="s">
        <v>177</v>
      </c>
      <c r="AW1" s="49" t="s">
        <v>178</v>
      </c>
      <c r="AX1" s="49" t="s">
        <v>179</v>
      </c>
      <c r="AY1" s="49" t="s">
        <v>180</v>
      </c>
      <c r="AZ1" s="49" t="s">
        <v>181</v>
      </c>
      <c r="BA1" s="49" t="s">
        <v>182</v>
      </c>
      <c r="BB1" s="49" t="s">
        <v>183</v>
      </c>
      <c r="BC1" s="49" t="s">
        <v>184</v>
      </c>
      <c r="BD1" s="49" t="s">
        <v>185</v>
      </c>
      <c r="BE1" s="49" t="s">
        <v>186</v>
      </c>
      <c r="BF1" s="49" t="s">
        <v>187</v>
      </c>
      <c r="BG1" s="49" t="s">
        <v>188</v>
      </c>
      <c r="BH1" s="49" t="s">
        <v>189</v>
      </c>
      <c r="BI1" s="49" t="s">
        <v>190</v>
      </c>
      <c r="BJ1" s="49" t="s">
        <v>191</v>
      </c>
      <c r="BK1" s="49" t="s">
        <v>192</v>
      </c>
      <c r="BL1" s="49" t="s">
        <v>193</v>
      </c>
      <c r="BM1" s="49" t="s">
        <v>194</v>
      </c>
      <c r="BN1" s="49" t="s">
        <v>195</v>
      </c>
      <c r="BO1" s="49" t="s">
        <v>196</v>
      </c>
      <c r="BP1" s="49" t="s">
        <v>197</v>
      </c>
      <c r="BQ1" s="49" t="s">
        <v>198</v>
      </c>
      <c r="BR1" s="49" t="s">
        <v>199</v>
      </c>
      <c r="BS1" s="49" t="s">
        <v>200</v>
      </c>
      <c r="BT1" s="49" t="s">
        <v>201</v>
      </c>
      <c r="BU1" s="49" t="s">
        <v>202</v>
      </c>
      <c r="BV1" s="49" t="s">
        <v>203</v>
      </c>
      <c r="BW1" s="49" t="s">
        <v>204</v>
      </c>
      <c r="BX1" s="49" t="s">
        <v>205</v>
      </c>
      <c r="BY1" s="49" t="s">
        <v>206</v>
      </c>
      <c r="BZ1" s="49" t="s">
        <v>207</v>
      </c>
      <c r="CA1" s="49" t="s">
        <v>208</v>
      </c>
      <c r="CB1" s="49" t="s">
        <v>209</v>
      </c>
      <c r="CC1" s="49" t="s">
        <v>210</v>
      </c>
      <c r="CD1" s="49" t="s">
        <v>211</v>
      </c>
      <c r="CE1" s="49" t="s">
        <v>212</v>
      </c>
      <c r="CF1" s="49" t="s">
        <v>213</v>
      </c>
      <c r="CG1" s="49" t="s">
        <v>214</v>
      </c>
      <c r="CH1" s="49" t="s">
        <v>215</v>
      </c>
      <c r="CI1" s="49" t="s">
        <v>216</v>
      </c>
      <c r="CJ1" s="49" t="s">
        <v>217</v>
      </c>
      <c r="CK1" s="49" t="s">
        <v>218</v>
      </c>
      <c r="CL1" s="49" t="s">
        <v>219</v>
      </c>
      <c r="CM1" s="49" t="s">
        <v>220</v>
      </c>
      <c r="CN1" s="49" t="s">
        <v>221</v>
      </c>
      <c r="CO1" s="49" t="s">
        <v>222</v>
      </c>
      <c r="CP1" s="49" t="s">
        <v>223</v>
      </c>
      <c r="CQ1" s="49" t="s">
        <v>224</v>
      </c>
      <c r="CR1" s="49" t="s">
        <v>225</v>
      </c>
      <c r="CS1" s="49" t="s">
        <v>226</v>
      </c>
      <c r="CT1" s="49" t="s">
        <v>227</v>
      </c>
      <c r="CU1" s="49" t="s">
        <v>228</v>
      </c>
      <c r="CV1" s="49" t="s">
        <v>229</v>
      </c>
      <c r="CW1" s="49" t="s">
        <v>230</v>
      </c>
      <c r="CX1" s="49" t="s">
        <v>231</v>
      </c>
      <c r="CY1" s="49" t="s">
        <v>232</v>
      </c>
      <c r="CZ1" s="49" t="s">
        <v>244</v>
      </c>
    </row>
    <row r="2" spans="1:104" x14ac:dyDescent="0.3">
      <c r="A2" s="50" t="s">
        <v>233</v>
      </c>
      <c r="B2" s="60">
        <v>2014</v>
      </c>
      <c r="C2" s="51">
        <v>50746659</v>
      </c>
      <c r="D2" s="51">
        <v>436868</v>
      </c>
      <c r="E2" s="51">
        <v>463546</v>
      </c>
      <c r="F2" s="51">
        <v>471711</v>
      </c>
      <c r="G2" s="51">
        <v>480054</v>
      </c>
      <c r="H2" s="51">
        <v>442837</v>
      </c>
      <c r="I2" s="51">
        <v>448579</v>
      </c>
      <c r="J2" s="51">
        <v>480719</v>
      </c>
      <c r="K2" s="51">
        <v>451790</v>
      </c>
      <c r="L2" s="51">
        <v>431564</v>
      </c>
      <c r="M2" s="51">
        <v>439850</v>
      </c>
      <c r="N2" s="51">
        <v>472339</v>
      </c>
      <c r="O2" s="51">
        <v>474906</v>
      </c>
      <c r="P2" s="51">
        <v>510418</v>
      </c>
      <c r="Q2" s="51">
        <v>592484</v>
      </c>
      <c r="R2" s="51">
        <v>616028</v>
      </c>
      <c r="S2" s="51">
        <v>608801</v>
      </c>
      <c r="T2" s="51">
        <v>642094</v>
      </c>
      <c r="U2" s="51">
        <v>661121</v>
      </c>
      <c r="V2" s="51">
        <v>686481</v>
      </c>
      <c r="W2" s="51">
        <v>691232</v>
      </c>
      <c r="X2" s="51">
        <v>702877</v>
      </c>
      <c r="Y2" s="51">
        <v>718427</v>
      </c>
      <c r="Z2" s="51">
        <v>714569</v>
      </c>
      <c r="AA2" s="51">
        <v>663834</v>
      </c>
      <c r="AB2" s="51">
        <v>657698</v>
      </c>
      <c r="AC2" s="51">
        <v>644436</v>
      </c>
      <c r="AD2" s="51">
        <v>635626</v>
      </c>
      <c r="AE2" s="51">
        <v>646570</v>
      </c>
      <c r="AF2" s="51">
        <v>666307</v>
      </c>
      <c r="AG2" s="51">
        <v>666191</v>
      </c>
      <c r="AH2" s="51">
        <v>721616</v>
      </c>
      <c r="AI2" s="51">
        <v>789123</v>
      </c>
      <c r="AJ2" s="51">
        <v>845878</v>
      </c>
      <c r="AK2" s="51">
        <v>848036</v>
      </c>
      <c r="AL2" s="51">
        <v>840801</v>
      </c>
      <c r="AM2" s="51">
        <v>770900</v>
      </c>
      <c r="AN2" s="51">
        <v>758430</v>
      </c>
      <c r="AO2" s="51">
        <v>749854</v>
      </c>
      <c r="AP2" s="51">
        <v>768768</v>
      </c>
      <c r="AQ2" s="51">
        <v>806434</v>
      </c>
      <c r="AR2" s="51">
        <v>872327</v>
      </c>
      <c r="AS2" s="51">
        <v>890778</v>
      </c>
      <c r="AT2" s="51">
        <v>894974</v>
      </c>
      <c r="AU2" s="51">
        <v>927849</v>
      </c>
      <c r="AV2" s="51">
        <v>893700</v>
      </c>
      <c r="AW2" s="51">
        <v>936548</v>
      </c>
      <c r="AX2" s="51">
        <v>849021</v>
      </c>
      <c r="AY2" s="51">
        <v>825593</v>
      </c>
      <c r="AZ2" s="51">
        <v>837113</v>
      </c>
      <c r="BA2" s="51">
        <v>846811</v>
      </c>
      <c r="BB2" s="51">
        <v>776284</v>
      </c>
      <c r="BC2" s="51">
        <v>892433</v>
      </c>
      <c r="BD2" s="51">
        <v>828583</v>
      </c>
      <c r="BE2" s="51">
        <v>942664</v>
      </c>
      <c r="BF2" s="51">
        <v>894821</v>
      </c>
      <c r="BG2" s="51">
        <v>814984</v>
      </c>
      <c r="BH2" s="51">
        <v>775386</v>
      </c>
      <c r="BI2" s="51">
        <v>723418</v>
      </c>
      <c r="BJ2" s="51">
        <v>686138</v>
      </c>
      <c r="BK2" s="51">
        <v>699090</v>
      </c>
      <c r="BL2" s="51">
        <v>561290</v>
      </c>
      <c r="BM2" s="51">
        <v>539540</v>
      </c>
      <c r="BN2" s="51">
        <v>533933</v>
      </c>
      <c r="BO2" s="51">
        <v>430977</v>
      </c>
      <c r="BP2" s="51">
        <v>475481</v>
      </c>
      <c r="BQ2" s="51">
        <v>453569</v>
      </c>
      <c r="BR2" s="51">
        <v>451852</v>
      </c>
      <c r="BS2" s="51">
        <v>438974</v>
      </c>
      <c r="BT2" s="51">
        <v>308673</v>
      </c>
      <c r="BU2" s="51">
        <v>352661</v>
      </c>
      <c r="BV2" s="51">
        <v>339696</v>
      </c>
      <c r="BW2" s="51">
        <v>391476</v>
      </c>
      <c r="BX2" s="51">
        <v>389025</v>
      </c>
      <c r="BY2" s="51">
        <v>329100</v>
      </c>
      <c r="BZ2" s="51">
        <v>314455</v>
      </c>
      <c r="CA2" s="51">
        <v>304260</v>
      </c>
      <c r="CB2" s="51">
        <v>273269</v>
      </c>
      <c r="CC2" s="51">
        <v>259394</v>
      </c>
      <c r="CD2" s="51">
        <v>240965</v>
      </c>
      <c r="CE2" s="51">
        <v>220510</v>
      </c>
      <c r="CF2" s="51">
        <v>189473</v>
      </c>
      <c r="CG2" s="51">
        <v>166053</v>
      </c>
      <c r="CH2" s="51">
        <v>147075</v>
      </c>
      <c r="CI2" s="51">
        <v>120817</v>
      </c>
      <c r="CJ2" s="51">
        <v>109600</v>
      </c>
      <c r="CK2" s="51">
        <v>98046</v>
      </c>
      <c r="CL2" s="51">
        <v>80175</v>
      </c>
      <c r="CM2" s="51">
        <v>65256</v>
      </c>
      <c r="CN2" s="51">
        <v>51175</v>
      </c>
      <c r="CO2" s="51">
        <v>40703</v>
      </c>
      <c r="CP2" s="51">
        <v>32205</v>
      </c>
      <c r="CQ2" s="51">
        <v>33815</v>
      </c>
      <c r="CR2" s="51">
        <v>22922</v>
      </c>
      <c r="CS2" s="51">
        <v>16048</v>
      </c>
      <c r="CT2" s="51">
        <v>11403</v>
      </c>
      <c r="CU2" s="51">
        <v>7801</v>
      </c>
      <c r="CV2" s="51">
        <v>5604</v>
      </c>
      <c r="CW2" s="51">
        <v>4041</v>
      </c>
      <c r="CX2" s="51">
        <v>2549</v>
      </c>
      <c r="CY2" s="51">
        <v>1650</v>
      </c>
      <c r="CZ2" s="51">
        <v>2836</v>
      </c>
    </row>
    <row r="3" spans="1:104" x14ac:dyDescent="0.3">
      <c r="A3" s="52" t="s">
        <v>59</v>
      </c>
      <c r="B3" s="60">
        <v>2015</v>
      </c>
      <c r="C3" s="51">
        <v>51014947</v>
      </c>
      <c r="D3" s="51">
        <v>441685</v>
      </c>
      <c r="E3" s="51">
        <v>434866</v>
      </c>
      <c r="F3" s="51">
        <v>462829</v>
      </c>
      <c r="G3" s="51">
        <v>471114</v>
      </c>
      <c r="H3" s="51">
        <v>479603</v>
      </c>
      <c r="I3" s="51">
        <v>442001</v>
      </c>
      <c r="J3" s="51">
        <v>447705</v>
      </c>
      <c r="K3" s="51">
        <v>479779</v>
      </c>
      <c r="L3" s="51">
        <v>450735</v>
      </c>
      <c r="M3" s="51">
        <v>430880</v>
      </c>
      <c r="N3" s="51">
        <v>439093</v>
      </c>
      <c r="O3" s="51">
        <v>471885</v>
      </c>
      <c r="P3" s="51">
        <v>475051</v>
      </c>
      <c r="Q3" s="51">
        <v>510348</v>
      </c>
      <c r="R3" s="51">
        <v>592309</v>
      </c>
      <c r="S3" s="51">
        <v>615829</v>
      </c>
      <c r="T3" s="51">
        <v>608079</v>
      </c>
      <c r="U3" s="51">
        <v>643618</v>
      </c>
      <c r="V3" s="51">
        <v>663843</v>
      </c>
      <c r="W3" s="51">
        <v>690899</v>
      </c>
      <c r="X3" s="51">
        <v>693948</v>
      </c>
      <c r="Y3" s="51">
        <v>706258</v>
      </c>
      <c r="Z3" s="51">
        <v>722950</v>
      </c>
      <c r="AA3" s="51">
        <v>721170</v>
      </c>
      <c r="AB3" s="51">
        <v>667642</v>
      </c>
      <c r="AC3" s="51">
        <v>663335</v>
      </c>
      <c r="AD3" s="51">
        <v>650473</v>
      </c>
      <c r="AE3" s="51">
        <v>638436</v>
      </c>
      <c r="AF3" s="51">
        <v>649029</v>
      </c>
      <c r="AG3" s="51">
        <v>668181</v>
      </c>
      <c r="AH3" s="51">
        <v>665454</v>
      </c>
      <c r="AI3" s="51">
        <v>721197</v>
      </c>
      <c r="AJ3" s="51">
        <v>789910</v>
      </c>
      <c r="AK3" s="51">
        <v>846924</v>
      </c>
      <c r="AL3" s="51">
        <v>848117</v>
      </c>
      <c r="AM3" s="51">
        <v>842708</v>
      </c>
      <c r="AN3" s="51">
        <v>770359</v>
      </c>
      <c r="AO3" s="51">
        <v>759550</v>
      </c>
      <c r="AP3" s="51">
        <v>750545</v>
      </c>
      <c r="AQ3" s="51">
        <v>768938</v>
      </c>
      <c r="AR3" s="51">
        <v>806068</v>
      </c>
      <c r="AS3" s="51">
        <v>873746</v>
      </c>
      <c r="AT3" s="51">
        <v>892312</v>
      </c>
      <c r="AU3" s="51">
        <v>895237</v>
      </c>
      <c r="AV3" s="51">
        <v>931018</v>
      </c>
      <c r="AW3" s="51">
        <v>895477</v>
      </c>
      <c r="AX3" s="51">
        <v>942678</v>
      </c>
      <c r="AY3" s="51">
        <v>851046</v>
      </c>
      <c r="AZ3" s="51">
        <v>826824</v>
      </c>
      <c r="BA3" s="51">
        <v>838011</v>
      </c>
      <c r="BB3" s="51">
        <v>848634</v>
      </c>
      <c r="BC3" s="51">
        <v>772188</v>
      </c>
      <c r="BD3" s="51">
        <v>894508</v>
      </c>
      <c r="BE3" s="51">
        <v>826100</v>
      </c>
      <c r="BF3" s="51">
        <v>947609</v>
      </c>
      <c r="BG3" s="51">
        <v>896370</v>
      </c>
      <c r="BH3" s="51">
        <v>811552</v>
      </c>
      <c r="BI3" s="51">
        <v>772651</v>
      </c>
      <c r="BJ3" s="51">
        <v>721204</v>
      </c>
      <c r="BK3" s="51">
        <v>682440</v>
      </c>
      <c r="BL3" s="51">
        <v>699786</v>
      </c>
      <c r="BM3" s="51">
        <v>557399</v>
      </c>
      <c r="BN3" s="51">
        <v>536466</v>
      </c>
      <c r="BO3" s="51">
        <v>531279</v>
      </c>
      <c r="BP3" s="51">
        <v>425901</v>
      </c>
      <c r="BQ3" s="51">
        <v>473229</v>
      </c>
      <c r="BR3" s="51">
        <v>449051</v>
      </c>
      <c r="BS3" s="51">
        <v>447757</v>
      </c>
      <c r="BT3" s="51">
        <v>435583</v>
      </c>
      <c r="BU3" s="51">
        <v>300011</v>
      </c>
      <c r="BV3" s="51">
        <v>349061</v>
      </c>
      <c r="BW3" s="51">
        <v>335022</v>
      </c>
      <c r="BX3" s="51">
        <v>388659</v>
      </c>
      <c r="BY3" s="51">
        <v>384611</v>
      </c>
      <c r="BZ3" s="51">
        <v>322191</v>
      </c>
      <c r="CA3" s="51">
        <v>307659</v>
      </c>
      <c r="CB3" s="51">
        <v>296847</v>
      </c>
      <c r="CC3" s="51">
        <v>264428</v>
      </c>
      <c r="CD3" s="51">
        <v>250113</v>
      </c>
      <c r="CE3" s="51">
        <v>231456</v>
      </c>
      <c r="CF3" s="51">
        <v>210657</v>
      </c>
      <c r="CG3" s="51">
        <v>179183</v>
      </c>
      <c r="CH3" s="51">
        <v>155839</v>
      </c>
      <c r="CI3" s="51">
        <v>136922</v>
      </c>
      <c r="CJ3" s="51">
        <v>111315</v>
      </c>
      <c r="CK3" s="51">
        <v>100697</v>
      </c>
      <c r="CL3" s="51">
        <v>89135</v>
      </c>
      <c r="CM3" s="51">
        <v>72010</v>
      </c>
      <c r="CN3" s="51">
        <v>57588</v>
      </c>
      <c r="CO3" s="51">
        <v>44121</v>
      </c>
      <c r="CP3" s="51">
        <v>34171</v>
      </c>
      <c r="CQ3" s="51">
        <v>26018</v>
      </c>
      <c r="CR3" s="51">
        <v>29312</v>
      </c>
      <c r="CS3" s="51">
        <v>18996</v>
      </c>
      <c r="CT3" s="51">
        <v>12461</v>
      </c>
      <c r="CU3" s="51">
        <v>9094</v>
      </c>
      <c r="CV3" s="51">
        <v>6076</v>
      </c>
      <c r="CW3" s="51">
        <v>4184</v>
      </c>
      <c r="CX3" s="51">
        <v>2883</v>
      </c>
      <c r="CY3" s="51">
        <v>1686</v>
      </c>
      <c r="CZ3" s="51">
        <v>3142</v>
      </c>
    </row>
    <row r="4" spans="1:104" x14ac:dyDescent="0.3">
      <c r="A4" s="52" t="s">
        <v>59</v>
      </c>
      <c r="B4" s="60">
        <v>2016</v>
      </c>
      <c r="C4" s="51">
        <v>51217803</v>
      </c>
      <c r="D4" s="51">
        <v>429094</v>
      </c>
      <c r="E4" s="51">
        <v>442414</v>
      </c>
      <c r="F4" s="51">
        <v>435067</v>
      </c>
      <c r="G4" s="51">
        <v>462760</v>
      </c>
      <c r="H4" s="51">
        <v>470775</v>
      </c>
      <c r="I4" s="51">
        <v>478946</v>
      </c>
      <c r="J4" s="51">
        <v>441232</v>
      </c>
      <c r="K4" s="51">
        <v>447089</v>
      </c>
      <c r="L4" s="51">
        <v>479402</v>
      </c>
      <c r="M4" s="51">
        <v>450477</v>
      </c>
      <c r="N4" s="51">
        <v>430604</v>
      </c>
      <c r="O4" s="51">
        <v>438955</v>
      </c>
      <c r="P4" s="51">
        <v>472113</v>
      </c>
      <c r="Q4" s="51">
        <v>475283</v>
      </c>
      <c r="R4" s="51">
        <v>510352</v>
      </c>
      <c r="S4" s="51">
        <v>591836</v>
      </c>
      <c r="T4" s="51">
        <v>615358</v>
      </c>
      <c r="U4" s="51">
        <v>608824</v>
      </c>
      <c r="V4" s="51">
        <v>647036</v>
      </c>
      <c r="W4" s="51">
        <v>669150</v>
      </c>
      <c r="X4" s="51">
        <v>695313</v>
      </c>
      <c r="Y4" s="51">
        <v>698637</v>
      </c>
      <c r="Z4" s="51">
        <v>711203</v>
      </c>
      <c r="AA4" s="51">
        <v>728826</v>
      </c>
      <c r="AB4" s="51">
        <v>725870</v>
      </c>
      <c r="AC4" s="51">
        <v>672586</v>
      </c>
      <c r="AD4" s="51">
        <v>667618</v>
      </c>
      <c r="AE4" s="51">
        <v>652623</v>
      </c>
      <c r="AF4" s="51">
        <v>638380</v>
      </c>
      <c r="AG4" s="51">
        <v>648604</v>
      </c>
      <c r="AH4" s="51">
        <v>667690</v>
      </c>
      <c r="AI4" s="51">
        <v>664991</v>
      </c>
      <c r="AJ4" s="51">
        <v>720569</v>
      </c>
      <c r="AK4" s="51">
        <v>789078</v>
      </c>
      <c r="AL4" s="51">
        <v>845927</v>
      </c>
      <c r="AM4" s="51">
        <v>846619</v>
      </c>
      <c r="AN4" s="51">
        <v>841229</v>
      </c>
      <c r="AO4" s="51">
        <v>769127</v>
      </c>
      <c r="AP4" s="51">
        <v>758465</v>
      </c>
      <c r="AQ4" s="51">
        <v>749245</v>
      </c>
      <c r="AR4" s="51">
        <v>767659</v>
      </c>
      <c r="AS4" s="51">
        <v>804673</v>
      </c>
      <c r="AT4" s="51">
        <v>872427</v>
      </c>
      <c r="AU4" s="51">
        <v>891102</v>
      </c>
      <c r="AV4" s="51">
        <v>894168</v>
      </c>
      <c r="AW4" s="51">
        <v>930073</v>
      </c>
      <c r="AX4" s="51">
        <v>894583</v>
      </c>
      <c r="AY4" s="51">
        <v>941844</v>
      </c>
      <c r="AZ4" s="51">
        <v>849942</v>
      </c>
      <c r="BA4" s="51">
        <v>825328</v>
      </c>
      <c r="BB4" s="51">
        <v>836435</v>
      </c>
      <c r="BC4" s="51">
        <v>846784</v>
      </c>
      <c r="BD4" s="51">
        <v>770401</v>
      </c>
      <c r="BE4" s="51">
        <v>892457</v>
      </c>
      <c r="BF4" s="51">
        <v>824220</v>
      </c>
      <c r="BG4" s="51">
        <v>944916</v>
      </c>
      <c r="BH4" s="51">
        <v>893493</v>
      </c>
      <c r="BI4" s="51">
        <v>808619</v>
      </c>
      <c r="BJ4" s="51">
        <v>769688</v>
      </c>
      <c r="BK4" s="51">
        <v>718199</v>
      </c>
      <c r="BL4" s="51">
        <v>681203</v>
      </c>
      <c r="BM4" s="51">
        <v>697371</v>
      </c>
      <c r="BN4" s="51">
        <v>554778</v>
      </c>
      <c r="BO4" s="51">
        <v>533331</v>
      </c>
      <c r="BP4" s="51">
        <v>527659</v>
      </c>
      <c r="BQ4" s="51">
        <v>422393</v>
      </c>
      <c r="BR4" s="51">
        <v>469148</v>
      </c>
      <c r="BS4" s="51">
        <v>444820</v>
      </c>
      <c r="BT4" s="51">
        <v>442998</v>
      </c>
      <c r="BU4" s="51">
        <v>430645</v>
      </c>
      <c r="BV4" s="51">
        <v>296172</v>
      </c>
      <c r="BW4" s="51">
        <v>344084</v>
      </c>
      <c r="BX4" s="51">
        <v>330057</v>
      </c>
      <c r="BY4" s="51">
        <v>381804</v>
      </c>
      <c r="BZ4" s="51">
        <v>377005</v>
      </c>
      <c r="CA4" s="51">
        <v>315171</v>
      </c>
      <c r="CB4" s="51">
        <v>299829</v>
      </c>
      <c r="CC4" s="51">
        <v>288430</v>
      </c>
      <c r="CD4" s="51">
        <v>255802</v>
      </c>
      <c r="CE4" s="51">
        <v>240934</v>
      </c>
      <c r="CF4" s="51">
        <v>221899</v>
      </c>
      <c r="CG4" s="51">
        <v>201041</v>
      </c>
      <c r="CH4" s="51">
        <v>169787</v>
      </c>
      <c r="CI4" s="51">
        <v>146577</v>
      </c>
      <c r="CJ4" s="51">
        <v>127918</v>
      </c>
      <c r="CK4" s="51">
        <v>103068</v>
      </c>
      <c r="CL4" s="51">
        <v>92213</v>
      </c>
      <c r="CM4" s="51">
        <v>80865</v>
      </c>
      <c r="CN4" s="51">
        <v>64402</v>
      </c>
      <c r="CO4" s="51">
        <v>50747</v>
      </c>
      <c r="CP4" s="51">
        <v>38253</v>
      </c>
      <c r="CQ4" s="51">
        <v>29067</v>
      </c>
      <c r="CR4" s="51">
        <v>21831</v>
      </c>
      <c r="CS4" s="51">
        <v>24311</v>
      </c>
      <c r="CT4" s="51">
        <v>15447</v>
      </c>
      <c r="CU4" s="51">
        <v>9938</v>
      </c>
      <c r="CV4" s="51">
        <v>7107</v>
      </c>
      <c r="CW4" s="51">
        <v>4584</v>
      </c>
      <c r="CX4" s="51">
        <v>3153</v>
      </c>
      <c r="CY4" s="51">
        <v>2104</v>
      </c>
      <c r="CZ4" s="51">
        <v>3479</v>
      </c>
    </row>
    <row r="5" spans="1:104" x14ac:dyDescent="0.3">
      <c r="A5" s="52" t="s">
        <v>59</v>
      </c>
      <c r="B5" s="60">
        <v>2017</v>
      </c>
      <c r="C5" s="51">
        <v>51361911</v>
      </c>
      <c r="D5" s="51">
        <v>385224</v>
      </c>
      <c r="E5" s="51">
        <v>428719</v>
      </c>
      <c r="F5" s="51">
        <v>441945</v>
      </c>
      <c r="G5" s="51">
        <v>434079</v>
      </c>
      <c r="H5" s="51">
        <v>461252</v>
      </c>
      <c r="I5" s="51">
        <v>469166</v>
      </c>
      <c r="J5" s="51">
        <v>476438</v>
      </c>
      <c r="K5" s="51">
        <v>439582</v>
      </c>
      <c r="L5" s="51">
        <v>445732</v>
      </c>
      <c r="M5" s="51">
        <v>478069</v>
      </c>
      <c r="N5" s="51">
        <v>449462</v>
      </c>
      <c r="O5" s="51">
        <v>429929</v>
      </c>
      <c r="P5" s="51">
        <v>438475</v>
      </c>
      <c r="Q5" s="51">
        <v>471598</v>
      </c>
      <c r="R5" s="51">
        <v>474613</v>
      </c>
      <c r="S5" s="51">
        <v>509025</v>
      </c>
      <c r="T5" s="51">
        <v>590444</v>
      </c>
      <c r="U5" s="51">
        <v>615607</v>
      </c>
      <c r="V5" s="51">
        <v>613208</v>
      </c>
      <c r="W5" s="51">
        <v>654171</v>
      </c>
      <c r="X5" s="51">
        <v>674230</v>
      </c>
      <c r="Y5" s="51">
        <v>700728</v>
      </c>
      <c r="Z5" s="51">
        <v>704114</v>
      </c>
      <c r="AA5" s="51">
        <v>717106</v>
      </c>
      <c r="AB5" s="51">
        <v>733479</v>
      </c>
      <c r="AC5" s="51">
        <v>730326</v>
      </c>
      <c r="AD5" s="51">
        <v>675269</v>
      </c>
      <c r="AE5" s="51">
        <v>669550</v>
      </c>
      <c r="AF5" s="51">
        <v>653743</v>
      </c>
      <c r="AG5" s="51">
        <v>639273</v>
      </c>
      <c r="AH5" s="51">
        <v>649602</v>
      </c>
      <c r="AI5" s="51">
        <v>668034</v>
      </c>
      <c r="AJ5" s="51">
        <v>665061</v>
      </c>
      <c r="AK5" s="51">
        <v>720387</v>
      </c>
      <c r="AL5" s="51">
        <v>788458</v>
      </c>
      <c r="AM5" s="51">
        <v>844744</v>
      </c>
      <c r="AN5" s="51">
        <v>845022</v>
      </c>
      <c r="AO5" s="51">
        <v>839766</v>
      </c>
      <c r="AP5" s="51">
        <v>767733</v>
      </c>
      <c r="AQ5" s="51">
        <v>757035</v>
      </c>
      <c r="AR5" s="51">
        <v>747564</v>
      </c>
      <c r="AS5" s="51">
        <v>766096</v>
      </c>
      <c r="AT5" s="51">
        <v>803283</v>
      </c>
      <c r="AU5" s="51">
        <v>871382</v>
      </c>
      <c r="AV5" s="51">
        <v>890079</v>
      </c>
      <c r="AW5" s="51">
        <v>893217</v>
      </c>
      <c r="AX5" s="51">
        <v>929151</v>
      </c>
      <c r="AY5" s="51">
        <v>894005</v>
      </c>
      <c r="AZ5" s="51">
        <v>941198</v>
      </c>
      <c r="BA5" s="51">
        <v>849371</v>
      </c>
      <c r="BB5" s="51">
        <v>824461</v>
      </c>
      <c r="BC5" s="51">
        <v>835194</v>
      </c>
      <c r="BD5" s="51">
        <v>845323</v>
      </c>
      <c r="BE5" s="51">
        <v>768369</v>
      </c>
      <c r="BF5" s="51">
        <v>890493</v>
      </c>
      <c r="BG5" s="51">
        <v>821991</v>
      </c>
      <c r="BH5" s="51">
        <v>942387</v>
      </c>
      <c r="BI5" s="51">
        <v>890273</v>
      </c>
      <c r="BJ5" s="51">
        <v>805158</v>
      </c>
      <c r="BK5" s="51">
        <v>766090</v>
      </c>
      <c r="BL5" s="51">
        <v>717252</v>
      </c>
      <c r="BM5" s="51">
        <v>678021</v>
      </c>
      <c r="BN5" s="51">
        <v>693926</v>
      </c>
      <c r="BO5" s="51">
        <v>551193</v>
      </c>
      <c r="BP5" s="51">
        <v>529976</v>
      </c>
      <c r="BQ5" s="51">
        <v>523725</v>
      </c>
      <c r="BR5" s="51">
        <v>419008</v>
      </c>
      <c r="BS5" s="51">
        <v>464905</v>
      </c>
      <c r="BT5" s="51">
        <v>440385</v>
      </c>
      <c r="BU5" s="51">
        <v>438496</v>
      </c>
      <c r="BV5" s="51">
        <v>425692</v>
      </c>
      <c r="BW5" s="51">
        <v>292197</v>
      </c>
      <c r="BX5" s="51">
        <v>339068</v>
      </c>
      <c r="BY5" s="51">
        <v>324925</v>
      </c>
      <c r="BZ5" s="51">
        <v>374918</v>
      </c>
      <c r="CA5" s="51">
        <v>369154</v>
      </c>
      <c r="CB5" s="51">
        <v>307497</v>
      </c>
      <c r="CC5" s="51">
        <v>291449</v>
      </c>
      <c r="CD5" s="51">
        <v>279423</v>
      </c>
      <c r="CE5" s="51">
        <v>246792</v>
      </c>
      <c r="CF5" s="51">
        <v>231142</v>
      </c>
      <c r="CG5" s="51">
        <v>211835</v>
      </c>
      <c r="CH5" s="51">
        <v>190598</v>
      </c>
      <c r="CI5" s="51">
        <v>159791</v>
      </c>
      <c r="CJ5" s="51">
        <v>136913</v>
      </c>
      <c r="CK5" s="51">
        <v>118277</v>
      </c>
      <c r="CL5" s="51">
        <v>94313</v>
      </c>
      <c r="CM5" s="51">
        <v>83502</v>
      </c>
      <c r="CN5" s="51">
        <v>72287</v>
      </c>
      <c r="CO5" s="51">
        <v>56788</v>
      </c>
      <c r="CP5" s="51">
        <v>43893</v>
      </c>
      <c r="CQ5" s="51">
        <v>32372</v>
      </c>
      <c r="CR5" s="51">
        <v>24283</v>
      </c>
      <c r="CS5" s="51">
        <v>17899</v>
      </c>
      <c r="CT5" s="51">
        <v>19633</v>
      </c>
      <c r="CU5" s="51">
        <v>12288</v>
      </c>
      <c r="CV5" s="51">
        <v>7662</v>
      </c>
      <c r="CW5" s="51">
        <v>5407</v>
      </c>
      <c r="CX5" s="51">
        <v>3397</v>
      </c>
      <c r="CY5" s="51">
        <v>2279</v>
      </c>
      <c r="CZ5" s="51">
        <v>3867</v>
      </c>
    </row>
    <row r="6" spans="1:104" x14ac:dyDescent="0.3">
      <c r="A6" s="52" t="s">
        <v>59</v>
      </c>
      <c r="B6" s="60">
        <v>2018</v>
      </c>
      <c r="C6" s="51">
        <v>51585058</v>
      </c>
      <c r="D6" s="51">
        <v>348253</v>
      </c>
      <c r="E6" s="51">
        <v>385733</v>
      </c>
      <c r="F6" s="51">
        <v>429248</v>
      </c>
      <c r="G6" s="51">
        <v>441933</v>
      </c>
      <c r="H6" s="51">
        <v>433569</v>
      </c>
      <c r="I6" s="51">
        <v>460068</v>
      </c>
      <c r="J6" s="51">
        <v>468366</v>
      </c>
      <c r="K6" s="51">
        <v>475890</v>
      </c>
      <c r="L6" s="51">
        <v>439124</v>
      </c>
      <c r="M6" s="51">
        <v>445479</v>
      </c>
      <c r="N6" s="51">
        <v>477847</v>
      </c>
      <c r="O6" s="51">
        <v>449428</v>
      </c>
      <c r="P6" s="51">
        <v>430141</v>
      </c>
      <c r="Q6" s="51">
        <v>438510</v>
      </c>
      <c r="R6" s="51">
        <v>471465</v>
      </c>
      <c r="S6" s="51">
        <v>474081</v>
      </c>
      <c r="T6" s="51">
        <v>508482</v>
      </c>
      <c r="U6" s="51">
        <v>591153</v>
      </c>
      <c r="V6" s="51">
        <v>622273</v>
      </c>
      <c r="W6" s="51">
        <v>624016</v>
      </c>
      <c r="X6" s="51">
        <v>663479</v>
      </c>
      <c r="Y6" s="51">
        <v>683573</v>
      </c>
      <c r="Z6" s="51">
        <v>710913</v>
      </c>
      <c r="AA6" s="51">
        <v>714422</v>
      </c>
      <c r="AB6" s="51">
        <v>725810</v>
      </c>
      <c r="AC6" s="51">
        <v>741601</v>
      </c>
      <c r="AD6" s="51">
        <v>737518</v>
      </c>
      <c r="AE6" s="51">
        <v>681254</v>
      </c>
      <c r="AF6" s="51">
        <v>674420</v>
      </c>
      <c r="AG6" s="51">
        <v>658269</v>
      </c>
      <c r="AH6" s="51">
        <v>643534</v>
      </c>
      <c r="AI6" s="51">
        <v>653643</v>
      </c>
      <c r="AJ6" s="51">
        <v>671976</v>
      </c>
      <c r="AK6" s="51">
        <v>668487</v>
      </c>
      <c r="AL6" s="51">
        <v>722977</v>
      </c>
      <c r="AM6" s="51">
        <v>790747</v>
      </c>
      <c r="AN6" s="51">
        <v>847123</v>
      </c>
      <c r="AO6" s="51">
        <v>846694</v>
      </c>
      <c r="AP6" s="51">
        <v>841718</v>
      </c>
      <c r="AQ6" s="51">
        <v>769328</v>
      </c>
      <c r="AR6" s="51">
        <v>758375</v>
      </c>
      <c r="AS6" s="51">
        <v>748954</v>
      </c>
      <c r="AT6" s="51">
        <v>767313</v>
      </c>
      <c r="AU6" s="51">
        <v>804224</v>
      </c>
      <c r="AV6" s="51">
        <v>872534</v>
      </c>
      <c r="AW6" s="51">
        <v>891359</v>
      </c>
      <c r="AX6" s="51">
        <v>894471</v>
      </c>
      <c r="AY6" s="51">
        <v>930523</v>
      </c>
      <c r="AZ6" s="51">
        <v>895021</v>
      </c>
      <c r="BA6" s="51">
        <v>941805</v>
      </c>
      <c r="BB6" s="51">
        <v>849451</v>
      </c>
      <c r="BC6" s="51">
        <v>824394</v>
      </c>
      <c r="BD6" s="51">
        <v>835187</v>
      </c>
      <c r="BE6" s="51">
        <v>844978</v>
      </c>
      <c r="BF6" s="51">
        <v>768263</v>
      </c>
      <c r="BG6" s="51">
        <v>889950</v>
      </c>
      <c r="BH6" s="51">
        <v>820271</v>
      </c>
      <c r="BI6" s="51">
        <v>940046</v>
      </c>
      <c r="BJ6" s="51">
        <v>887953</v>
      </c>
      <c r="BK6" s="51">
        <v>802288</v>
      </c>
      <c r="BL6" s="51">
        <v>764820</v>
      </c>
      <c r="BM6" s="51">
        <v>713854</v>
      </c>
      <c r="BN6" s="51">
        <v>674002</v>
      </c>
      <c r="BO6" s="51">
        <v>689336</v>
      </c>
      <c r="BP6" s="51">
        <v>547056</v>
      </c>
      <c r="BQ6" s="51">
        <v>525849</v>
      </c>
      <c r="BR6" s="51">
        <v>519442</v>
      </c>
      <c r="BS6" s="51">
        <v>415154</v>
      </c>
      <c r="BT6" s="51">
        <v>460309</v>
      </c>
      <c r="BU6" s="51">
        <v>435834</v>
      </c>
      <c r="BV6" s="51">
        <v>433544</v>
      </c>
      <c r="BW6" s="51">
        <v>420442</v>
      </c>
      <c r="BX6" s="51">
        <v>288196</v>
      </c>
      <c r="BY6" s="51">
        <v>333928</v>
      </c>
      <c r="BZ6" s="51">
        <v>319280</v>
      </c>
      <c r="CA6" s="51">
        <v>367163</v>
      </c>
      <c r="CB6" s="51">
        <v>360427</v>
      </c>
      <c r="CC6" s="51">
        <v>299353</v>
      </c>
      <c r="CD6" s="51">
        <v>282573</v>
      </c>
      <c r="CE6" s="51">
        <v>269633</v>
      </c>
      <c r="CF6" s="51">
        <v>237279</v>
      </c>
      <c r="CG6" s="51">
        <v>220857</v>
      </c>
      <c r="CH6" s="51">
        <v>200861</v>
      </c>
      <c r="CI6" s="51">
        <v>179359</v>
      </c>
      <c r="CJ6" s="51">
        <v>149053</v>
      </c>
      <c r="CK6" s="51">
        <v>126644</v>
      </c>
      <c r="CL6" s="51">
        <v>108351</v>
      </c>
      <c r="CM6" s="51">
        <v>85329</v>
      </c>
      <c r="CN6" s="51">
        <v>74561</v>
      </c>
      <c r="CO6" s="51">
        <v>63703</v>
      </c>
      <c r="CP6" s="51">
        <v>49272</v>
      </c>
      <c r="CQ6" s="51">
        <v>37328</v>
      </c>
      <c r="CR6" s="51">
        <v>26919</v>
      </c>
      <c r="CS6" s="51">
        <v>19783</v>
      </c>
      <c r="CT6" s="51">
        <v>14274</v>
      </c>
      <c r="CU6" s="51">
        <v>15549</v>
      </c>
      <c r="CV6" s="51">
        <v>9469</v>
      </c>
      <c r="CW6" s="51">
        <v>5764</v>
      </c>
      <c r="CX6" s="51">
        <v>3969</v>
      </c>
      <c r="CY6" s="51">
        <v>2482</v>
      </c>
      <c r="CZ6" s="51">
        <v>4152</v>
      </c>
    </row>
    <row r="7" spans="1:104" x14ac:dyDescent="0.3">
      <c r="A7" s="52" t="s">
        <v>59</v>
      </c>
      <c r="B7" s="60">
        <v>2019</v>
      </c>
      <c r="C7" s="51">
        <v>51764822</v>
      </c>
      <c r="D7" s="51">
        <v>321317</v>
      </c>
      <c r="E7" s="51">
        <v>348817</v>
      </c>
      <c r="F7" s="51">
        <v>386920</v>
      </c>
      <c r="G7" s="51">
        <v>430665</v>
      </c>
      <c r="H7" s="51">
        <v>442625</v>
      </c>
      <c r="I7" s="51">
        <v>433410</v>
      </c>
      <c r="J7" s="51">
        <v>459795</v>
      </c>
      <c r="K7" s="51">
        <v>468160</v>
      </c>
      <c r="L7" s="51">
        <v>475764</v>
      </c>
      <c r="M7" s="51">
        <v>439046</v>
      </c>
      <c r="N7" s="51">
        <v>445257</v>
      </c>
      <c r="O7" s="51">
        <v>477649</v>
      </c>
      <c r="P7" s="51">
        <v>449763</v>
      </c>
      <c r="Q7" s="51">
        <v>430284</v>
      </c>
      <c r="R7" s="51">
        <v>438608</v>
      </c>
      <c r="S7" s="51">
        <v>470868</v>
      </c>
      <c r="T7" s="51">
        <v>473151</v>
      </c>
      <c r="U7" s="51">
        <v>508560</v>
      </c>
      <c r="V7" s="51">
        <v>598632</v>
      </c>
      <c r="W7" s="51">
        <v>634765</v>
      </c>
      <c r="X7" s="51">
        <v>632196</v>
      </c>
      <c r="Y7" s="51">
        <v>671524</v>
      </c>
      <c r="Z7" s="51">
        <v>692566</v>
      </c>
      <c r="AA7" s="51">
        <v>720333</v>
      </c>
      <c r="AB7" s="51">
        <v>722433</v>
      </c>
      <c r="AC7" s="51">
        <v>733412</v>
      </c>
      <c r="AD7" s="51">
        <v>748023</v>
      </c>
      <c r="AE7" s="51">
        <v>742806</v>
      </c>
      <c r="AF7" s="51">
        <v>685491</v>
      </c>
      <c r="AG7" s="51">
        <v>678044</v>
      </c>
      <c r="AH7" s="51">
        <v>661617</v>
      </c>
      <c r="AI7" s="51">
        <v>645814</v>
      </c>
      <c r="AJ7" s="51">
        <v>655520</v>
      </c>
      <c r="AK7" s="51">
        <v>673376</v>
      </c>
      <c r="AL7" s="51">
        <v>670135</v>
      </c>
      <c r="AM7" s="51">
        <v>723214</v>
      </c>
      <c r="AN7" s="51">
        <v>792549</v>
      </c>
      <c r="AO7" s="51">
        <v>848059</v>
      </c>
      <c r="AP7" s="51">
        <v>845419</v>
      </c>
      <c r="AQ7" s="51">
        <v>842528</v>
      </c>
      <c r="AR7" s="51">
        <v>770024</v>
      </c>
      <c r="AS7" s="51">
        <v>759074</v>
      </c>
      <c r="AT7" s="51">
        <v>748966</v>
      </c>
      <c r="AU7" s="51">
        <v>765276</v>
      </c>
      <c r="AV7" s="51">
        <v>804519</v>
      </c>
      <c r="AW7" s="51">
        <v>874173</v>
      </c>
      <c r="AX7" s="51">
        <v>891450</v>
      </c>
      <c r="AY7" s="51">
        <v>894830</v>
      </c>
      <c r="AZ7" s="51">
        <v>931456</v>
      </c>
      <c r="BA7" s="51">
        <v>895713</v>
      </c>
      <c r="BB7" s="51">
        <v>943069</v>
      </c>
      <c r="BC7" s="51">
        <v>850653</v>
      </c>
      <c r="BD7" s="51">
        <v>824905</v>
      </c>
      <c r="BE7" s="51">
        <v>835315</v>
      </c>
      <c r="BF7" s="51">
        <v>843948</v>
      </c>
      <c r="BG7" s="51">
        <v>764398</v>
      </c>
      <c r="BH7" s="51">
        <v>887364</v>
      </c>
      <c r="BI7" s="51">
        <v>814228</v>
      </c>
      <c r="BJ7" s="51">
        <v>940883</v>
      </c>
      <c r="BK7" s="51">
        <v>888520</v>
      </c>
      <c r="BL7" s="51">
        <v>801430</v>
      </c>
      <c r="BM7" s="51">
        <v>759784</v>
      </c>
      <c r="BN7" s="51">
        <v>711176</v>
      </c>
      <c r="BO7" s="51">
        <v>668513</v>
      </c>
      <c r="BP7" s="51">
        <v>687046</v>
      </c>
      <c r="BQ7" s="51">
        <v>541512</v>
      </c>
      <c r="BR7" s="51">
        <v>523028</v>
      </c>
      <c r="BS7" s="51">
        <v>517343</v>
      </c>
      <c r="BT7" s="51">
        <v>410974</v>
      </c>
      <c r="BU7" s="51">
        <v>455765</v>
      </c>
      <c r="BV7" s="51">
        <v>430711</v>
      </c>
      <c r="BW7" s="51">
        <v>428201</v>
      </c>
      <c r="BX7" s="51">
        <v>415888</v>
      </c>
      <c r="BY7" s="51">
        <v>283548</v>
      </c>
      <c r="BZ7" s="51">
        <v>327758</v>
      </c>
      <c r="CA7" s="51">
        <v>313396</v>
      </c>
      <c r="CB7" s="51">
        <v>359305</v>
      </c>
      <c r="CC7" s="51">
        <v>352928</v>
      </c>
      <c r="CD7" s="51">
        <v>290872</v>
      </c>
      <c r="CE7" s="51">
        <v>273134</v>
      </c>
      <c r="CF7" s="51">
        <v>259763</v>
      </c>
      <c r="CG7" s="51">
        <v>227332</v>
      </c>
      <c r="CH7" s="51">
        <v>210411</v>
      </c>
      <c r="CI7" s="51">
        <v>190246</v>
      </c>
      <c r="CJ7" s="51">
        <v>168087</v>
      </c>
      <c r="CK7" s="51">
        <v>138654</v>
      </c>
      <c r="CL7" s="51">
        <v>116640</v>
      </c>
      <c r="CM7" s="51">
        <v>98990</v>
      </c>
      <c r="CN7" s="51">
        <v>76902</v>
      </c>
      <c r="CO7" s="51">
        <v>66232</v>
      </c>
      <c r="CP7" s="51">
        <v>55714</v>
      </c>
      <c r="CQ7" s="51">
        <v>42313</v>
      </c>
      <c r="CR7" s="51">
        <v>31736</v>
      </c>
      <c r="CS7" s="51">
        <v>22449</v>
      </c>
      <c r="CT7" s="51">
        <v>16036</v>
      </c>
      <c r="CU7" s="51">
        <v>11406</v>
      </c>
      <c r="CV7" s="51">
        <v>12353</v>
      </c>
      <c r="CW7" s="51">
        <v>7341</v>
      </c>
      <c r="CX7" s="51">
        <v>4332</v>
      </c>
      <c r="CY7" s="51">
        <v>2923</v>
      </c>
      <c r="CZ7" s="51">
        <v>4771</v>
      </c>
    </row>
    <row r="8" spans="1:104" x14ac:dyDescent="0.3">
      <c r="A8" s="52" t="s">
        <v>59</v>
      </c>
      <c r="B8" s="60">
        <v>2020</v>
      </c>
      <c r="C8" s="51">
        <v>51836239</v>
      </c>
      <c r="D8" s="51">
        <v>292294</v>
      </c>
      <c r="E8" s="51">
        <v>320394</v>
      </c>
      <c r="F8" s="51">
        <v>348026</v>
      </c>
      <c r="G8" s="51">
        <v>386234</v>
      </c>
      <c r="H8" s="51">
        <v>429668</v>
      </c>
      <c r="I8" s="51">
        <v>441476</v>
      </c>
      <c r="J8" s="51">
        <v>432721</v>
      </c>
      <c r="K8" s="51">
        <v>459590</v>
      </c>
      <c r="L8" s="51">
        <v>468121</v>
      </c>
      <c r="M8" s="51">
        <v>476377</v>
      </c>
      <c r="N8" s="51">
        <v>440393</v>
      </c>
      <c r="O8" s="51">
        <v>446749</v>
      </c>
      <c r="P8" s="51">
        <v>479887</v>
      </c>
      <c r="Q8" s="51">
        <v>452077</v>
      </c>
      <c r="R8" s="51">
        <v>431863</v>
      </c>
      <c r="S8" s="51">
        <v>440314</v>
      </c>
      <c r="T8" s="51">
        <v>473180</v>
      </c>
      <c r="U8" s="51">
        <v>476648</v>
      </c>
      <c r="V8" s="51">
        <v>517385</v>
      </c>
      <c r="W8" s="51">
        <v>610691</v>
      </c>
      <c r="X8" s="51">
        <v>642242</v>
      </c>
      <c r="Y8" s="51">
        <v>640066</v>
      </c>
      <c r="Z8" s="51">
        <v>680357</v>
      </c>
      <c r="AA8" s="51">
        <v>702030</v>
      </c>
      <c r="AB8" s="51">
        <v>727656</v>
      </c>
      <c r="AC8" s="51">
        <v>727952</v>
      </c>
      <c r="AD8" s="51">
        <v>737003</v>
      </c>
      <c r="AE8" s="51">
        <v>750602</v>
      </c>
      <c r="AF8" s="51">
        <v>744070</v>
      </c>
      <c r="AG8" s="51">
        <v>685915</v>
      </c>
      <c r="AH8" s="51">
        <v>677332</v>
      </c>
      <c r="AI8" s="51">
        <v>660299</v>
      </c>
      <c r="AJ8" s="51">
        <v>644619</v>
      </c>
      <c r="AK8" s="51">
        <v>654119</v>
      </c>
      <c r="AL8" s="51">
        <v>671434</v>
      </c>
      <c r="AM8" s="51">
        <v>668370</v>
      </c>
      <c r="AN8" s="51">
        <v>720920</v>
      </c>
      <c r="AO8" s="51">
        <v>789973</v>
      </c>
      <c r="AP8" s="51">
        <v>845235</v>
      </c>
      <c r="AQ8" s="51">
        <v>842481</v>
      </c>
      <c r="AR8" s="51">
        <v>839357</v>
      </c>
      <c r="AS8" s="51">
        <v>767474</v>
      </c>
      <c r="AT8" s="51">
        <v>756489</v>
      </c>
      <c r="AU8" s="51">
        <v>746286</v>
      </c>
      <c r="AV8" s="51">
        <v>762565</v>
      </c>
      <c r="AW8" s="51">
        <v>802489</v>
      </c>
      <c r="AX8" s="51">
        <v>872050</v>
      </c>
      <c r="AY8" s="51">
        <v>889263</v>
      </c>
      <c r="AZ8" s="51">
        <v>892479</v>
      </c>
      <c r="BA8" s="51">
        <v>929451</v>
      </c>
      <c r="BB8" s="51">
        <v>893547</v>
      </c>
      <c r="BC8" s="51">
        <v>941067</v>
      </c>
      <c r="BD8" s="51">
        <v>848469</v>
      </c>
      <c r="BE8" s="51">
        <v>822683</v>
      </c>
      <c r="BF8" s="51">
        <v>832503</v>
      </c>
      <c r="BG8" s="51">
        <v>840896</v>
      </c>
      <c r="BH8" s="51">
        <v>761332</v>
      </c>
      <c r="BI8" s="51">
        <v>884369</v>
      </c>
      <c r="BJ8" s="51">
        <v>811587</v>
      </c>
      <c r="BK8" s="51">
        <v>938883</v>
      </c>
      <c r="BL8" s="51">
        <v>886637</v>
      </c>
      <c r="BM8" s="51">
        <v>798616</v>
      </c>
      <c r="BN8" s="51">
        <v>756394</v>
      </c>
      <c r="BO8" s="51">
        <v>707726</v>
      </c>
      <c r="BP8" s="51">
        <v>664997</v>
      </c>
      <c r="BQ8" s="51">
        <v>683556</v>
      </c>
      <c r="BR8" s="51">
        <v>538221</v>
      </c>
      <c r="BS8" s="51">
        <v>519852</v>
      </c>
      <c r="BT8" s="51">
        <v>513526</v>
      </c>
      <c r="BU8" s="51">
        <v>407077</v>
      </c>
      <c r="BV8" s="51">
        <v>451240</v>
      </c>
      <c r="BW8" s="51">
        <v>426089</v>
      </c>
      <c r="BX8" s="51">
        <v>423177</v>
      </c>
      <c r="BY8" s="51">
        <v>410479</v>
      </c>
      <c r="BZ8" s="51">
        <v>279362</v>
      </c>
      <c r="CA8" s="51">
        <v>322245</v>
      </c>
      <c r="CB8" s="51">
        <v>307783</v>
      </c>
      <c r="CC8" s="51">
        <v>351934</v>
      </c>
      <c r="CD8" s="51">
        <v>344247</v>
      </c>
      <c r="CE8" s="51">
        <v>282255</v>
      </c>
      <c r="CF8" s="51">
        <v>263645</v>
      </c>
      <c r="CG8" s="51">
        <v>249715</v>
      </c>
      <c r="CH8" s="51">
        <v>217119</v>
      </c>
      <c r="CI8" s="51">
        <v>199578</v>
      </c>
      <c r="CJ8" s="51">
        <v>179185</v>
      </c>
      <c r="CK8" s="51">
        <v>156647</v>
      </c>
      <c r="CL8" s="51">
        <v>128017</v>
      </c>
      <c r="CM8" s="51">
        <v>106463</v>
      </c>
      <c r="CN8" s="51">
        <v>89228</v>
      </c>
      <c r="CO8" s="51">
        <v>68345</v>
      </c>
      <c r="CP8" s="51">
        <v>58117</v>
      </c>
      <c r="CQ8" s="51">
        <v>48105</v>
      </c>
      <c r="CR8" s="51">
        <v>36133</v>
      </c>
      <c r="CS8" s="51">
        <v>26553</v>
      </c>
      <c r="CT8" s="51">
        <v>18413</v>
      </c>
      <c r="CU8" s="51">
        <v>12937</v>
      </c>
      <c r="CV8" s="51">
        <v>9091</v>
      </c>
      <c r="CW8" s="51">
        <v>9665</v>
      </c>
      <c r="CX8" s="51">
        <v>5394</v>
      </c>
      <c r="CY8" s="51">
        <v>3121</v>
      </c>
      <c r="CZ8" s="51">
        <v>5353</v>
      </c>
    </row>
    <row r="9" spans="1:104" x14ac:dyDescent="0.3">
      <c r="A9" s="52" t="s">
        <v>59</v>
      </c>
      <c r="B9" s="60">
        <v>2021</v>
      </c>
      <c r="C9" s="51">
        <v>51769539</v>
      </c>
      <c r="D9" s="51">
        <v>272822</v>
      </c>
      <c r="E9" s="51">
        <v>292090</v>
      </c>
      <c r="F9" s="51">
        <v>319954</v>
      </c>
      <c r="G9" s="51">
        <v>347951</v>
      </c>
      <c r="H9" s="51">
        <v>386013</v>
      </c>
      <c r="I9" s="51">
        <v>429652</v>
      </c>
      <c r="J9" s="51">
        <v>441363</v>
      </c>
      <c r="K9" s="51">
        <v>432726</v>
      </c>
      <c r="L9" s="51">
        <v>459699</v>
      </c>
      <c r="M9" s="51">
        <v>468357</v>
      </c>
      <c r="N9" s="51">
        <v>476757</v>
      </c>
      <c r="O9" s="51">
        <v>440787</v>
      </c>
      <c r="P9" s="51">
        <v>447277</v>
      </c>
      <c r="Q9" s="51">
        <v>480486</v>
      </c>
      <c r="R9" s="51">
        <v>452407</v>
      </c>
      <c r="S9" s="51">
        <v>431755</v>
      </c>
      <c r="T9" s="51">
        <v>439784</v>
      </c>
      <c r="U9" s="51">
        <v>472483</v>
      </c>
      <c r="V9" s="51">
        <v>479781</v>
      </c>
      <c r="W9" s="51">
        <v>522083</v>
      </c>
      <c r="X9" s="51">
        <v>612310</v>
      </c>
      <c r="Y9" s="51">
        <v>643210</v>
      </c>
      <c r="Z9" s="51">
        <v>640508</v>
      </c>
      <c r="AA9" s="51">
        <v>681056</v>
      </c>
      <c r="AB9" s="51">
        <v>701243</v>
      </c>
      <c r="AC9" s="51">
        <v>725688</v>
      </c>
      <c r="AD9" s="51">
        <v>725600</v>
      </c>
      <c r="AE9" s="51">
        <v>734814</v>
      </c>
      <c r="AF9" s="51">
        <v>747683</v>
      </c>
      <c r="AG9" s="51">
        <v>741417</v>
      </c>
      <c r="AH9" s="51">
        <v>682936</v>
      </c>
      <c r="AI9" s="51">
        <v>674095</v>
      </c>
      <c r="AJ9" s="51">
        <v>657173</v>
      </c>
      <c r="AK9" s="51">
        <v>641321</v>
      </c>
      <c r="AL9" s="51">
        <v>650926</v>
      </c>
      <c r="AM9" s="51">
        <v>668347</v>
      </c>
      <c r="AN9" s="51">
        <v>665794</v>
      </c>
      <c r="AO9" s="51">
        <v>718425</v>
      </c>
      <c r="AP9" s="51">
        <v>787459</v>
      </c>
      <c r="AQ9" s="51">
        <v>843001</v>
      </c>
      <c r="AR9" s="51">
        <v>840374</v>
      </c>
      <c r="AS9" s="51">
        <v>837657</v>
      </c>
      <c r="AT9" s="51">
        <v>766108</v>
      </c>
      <c r="AU9" s="51">
        <v>755124</v>
      </c>
      <c r="AV9" s="51">
        <v>745143</v>
      </c>
      <c r="AW9" s="51">
        <v>761831</v>
      </c>
      <c r="AX9" s="51">
        <v>801588</v>
      </c>
      <c r="AY9" s="51">
        <v>870993</v>
      </c>
      <c r="AZ9" s="51">
        <v>888118</v>
      </c>
      <c r="BA9" s="51">
        <v>891382</v>
      </c>
      <c r="BB9" s="51">
        <v>927942</v>
      </c>
      <c r="BC9" s="51">
        <v>891904</v>
      </c>
      <c r="BD9" s="51">
        <v>939140</v>
      </c>
      <c r="BE9" s="51">
        <v>846429</v>
      </c>
      <c r="BF9" s="51">
        <v>820333</v>
      </c>
      <c r="BG9" s="51">
        <v>829863</v>
      </c>
      <c r="BH9" s="51">
        <v>837858</v>
      </c>
      <c r="BI9" s="51">
        <v>758030</v>
      </c>
      <c r="BJ9" s="51">
        <v>880043</v>
      </c>
      <c r="BK9" s="51">
        <v>807832</v>
      </c>
      <c r="BL9" s="51">
        <v>934075</v>
      </c>
      <c r="BM9" s="51">
        <v>882071</v>
      </c>
      <c r="BN9" s="51">
        <v>794012</v>
      </c>
      <c r="BO9" s="51">
        <v>751613</v>
      </c>
      <c r="BP9" s="51">
        <v>702978</v>
      </c>
      <c r="BQ9" s="51">
        <v>660038</v>
      </c>
      <c r="BR9" s="51">
        <v>678010</v>
      </c>
      <c r="BS9" s="51">
        <v>533557</v>
      </c>
      <c r="BT9" s="51">
        <v>514915</v>
      </c>
      <c r="BU9" s="51">
        <v>508391</v>
      </c>
      <c r="BV9" s="51">
        <v>402613</v>
      </c>
      <c r="BW9" s="51">
        <v>445935</v>
      </c>
      <c r="BX9" s="51">
        <v>420667</v>
      </c>
      <c r="BY9" s="51">
        <v>417160</v>
      </c>
      <c r="BZ9" s="51">
        <v>404150</v>
      </c>
      <c r="CA9" s="51">
        <v>274454</v>
      </c>
      <c r="CB9" s="51">
        <v>315736</v>
      </c>
      <c r="CC9" s="51">
        <v>300895</v>
      </c>
      <c r="CD9" s="51">
        <v>342450</v>
      </c>
      <c r="CE9" s="51">
        <v>333909</v>
      </c>
      <c r="CF9" s="51">
        <v>272408</v>
      </c>
      <c r="CG9" s="51">
        <v>253146</v>
      </c>
      <c r="CH9" s="51">
        <v>238500</v>
      </c>
      <c r="CI9" s="51">
        <v>205794</v>
      </c>
      <c r="CJ9" s="51">
        <v>187964</v>
      </c>
      <c r="CK9" s="51">
        <v>167174</v>
      </c>
      <c r="CL9" s="51">
        <v>145079</v>
      </c>
      <c r="CM9" s="51">
        <v>117121</v>
      </c>
      <c r="CN9" s="51">
        <v>96408</v>
      </c>
      <c r="CO9" s="51">
        <v>79750</v>
      </c>
      <c r="CP9" s="51">
        <v>60103</v>
      </c>
      <c r="CQ9" s="51">
        <v>50481</v>
      </c>
      <c r="CR9" s="51">
        <v>41118</v>
      </c>
      <c r="CS9" s="51">
        <v>30445</v>
      </c>
      <c r="CT9" s="51">
        <v>21742</v>
      </c>
      <c r="CU9" s="51">
        <v>14711</v>
      </c>
      <c r="CV9" s="51">
        <v>10150</v>
      </c>
      <c r="CW9" s="51">
        <v>6995</v>
      </c>
      <c r="CX9" s="51">
        <v>7395</v>
      </c>
      <c r="CY9" s="51">
        <v>4130</v>
      </c>
      <c r="CZ9" s="51">
        <v>6371</v>
      </c>
    </row>
    <row r="10" spans="1:104" x14ac:dyDescent="0.3">
      <c r="A10" s="52" t="s">
        <v>59</v>
      </c>
      <c r="B10" s="60">
        <v>2022</v>
      </c>
      <c r="C10" s="51">
        <v>51672569</v>
      </c>
      <c r="D10" s="51">
        <v>259796</v>
      </c>
      <c r="E10" s="51">
        <v>273728</v>
      </c>
      <c r="F10" s="51">
        <v>293321</v>
      </c>
      <c r="G10" s="51">
        <v>319967</v>
      </c>
      <c r="H10" s="51">
        <v>347229</v>
      </c>
      <c r="I10" s="51">
        <v>384475</v>
      </c>
      <c r="J10" s="51">
        <v>427826</v>
      </c>
      <c r="K10" s="51">
        <v>439566</v>
      </c>
      <c r="L10" s="51">
        <v>431437</v>
      </c>
      <c r="M10" s="51">
        <v>458780</v>
      </c>
      <c r="N10" s="51">
        <v>467574</v>
      </c>
      <c r="O10" s="51">
        <v>476182</v>
      </c>
      <c r="P10" s="51">
        <v>440412</v>
      </c>
      <c r="Q10" s="51">
        <v>447135</v>
      </c>
      <c r="R10" s="51">
        <v>480536</v>
      </c>
      <c r="S10" s="51">
        <v>451728</v>
      </c>
      <c r="T10" s="51">
        <v>431198</v>
      </c>
      <c r="U10" s="51">
        <v>439664</v>
      </c>
      <c r="V10" s="51">
        <v>477956</v>
      </c>
      <c r="W10" s="51">
        <v>487327</v>
      </c>
      <c r="X10" s="51">
        <v>525328</v>
      </c>
      <c r="Y10" s="51">
        <v>614015</v>
      </c>
      <c r="Z10" s="51">
        <v>643984</v>
      </c>
      <c r="AA10" s="51">
        <v>641274</v>
      </c>
      <c r="AB10" s="51">
        <v>680636</v>
      </c>
      <c r="AC10" s="51">
        <v>699822</v>
      </c>
      <c r="AD10" s="51">
        <v>723904</v>
      </c>
      <c r="AE10" s="51">
        <v>724428</v>
      </c>
      <c r="AF10" s="51">
        <v>733848</v>
      </c>
      <c r="AG10" s="51">
        <v>746782</v>
      </c>
      <c r="AH10" s="51">
        <v>740378</v>
      </c>
      <c r="AI10" s="51">
        <v>681760</v>
      </c>
      <c r="AJ10" s="51">
        <v>672447</v>
      </c>
      <c r="AK10" s="51">
        <v>656147</v>
      </c>
      <c r="AL10" s="51">
        <v>639702</v>
      </c>
      <c r="AM10" s="51">
        <v>649452</v>
      </c>
      <c r="AN10" s="51">
        <v>666792</v>
      </c>
      <c r="AO10" s="51">
        <v>664010</v>
      </c>
      <c r="AP10" s="51">
        <v>716620</v>
      </c>
      <c r="AQ10" s="51">
        <v>785637</v>
      </c>
      <c r="AR10" s="51">
        <v>841025</v>
      </c>
      <c r="AS10" s="51">
        <v>838855</v>
      </c>
      <c r="AT10" s="51">
        <v>836244</v>
      </c>
      <c r="AU10" s="51">
        <v>764730</v>
      </c>
      <c r="AV10" s="51">
        <v>754165</v>
      </c>
      <c r="AW10" s="51">
        <v>743991</v>
      </c>
      <c r="AX10" s="51">
        <v>760863</v>
      </c>
      <c r="AY10" s="51">
        <v>800466</v>
      </c>
      <c r="AZ10" s="51">
        <v>869789</v>
      </c>
      <c r="BA10" s="51">
        <v>886883</v>
      </c>
      <c r="BB10" s="51">
        <v>890109</v>
      </c>
      <c r="BC10" s="51">
        <v>926519</v>
      </c>
      <c r="BD10" s="51">
        <v>890657</v>
      </c>
      <c r="BE10" s="51">
        <v>937564</v>
      </c>
      <c r="BF10" s="51">
        <v>844703</v>
      </c>
      <c r="BG10" s="51">
        <v>818313</v>
      </c>
      <c r="BH10" s="51">
        <v>827731</v>
      </c>
      <c r="BI10" s="51">
        <v>835341</v>
      </c>
      <c r="BJ10" s="51">
        <v>755642</v>
      </c>
      <c r="BK10" s="51">
        <v>876930</v>
      </c>
      <c r="BL10" s="51">
        <v>804476</v>
      </c>
      <c r="BM10" s="51">
        <v>930353</v>
      </c>
      <c r="BN10" s="51">
        <v>877478</v>
      </c>
      <c r="BO10" s="51">
        <v>789215</v>
      </c>
      <c r="BP10" s="51">
        <v>746591</v>
      </c>
      <c r="BQ10" s="51">
        <v>697864</v>
      </c>
      <c r="BR10" s="51">
        <v>654983</v>
      </c>
      <c r="BS10" s="51">
        <v>672418</v>
      </c>
      <c r="BT10" s="51">
        <v>528711</v>
      </c>
      <c r="BU10" s="51">
        <v>509874</v>
      </c>
      <c r="BV10" s="51">
        <v>502684</v>
      </c>
      <c r="BW10" s="51">
        <v>397580</v>
      </c>
      <c r="BX10" s="51">
        <v>439842</v>
      </c>
      <c r="BY10" s="51">
        <v>414430</v>
      </c>
      <c r="BZ10" s="51">
        <v>410230</v>
      </c>
      <c r="CA10" s="51">
        <v>396667</v>
      </c>
      <c r="CB10" s="51">
        <v>268620</v>
      </c>
      <c r="CC10" s="51">
        <v>307845</v>
      </c>
      <c r="CD10" s="51">
        <v>292404</v>
      </c>
      <c r="CE10" s="51">
        <v>331003</v>
      </c>
      <c r="CF10" s="51">
        <v>321181</v>
      </c>
      <c r="CG10" s="51">
        <v>260471</v>
      </c>
      <c r="CH10" s="51">
        <v>240085</v>
      </c>
      <c r="CI10" s="51">
        <v>224733</v>
      </c>
      <c r="CJ10" s="51">
        <v>192285</v>
      </c>
      <c r="CK10" s="51">
        <v>173619</v>
      </c>
      <c r="CL10" s="51">
        <v>152904</v>
      </c>
      <c r="CM10" s="51">
        <v>131185</v>
      </c>
      <c r="CN10" s="51">
        <v>104270</v>
      </c>
      <c r="CO10" s="51">
        <v>84380</v>
      </c>
      <c r="CP10" s="51">
        <v>68786</v>
      </c>
      <c r="CQ10" s="51">
        <v>50738</v>
      </c>
      <c r="CR10" s="51">
        <v>41884</v>
      </c>
      <c r="CS10" s="51">
        <v>33314</v>
      </c>
      <c r="CT10" s="51">
        <v>24204</v>
      </c>
      <c r="CU10" s="51">
        <v>16770</v>
      </c>
      <c r="CV10" s="51">
        <v>10822</v>
      </c>
      <c r="CW10" s="51">
        <v>7396</v>
      </c>
      <c r="CX10" s="51">
        <v>4947</v>
      </c>
      <c r="CY10" s="51">
        <v>5095</v>
      </c>
      <c r="CZ10" s="51">
        <v>6909</v>
      </c>
    </row>
    <row r="11" spans="1:104" x14ac:dyDescent="0.3">
      <c r="A11" s="52" t="s">
        <v>59</v>
      </c>
      <c r="B11" s="60">
        <v>2023</v>
      </c>
      <c r="C11" s="51">
        <v>51712619</v>
      </c>
      <c r="D11" s="51">
        <v>244080</v>
      </c>
      <c r="E11" s="51">
        <v>257876</v>
      </c>
      <c r="F11" s="51">
        <v>272993</v>
      </c>
      <c r="G11" s="51">
        <v>293068</v>
      </c>
      <c r="H11" s="51">
        <v>319713</v>
      </c>
      <c r="I11" s="51">
        <v>346711</v>
      </c>
      <c r="J11" s="51">
        <v>383852</v>
      </c>
      <c r="K11" s="51">
        <v>427175</v>
      </c>
      <c r="L11" s="51">
        <v>439013</v>
      </c>
      <c r="M11" s="51">
        <v>430993</v>
      </c>
      <c r="N11" s="51">
        <v>458432</v>
      </c>
      <c r="O11" s="51">
        <v>467466</v>
      </c>
      <c r="P11" s="51">
        <v>476261</v>
      </c>
      <c r="Q11" s="51">
        <v>440518</v>
      </c>
      <c r="R11" s="51">
        <v>447084</v>
      </c>
      <c r="S11" s="51">
        <v>480197</v>
      </c>
      <c r="T11" s="51">
        <v>451607</v>
      </c>
      <c r="U11" s="51">
        <v>432257</v>
      </c>
      <c r="V11" s="51">
        <v>446954</v>
      </c>
      <c r="W11" s="51">
        <v>490062</v>
      </c>
      <c r="X11" s="51">
        <v>497379</v>
      </c>
      <c r="Y11" s="51">
        <v>532754</v>
      </c>
      <c r="Z11" s="51">
        <v>621503</v>
      </c>
      <c r="AA11" s="51">
        <v>652693</v>
      </c>
      <c r="AB11" s="51">
        <v>649335</v>
      </c>
      <c r="AC11" s="51">
        <v>687757</v>
      </c>
      <c r="AD11" s="51">
        <v>706563</v>
      </c>
      <c r="AE11" s="51">
        <v>730258</v>
      </c>
      <c r="AF11" s="51">
        <v>730428</v>
      </c>
      <c r="AG11" s="51">
        <v>739711</v>
      </c>
      <c r="AH11" s="51">
        <v>752559</v>
      </c>
      <c r="AI11" s="51">
        <v>746104</v>
      </c>
      <c r="AJ11" s="51">
        <v>687553</v>
      </c>
      <c r="AK11" s="51">
        <v>677758</v>
      </c>
      <c r="AL11" s="51">
        <v>660566</v>
      </c>
      <c r="AM11" s="51">
        <v>643586</v>
      </c>
      <c r="AN11" s="51">
        <v>652753</v>
      </c>
      <c r="AO11" s="51">
        <v>669445</v>
      </c>
      <c r="AP11" s="51">
        <v>666030</v>
      </c>
      <c r="AQ11" s="51">
        <v>718029</v>
      </c>
      <c r="AR11" s="51">
        <v>786463</v>
      </c>
      <c r="AS11" s="51">
        <v>841058</v>
      </c>
      <c r="AT11" s="51">
        <v>838449</v>
      </c>
      <c r="AU11" s="51">
        <v>835828</v>
      </c>
      <c r="AV11" s="51">
        <v>764417</v>
      </c>
      <c r="AW11" s="51">
        <v>753830</v>
      </c>
      <c r="AX11" s="51">
        <v>743658</v>
      </c>
      <c r="AY11" s="51">
        <v>760474</v>
      </c>
      <c r="AZ11" s="51">
        <v>799989</v>
      </c>
      <c r="BA11" s="51">
        <v>868993</v>
      </c>
      <c r="BB11" s="51">
        <v>885874</v>
      </c>
      <c r="BC11" s="51">
        <v>889127</v>
      </c>
      <c r="BD11" s="51">
        <v>925395</v>
      </c>
      <c r="BE11" s="51">
        <v>889386</v>
      </c>
      <c r="BF11" s="51">
        <v>935830</v>
      </c>
      <c r="BG11" s="51">
        <v>843124</v>
      </c>
      <c r="BH11" s="51">
        <v>816559</v>
      </c>
      <c r="BI11" s="51">
        <v>825430</v>
      </c>
      <c r="BJ11" s="51">
        <v>832681</v>
      </c>
      <c r="BK11" s="51">
        <v>752957</v>
      </c>
      <c r="BL11" s="51">
        <v>873730</v>
      </c>
      <c r="BM11" s="51">
        <v>801437</v>
      </c>
      <c r="BN11" s="51">
        <v>925975</v>
      </c>
      <c r="BO11" s="51">
        <v>872679</v>
      </c>
      <c r="BP11" s="51">
        <v>784384</v>
      </c>
      <c r="BQ11" s="51">
        <v>741597</v>
      </c>
      <c r="BR11" s="51">
        <v>692808</v>
      </c>
      <c r="BS11" s="51">
        <v>649750</v>
      </c>
      <c r="BT11" s="51">
        <v>666467</v>
      </c>
      <c r="BU11" s="51">
        <v>523561</v>
      </c>
      <c r="BV11" s="51">
        <v>504420</v>
      </c>
      <c r="BW11" s="51">
        <v>496718</v>
      </c>
      <c r="BX11" s="51">
        <v>392336</v>
      </c>
      <c r="BY11" s="51">
        <v>433444</v>
      </c>
      <c r="BZ11" s="51">
        <v>407759</v>
      </c>
      <c r="CA11" s="51">
        <v>402857</v>
      </c>
      <c r="CB11" s="51">
        <v>388723</v>
      </c>
      <c r="CC11" s="51">
        <v>262478</v>
      </c>
      <c r="CD11" s="51">
        <v>299642</v>
      </c>
      <c r="CE11" s="51">
        <v>283398</v>
      </c>
      <c r="CF11" s="51">
        <v>318986</v>
      </c>
      <c r="CG11" s="51">
        <v>307684</v>
      </c>
      <c r="CH11" s="51">
        <v>247909</v>
      </c>
      <c r="CI11" s="51">
        <v>226742</v>
      </c>
      <c r="CJ11" s="51">
        <v>210425</v>
      </c>
      <c r="CK11" s="51">
        <v>178422</v>
      </c>
      <c r="CL11" s="51">
        <v>159393</v>
      </c>
      <c r="CM11" s="51">
        <v>138659</v>
      </c>
      <c r="CN11" s="51">
        <v>117431</v>
      </c>
      <c r="CO11" s="51">
        <v>92020</v>
      </c>
      <c r="CP11" s="51">
        <v>73319</v>
      </c>
      <c r="CQ11" s="51">
        <v>58753</v>
      </c>
      <c r="CR11" s="51">
        <v>42550</v>
      </c>
      <c r="CS11" s="51">
        <v>34423</v>
      </c>
      <c r="CT11" s="51">
        <v>26746</v>
      </c>
      <c r="CU11" s="51">
        <v>18984</v>
      </c>
      <c r="CV11" s="51">
        <v>12818</v>
      </c>
      <c r="CW11" s="51">
        <v>8055</v>
      </c>
      <c r="CX11" s="51">
        <v>5337</v>
      </c>
      <c r="CY11" s="51">
        <v>3451</v>
      </c>
      <c r="CZ11" s="51">
        <v>7751</v>
      </c>
    </row>
    <row r="12" spans="1:104" x14ac:dyDescent="0.3">
      <c r="A12" s="52" t="s">
        <v>59</v>
      </c>
      <c r="B12" s="60">
        <v>2024</v>
      </c>
      <c r="C12" s="51">
        <v>51751065</v>
      </c>
      <c r="D12" s="51">
        <v>229030</v>
      </c>
      <c r="E12" s="51">
        <v>243442</v>
      </c>
      <c r="F12" s="51">
        <v>258082</v>
      </c>
      <c r="G12" s="51">
        <v>273162</v>
      </c>
      <c r="H12" s="51">
        <v>292945</v>
      </c>
      <c r="I12" s="51">
        <v>319342</v>
      </c>
      <c r="J12" s="51">
        <v>346297</v>
      </c>
      <c r="K12" s="51">
        <v>383561</v>
      </c>
      <c r="L12" s="51">
        <v>426944</v>
      </c>
      <c r="M12" s="51">
        <v>438789</v>
      </c>
      <c r="N12" s="51">
        <v>430759</v>
      </c>
      <c r="O12" s="51">
        <v>458443</v>
      </c>
      <c r="P12" s="51">
        <v>467790</v>
      </c>
      <c r="Q12" s="51">
        <v>476358</v>
      </c>
      <c r="R12" s="51">
        <v>440301</v>
      </c>
      <c r="S12" s="51">
        <v>446553</v>
      </c>
      <c r="T12" s="51">
        <v>479905</v>
      </c>
      <c r="U12" s="51">
        <v>452914</v>
      </c>
      <c r="V12" s="51">
        <v>437706</v>
      </c>
      <c r="W12" s="51">
        <v>455765</v>
      </c>
      <c r="X12" s="51">
        <v>499149</v>
      </c>
      <c r="Y12" s="51">
        <v>505890</v>
      </c>
      <c r="Z12" s="51">
        <v>541755</v>
      </c>
      <c r="AA12" s="51">
        <v>631102</v>
      </c>
      <c r="AB12" s="51">
        <v>660893</v>
      </c>
      <c r="AC12" s="51">
        <v>657154</v>
      </c>
      <c r="AD12" s="51">
        <v>695134</v>
      </c>
      <c r="AE12" s="51">
        <v>712298</v>
      </c>
      <c r="AF12" s="51">
        <v>734863</v>
      </c>
      <c r="AG12" s="51">
        <v>734194</v>
      </c>
      <c r="AH12" s="51">
        <v>742967</v>
      </c>
      <c r="AI12" s="51">
        <v>755450</v>
      </c>
      <c r="AJ12" s="51">
        <v>748558</v>
      </c>
      <c r="AK12" s="51">
        <v>689472</v>
      </c>
      <c r="AL12" s="51">
        <v>679320</v>
      </c>
      <c r="AM12" s="51">
        <v>661939</v>
      </c>
      <c r="AN12" s="51">
        <v>644669</v>
      </c>
      <c r="AO12" s="51">
        <v>653686</v>
      </c>
      <c r="AP12" s="51">
        <v>670285</v>
      </c>
      <c r="AQ12" s="51">
        <v>666677</v>
      </c>
      <c r="AR12" s="51">
        <v>718604</v>
      </c>
      <c r="AS12" s="51">
        <v>787032</v>
      </c>
      <c r="AT12" s="51">
        <v>841686</v>
      </c>
      <c r="AU12" s="51">
        <v>839333</v>
      </c>
      <c r="AV12" s="51">
        <v>836901</v>
      </c>
      <c r="AW12" s="51">
        <v>765747</v>
      </c>
      <c r="AX12" s="51">
        <v>755292</v>
      </c>
      <c r="AY12" s="51">
        <v>745178</v>
      </c>
      <c r="AZ12" s="51">
        <v>761763</v>
      </c>
      <c r="BA12" s="51">
        <v>800761</v>
      </c>
      <c r="BB12" s="51">
        <v>869576</v>
      </c>
      <c r="BC12" s="51">
        <v>886426</v>
      </c>
      <c r="BD12" s="51">
        <v>889443</v>
      </c>
      <c r="BE12" s="51">
        <v>925362</v>
      </c>
      <c r="BF12" s="51">
        <v>889066</v>
      </c>
      <c r="BG12" s="51">
        <v>935087</v>
      </c>
      <c r="BH12" s="51">
        <v>842119</v>
      </c>
      <c r="BI12" s="51">
        <v>814986</v>
      </c>
      <c r="BJ12" s="51">
        <v>823470</v>
      </c>
      <c r="BK12" s="51">
        <v>830364</v>
      </c>
      <c r="BL12" s="51">
        <v>751562</v>
      </c>
      <c r="BM12" s="51">
        <v>871611</v>
      </c>
      <c r="BN12" s="51">
        <v>798312</v>
      </c>
      <c r="BO12" s="51">
        <v>921612</v>
      </c>
      <c r="BP12" s="51">
        <v>867994</v>
      </c>
      <c r="BQ12" s="51">
        <v>779652</v>
      </c>
      <c r="BR12" s="51">
        <v>736618</v>
      </c>
      <c r="BS12" s="51">
        <v>687754</v>
      </c>
      <c r="BT12" s="51">
        <v>644573</v>
      </c>
      <c r="BU12" s="51">
        <v>660653</v>
      </c>
      <c r="BV12" s="51">
        <v>518563</v>
      </c>
      <c r="BW12" s="51">
        <v>499057</v>
      </c>
      <c r="BX12" s="51">
        <v>490845</v>
      </c>
      <c r="BY12" s="51">
        <v>387225</v>
      </c>
      <c r="BZ12" s="51">
        <v>427093</v>
      </c>
      <c r="CA12" s="51">
        <v>401047</v>
      </c>
      <c r="CB12" s="51">
        <v>395322</v>
      </c>
      <c r="CC12" s="51">
        <v>380394</v>
      </c>
      <c r="CD12" s="51">
        <v>255952</v>
      </c>
      <c r="CE12" s="51">
        <v>290947</v>
      </c>
      <c r="CF12" s="51">
        <v>273890</v>
      </c>
      <c r="CG12" s="51">
        <v>306522</v>
      </c>
      <c r="CH12" s="51">
        <v>293845</v>
      </c>
      <c r="CI12" s="51">
        <v>235164</v>
      </c>
      <c r="CJ12" s="51">
        <v>213467</v>
      </c>
      <c r="CK12" s="51">
        <v>196529</v>
      </c>
      <c r="CL12" s="51">
        <v>165046</v>
      </c>
      <c r="CM12" s="51">
        <v>145813</v>
      </c>
      <c r="CN12" s="51">
        <v>125396</v>
      </c>
      <c r="CO12" s="51">
        <v>104846</v>
      </c>
      <c r="CP12" s="51">
        <v>81014</v>
      </c>
      <c r="CQ12" s="51">
        <v>63570</v>
      </c>
      <c r="CR12" s="51">
        <v>50090</v>
      </c>
      <c r="CS12" s="51">
        <v>35628</v>
      </c>
      <c r="CT12" s="51">
        <v>28259</v>
      </c>
      <c r="CU12" s="51">
        <v>21459</v>
      </c>
      <c r="CV12" s="51">
        <v>14887</v>
      </c>
      <c r="CW12" s="51">
        <v>9801</v>
      </c>
      <c r="CX12" s="51">
        <v>6001</v>
      </c>
      <c r="CY12" s="51">
        <v>3857</v>
      </c>
      <c r="CZ12" s="51">
        <v>7456</v>
      </c>
    </row>
    <row r="13" spans="1:104" x14ac:dyDescent="0.3">
      <c r="A13" s="52" t="s">
        <v>59</v>
      </c>
      <c r="B13" s="60">
        <v>2025</v>
      </c>
      <c r="C13" s="51">
        <v>51684564</v>
      </c>
      <c r="D13" s="51">
        <v>217226</v>
      </c>
      <c r="E13" s="51">
        <v>228266</v>
      </c>
      <c r="F13" s="51">
        <v>243395</v>
      </c>
      <c r="G13" s="51">
        <v>258041</v>
      </c>
      <c r="H13" s="51">
        <v>272882</v>
      </c>
      <c r="I13" s="51">
        <v>292438</v>
      </c>
      <c r="J13" s="51">
        <v>318823</v>
      </c>
      <c r="K13" s="51">
        <v>345924</v>
      </c>
      <c r="L13" s="51">
        <v>383231</v>
      </c>
      <c r="M13" s="51">
        <v>426573</v>
      </c>
      <c r="N13" s="51">
        <v>438367</v>
      </c>
      <c r="O13" s="51">
        <v>430668</v>
      </c>
      <c r="P13" s="51">
        <v>458766</v>
      </c>
      <c r="Q13" s="51">
        <v>467828</v>
      </c>
      <c r="R13" s="51">
        <v>476038</v>
      </c>
      <c r="S13" s="51">
        <v>439700</v>
      </c>
      <c r="T13" s="51">
        <v>446206</v>
      </c>
      <c r="U13" s="51">
        <v>480927</v>
      </c>
      <c r="V13" s="51">
        <v>456675</v>
      </c>
      <c r="W13" s="51">
        <v>443499</v>
      </c>
      <c r="X13" s="51">
        <v>461296</v>
      </c>
      <c r="Y13" s="51">
        <v>503723</v>
      </c>
      <c r="Z13" s="51">
        <v>511113</v>
      </c>
      <c r="AA13" s="51">
        <v>547944</v>
      </c>
      <c r="AB13" s="51">
        <v>636219</v>
      </c>
      <c r="AC13" s="51">
        <v>665764</v>
      </c>
      <c r="AD13" s="51">
        <v>661908</v>
      </c>
      <c r="AE13" s="51">
        <v>698446</v>
      </c>
      <c r="AF13" s="51">
        <v>714360</v>
      </c>
      <c r="AG13" s="51">
        <v>735991</v>
      </c>
      <c r="AH13" s="51">
        <v>734775</v>
      </c>
      <c r="AI13" s="51">
        <v>743254</v>
      </c>
      <c r="AJ13" s="51">
        <v>755384</v>
      </c>
      <c r="AK13" s="51">
        <v>747995</v>
      </c>
      <c r="AL13" s="51">
        <v>688679</v>
      </c>
      <c r="AM13" s="51">
        <v>678469</v>
      </c>
      <c r="AN13" s="51">
        <v>660976</v>
      </c>
      <c r="AO13" s="51">
        <v>643764</v>
      </c>
      <c r="AP13" s="51">
        <v>652856</v>
      </c>
      <c r="AQ13" s="51">
        <v>669416</v>
      </c>
      <c r="AR13" s="51">
        <v>665945</v>
      </c>
      <c r="AS13" s="51">
        <v>718010</v>
      </c>
      <c r="AT13" s="51">
        <v>786579</v>
      </c>
      <c r="AU13" s="51">
        <v>841444</v>
      </c>
      <c r="AV13" s="51">
        <v>839268</v>
      </c>
      <c r="AW13" s="51">
        <v>837013</v>
      </c>
      <c r="AX13" s="51">
        <v>766043</v>
      </c>
      <c r="AY13" s="51">
        <v>755678</v>
      </c>
      <c r="AZ13" s="51">
        <v>745458</v>
      </c>
      <c r="BA13" s="51">
        <v>761578</v>
      </c>
      <c r="BB13" s="51">
        <v>800433</v>
      </c>
      <c r="BC13" s="51">
        <v>869137</v>
      </c>
      <c r="BD13" s="51">
        <v>885669</v>
      </c>
      <c r="BE13" s="51">
        <v>888486</v>
      </c>
      <c r="BF13" s="51">
        <v>924074</v>
      </c>
      <c r="BG13" s="51">
        <v>887555</v>
      </c>
      <c r="BH13" s="51">
        <v>932908</v>
      </c>
      <c r="BI13" s="51">
        <v>839557</v>
      </c>
      <c r="BJ13" s="51">
        <v>812175</v>
      </c>
      <c r="BK13" s="51">
        <v>820376</v>
      </c>
      <c r="BL13" s="51">
        <v>827792</v>
      </c>
      <c r="BM13" s="51">
        <v>749260</v>
      </c>
      <c r="BN13" s="51">
        <v>867741</v>
      </c>
      <c r="BO13" s="51">
        <v>794260</v>
      </c>
      <c r="BP13" s="51">
        <v>916413</v>
      </c>
      <c r="BQ13" s="51">
        <v>862498</v>
      </c>
      <c r="BR13" s="51">
        <v>774140</v>
      </c>
      <c r="BS13" s="51">
        <v>731004</v>
      </c>
      <c r="BT13" s="51">
        <v>682115</v>
      </c>
      <c r="BU13" s="51">
        <v>638848</v>
      </c>
      <c r="BV13" s="51">
        <v>654309</v>
      </c>
      <c r="BW13" s="51">
        <v>513067</v>
      </c>
      <c r="BX13" s="51">
        <v>493298</v>
      </c>
      <c r="BY13" s="51">
        <v>484625</v>
      </c>
      <c r="BZ13" s="51">
        <v>381786</v>
      </c>
      <c r="CA13" s="51">
        <v>420297</v>
      </c>
      <c r="CB13" s="51">
        <v>393710</v>
      </c>
      <c r="CC13" s="51">
        <v>386933</v>
      </c>
      <c r="CD13" s="51">
        <v>371005</v>
      </c>
      <c r="CE13" s="51">
        <v>248589</v>
      </c>
      <c r="CF13" s="51">
        <v>281313</v>
      </c>
      <c r="CG13" s="51">
        <v>263508</v>
      </c>
      <c r="CH13" s="51">
        <v>293120</v>
      </c>
      <c r="CI13" s="51">
        <v>279179</v>
      </c>
      <c r="CJ13" s="51">
        <v>221842</v>
      </c>
      <c r="CK13" s="51">
        <v>199773</v>
      </c>
      <c r="CL13" s="51">
        <v>182253</v>
      </c>
      <c r="CM13" s="51">
        <v>151491</v>
      </c>
      <c r="CN13" s="51">
        <v>132370</v>
      </c>
      <c r="CO13" s="51">
        <v>112459</v>
      </c>
      <c r="CP13" s="51">
        <v>92766</v>
      </c>
      <c r="CQ13" s="51">
        <v>70628</v>
      </c>
      <c r="CR13" s="51">
        <v>54535</v>
      </c>
      <c r="CS13" s="51">
        <v>42217</v>
      </c>
      <c r="CT13" s="51">
        <v>29465</v>
      </c>
      <c r="CU13" s="51">
        <v>22891</v>
      </c>
      <c r="CV13" s="51">
        <v>16976</v>
      </c>
      <c r="CW13" s="51">
        <v>11499</v>
      </c>
      <c r="CX13" s="51">
        <v>7374</v>
      </c>
      <c r="CY13" s="51">
        <v>4395</v>
      </c>
      <c r="CZ13" s="51">
        <v>7629</v>
      </c>
    </row>
    <row r="14" spans="1:104" x14ac:dyDescent="0.3">
      <c r="A14" s="52" t="s">
        <v>59</v>
      </c>
      <c r="B14" s="60">
        <v>2026</v>
      </c>
      <c r="C14" s="51">
        <v>51609121</v>
      </c>
      <c r="D14" s="51">
        <v>217079</v>
      </c>
      <c r="E14" s="51">
        <v>216540</v>
      </c>
      <c r="F14" s="51">
        <v>228264</v>
      </c>
      <c r="G14" s="51">
        <v>243386</v>
      </c>
      <c r="H14" s="51">
        <v>257800</v>
      </c>
      <c r="I14" s="51">
        <v>272427</v>
      </c>
      <c r="J14" s="51">
        <v>291972</v>
      </c>
      <c r="K14" s="51">
        <v>318501</v>
      </c>
      <c r="L14" s="51">
        <v>345655</v>
      </c>
      <c r="M14" s="51">
        <v>382903</v>
      </c>
      <c r="N14" s="51">
        <v>426157</v>
      </c>
      <c r="O14" s="51">
        <v>438270</v>
      </c>
      <c r="P14" s="51">
        <v>430991</v>
      </c>
      <c r="Q14" s="51">
        <v>458810</v>
      </c>
      <c r="R14" s="51">
        <v>467496</v>
      </c>
      <c r="S14" s="51">
        <v>475424</v>
      </c>
      <c r="T14" s="51">
        <v>439377</v>
      </c>
      <c r="U14" s="51">
        <v>447266</v>
      </c>
      <c r="V14" s="51">
        <v>484688</v>
      </c>
      <c r="W14" s="51">
        <v>462473</v>
      </c>
      <c r="X14" s="51">
        <v>449154</v>
      </c>
      <c r="Y14" s="51">
        <v>465991</v>
      </c>
      <c r="Z14" s="51">
        <v>508986</v>
      </c>
      <c r="AA14" s="51">
        <v>517380</v>
      </c>
      <c r="AB14" s="51">
        <v>553140</v>
      </c>
      <c r="AC14" s="51">
        <v>641137</v>
      </c>
      <c r="AD14" s="51">
        <v>670533</v>
      </c>
      <c r="AE14" s="51">
        <v>665233</v>
      </c>
      <c r="AF14" s="51">
        <v>700536</v>
      </c>
      <c r="AG14" s="51">
        <v>715532</v>
      </c>
      <c r="AH14" s="51">
        <v>736616</v>
      </c>
      <c r="AI14" s="51">
        <v>735105</v>
      </c>
      <c r="AJ14" s="51">
        <v>743237</v>
      </c>
      <c r="AK14" s="51">
        <v>754874</v>
      </c>
      <c r="AL14" s="51">
        <v>747224</v>
      </c>
      <c r="AM14" s="51">
        <v>687867</v>
      </c>
      <c r="AN14" s="51">
        <v>677540</v>
      </c>
      <c r="AO14" s="51">
        <v>660101</v>
      </c>
      <c r="AP14" s="51">
        <v>642977</v>
      </c>
      <c r="AQ14" s="51">
        <v>652039</v>
      </c>
      <c r="AR14" s="51">
        <v>668713</v>
      </c>
      <c r="AS14" s="51">
        <v>665412</v>
      </c>
      <c r="AT14" s="51">
        <v>717632</v>
      </c>
      <c r="AU14" s="51">
        <v>786423</v>
      </c>
      <c r="AV14" s="51">
        <v>841428</v>
      </c>
      <c r="AW14" s="51">
        <v>839456</v>
      </c>
      <c r="AX14" s="51">
        <v>837306</v>
      </c>
      <c r="AY14" s="51">
        <v>766478</v>
      </c>
      <c r="AZ14" s="51">
        <v>756000</v>
      </c>
      <c r="BA14" s="51">
        <v>745332</v>
      </c>
      <c r="BB14" s="51">
        <v>761336</v>
      </c>
      <c r="BC14" s="51">
        <v>800157</v>
      </c>
      <c r="BD14" s="51">
        <v>868487</v>
      </c>
      <c r="BE14" s="51">
        <v>884797</v>
      </c>
      <c r="BF14" s="51">
        <v>887375</v>
      </c>
      <c r="BG14" s="51">
        <v>922568</v>
      </c>
      <c r="BH14" s="51">
        <v>885627</v>
      </c>
      <c r="BI14" s="51">
        <v>930225</v>
      </c>
      <c r="BJ14" s="51">
        <v>836796</v>
      </c>
      <c r="BK14" s="51">
        <v>809238</v>
      </c>
      <c r="BL14" s="51">
        <v>817985</v>
      </c>
      <c r="BM14" s="51">
        <v>825308</v>
      </c>
      <c r="BN14" s="51">
        <v>746064</v>
      </c>
      <c r="BO14" s="51">
        <v>863463</v>
      </c>
      <c r="BP14" s="51">
        <v>789818</v>
      </c>
      <c r="BQ14" s="51">
        <v>910844</v>
      </c>
      <c r="BR14" s="51">
        <v>856696</v>
      </c>
      <c r="BS14" s="51">
        <v>768478</v>
      </c>
      <c r="BT14" s="51">
        <v>725207</v>
      </c>
      <c r="BU14" s="51">
        <v>676238</v>
      </c>
      <c r="BV14" s="51">
        <v>632888</v>
      </c>
      <c r="BW14" s="51">
        <v>647618</v>
      </c>
      <c r="BX14" s="51">
        <v>507310</v>
      </c>
      <c r="BY14" s="51">
        <v>487233</v>
      </c>
      <c r="BZ14" s="51">
        <v>477969</v>
      </c>
      <c r="CA14" s="51">
        <v>375871</v>
      </c>
      <c r="CB14" s="51">
        <v>412788</v>
      </c>
      <c r="CC14" s="51">
        <v>385554</v>
      </c>
      <c r="CD14" s="51">
        <v>377569</v>
      </c>
      <c r="CE14" s="51">
        <v>360554</v>
      </c>
      <c r="CF14" s="51">
        <v>240462</v>
      </c>
      <c r="CG14" s="51">
        <v>270766</v>
      </c>
      <c r="CH14" s="51">
        <v>252219</v>
      </c>
      <c r="CI14" s="51">
        <v>278696</v>
      </c>
      <c r="CJ14" s="51">
        <v>263533</v>
      </c>
      <c r="CK14" s="51">
        <v>207759</v>
      </c>
      <c r="CL14" s="51">
        <v>185416</v>
      </c>
      <c r="CM14" s="51">
        <v>167437</v>
      </c>
      <c r="CN14" s="51">
        <v>137626</v>
      </c>
      <c r="CO14" s="51">
        <v>118803</v>
      </c>
      <c r="CP14" s="51">
        <v>99592</v>
      </c>
      <c r="CQ14" s="51">
        <v>80943</v>
      </c>
      <c r="CR14" s="51">
        <v>60638</v>
      </c>
      <c r="CS14" s="51">
        <v>46007</v>
      </c>
      <c r="CT14" s="51">
        <v>34937</v>
      </c>
      <c r="CU14" s="51">
        <v>23889</v>
      </c>
      <c r="CV14" s="51">
        <v>18149</v>
      </c>
      <c r="CW14" s="51">
        <v>13123</v>
      </c>
      <c r="CX14" s="51">
        <v>8665</v>
      </c>
      <c r="CY14" s="51">
        <v>5405</v>
      </c>
      <c r="CZ14" s="51">
        <v>8134</v>
      </c>
    </row>
    <row r="15" spans="1:104" x14ac:dyDescent="0.3">
      <c r="A15" s="52" t="s">
        <v>59</v>
      </c>
      <c r="B15" s="60">
        <v>2027</v>
      </c>
      <c r="C15" s="51">
        <v>51534551</v>
      </c>
      <c r="D15" s="51">
        <v>227833</v>
      </c>
      <c r="E15" s="51">
        <v>216413</v>
      </c>
      <c r="F15" s="51">
        <v>216576</v>
      </c>
      <c r="G15" s="51">
        <v>228286</v>
      </c>
      <c r="H15" s="51">
        <v>243177</v>
      </c>
      <c r="I15" s="51">
        <v>257384</v>
      </c>
      <c r="J15" s="51">
        <v>272005</v>
      </c>
      <c r="K15" s="51">
        <v>291693</v>
      </c>
      <c r="L15" s="51">
        <v>318279</v>
      </c>
      <c r="M15" s="51">
        <v>345387</v>
      </c>
      <c r="N15" s="51">
        <v>382531</v>
      </c>
      <c r="O15" s="51">
        <v>426073</v>
      </c>
      <c r="P15" s="51">
        <v>438590</v>
      </c>
      <c r="Q15" s="51">
        <v>431039</v>
      </c>
      <c r="R15" s="51">
        <v>458491</v>
      </c>
      <c r="S15" s="51">
        <v>466846</v>
      </c>
      <c r="T15" s="51">
        <v>475057</v>
      </c>
      <c r="U15" s="51">
        <v>440424</v>
      </c>
      <c r="V15" s="51">
        <v>450996</v>
      </c>
      <c r="W15" s="51">
        <v>490424</v>
      </c>
      <c r="X15" s="51">
        <v>468122</v>
      </c>
      <c r="Y15" s="51">
        <v>453948</v>
      </c>
      <c r="Z15" s="51">
        <v>471338</v>
      </c>
      <c r="AA15" s="51">
        <v>515290</v>
      </c>
      <c r="AB15" s="51">
        <v>522582</v>
      </c>
      <c r="AC15" s="51">
        <v>558033</v>
      </c>
      <c r="AD15" s="51">
        <v>645910</v>
      </c>
      <c r="AE15" s="51">
        <v>673871</v>
      </c>
      <c r="AF15" s="51">
        <v>667339</v>
      </c>
      <c r="AG15" s="51">
        <v>701733</v>
      </c>
      <c r="AH15" s="51">
        <v>716191</v>
      </c>
      <c r="AI15" s="51">
        <v>736976</v>
      </c>
      <c r="AJ15" s="51">
        <v>735117</v>
      </c>
      <c r="AK15" s="51">
        <v>742762</v>
      </c>
      <c r="AL15" s="51">
        <v>754140</v>
      </c>
      <c r="AM15" s="51">
        <v>746420</v>
      </c>
      <c r="AN15" s="51">
        <v>686966</v>
      </c>
      <c r="AO15" s="51">
        <v>676689</v>
      </c>
      <c r="AP15" s="51">
        <v>659335</v>
      </c>
      <c r="AQ15" s="51">
        <v>642194</v>
      </c>
      <c r="AR15" s="51">
        <v>651379</v>
      </c>
      <c r="AS15" s="51">
        <v>668197</v>
      </c>
      <c r="AT15" s="51">
        <v>665085</v>
      </c>
      <c r="AU15" s="51">
        <v>717541</v>
      </c>
      <c r="AV15" s="51">
        <v>786485</v>
      </c>
      <c r="AW15" s="51">
        <v>841659</v>
      </c>
      <c r="AX15" s="51">
        <v>839824</v>
      </c>
      <c r="AY15" s="51">
        <v>837732</v>
      </c>
      <c r="AZ15" s="51">
        <v>766844</v>
      </c>
      <c r="BA15" s="51">
        <v>755911</v>
      </c>
      <c r="BB15" s="51">
        <v>745145</v>
      </c>
      <c r="BC15" s="51">
        <v>761145</v>
      </c>
      <c r="BD15" s="51">
        <v>799672</v>
      </c>
      <c r="BE15" s="51">
        <v>867717</v>
      </c>
      <c r="BF15" s="51">
        <v>883767</v>
      </c>
      <c r="BG15" s="51">
        <v>886044</v>
      </c>
      <c r="BH15" s="51">
        <v>920634</v>
      </c>
      <c r="BI15" s="51">
        <v>883189</v>
      </c>
      <c r="BJ15" s="51">
        <v>927324</v>
      </c>
      <c r="BK15" s="51">
        <v>833900</v>
      </c>
      <c r="BL15" s="51">
        <v>807005</v>
      </c>
      <c r="BM15" s="51">
        <v>815675</v>
      </c>
      <c r="BN15" s="51">
        <v>821905</v>
      </c>
      <c r="BO15" s="51">
        <v>742474</v>
      </c>
      <c r="BP15" s="51">
        <v>858771</v>
      </c>
      <c r="BQ15" s="51">
        <v>785037</v>
      </c>
      <c r="BR15" s="51">
        <v>904946</v>
      </c>
      <c r="BS15" s="51">
        <v>850712</v>
      </c>
      <c r="BT15" s="51">
        <v>762616</v>
      </c>
      <c r="BU15" s="51">
        <v>719150</v>
      </c>
      <c r="BV15" s="51">
        <v>670108</v>
      </c>
      <c r="BW15" s="51">
        <v>626596</v>
      </c>
      <c r="BX15" s="51">
        <v>640570</v>
      </c>
      <c r="BY15" s="51">
        <v>501235</v>
      </c>
      <c r="BZ15" s="51">
        <v>480729</v>
      </c>
      <c r="CA15" s="51">
        <v>470718</v>
      </c>
      <c r="CB15" s="51">
        <v>369323</v>
      </c>
      <c r="CC15" s="51">
        <v>404425</v>
      </c>
      <c r="CD15" s="51">
        <v>376429</v>
      </c>
      <c r="CE15" s="51">
        <v>367130</v>
      </c>
      <c r="CF15" s="51">
        <v>349005</v>
      </c>
      <c r="CG15" s="51">
        <v>231549</v>
      </c>
      <c r="CH15" s="51">
        <v>259280</v>
      </c>
      <c r="CI15" s="51">
        <v>240036</v>
      </c>
      <c r="CJ15" s="51">
        <v>263270</v>
      </c>
      <c r="CK15" s="51">
        <v>246957</v>
      </c>
      <c r="CL15" s="51">
        <v>192964</v>
      </c>
      <c r="CM15" s="51">
        <v>170484</v>
      </c>
      <c r="CN15" s="51">
        <v>152250</v>
      </c>
      <c r="CO15" s="51">
        <v>123609</v>
      </c>
      <c r="CP15" s="51">
        <v>105286</v>
      </c>
      <c r="CQ15" s="51">
        <v>86975</v>
      </c>
      <c r="CR15" s="51">
        <v>69552</v>
      </c>
      <c r="CS15" s="51">
        <v>51194</v>
      </c>
      <c r="CT15" s="51">
        <v>38108</v>
      </c>
      <c r="CU15" s="51">
        <v>28342</v>
      </c>
      <c r="CV15" s="51">
        <v>18956</v>
      </c>
      <c r="CW15" s="51">
        <v>14059</v>
      </c>
      <c r="CX15" s="51">
        <v>9896</v>
      </c>
      <c r="CY15" s="51">
        <v>6359</v>
      </c>
      <c r="CZ15" s="51">
        <v>9212</v>
      </c>
    </row>
    <row r="16" spans="1:104" x14ac:dyDescent="0.3">
      <c r="A16" s="52" t="s">
        <v>59</v>
      </c>
      <c r="B16" s="60">
        <v>2028</v>
      </c>
      <c r="C16" s="51">
        <v>51459877</v>
      </c>
      <c r="D16" s="51">
        <v>237996</v>
      </c>
      <c r="E16" s="51">
        <v>227121</v>
      </c>
      <c r="F16" s="51">
        <v>216460</v>
      </c>
      <c r="G16" s="51">
        <v>216626</v>
      </c>
      <c r="H16" s="51">
        <v>228108</v>
      </c>
      <c r="I16" s="51">
        <v>242792</v>
      </c>
      <c r="J16" s="51">
        <v>256994</v>
      </c>
      <c r="K16" s="51">
        <v>271762</v>
      </c>
      <c r="L16" s="51">
        <v>291511</v>
      </c>
      <c r="M16" s="51">
        <v>318058</v>
      </c>
      <c r="N16" s="51">
        <v>345080</v>
      </c>
      <c r="O16" s="51">
        <v>382485</v>
      </c>
      <c r="P16" s="51">
        <v>426396</v>
      </c>
      <c r="Q16" s="51">
        <v>438655</v>
      </c>
      <c r="R16" s="51">
        <v>430745</v>
      </c>
      <c r="S16" s="51">
        <v>457862</v>
      </c>
      <c r="T16" s="51">
        <v>466483</v>
      </c>
      <c r="U16" s="51">
        <v>476086</v>
      </c>
      <c r="V16" s="51">
        <v>444178</v>
      </c>
      <c r="W16" s="51">
        <v>456713</v>
      </c>
      <c r="X16" s="51">
        <v>495962</v>
      </c>
      <c r="Y16" s="51">
        <v>472879</v>
      </c>
      <c r="Z16" s="51">
        <v>459342</v>
      </c>
      <c r="AA16" s="51">
        <v>477685</v>
      </c>
      <c r="AB16" s="51">
        <v>520500</v>
      </c>
      <c r="AC16" s="51">
        <v>527371</v>
      </c>
      <c r="AD16" s="51">
        <v>562707</v>
      </c>
      <c r="AE16" s="51">
        <v>649254</v>
      </c>
      <c r="AF16" s="51">
        <v>675988</v>
      </c>
      <c r="AG16" s="51">
        <v>668555</v>
      </c>
      <c r="AH16" s="51">
        <v>702413</v>
      </c>
      <c r="AI16" s="51">
        <v>716580</v>
      </c>
      <c r="AJ16" s="51">
        <v>737011</v>
      </c>
      <c r="AK16" s="51">
        <v>734667</v>
      </c>
      <c r="AL16" s="51">
        <v>742058</v>
      </c>
      <c r="AM16" s="51">
        <v>753363</v>
      </c>
      <c r="AN16" s="51">
        <v>745517</v>
      </c>
      <c r="AO16" s="51">
        <v>686137</v>
      </c>
      <c r="AP16" s="51">
        <v>675941</v>
      </c>
      <c r="AQ16" s="51">
        <v>658568</v>
      </c>
      <c r="AR16" s="51">
        <v>641564</v>
      </c>
      <c r="AS16" s="51">
        <v>650903</v>
      </c>
      <c r="AT16" s="51">
        <v>667883</v>
      </c>
      <c r="AU16" s="51">
        <v>665036</v>
      </c>
      <c r="AV16" s="51">
        <v>717660</v>
      </c>
      <c r="AW16" s="51">
        <v>786794</v>
      </c>
      <c r="AX16" s="51">
        <v>842069</v>
      </c>
      <c r="AY16" s="51">
        <v>840327</v>
      </c>
      <c r="AZ16" s="51">
        <v>838084</v>
      </c>
      <c r="BA16" s="51">
        <v>766798</v>
      </c>
      <c r="BB16" s="51">
        <v>755759</v>
      </c>
      <c r="BC16" s="51">
        <v>745008</v>
      </c>
      <c r="BD16" s="51">
        <v>760745</v>
      </c>
      <c r="BE16" s="51">
        <v>799070</v>
      </c>
      <c r="BF16" s="51">
        <v>866791</v>
      </c>
      <c r="BG16" s="51">
        <v>882520</v>
      </c>
      <c r="BH16" s="51">
        <v>884290</v>
      </c>
      <c r="BI16" s="51">
        <v>918189</v>
      </c>
      <c r="BJ16" s="51">
        <v>880543</v>
      </c>
      <c r="BK16" s="51">
        <v>924280</v>
      </c>
      <c r="BL16" s="51">
        <v>831711</v>
      </c>
      <c r="BM16" s="51">
        <v>804858</v>
      </c>
      <c r="BN16" s="51">
        <v>812443</v>
      </c>
      <c r="BO16" s="51">
        <v>818095</v>
      </c>
      <c r="BP16" s="51">
        <v>738499</v>
      </c>
      <c r="BQ16" s="51">
        <v>853734</v>
      </c>
      <c r="BR16" s="51">
        <v>779981</v>
      </c>
      <c r="BS16" s="51">
        <v>898855</v>
      </c>
      <c r="BT16" s="51">
        <v>844501</v>
      </c>
      <c r="BU16" s="51">
        <v>756484</v>
      </c>
      <c r="BV16" s="51">
        <v>712823</v>
      </c>
      <c r="BW16" s="51">
        <v>663626</v>
      </c>
      <c r="BX16" s="51">
        <v>619970</v>
      </c>
      <c r="BY16" s="51">
        <v>633110</v>
      </c>
      <c r="BZ16" s="51">
        <v>494716</v>
      </c>
      <c r="CA16" s="51">
        <v>473633</v>
      </c>
      <c r="CB16" s="51">
        <v>462684</v>
      </c>
      <c r="CC16" s="51">
        <v>362025</v>
      </c>
      <c r="CD16" s="51">
        <v>395057</v>
      </c>
      <c r="CE16" s="51">
        <v>366243</v>
      </c>
      <c r="CF16" s="51">
        <v>355575</v>
      </c>
      <c r="CG16" s="51">
        <v>336316</v>
      </c>
      <c r="CH16" s="51">
        <v>221827</v>
      </c>
      <c r="CI16" s="51">
        <v>246867</v>
      </c>
      <c r="CJ16" s="51">
        <v>226976</v>
      </c>
      <c r="CK16" s="51">
        <v>246902</v>
      </c>
      <c r="CL16" s="51">
        <v>229522</v>
      </c>
      <c r="CM16" s="51">
        <v>177556</v>
      </c>
      <c r="CN16" s="51">
        <v>155156</v>
      </c>
      <c r="CO16" s="51">
        <v>136872</v>
      </c>
      <c r="CP16" s="51">
        <v>109627</v>
      </c>
      <c r="CQ16" s="51">
        <v>92017</v>
      </c>
      <c r="CR16" s="51">
        <v>74803</v>
      </c>
      <c r="CS16" s="51">
        <v>58771</v>
      </c>
      <c r="CT16" s="51">
        <v>42438</v>
      </c>
      <c r="CU16" s="51">
        <v>30945</v>
      </c>
      <c r="CV16" s="51">
        <v>22504</v>
      </c>
      <c r="CW16" s="51">
        <v>14698</v>
      </c>
      <c r="CX16" s="51">
        <v>10625</v>
      </c>
      <c r="CY16" s="51">
        <v>7269</v>
      </c>
      <c r="CZ16" s="51">
        <v>10641</v>
      </c>
    </row>
    <row r="17" spans="1:104" x14ac:dyDescent="0.3">
      <c r="A17" s="52" t="s">
        <v>59</v>
      </c>
      <c r="B17" s="60">
        <v>2029</v>
      </c>
      <c r="C17" s="51">
        <v>51384052</v>
      </c>
      <c r="D17" s="51">
        <v>247279</v>
      </c>
      <c r="E17" s="51">
        <v>237221</v>
      </c>
      <c r="F17" s="51">
        <v>227149</v>
      </c>
      <c r="G17" s="51">
        <v>216522</v>
      </c>
      <c r="H17" s="51">
        <v>216474</v>
      </c>
      <c r="I17" s="51">
        <v>227754</v>
      </c>
      <c r="J17" s="51">
        <v>242429</v>
      </c>
      <c r="K17" s="51">
        <v>256778</v>
      </c>
      <c r="L17" s="51">
        <v>271613</v>
      </c>
      <c r="M17" s="51">
        <v>291330</v>
      </c>
      <c r="N17" s="51">
        <v>317803</v>
      </c>
      <c r="O17" s="51">
        <v>345064</v>
      </c>
      <c r="P17" s="51">
        <v>382807</v>
      </c>
      <c r="Q17" s="51">
        <v>426458</v>
      </c>
      <c r="R17" s="51">
        <v>438375</v>
      </c>
      <c r="S17" s="51">
        <v>430149</v>
      </c>
      <c r="T17" s="51">
        <v>457516</v>
      </c>
      <c r="U17" s="51">
        <v>467540</v>
      </c>
      <c r="V17" s="51">
        <v>479862</v>
      </c>
      <c r="W17" s="51">
        <v>449965</v>
      </c>
      <c r="X17" s="51">
        <v>462247</v>
      </c>
      <c r="Y17" s="51">
        <v>500616</v>
      </c>
      <c r="Z17" s="51">
        <v>478253</v>
      </c>
      <c r="AA17" s="51">
        <v>465720</v>
      </c>
      <c r="AB17" s="51">
        <v>482933</v>
      </c>
      <c r="AC17" s="51">
        <v>525259</v>
      </c>
      <c r="AD17" s="51">
        <v>531941</v>
      </c>
      <c r="AE17" s="51">
        <v>565995</v>
      </c>
      <c r="AF17" s="51">
        <v>651383</v>
      </c>
      <c r="AG17" s="51">
        <v>677214</v>
      </c>
      <c r="AH17" s="51">
        <v>669254</v>
      </c>
      <c r="AI17" s="51">
        <v>702814</v>
      </c>
      <c r="AJ17" s="51">
        <v>716635</v>
      </c>
      <c r="AK17" s="51">
        <v>736579</v>
      </c>
      <c r="AL17" s="51">
        <v>733985</v>
      </c>
      <c r="AM17" s="51">
        <v>741307</v>
      </c>
      <c r="AN17" s="51">
        <v>752482</v>
      </c>
      <c r="AO17" s="51">
        <v>744678</v>
      </c>
      <c r="AP17" s="51">
        <v>685406</v>
      </c>
      <c r="AQ17" s="51">
        <v>675188</v>
      </c>
      <c r="AR17" s="51">
        <v>657948</v>
      </c>
      <c r="AS17" s="51">
        <v>641111</v>
      </c>
      <c r="AT17" s="51">
        <v>650624</v>
      </c>
      <c r="AU17" s="51">
        <v>667840</v>
      </c>
      <c r="AV17" s="51">
        <v>665190</v>
      </c>
      <c r="AW17" s="51">
        <v>718022</v>
      </c>
      <c r="AX17" s="51">
        <v>787280</v>
      </c>
      <c r="AY17" s="51">
        <v>842612</v>
      </c>
      <c r="AZ17" s="51">
        <v>840751</v>
      </c>
      <c r="BA17" s="51">
        <v>838015</v>
      </c>
      <c r="BB17" s="51">
        <v>766686</v>
      </c>
      <c r="BC17" s="51">
        <v>755655</v>
      </c>
      <c r="BD17" s="51">
        <v>744661</v>
      </c>
      <c r="BE17" s="51">
        <v>760231</v>
      </c>
      <c r="BF17" s="51">
        <v>798318</v>
      </c>
      <c r="BG17" s="51">
        <v>865647</v>
      </c>
      <c r="BH17" s="51">
        <v>880849</v>
      </c>
      <c r="BI17" s="51">
        <v>882024</v>
      </c>
      <c r="BJ17" s="51">
        <v>915525</v>
      </c>
      <c r="BK17" s="51">
        <v>877755</v>
      </c>
      <c r="BL17" s="51">
        <v>921932</v>
      </c>
      <c r="BM17" s="51">
        <v>829606</v>
      </c>
      <c r="BN17" s="51">
        <v>801785</v>
      </c>
      <c r="BO17" s="51">
        <v>808802</v>
      </c>
      <c r="BP17" s="51">
        <v>813884</v>
      </c>
      <c r="BQ17" s="51">
        <v>734209</v>
      </c>
      <c r="BR17" s="51">
        <v>848406</v>
      </c>
      <c r="BS17" s="51">
        <v>774788</v>
      </c>
      <c r="BT17" s="51">
        <v>892516</v>
      </c>
      <c r="BU17" s="51">
        <v>837982</v>
      </c>
      <c r="BV17" s="51">
        <v>750063</v>
      </c>
      <c r="BW17" s="51">
        <v>706117</v>
      </c>
      <c r="BX17" s="51">
        <v>656789</v>
      </c>
      <c r="BY17" s="51">
        <v>612949</v>
      </c>
      <c r="BZ17" s="51">
        <v>625086</v>
      </c>
      <c r="CA17" s="51">
        <v>487595</v>
      </c>
      <c r="CB17" s="51">
        <v>465757</v>
      </c>
      <c r="CC17" s="51">
        <v>453713</v>
      </c>
      <c r="CD17" s="51">
        <v>353833</v>
      </c>
      <c r="CE17" s="51">
        <v>384584</v>
      </c>
      <c r="CF17" s="51">
        <v>354949</v>
      </c>
      <c r="CG17" s="51">
        <v>342861</v>
      </c>
      <c r="CH17" s="51">
        <v>322461</v>
      </c>
      <c r="CI17" s="51">
        <v>211310</v>
      </c>
      <c r="CJ17" s="51">
        <v>233551</v>
      </c>
      <c r="CK17" s="51">
        <v>213094</v>
      </c>
      <c r="CL17" s="51">
        <v>229657</v>
      </c>
      <c r="CM17" s="51">
        <v>211345</v>
      </c>
      <c r="CN17" s="51">
        <v>161719</v>
      </c>
      <c r="CO17" s="51">
        <v>139612</v>
      </c>
      <c r="CP17" s="51">
        <v>121510</v>
      </c>
      <c r="CQ17" s="51">
        <v>95886</v>
      </c>
      <c r="CR17" s="51">
        <v>79201</v>
      </c>
      <c r="CS17" s="51">
        <v>63267</v>
      </c>
      <c r="CT17" s="51">
        <v>48762</v>
      </c>
      <c r="CU17" s="51">
        <v>34488</v>
      </c>
      <c r="CV17" s="51">
        <v>24594</v>
      </c>
      <c r="CW17" s="51">
        <v>17460</v>
      </c>
      <c r="CX17" s="51">
        <v>11117</v>
      </c>
      <c r="CY17" s="51">
        <v>7821</v>
      </c>
      <c r="CZ17" s="51">
        <v>12270</v>
      </c>
    </row>
    <row r="18" spans="1:104" x14ac:dyDescent="0.3">
      <c r="A18" s="52" t="s">
        <v>59</v>
      </c>
      <c r="B18" s="60">
        <v>2030</v>
      </c>
      <c r="C18" s="51">
        <v>51305713</v>
      </c>
      <c r="D18" s="51">
        <v>255406</v>
      </c>
      <c r="E18" s="51">
        <v>246446</v>
      </c>
      <c r="F18" s="51">
        <v>237220</v>
      </c>
      <c r="G18" s="51">
        <v>227200</v>
      </c>
      <c r="H18" s="51">
        <v>216382</v>
      </c>
      <c r="I18" s="51">
        <v>216148</v>
      </c>
      <c r="J18" s="51">
        <v>227418</v>
      </c>
      <c r="K18" s="51">
        <v>242234</v>
      </c>
      <c r="L18" s="51">
        <v>256655</v>
      </c>
      <c r="M18" s="51">
        <v>271466</v>
      </c>
      <c r="N18" s="51">
        <v>291118</v>
      </c>
      <c r="O18" s="51">
        <v>317808</v>
      </c>
      <c r="P18" s="51">
        <v>345379</v>
      </c>
      <c r="Q18" s="51">
        <v>382872</v>
      </c>
      <c r="R18" s="51">
        <v>426182</v>
      </c>
      <c r="S18" s="51">
        <v>437811</v>
      </c>
      <c r="T18" s="51">
        <v>429847</v>
      </c>
      <c r="U18" s="51">
        <v>458576</v>
      </c>
      <c r="V18" s="51">
        <v>471289</v>
      </c>
      <c r="W18" s="51">
        <v>485632</v>
      </c>
      <c r="X18" s="51">
        <v>455606</v>
      </c>
      <c r="Y18" s="51">
        <v>466963</v>
      </c>
      <c r="Z18" s="51">
        <v>505952</v>
      </c>
      <c r="AA18" s="51">
        <v>484639</v>
      </c>
      <c r="AB18" s="51">
        <v>470966</v>
      </c>
      <c r="AC18" s="51">
        <v>487692</v>
      </c>
      <c r="AD18" s="51">
        <v>529805</v>
      </c>
      <c r="AE18" s="51">
        <v>535168</v>
      </c>
      <c r="AF18" s="51">
        <v>568104</v>
      </c>
      <c r="AG18" s="51">
        <v>652623</v>
      </c>
      <c r="AH18" s="51">
        <v>677919</v>
      </c>
      <c r="AI18" s="51">
        <v>669670</v>
      </c>
      <c r="AJ18" s="51">
        <v>702878</v>
      </c>
      <c r="AK18" s="51">
        <v>716220</v>
      </c>
      <c r="AL18" s="51">
        <v>735910</v>
      </c>
      <c r="AM18" s="51">
        <v>733252</v>
      </c>
      <c r="AN18" s="51">
        <v>740450</v>
      </c>
      <c r="AO18" s="51">
        <v>751663</v>
      </c>
      <c r="AP18" s="51">
        <v>743935</v>
      </c>
      <c r="AQ18" s="51">
        <v>684668</v>
      </c>
      <c r="AR18" s="51">
        <v>674580</v>
      </c>
      <c r="AS18" s="51">
        <v>657503</v>
      </c>
      <c r="AT18" s="51">
        <v>640853</v>
      </c>
      <c r="AU18" s="51">
        <v>650614</v>
      </c>
      <c r="AV18" s="51">
        <v>667999</v>
      </c>
      <c r="AW18" s="51">
        <v>665583</v>
      </c>
      <c r="AX18" s="51">
        <v>718559</v>
      </c>
      <c r="AY18" s="51">
        <v>787901</v>
      </c>
      <c r="AZ18" s="51">
        <v>843077</v>
      </c>
      <c r="BA18" s="51">
        <v>840754</v>
      </c>
      <c r="BB18" s="51">
        <v>837876</v>
      </c>
      <c r="BC18" s="51">
        <v>766618</v>
      </c>
      <c r="BD18" s="51">
        <v>755338</v>
      </c>
      <c r="BE18" s="51">
        <v>744199</v>
      </c>
      <c r="BF18" s="51">
        <v>759569</v>
      </c>
      <c r="BG18" s="51">
        <v>797352</v>
      </c>
      <c r="BH18" s="51">
        <v>864080</v>
      </c>
      <c r="BI18" s="51">
        <v>878665</v>
      </c>
      <c r="BJ18" s="51">
        <v>879543</v>
      </c>
      <c r="BK18" s="51">
        <v>912714</v>
      </c>
      <c r="BL18" s="51">
        <v>875668</v>
      </c>
      <c r="BM18" s="51">
        <v>919652</v>
      </c>
      <c r="BN18" s="51">
        <v>826566</v>
      </c>
      <c r="BO18" s="51">
        <v>798302</v>
      </c>
      <c r="BP18" s="51">
        <v>804757</v>
      </c>
      <c r="BQ18" s="51">
        <v>809346</v>
      </c>
      <c r="BR18" s="51">
        <v>729674</v>
      </c>
      <c r="BS18" s="51">
        <v>842911</v>
      </c>
      <c r="BT18" s="51">
        <v>769392</v>
      </c>
      <c r="BU18" s="51">
        <v>885847</v>
      </c>
      <c r="BV18" s="51">
        <v>831134</v>
      </c>
      <c r="BW18" s="51">
        <v>743242</v>
      </c>
      <c r="BX18" s="51">
        <v>699030</v>
      </c>
      <c r="BY18" s="51">
        <v>649532</v>
      </c>
      <c r="BZ18" s="51">
        <v>605386</v>
      </c>
      <c r="CA18" s="51">
        <v>616306</v>
      </c>
      <c r="CB18" s="51">
        <v>479678</v>
      </c>
      <c r="CC18" s="51">
        <v>456950</v>
      </c>
      <c r="CD18" s="51">
        <v>443639</v>
      </c>
      <c r="CE18" s="51">
        <v>344657</v>
      </c>
      <c r="CF18" s="51">
        <v>372948</v>
      </c>
      <c r="CG18" s="51">
        <v>342494</v>
      </c>
      <c r="CH18" s="51">
        <v>328940</v>
      </c>
      <c r="CI18" s="51">
        <v>307427</v>
      </c>
      <c r="CJ18" s="51">
        <v>200007</v>
      </c>
      <c r="CK18" s="51">
        <v>219372</v>
      </c>
      <c r="CL18" s="51">
        <v>198426</v>
      </c>
      <c r="CM18" s="51">
        <v>211641</v>
      </c>
      <c r="CN18" s="51">
        <v>192629</v>
      </c>
      <c r="CO18" s="51">
        <v>145630</v>
      </c>
      <c r="CP18" s="51">
        <v>124054</v>
      </c>
      <c r="CQ18" s="51">
        <v>106383</v>
      </c>
      <c r="CR18" s="51">
        <v>82594</v>
      </c>
      <c r="CS18" s="51">
        <v>67038</v>
      </c>
      <c r="CT18" s="51">
        <v>52540</v>
      </c>
      <c r="CU18" s="51">
        <v>39661</v>
      </c>
      <c r="CV18" s="51">
        <v>27431</v>
      </c>
      <c r="CW18" s="51">
        <v>19099</v>
      </c>
      <c r="CX18" s="51">
        <v>13215</v>
      </c>
      <c r="CY18" s="51">
        <v>8190</v>
      </c>
      <c r="CZ18" s="51">
        <v>13776</v>
      </c>
    </row>
    <row r="19" spans="1:104" x14ac:dyDescent="0.3">
      <c r="A19" s="52" t="s">
        <v>59</v>
      </c>
      <c r="B19" s="60">
        <v>2031</v>
      </c>
      <c r="C19" s="51">
        <v>51223269</v>
      </c>
      <c r="D19" s="51">
        <v>262201</v>
      </c>
      <c r="E19" s="51">
        <v>254522</v>
      </c>
      <c r="F19" s="51">
        <v>246417</v>
      </c>
      <c r="G19" s="51">
        <v>237252</v>
      </c>
      <c r="H19" s="51">
        <v>227051</v>
      </c>
      <c r="I19" s="51">
        <v>216067</v>
      </c>
      <c r="J19" s="51">
        <v>215836</v>
      </c>
      <c r="K19" s="51">
        <v>227247</v>
      </c>
      <c r="L19" s="51">
        <v>242132</v>
      </c>
      <c r="M19" s="51">
        <v>256533</v>
      </c>
      <c r="N19" s="51">
        <v>271290</v>
      </c>
      <c r="O19" s="51">
        <v>291144</v>
      </c>
      <c r="P19" s="51">
        <v>318116</v>
      </c>
      <c r="Q19" s="51">
        <v>345461</v>
      </c>
      <c r="R19" s="51">
        <v>382630</v>
      </c>
      <c r="S19" s="51">
        <v>425618</v>
      </c>
      <c r="T19" s="51">
        <v>437510</v>
      </c>
      <c r="U19" s="51">
        <v>430916</v>
      </c>
      <c r="V19" s="51">
        <v>462330</v>
      </c>
      <c r="W19" s="51">
        <v>477001</v>
      </c>
      <c r="X19" s="51">
        <v>491220</v>
      </c>
      <c r="Y19" s="51">
        <v>460395</v>
      </c>
      <c r="Z19" s="51">
        <v>472357</v>
      </c>
      <c r="AA19" s="51">
        <v>512335</v>
      </c>
      <c r="AB19" s="51">
        <v>489882</v>
      </c>
      <c r="AC19" s="51">
        <v>475677</v>
      </c>
      <c r="AD19" s="51">
        <v>492201</v>
      </c>
      <c r="AE19" s="51">
        <v>533020</v>
      </c>
      <c r="AF19" s="51">
        <v>537243</v>
      </c>
      <c r="AG19" s="51">
        <v>569341</v>
      </c>
      <c r="AH19" s="51">
        <v>653343</v>
      </c>
      <c r="AI19" s="51">
        <v>678335</v>
      </c>
      <c r="AJ19" s="51">
        <v>669743</v>
      </c>
      <c r="AK19" s="51">
        <v>702472</v>
      </c>
      <c r="AL19" s="51">
        <v>715568</v>
      </c>
      <c r="AM19" s="51">
        <v>735188</v>
      </c>
      <c r="AN19" s="51">
        <v>732411</v>
      </c>
      <c r="AO19" s="51">
        <v>739654</v>
      </c>
      <c r="AP19" s="51">
        <v>750938</v>
      </c>
      <c r="AQ19" s="51">
        <v>743183</v>
      </c>
      <c r="AR19" s="51">
        <v>684075</v>
      </c>
      <c r="AS19" s="51">
        <v>674148</v>
      </c>
      <c r="AT19" s="51">
        <v>657252</v>
      </c>
      <c r="AU19" s="51">
        <v>640862</v>
      </c>
      <c r="AV19" s="51">
        <v>650804</v>
      </c>
      <c r="AW19" s="51">
        <v>668391</v>
      </c>
      <c r="AX19" s="51">
        <v>666147</v>
      </c>
      <c r="AY19" s="51">
        <v>719231</v>
      </c>
      <c r="AZ19" s="51">
        <v>788445</v>
      </c>
      <c r="BA19" s="51">
        <v>843120</v>
      </c>
      <c r="BB19" s="51">
        <v>840686</v>
      </c>
      <c r="BC19" s="51">
        <v>837776</v>
      </c>
      <c r="BD19" s="51">
        <v>766335</v>
      </c>
      <c r="BE19" s="51">
        <v>754905</v>
      </c>
      <c r="BF19" s="51">
        <v>743589</v>
      </c>
      <c r="BG19" s="51">
        <v>758700</v>
      </c>
      <c r="BH19" s="51">
        <v>795973</v>
      </c>
      <c r="BI19" s="51">
        <v>862001</v>
      </c>
      <c r="BJ19" s="51">
        <v>876265</v>
      </c>
      <c r="BK19" s="51">
        <v>876916</v>
      </c>
      <c r="BL19" s="51">
        <v>910603</v>
      </c>
      <c r="BM19" s="51">
        <v>873654</v>
      </c>
      <c r="BN19" s="51">
        <v>916418</v>
      </c>
      <c r="BO19" s="51">
        <v>823112</v>
      </c>
      <c r="BP19" s="51">
        <v>794421</v>
      </c>
      <c r="BQ19" s="51">
        <v>800386</v>
      </c>
      <c r="BR19" s="51">
        <v>804549</v>
      </c>
      <c r="BS19" s="51">
        <v>725028</v>
      </c>
      <c r="BT19" s="51">
        <v>837199</v>
      </c>
      <c r="BU19" s="51">
        <v>763737</v>
      </c>
      <c r="BV19" s="51">
        <v>878828</v>
      </c>
      <c r="BW19" s="51">
        <v>823840</v>
      </c>
      <c r="BX19" s="51">
        <v>736023</v>
      </c>
      <c r="BY19" s="51">
        <v>691499</v>
      </c>
      <c r="BZ19" s="51">
        <v>641708</v>
      </c>
      <c r="CA19" s="51">
        <v>597097</v>
      </c>
      <c r="CB19" s="51">
        <v>606531</v>
      </c>
      <c r="CC19" s="51">
        <v>470814</v>
      </c>
      <c r="CD19" s="51">
        <v>447037</v>
      </c>
      <c r="CE19" s="51">
        <v>432333</v>
      </c>
      <c r="CF19" s="51">
        <v>334442</v>
      </c>
      <c r="CG19" s="51">
        <v>360095</v>
      </c>
      <c r="CH19" s="51">
        <v>328832</v>
      </c>
      <c r="CI19" s="51">
        <v>313817</v>
      </c>
      <c r="CJ19" s="51">
        <v>291246</v>
      </c>
      <c r="CK19" s="51">
        <v>187962</v>
      </c>
      <c r="CL19" s="51">
        <v>204379</v>
      </c>
      <c r="CM19" s="51">
        <v>183069</v>
      </c>
      <c r="CN19" s="51">
        <v>193063</v>
      </c>
      <c r="CO19" s="51">
        <v>173593</v>
      </c>
      <c r="CP19" s="51">
        <v>129506</v>
      </c>
      <c r="CQ19" s="51">
        <v>108711</v>
      </c>
      <c r="CR19" s="51">
        <v>91728</v>
      </c>
      <c r="CS19" s="51">
        <v>69964</v>
      </c>
      <c r="CT19" s="51">
        <v>55714</v>
      </c>
      <c r="CU19" s="51">
        <v>42773</v>
      </c>
      <c r="CV19" s="51">
        <v>31572</v>
      </c>
      <c r="CW19" s="51">
        <v>21318</v>
      </c>
      <c r="CX19" s="51">
        <v>14468</v>
      </c>
      <c r="CY19" s="51">
        <v>9742</v>
      </c>
      <c r="CZ19" s="51">
        <v>15057</v>
      </c>
    </row>
    <row r="20" spans="1:104" x14ac:dyDescent="0.3">
      <c r="A20" s="52" t="s">
        <v>59</v>
      </c>
      <c r="B20" s="60">
        <v>2032</v>
      </c>
      <c r="C20" s="51">
        <v>51135265</v>
      </c>
      <c r="D20" s="51">
        <v>267610</v>
      </c>
      <c r="E20" s="51">
        <v>261274</v>
      </c>
      <c r="F20" s="51">
        <v>254470</v>
      </c>
      <c r="G20" s="51">
        <v>246431</v>
      </c>
      <c r="H20" s="51">
        <v>237084</v>
      </c>
      <c r="I20" s="51">
        <v>226728</v>
      </c>
      <c r="J20" s="51">
        <v>215764</v>
      </c>
      <c r="K20" s="51">
        <v>215684</v>
      </c>
      <c r="L20" s="51">
        <v>227166</v>
      </c>
      <c r="M20" s="51">
        <v>242031</v>
      </c>
      <c r="N20" s="51">
        <v>256385</v>
      </c>
      <c r="O20" s="51">
        <v>271332</v>
      </c>
      <c r="P20" s="51">
        <v>291447</v>
      </c>
      <c r="Q20" s="51">
        <v>318214</v>
      </c>
      <c r="R20" s="51">
        <v>345267</v>
      </c>
      <c r="S20" s="51">
        <v>382113</v>
      </c>
      <c r="T20" s="51">
        <v>425332</v>
      </c>
      <c r="U20" s="51">
        <v>438562</v>
      </c>
      <c r="V20" s="51">
        <v>434666</v>
      </c>
      <c r="W20" s="51">
        <v>468069</v>
      </c>
      <c r="X20" s="51">
        <v>482511</v>
      </c>
      <c r="Y20" s="51">
        <v>495915</v>
      </c>
      <c r="Z20" s="51">
        <v>465813</v>
      </c>
      <c r="AA20" s="51">
        <v>478759</v>
      </c>
      <c r="AB20" s="51">
        <v>517585</v>
      </c>
      <c r="AC20" s="51">
        <v>494589</v>
      </c>
      <c r="AD20" s="51">
        <v>480142</v>
      </c>
      <c r="AE20" s="51">
        <v>495395</v>
      </c>
      <c r="AF20" s="51">
        <v>535089</v>
      </c>
      <c r="AG20" s="51">
        <v>538464</v>
      </c>
      <c r="AH20" s="51">
        <v>570071</v>
      </c>
      <c r="AI20" s="51">
        <v>653775</v>
      </c>
      <c r="AJ20" s="51">
        <v>678407</v>
      </c>
      <c r="AK20" s="51">
        <v>669347</v>
      </c>
      <c r="AL20" s="51">
        <v>701831</v>
      </c>
      <c r="AM20" s="51">
        <v>714863</v>
      </c>
      <c r="AN20" s="51">
        <v>734359</v>
      </c>
      <c r="AO20" s="51">
        <v>731632</v>
      </c>
      <c r="AP20" s="51">
        <v>738953</v>
      </c>
      <c r="AQ20" s="51">
        <v>750205</v>
      </c>
      <c r="AR20" s="51">
        <v>742575</v>
      </c>
      <c r="AS20" s="51">
        <v>683659</v>
      </c>
      <c r="AT20" s="51">
        <v>673909</v>
      </c>
      <c r="AU20" s="51">
        <v>657266</v>
      </c>
      <c r="AV20" s="51">
        <v>641069</v>
      </c>
      <c r="AW20" s="51">
        <v>651229</v>
      </c>
      <c r="AX20" s="51">
        <v>668953</v>
      </c>
      <c r="AY20" s="51">
        <v>666845</v>
      </c>
      <c r="AZ20" s="51">
        <v>719830</v>
      </c>
      <c r="BA20" s="51">
        <v>788574</v>
      </c>
      <c r="BB20" s="51">
        <v>843093</v>
      </c>
      <c r="BC20" s="51">
        <v>840656</v>
      </c>
      <c r="BD20" s="51">
        <v>837456</v>
      </c>
      <c r="BE20" s="51">
        <v>765937</v>
      </c>
      <c r="BF20" s="51">
        <v>754326</v>
      </c>
      <c r="BG20" s="51">
        <v>742778</v>
      </c>
      <c r="BH20" s="51">
        <v>757426</v>
      </c>
      <c r="BI20" s="51">
        <v>794093</v>
      </c>
      <c r="BJ20" s="51">
        <v>859712</v>
      </c>
      <c r="BK20" s="51">
        <v>873725</v>
      </c>
      <c r="BL20" s="51">
        <v>875002</v>
      </c>
      <c r="BM20" s="51">
        <v>908566</v>
      </c>
      <c r="BN20" s="51">
        <v>870696</v>
      </c>
      <c r="BO20" s="51">
        <v>912761</v>
      </c>
      <c r="BP20" s="51">
        <v>819261</v>
      </c>
      <c r="BQ20" s="51">
        <v>790224</v>
      </c>
      <c r="BR20" s="51">
        <v>795763</v>
      </c>
      <c r="BS20" s="51">
        <v>799620</v>
      </c>
      <c r="BT20" s="51">
        <v>720216</v>
      </c>
      <c r="BU20" s="51">
        <v>831196</v>
      </c>
      <c r="BV20" s="51">
        <v>757795</v>
      </c>
      <c r="BW20" s="51">
        <v>871340</v>
      </c>
      <c r="BX20" s="51">
        <v>816104</v>
      </c>
      <c r="BY20" s="51">
        <v>728341</v>
      </c>
      <c r="BZ20" s="51">
        <v>683368</v>
      </c>
      <c r="CA20" s="51">
        <v>633126</v>
      </c>
      <c r="CB20" s="51">
        <v>587854</v>
      </c>
      <c r="CC20" s="51">
        <v>595569</v>
      </c>
      <c r="CD20" s="51">
        <v>460827</v>
      </c>
      <c r="CE20" s="51">
        <v>435903</v>
      </c>
      <c r="CF20" s="51">
        <v>419743</v>
      </c>
      <c r="CG20" s="51">
        <v>323142</v>
      </c>
      <c r="CH20" s="51">
        <v>345977</v>
      </c>
      <c r="CI20" s="51">
        <v>313967</v>
      </c>
      <c r="CJ20" s="51">
        <v>297513</v>
      </c>
      <c r="CK20" s="51">
        <v>273960</v>
      </c>
      <c r="CL20" s="51">
        <v>175211</v>
      </c>
      <c r="CM20" s="51">
        <v>188668</v>
      </c>
      <c r="CN20" s="51">
        <v>167201</v>
      </c>
      <c r="CO20" s="51">
        <v>174141</v>
      </c>
      <c r="CP20" s="51">
        <v>154492</v>
      </c>
      <c r="CQ20" s="51">
        <v>113585</v>
      </c>
      <c r="CR20" s="51">
        <v>93826</v>
      </c>
      <c r="CS20" s="51">
        <v>77781</v>
      </c>
      <c r="CT20" s="51">
        <v>58193</v>
      </c>
      <c r="CU20" s="51">
        <v>45393</v>
      </c>
      <c r="CV20" s="51">
        <v>34081</v>
      </c>
      <c r="CW20" s="51">
        <v>24557</v>
      </c>
      <c r="CX20" s="51">
        <v>16162</v>
      </c>
      <c r="CY20" s="51">
        <v>10674</v>
      </c>
      <c r="CZ20" s="51">
        <v>17021</v>
      </c>
    </row>
    <row r="21" spans="1:104" x14ac:dyDescent="0.3">
      <c r="A21" s="52" t="s">
        <v>59</v>
      </c>
      <c r="B21" s="60">
        <v>2033</v>
      </c>
      <c r="C21" s="51">
        <v>51040632</v>
      </c>
      <c r="D21" s="51">
        <v>271691</v>
      </c>
      <c r="E21" s="51">
        <v>266648</v>
      </c>
      <c r="F21" s="51">
        <v>261202</v>
      </c>
      <c r="G21" s="51">
        <v>254468</v>
      </c>
      <c r="H21" s="51">
        <v>246246</v>
      </c>
      <c r="I21" s="51">
        <v>236741</v>
      </c>
      <c r="J21" s="51">
        <v>226415</v>
      </c>
      <c r="K21" s="51">
        <v>215620</v>
      </c>
      <c r="L21" s="51">
        <v>215622</v>
      </c>
      <c r="M21" s="51">
        <v>227087</v>
      </c>
      <c r="N21" s="51">
        <v>241906</v>
      </c>
      <c r="O21" s="51">
        <v>256439</v>
      </c>
      <c r="P21" s="51">
        <v>271630</v>
      </c>
      <c r="Q21" s="51">
        <v>291556</v>
      </c>
      <c r="R21" s="51">
        <v>318058</v>
      </c>
      <c r="S21" s="51">
        <v>344831</v>
      </c>
      <c r="T21" s="51">
        <v>381893</v>
      </c>
      <c r="U21" s="51">
        <v>426396</v>
      </c>
      <c r="V21" s="51">
        <v>442337</v>
      </c>
      <c r="W21" s="51">
        <v>440443</v>
      </c>
      <c r="X21" s="51">
        <v>473621</v>
      </c>
      <c r="Y21" s="51">
        <v>487185</v>
      </c>
      <c r="Z21" s="51">
        <v>501280</v>
      </c>
      <c r="AA21" s="51">
        <v>472231</v>
      </c>
      <c r="AB21" s="51">
        <v>484047</v>
      </c>
      <c r="AC21" s="51">
        <v>522330</v>
      </c>
      <c r="AD21" s="51">
        <v>499069</v>
      </c>
      <c r="AE21" s="51">
        <v>483312</v>
      </c>
      <c r="AF21" s="51">
        <v>497459</v>
      </c>
      <c r="AG21" s="51">
        <v>536310</v>
      </c>
      <c r="AH21" s="51">
        <v>539184</v>
      </c>
      <c r="AI21" s="51">
        <v>570511</v>
      </c>
      <c r="AJ21" s="51">
        <v>653860</v>
      </c>
      <c r="AK21" s="51">
        <v>678018</v>
      </c>
      <c r="AL21" s="51">
        <v>668722</v>
      </c>
      <c r="AM21" s="51">
        <v>701138</v>
      </c>
      <c r="AN21" s="51">
        <v>714053</v>
      </c>
      <c r="AO21" s="51">
        <v>733592</v>
      </c>
      <c r="AP21" s="51">
        <v>730949</v>
      </c>
      <c r="AQ21" s="51">
        <v>738244</v>
      </c>
      <c r="AR21" s="51">
        <v>749621</v>
      </c>
      <c r="AS21" s="51">
        <v>742149</v>
      </c>
      <c r="AT21" s="51">
        <v>683439</v>
      </c>
      <c r="AU21" s="51">
        <v>673938</v>
      </c>
      <c r="AV21" s="51">
        <v>657480</v>
      </c>
      <c r="AW21" s="51">
        <v>641511</v>
      </c>
      <c r="AX21" s="51">
        <v>651825</v>
      </c>
      <c r="AY21" s="51">
        <v>669648</v>
      </c>
      <c r="AZ21" s="51">
        <v>667477</v>
      </c>
      <c r="BA21" s="51">
        <v>720022</v>
      </c>
      <c r="BB21" s="51">
        <v>788636</v>
      </c>
      <c r="BC21" s="51">
        <v>843106</v>
      </c>
      <c r="BD21" s="51">
        <v>840409</v>
      </c>
      <c r="BE21" s="51">
        <v>837018</v>
      </c>
      <c r="BF21" s="51">
        <v>765394</v>
      </c>
      <c r="BG21" s="51">
        <v>753549</v>
      </c>
      <c r="BH21" s="51">
        <v>741567</v>
      </c>
      <c r="BI21" s="51">
        <v>755662</v>
      </c>
      <c r="BJ21" s="51">
        <v>792016</v>
      </c>
      <c r="BK21" s="51">
        <v>857288</v>
      </c>
      <c r="BL21" s="51">
        <v>871905</v>
      </c>
      <c r="BM21" s="51">
        <v>873171</v>
      </c>
      <c r="BN21" s="51">
        <v>905583</v>
      </c>
      <c r="BO21" s="51">
        <v>867324</v>
      </c>
      <c r="BP21" s="51">
        <v>908692</v>
      </c>
      <c r="BQ21" s="51">
        <v>815097</v>
      </c>
      <c r="BR21" s="51">
        <v>785788</v>
      </c>
      <c r="BS21" s="51">
        <v>791019</v>
      </c>
      <c r="BT21" s="51">
        <v>794512</v>
      </c>
      <c r="BU21" s="51">
        <v>715181</v>
      </c>
      <c r="BV21" s="51">
        <v>824884</v>
      </c>
      <c r="BW21" s="51">
        <v>751467</v>
      </c>
      <c r="BX21" s="51">
        <v>863383</v>
      </c>
      <c r="BY21" s="51">
        <v>807851</v>
      </c>
      <c r="BZ21" s="51">
        <v>720031</v>
      </c>
      <c r="CA21" s="51">
        <v>674433</v>
      </c>
      <c r="CB21" s="51">
        <v>623540</v>
      </c>
      <c r="CC21" s="51">
        <v>577476</v>
      </c>
      <c r="CD21" s="51">
        <v>583206</v>
      </c>
      <c r="CE21" s="51">
        <v>449586</v>
      </c>
      <c r="CF21" s="51">
        <v>423473</v>
      </c>
      <c r="CG21" s="51">
        <v>405788</v>
      </c>
      <c r="CH21" s="51">
        <v>310698</v>
      </c>
      <c r="CI21" s="51">
        <v>330580</v>
      </c>
      <c r="CJ21" s="51">
        <v>297904</v>
      </c>
      <c r="CK21" s="51">
        <v>280065</v>
      </c>
      <c r="CL21" s="51">
        <v>255630</v>
      </c>
      <c r="CM21" s="51">
        <v>161830</v>
      </c>
      <c r="CN21" s="51">
        <v>172412</v>
      </c>
      <c r="CO21" s="51">
        <v>151001</v>
      </c>
      <c r="CP21" s="51">
        <v>155122</v>
      </c>
      <c r="CQ21" s="51">
        <v>135606</v>
      </c>
      <c r="CR21" s="51">
        <v>98117</v>
      </c>
      <c r="CS21" s="51">
        <v>79639</v>
      </c>
      <c r="CT21" s="51">
        <v>64763</v>
      </c>
      <c r="CU21" s="51">
        <v>47451</v>
      </c>
      <c r="CV21" s="51">
        <v>36198</v>
      </c>
      <c r="CW21" s="51">
        <v>26534</v>
      </c>
      <c r="CX21" s="51">
        <v>18633</v>
      </c>
      <c r="CY21" s="51">
        <v>11934</v>
      </c>
      <c r="CZ21" s="51">
        <v>19026</v>
      </c>
    </row>
    <row r="22" spans="1:104" x14ac:dyDescent="0.3">
      <c r="A22" s="52" t="s">
        <v>59</v>
      </c>
      <c r="B22" s="60">
        <v>2034</v>
      </c>
      <c r="C22" s="51">
        <v>50937726</v>
      </c>
      <c r="D22" s="51">
        <v>274610</v>
      </c>
      <c r="E22" s="51">
        <v>270703</v>
      </c>
      <c r="F22" s="51">
        <v>266560</v>
      </c>
      <c r="G22" s="51">
        <v>261187</v>
      </c>
      <c r="H22" s="51">
        <v>254267</v>
      </c>
      <c r="I22" s="51">
        <v>245885</v>
      </c>
      <c r="J22" s="51">
        <v>236410</v>
      </c>
      <c r="K22" s="51">
        <v>226264</v>
      </c>
      <c r="L22" s="51">
        <v>215567</v>
      </c>
      <c r="M22" s="51">
        <v>215562</v>
      </c>
      <c r="N22" s="51">
        <v>226986</v>
      </c>
      <c r="O22" s="51">
        <v>241972</v>
      </c>
      <c r="P22" s="51">
        <v>256734</v>
      </c>
      <c r="Q22" s="51">
        <v>271751</v>
      </c>
      <c r="R22" s="51">
        <v>291432</v>
      </c>
      <c r="S22" s="51">
        <v>317690</v>
      </c>
      <c r="T22" s="51">
        <v>344678</v>
      </c>
      <c r="U22" s="51">
        <v>382971</v>
      </c>
      <c r="V22" s="51">
        <v>430163</v>
      </c>
      <c r="W22" s="51">
        <v>448161</v>
      </c>
      <c r="X22" s="51">
        <v>446067</v>
      </c>
      <c r="Y22" s="51">
        <v>478328</v>
      </c>
      <c r="Z22" s="51">
        <v>492566</v>
      </c>
      <c r="AA22" s="51">
        <v>507693</v>
      </c>
      <c r="AB22" s="51">
        <v>477510</v>
      </c>
      <c r="AC22" s="51">
        <v>488829</v>
      </c>
      <c r="AD22" s="51">
        <v>526864</v>
      </c>
      <c r="AE22" s="51">
        <v>502250</v>
      </c>
      <c r="AF22" s="51">
        <v>485363</v>
      </c>
      <c r="AG22" s="51">
        <v>498682</v>
      </c>
      <c r="AH22" s="51">
        <v>537030</v>
      </c>
      <c r="AI22" s="51">
        <v>539605</v>
      </c>
      <c r="AJ22" s="51">
        <v>570596</v>
      </c>
      <c r="AK22" s="51">
        <v>653482</v>
      </c>
      <c r="AL22" s="51">
        <v>677398</v>
      </c>
      <c r="AM22" s="51">
        <v>668048</v>
      </c>
      <c r="AN22" s="51">
        <v>700342</v>
      </c>
      <c r="AO22" s="51">
        <v>713305</v>
      </c>
      <c r="AP22" s="51">
        <v>732920</v>
      </c>
      <c r="AQ22" s="51">
        <v>730258</v>
      </c>
      <c r="AR22" s="51">
        <v>737683</v>
      </c>
      <c r="AS22" s="51">
        <v>749222</v>
      </c>
      <c r="AT22" s="51">
        <v>741921</v>
      </c>
      <c r="AU22" s="51">
        <v>683487</v>
      </c>
      <c r="AV22" s="51">
        <v>674167</v>
      </c>
      <c r="AW22" s="51">
        <v>657927</v>
      </c>
      <c r="AX22" s="51">
        <v>642124</v>
      </c>
      <c r="AY22" s="51">
        <v>652556</v>
      </c>
      <c r="AZ22" s="51">
        <v>670279</v>
      </c>
      <c r="BA22" s="51">
        <v>667706</v>
      </c>
      <c r="BB22" s="51">
        <v>720151</v>
      </c>
      <c r="BC22" s="51">
        <v>788743</v>
      </c>
      <c r="BD22" s="51">
        <v>842903</v>
      </c>
      <c r="BE22" s="51">
        <v>840044</v>
      </c>
      <c r="BF22" s="51">
        <v>836431</v>
      </c>
      <c r="BG22" s="51">
        <v>764654</v>
      </c>
      <c r="BH22" s="51">
        <v>752373</v>
      </c>
      <c r="BI22" s="51">
        <v>739870</v>
      </c>
      <c r="BJ22" s="51">
        <v>753704</v>
      </c>
      <c r="BK22" s="51">
        <v>789809</v>
      </c>
      <c r="BL22" s="51">
        <v>855589</v>
      </c>
      <c r="BM22" s="51">
        <v>870174</v>
      </c>
      <c r="BN22" s="51">
        <v>870399</v>
      </c>
      <c r="BO22" s="51">
        <v>902183</v>
      </c>
      <c r="BP22" s="51">
        <v>863553</v>
      </c>
      <c r="BQ22" s="51">
        <v>904292</v>
      </c>
      <c r="BR22" s="51">
        <v>810694</v>
      </c>
      <c r="BS22" s="51">
        <v>781241</v>
      </c>
      <c r="BT22" s="51">
        <v>786097</v>
      </c>
      <c r="BU22" s="51">
        <v>789144</v>
      </c>
      <c r="BV22" s="51">
        <v>709892</v>
      </c>
      <c r="BW22" s="51">
        <v>818142</v>
      </c>
      <c r="BX22" s="51">
        <v>744752</v>
      </c>
      <c r="BY22" s="51">
        <v>854872</v>
      </c>
      <c r="BZ22" s="51">
        <v>798899</v>
      </c>
      <c r="CA22" s="51">
        <v>710876</v>
      </c>
      <c r="CB22" s="51">
        <v>664431</v>
      </c>
      <c r="CC22" s="51">
        <v>612753</v>
      </c>
      <c r="CD22" s="51">
        <v>565729</v>
      </c>
      <c r="CE22" s="51">
        <v>569251</v>
      </c>
      <c r="CF22" s="51">
        <v>437007</v>
      </c>
      <c r="CG22" s="51">
        <v>409658</v>
      </c>
      <c r="CH22" s="51">
        <v>390390</v>
      </c>
      <c r="CI22" s="51">
        <v>297092</v>
      </c>
      <c r="CJ22" s="51">
        <v>313898</v>
      </c>
      <c r="CK22" s="51">
        <v>280666</v>
      </c>
      <c r="CL22" s="51">
        <v>261510</v>
      </c>
      <c r="CM22" s="51">
        <v>236342</v>
      </c>
      <c r="CN22" s="51">
        <v>147959</v>
      </c>
      <c r="CO22" s="51">
        <v>155786</v>
      </c>
      <c r="CP22" s="51">
        <v>134671</v>
      </c>
      <c r="CQ22" s="51">
        <v>136275</v>
      </c>
      <c r="CR22" s="51">
        <v>117222</v>
      </c>
      <c r="CS22" s="51">
        <v>83346</v>
      </c>
      <c r="CT22" s="51">
        <v>66369</v>
      </c>
      <c r="CU22" s="51">
        <v>52859</v>
      </c>
      <c r="CV22" s="51">
        <v>37866</v>
      </c>
      <c r="CW22" s="51">
        <v>28202</v>
      </c>
      <c r="CX22" s="51">
        <v>20150</v>
      </c>
      <c r="CY22" s="51">
        <v>13769</v>
      </c>
      <c r="CZ22" s="51">
        <v>21283</v>
      </c>
    </row>
    <row r="23" spans="1:104" x14ac:dyDescent="0.3">
      <c r="A23" s="52" t="s">
        <v>59</v>
      </c>
      <c r="B23" s="60">
        <v>2035</v>
      </c>
      <c r="C23" s="51">
        <v>50824868</v>
      </c>
      <c r="D23" s="51">
        <v>276621</v>
      </c>
      <c r="E23" s="51">
        <v>273603</v>
      </c>
      <c r="F23" s="51">
        <v>270602</v>
      </c>
      <c r="G23" s="51">
        <v>266534</v>
      </c>
      <c r="H23" s="51">
        <v>260974</v>
      </c>
      <c r="I23" s="51">
        <v>253890</v>
      </c>
      <c r="J23" s="51">
        <v>245538</v>
      </c>
      <c r="K23" s="51">
        <v>236245</v>
      </c>
      <c r="L23" s="51">
        <v>226203</v>
      </c>
      <c r="M23" s="51">
        <v>215515</v>
      </c>
      <c r="N23" s="51">
        <v>215482</v>
      </c>
      <c r="O23" s="51">
        <v>227063</v>
      </c>
      <c r="P23" s="51">
        <v>242264</v>
      </c>
      <c r="Q23" s="51">
        <v>256863</v>
      </c>
      <c r="R23" s="51">
        <v>271655</v>
      </c>
      <c r="S23" s="51">
        <v>291117</v>
      </c>
      <c r="T23" s="51">
        <v>317587</v>
      </c>
      <c r="U23" s="51">
        <v>345749</v>
      </c>
      <c r="V23" s="51">
        <v>386730</v>
      </c>
      <c r="W23" s="51">
        <v>435985</v>
      </c>
      <c r="X23" s="51">
        <v>453845</v>
      </c>
      <c r="Y23" s="51">
        <v>450868</v>
      </c>
      <c r="Z23" s="51">
        <v>483728</v>
      </c>
      <c r="AA23" s="51">
        <v>498982</v>
      </c>
      <c r="AB23" s="51">
        <v>512962</v>
      </c>
      <c r="AC23" s="51">
        <v>482248</v>
      </c>
      <c r="AD23" s="51">
        <v>493357</v>
      </c>
      <c r="AE23" s="51">
        <v>530081</v>
      </c>
      <c r="AF23" s="51">
        <v>504308</v>
      </c>
      <c r="AG23" s="51">
        <v>486581</v>
      </c>
      <c r="AH23" s="51">
        <v>499410</v>
      </c>
      <c r="AI23" s="51">
        <v>537446</v>
      </c>
      <c r="AJ23" s="51">
        <v>539668</v>
      </c>
      <c r="AK23" s="51">
        <v>570223</v>
      </c>
      <c r="AL23" s="51">
        <v>652877</v>
      </c>
      <c r="AM23" s="51">
        <v>676729</v>
      </c>
      <c r="AN23" s="51">
        <v>667272</v>
      </c>
      <c r="AO23" s="51">
        <v>699608</v>
      </c>
      <c r="AP23" s="51">
        <v>712653</v>
      </c>
      <c r="AQ23" s="51">
        <v>732240</v>
      </c>
      <c r="AR23" s="51">
        <v>729714</v>
      </c>
      <c r="AS23" s="51">
        <v>737307</v>
      </c>
      <c r="AT23" s="51">
        <v>749022</v>
      </c>
      <c r="AU23" s="51">
        <v>741962</v>
      </c>
      <c r="AV23" s="51">
        <v>683735</v>
      </c>
      <c r="AW23" s="51">
        <v>674630</v>
      </c>
      <c r="AX23" s="51">
        <v>658545</v>
      </c>
      <c r="AY23" s="51">
        <v>642873</v>
      </c>
      <c r="AZ23" s="51">
        <v>653224</v>
      </c>
      <c r="BA23" s="51">
        <v>670506</v>
      </c>
      <c r="BB23" s="51">
        <v>667874</v>
      </c>
      <c r="BC23" s="51">
        <v>720329</v>
      </c>
      <c r="BD23" s="51">
        <v>788637</v>
      </c>
      <c r="BE23" s="51">
        <v>842583</v>
      </c>
      <c r="BF23" s="51">
        <v>839529</v>
      </c>
      <c r="BG23" s="51">
        <v>835640</v>
      </c>
      <c r="BH23" s="51">
        <v>763513</v>
      </c>
      <c r="BI23" s="51">
        <v>750710</v>
      </c>
      <c r="BJ23" s="51">
        <v>737980</v>
      </c>
      <c r="BK23" s="51">
        <v>751617</v>
      </c>
      <c r="BL23" s="51">
        <v>788337</v>
      </c>
      <c r="BM23" s="51">
        <v>853982</v>
      </c>
      <c r="BN23" s="51">
        <v>867502</v>
      </c>
      <c r="BO23" s="51">
        <v>867214</v>
      </c>
      <c r="BP23" s="51">
        <v>898376</v>
      </c>
      <c r="BQ23" s="51">
        <v>859454</v>
      </c>
      <c r="BR23" s="51">
        <v>899620</v>
      </c>
      <c r="BS23" s="51">
        <v>806171</v>
      </c>
      <c r="BT23" s="51">
        <v>776519</v>
      </c>
      <c r="BU23" s="51">
        <v>780920</v>
      </c>
      <c r="BV23" s="51">
        <v>783491</v>
      </c>
      <c r="BW23" s="51">
        <v>704250</v>
      </c>
      <c r="BX23" s="51">
        <v>810963</v>
      </c>
      <c r="BY23" s="51">
        <v>737565</v>
      </c>
      <c r="BZ23" s="51">
        <v>845618</v>
      </c>
      <c r="CA23" s="51">
        <v>789013</v>
      </c>
      <c r="CB23" s="51">
        <v>700602</v>
      </c>
      <c r="CC23" s="51">
        <v>653152</v>
      </c>
      <c r="CD23" s="51">
        <v>600520</v>
      </c>
      <c r="CE23" s="51">
        <v>552446</v>
      </c>
      <c r="CF23" s="51">
        <v>553605</v>
      </c>
      <c r="CG23" s="51">
        <v>422991</v>
      </c>
      <c r="CH23" s="51">
        <v>394369</v>
      </c>
      <c r="CI23" s="51">
        <v>373506</v>
      </c>
      <c r="CJ23" s="51">
        <v>282309</v>
      </c>
      <c r="CK23" s="51">
        <v>295951</v>
      </c>
      <c r="CL23" s="51">
        <v>262288</v>
      </c>
      <c r="CM23" s="51">
        <v>241945</v>
      </c>
      <c r="CN23" s="51">
        <v>216300</v>
      </c>
      <c r="CO23" s="51">
        <v>133751</v>
      </c>
      <c r="CP23" s="51">
        <v>139003</v>
      </c>
      <c r="CQ23" s="51">
        <v>118449</v>
      </c>
      <c r="CR23" s="51">
        <v>117896</v>
      </c>
      <c r="CS23" s="51">
        <v>99639</v>
      </c>
      <c r="CT23" s="51">
        <v>69508</v>
      </c>
      <c r="CU23" s="51">
        <v>54216</v>
      </c>
      <c r="CV23" s="51">
        <v>42218</v>
      </c>
      <c r="CW23" s="51">
        <v>29520</v>
      </c>
      <c r="CX23" s="51">
        <v>21430</v>
      </c>
      <c r="CY23" s="51">
        <v>14901</v>
      </c>
      <c r="CZ23" s="51">
        <v>24122</v>
      </c>
    </row>
    <row r="24" spans="1:104" x14ac:dyDescent="0.3">
      <c r="A24" s="52" t="s">
        <v>59</v>
      </c>
      <c r="B24" s="60">
        <v>2036</v>
      </c>
      <c r="C24" s="51">
        <v>50701389</v>
      </c>
      <c r="D24" s="51">
        <v>278037</v>
      </c>
      <c r="E24" s="51">
        <v>275601</v>
      </c>
      <c r="F24" s="51">
        <v>273494</v>
      </c>
      <c r="G24" s="51">
        <v>270568</v>
      </c>
      <c r="H24" s="51">
        <v>266310</v>
      </c>
      <c r="I24" s="51">
        <v>260583</v>
      </c>
      <c r="J24" s="51">
        <v>253529</v>
      </c>
      <c r="K24" s="51">
        <v>245359</v>
      </c>
      <c r="L24" s="51">
        <v>236169</v>
      </c>
      <c r="M24" s="51">
        <v>226144</v>
      </c>
      <c r="N24" s="51">
        <v>215444</v>
      </c>
      <c r="O24" s="51">
        <v>215569</v>
      </c>
      <c r="P24" s="51">
        <v>227352</v>
      </c>
      <c r="Q24" s="51">
        <v>242399</v>
      </c>
      <c r="R24" s="51">
        <v>256787</v>
      </c>
      <c r="S24" s="51">
        <v>271387</v>
      </c>
      <c r="T24" s="51">
        <v>291060</v>
      </c>
      <c r="U24" s="51">
        <v>318649</v>
      </c>
      <c r="V24" s="51">
        <v>349523</v>
      </c>
      <c r="W24" s="51">
        <v>392612</v>
      </c>
      <c r="X24" s="51">
        <v>441673</v>
      </c>
      <c r="Y24" s="51">
        <v>458665</v>
      </c>
      <c r="Z24" s="51">
        <v>456327</v>
      </c>
      <c r="AA24" s="51">
        <v>490162</v>
      </c>
      <c r="AB24" s="51">
        <v>504276</v>
      </c>
      <c r="AC24" s="51">
        <v>517706</v>
      </c>
      <c r="AD24" s="51">
        <v>486741</v>
      </c>
      <c r="AE24" s="51">
        <v>496571</v>
      </c>
      <c r="AF24" s="51">
        <v>532160</v>
      </c>
      <c r="AG24" s="51">
        <v>505530</v>
      </c>
      <c r="AH24" s="51">
        <v>487305</v>
      </c>
      <c r="AI24" s="51">
        <v>499835</v>
      </c>
      <c r="AJ24" s="51">
        <v>537505</v>
      </c>
      <c r="AK24" s="51">
        <v>539289</v>
      </c>
      <c r="AL24" s="51">
        <v>569639</v>
      </c>
      <c r="AM24" s="51">
        <v>652222</v>
      </c>
      <c r="AN24" s="51">
        <v>675958</v>
      </c>
      <c r="AO24" s="51">
        <v>666560</v>
      </c>
      <c r="AP24" s="51">
        <v>698971</v>
      </c>
      <c r="AQ24" s="51">
        <v>711994</v>
      </c>
      <c r="AR24" s="51">
        <v>731708</v>
      </c>
      <c r="AS24" s="51">
        <v>729354</v>
      </c>
      <c r="AT24" s="51">
        <v>737131</v>
      </c>
      <c r="AU24" s="51">
        <v>749095</v>
      </c>
      <c r="AV24" s="51">
        <v>742206</v>
      </c>
      <c r="AW24" s="51">
        <v>684220</v>
      </c>
      <c r="AX24" s="51">
        <v>675265</v>
      </c>
      <c r="AY24" s="51">
        <v>659300</v>
      </c>
      <c r="AZ24" s="51">
        <v>643561</v>
      </c>
      <c r="BA24" s="51">
        <v>653491</v>
      </c>
      <c r="BB24" s="51">
        <v>670674</v>
      </c>
      <c r="BC24" s="51">
        <v>668097</v>
      </c>
      <c r="BD24" s="51">
        <v>720302</v>
      </c>
      <c r="BE24" s="51">
        <v>788420</v>
      </c>
      <c r="BF24" s="51">
        <v>842115</v>
      </c>
      <c r="BG24" s="51">
        <v>838810</v>
      </c>
      <c r="BH24" s="51">
        <v>834442</v>
      </c>
      <c r="BI24" s="51">
        <v>761887</v>
      </c>
      <c r="BJ24" s="51">
        <v>748854</v>
      </c>
      <c r="BK24" s="51">
        <v>735965</v>
      </c>
      <c r="BL24" s="51">
        <v>750275</v>
      </c>
      <c r="BM24" s="51">
        <v>786971</v>
      </c>
      <c r="BN24" s="51">
        <v>851441</v>
      </c>
      <c r="BO24" s="51">
        <v>864423</v>
      </c>
      <c r="BP24" s="51">
        <v>863634</v>
      </c>
      <c r="BQ24" s="51">
        <v>894244</v>
      </c>
      <c r="BR24" s="51">
        <v>855102</v>
      </c>
      <c r="BS24" s="51">
        <v>894804</v>
      </c>
      <c r="BT24" s="51">
        <v>801476</v>
      </c>
      <c r="BU24" s="51">
        <v>771556</v>
      </c>
      <c r="BV24" s="51">
        <v>775468</v>
      </c>
      <c r="BW24" s="51">
        <v>777449</v>
      </c>
      <c r="BX24" s="51">
        <v>698261</v>
      </c>
      <c r="BY24" s="51">
        <v>803281</v>
      </c>
      <c r="BZ24" s="51">
        <v>729755</v>
      </c>
      <c r="CA24" s="51">
        <v>835394</v>
      </c>
      <c r="CB24" s="51">
        <v>777912</v>
      </c>
      <c r="CC24" s="51">
        <v>689009</v>
      </c>
      <c r="CD24" s="51">
        <v>640356</v>
      </c>
      <c r="CE24" s="51">
        <v>586676</v>
      </c>
      <c r="CF24" s="51">
        <v>537535</v>
      </c>
      <c r="CG24" s="51">
        <v>536154</v>
      </c>
      <c r="CH24" s="51">
        <v>407461</v>
      </c>
      <c r="CI24" s="51">
        <v>377587</v>
      </c>
      <c r="CJ24" s="51">
        <v>355149</v>
      </c>
      <c r="CK24" s="51">
        <v>266386</v>
      </c>
      <c r="CL24" s="51">
        <v>276794</v>
      </c>
      <c r="CM24" s="51">
        <v>242883</v>
      </c>
      <c r="CN24" s="51">
        <v>221593</v>
      </c>
      <c r="CO24" s="51">
        <v>195739</v>
      </c>
      <c r="CP24" s="51">
        <v>119402</v>
      </c>
      <c r="CQ24" s="51">
        <v>122321</v>
      </c>
      <c r="CR24" s="51">
        <v>102603</v>
      </c>
      <c r="CS24" s="51">
        <v>100300</v>
      </c>
      <c r="CT24" s="51">
        <v>83155</v>
      </c>
      <c r="CU24" s="51">
        <v>56823</v>
      </c>
      <c r="CV24" s="51">
        <v>43341</v>
      </c>
      <c r="CW24" s="51">
        <v>32945</v>
      </c>
      <c r="CX24" s="51">
        <v>22447</v>
      </c>
      <c r="CY24" s="51">
        <v>15859</v>
      </c>
      <c r="CZ24" s="51">
        <v>26863</v>
      </c>
    </row>
    <row r="25" spans="1:104" x14ac:dyDescent="0.3">
      <c r="A25" s="52" t="s">
        <v>59</v>
      </c>
      <c r="B25" s="60">
        <v>2037</v>
      </c>
      <c r="C25" s="51">
        <v>50567057</v>
      </c>
      <c r="D25" s="51">
        <v>279182</v>
      </c>
      <c r="E25" s="51">
        <v>277009</v>
      </c>
      <c r="F25" s="51">
        <v>275487</v>
      </c>
      <c r="G25" s="51">
        <v>273453</v>
      </c>
      <c r="H25" s="51">
        <v>270336</v>
      </c>
      <c r="I25" s="51">
        <v>265908</v>
      </c>
      <c r="J25" s="51">
        <v>260210</v>
      </c>
      <c r="K25" s="51">
        <v>253337</v>
      </c>
      <c r="L25" s="51">
        <v>245270</v>
      </c>
      <c r="M25" s="51">
        <v>236096</v>
      </c>
      <c r="N25" s="51">
        <v>226065</v>
      </c>
      <c r="O25" s="51">
        <v>215529</v>
      </c>
      <c r="P25" s="51">
        <v>215856</v>
      </c>
      <c r="Q25" s="51">
        <v>227493</v>
      </c>
      <c r="R25" s="51">
        <v>242341</v>
      </c>
      <c r="S25" s="51">
        <v>256555</v>
      </c>
      <c r="T25" s="51">
        <v>271366</v>
      </c>
      <c r="U25" s="51">
        <v>292119</v>
      </c>
      <c r="V25" s="51">
        <v>322439</v>
      </c>
      <c r="W25" s="51">
        <v>355519</v>
      </c>
      <c r="X25" s="51">
        <v>398419</v>
      </c>
      <c r="Y25" s="51">
        <v>446516</v>
      </c>
      <c r="Z25" s="51">
        <v>464120</v>
      </c>
      <c r="AA25" s="51">
        <v>462785</v>
      </c>
      <c r="AB25" s="51">
        <v>495468</v>
      </c>
      <c r="AC25" s="51">
        <v>509071</v>
      </c>
      <c r="AD25" s="51">
        <v>522238</v>
      </c>
      <c r="AE25" s="51">
        <v>489935</v>
      </c>
      <c r="AF25" s="51">
        <v>498655</v>
      </c>
      <c r="AG25" s="51">
        <v>533395</v>
      </c>
      <c r="AH25" s="51">
        <v>506255</v>
      </c>
      <c r="AI25" s="51">
        <v>487722</v>
      </c>
      <c r="AJ25" s="51">
        <v>499898</v>
      </c>
      <c r="AK25" s="51">
        <v>537128</v>
      </c>
      <c r="AL25" s="51">
        <v>538707</v>
      </c>
      <c r="AM25" s="51">
        <v>569010</v>
      </c>
      <c r="AN25" s="51">
        <v>651468</v>
      </c>
      <c r="AO25" s="51">
        <v>675252</v>
      </c>
      <c r="AP25" s="51">
        <v>665947</v>
      </c>
      <c r="AQ25" s="51">
        <v>698327</v>
      </c>
      <c r="AR25" s="51">
        <v>711485</v>
      </c>
      <c r="AS25" s="51">
        <v>731361</v>
      </c>
      <c r="AT25" s="51">
        <v>729194</v>
      </c>
      <c r="AU25" s="51">
        <v>737229</v>
      </c>
      <c r="AV25" s="51">
        <v>749373</v>
      </c>
      <c r="AW25" s="51">
        <v>742687</v>
      </c>
      <c r="AX25" s="51">
        <v>684880</v>
      </c>
      <c r="AY25" s="51">
        <v>676039</v>
      </c>
      <c r="AZ25" s="51">
        <v>659995</v>
      </c>
      <c r="BA25" s="51">
        <v>643849</v>
      </c>
      <c r="BB25" s="51">
        <v>653701</v>
      </c>
      <c r="BC25" s="51">
        <v>670899</v>
      </c>
      <c r="BD25" s="51">
        <v>668120</v>
      </c>
      <c r="BE25" s="51">
        <v>720171</v>
      </c>
      <c r="BF25" s="51">
        <v>788063</v>
      </c>
      <c r="BG25" s="51">
        <v>841446</v>
      </c>
      <c r="BH25" s="51">
        <v>837686</v>
      </c>
      <c r="BI25" s="51">
        <v>832755</v>
      </c>
      <c r="BJ25" s="51">
        <v>760070</v>
      </c>
      <c r="BK25" s="51">
        <v>746876</v>
      </c>
      <c r="BL25" s="51">
        <v>734700</v>
      </c>
      <c r="BM25" s="51">
        <v>749051</v>
      </c>
      <c r="BN25" s="51">
        <v>784684</v>
      </c>
      <c r="BO25" s="51">
        <v>848499</v>
      </c>
      <c r="BP25" s="51">
        <v>860956</v>
      </c>
      <c r="BQ25" s="51">
        <v>859742</v>
      </c>
      <c r="BR25" s="51">
        <v>889859</v>
      </c>
      <c r="BS25" s="51">
        <v>850634</v>
      </c>
      <c r="BT25" s="51">
        <v>889793</v>
      </c>
      <c r="BU25" s="51">
        <v>796539</v>
      </c>
      <c r="BV25" s="51">
        <v>766335</v>
      </c>
      <c r="BW25" s="51">
        <v>769642</v>
      </c>
      <c r="BX25" s="51">
        <v>771027</v>
      </c>
      <c r="BY25" s="51">
        <v>691862</v>
      </c>
      <c r="BZ25" s="51">
        <v>794940</v>
      </c>
      <c r="CA25" s="51">
        <v>721128</v>
      </c>
      <c r="CB25" s="51">
        <v>823911</v>
      </c>
      <c r="CC25" s="51">
        <v>765379</v>
      </c>
      <c r="CD25" s="51">
        <v>675849</v>
      </c>
      <c r="CE25" s="51">
        <v>625869</v>
      </c>
      <c r="CF25" s="51">
        <v>571128</v>
      </c>
      <c r="CG25" s="51">
        <v>520892</v>
      </c>
      <c r="CH25" s="51">
        <v>516807</v>
      </c>
      <c r="CI25" s="51">
        <v>390398</v>
      </c>
      <c r="CJ25" s="51">
        <v>359316</v>
      </c>
      <c r="CK25" s="51">
        <v>335350</v>
      </c>
      <c r="CL25" s="51">
        <v>249365</v>
      </c>
      <c r="CM25" s="51">
        <v>256543</v>
      </c>
      <c r="CN25" s="51">
        <v>222671</v>
      </c>
      <c r="CO25" s="51">
        <v>200694</v>
      </c>
      <c r="CP25" s="51">
        <v>174942</v>
      </c>
      <c r="CQ25" s="51">
        <v>105132</v>
      </c>
      <c r="CR25" s="51">
        <v>106017</v>
      </c>
      <c r="CS25" s="51">
        <v>87406</v>
      </c>
      <c r="CT25" s="51">
        <v>83785</v>
      </c>
      <c r="CU25" s="51">
        <v>68031</v>
      </c>
      <c r="CV25" s="51">
        <v>45464</v>
      </c>
      <c r="CW25" s="51">
        <v>33852</v>
      </c>
      <c r="CX25" s="51">
        <v>25076</v>
      </c>
      <c r="CY25" s="51">
        <v>16623</v>
      </c>
      <c r="CZ25" s="51">
        <v>29401</v>
      </c>
    </row>
    <row r="26" spans="1:104" x14ac:dyDescent="0.3">
      <c r="A26" s="52" t="s">
        <v>59</v>
      </c>
      <c r="B26" s="60">
        <v>2038</v>
      </c>
      <c r="C26" s="51">
        <v>50417167</v>
      </c>
      <c r="D26" s="51">
        <v>275912</v>
      </c>
      <c r="E26" s="51">
        <v>278147</v>
      </c>
      <c r="F26" s="51">
        <v>276890</v>
      </c>
      <c r="G26" s="51">
        <v>275442</v>
      </c>
      <c r="H26" s="51">
        <v>273215</v>
      </c>
      <c r="I26" s="51">
        <v>269925</v>
      </c>
      <c r="J26" s="51">
        <v>265525</v>
      </c>
      <c r="K26" s="51">
        <v>260008</v>
      </c>
      <c r="L26" s="51">
        <v>253237</v>
      </c>
      <c r="M26" s="51">
        <v>245184</v>
      </c>
      <c r="N26" s="51">
        <v>236002</v>
      </c>
      <c r="O26" s="51">
        <v>226142</v>
      </c>
      <c r="P26" s="51">
        <v>215815</v>
      </c>
      <c r="Q26" s="51">
        <v>216003</v>
      </c>
      <c r="R26" s="51">
        <v>227453</v>
      </c>
      <c r="S26" s="51">
        <v>242138</v>
      </c>
      <c r="T26" s="51">
        <v>256561</v>
      </c>
      <c r="U26" s="51">
        <v>272420</v>
      </c>
      <c r="V26" s="51">
        <v>295918</v>
      </c>
      <c r="W26" s="51">
        <v>328527</v>
      </c>
      <c r="X26" s="51">
        <v>361519</v>
      </c>
      <c r="Y26" s="51">
        <v>403409</v>
      </c>
      <c r="Z26" s="51">
        <v>451993</v>
      </c>
      <c r="AA26" s="51">
        <v>470586</v>
      </c>
      <c r="AB26" s="51">
        <v>468104</v>
      </c>
      <c r="AC26" s="51">
        <v>500255</v>
      </c>
      <c r="AD26" s="51">
        <v>513631</v>
      </c>
      <c r="AE26" s="51">
        <v>525458</v>
      </c>
      <c r="AF26" s="51">
        <v>492009</v>
      </c>
      <c r="AG26" s="51">
        <v>499898</v>
      </c>
      <c r="AH26" s="51">
        <v>534129</v>
      </c>
      <c r="AI26" s="51">
        <v>506672</v>
      </c>
      <c r="AJ26" s="51">
        <v>487777</v>
      </c>
      <c r="AK26" s="51">
        <v>499525</v>
      </c>
      <c r="AL26" s="51">
        <v>536549</v>
      </c>
      <c r="AM26" s="51">
        <v>538084</v>
      </c>
      <c r="AN26" s="51">
        <v>568286</v>
      </c>
      <c r="AO26" s="51">
        <v>650780</v>
      </c>
      <c r="AP26" s="51">
        <v>674644</v>
      </c>
      <c r="AQ26" s="51">
        <v>665327</v>
      </c>
      <c r="AR26" s="51">
        <v>697832</v>
      </c>
      <c r="AS26" s="51">
        <v>711160</v>
      </c>
      <c r="AT26" s="51">
        <v>731213</v>
      </c>
      <c r="AU26" s="51">
        <v>729307</v>
      </c>
      <c r="AV26" s="51">
        <v>737532</v>
      </c>
      <c r="AW26" s="51">
        <v>749892</v>
      </c>
      <c r="AX26" s="51">
        <v>743345</v>
      </c>
      <c r="AY26" s="51">
        <v>685680</v>
      </c>
      <c r="AZ26" s="51">
        <v>676753</v>
      </c>
      <c r="BA26" s="51">
        <v>660290</v>
      </c>
      <c r="BB26" s="51">
        <v>644082</v>
      </c>
      <c r="BC26" s="51">
        <v>653971</v>
      </c>
      <c r="BD26" s="51">
        <v>670926</v>
      </c>
      <c r="BE26" s="51">
        <v>668045</v>
      </c>
      <c r="BF26" s="51">
        <v>719909</v>
      </c>
      <c r="BG26" s="51">
        <v>787511</v>
      </c>
      <c r="BH26" s="51">
        <v>840376</v>
      </c>
      <c r="BI26" s="51">
        <v>836073</v>
      </c>
      <c r="BJ26" s="51">
        <v>830871</v>
      </c>
      <c r="BK26" s="51">
        <v>758133</v>
      </c>
      <c r="BL26" s="51">
        <v>745652</v>
      </c>
      <c r="BM26" s="51">
        <v>733559</v>
      </c>
      <c r="BN26" s="51">
        <v>746915</v>
      </c>
      <c r="BO26" s="51">
        <v>782010</v>
      </c>
      <c r="BP26" s="51">
        <v>845178</v>
      </c>
      <c r="BQ26" s="51">
        <v>857188</v>
      </c>
      <c r="BR26" s="51">
        <v>855615</v>
      </c>
      <c r="BS26" s="51">
        <v>885352</v>
      </c>
      <c r="BT26" s="51">
        <v>845985</v>
      </c>
      <c r="BU26" s="51">
        <v>884504</v>
      </c>
      <c r="BV26" s="51">
        <v>791340</v>
      </c>
      <c r="BW26" s="51">
        <v>760752</v>
      </c>
      <c r="BX26" s="51">
        <v>763446</v>
      </c>
      <c r="BY26" s="51">
        <v>764153</v>
      </c>
      <c r="BZ26" s="51">
        <v>684905</v>
      </c>
      <c r="CA26" s="51">
        <v>785717</v>
      </c>
      <c r="CB26" s="51">
        <v>711421</v>
      </c>
      <c r="CC26" s="51">
        <v>810928</v>
      </c>
      <c r="CD26" s="51">
        <v>751131</v>
      </c>
      <c r="CE26" s="51">
        <v>660924</v>
      </c>
      <c r="CF26" s="51">
        <v>609576</v>
      </c>
      <c r="CG26" s="51">
        <v>553748</v>
      </c>
      <c r="CH26" s="51">
        <v>502403</v>
      </c>
      <c r="CI26" s="51">
        <v>495508</v>
      </c>
      <c r="CJ26" s="51">
        <v>371789</v>
      </c>
      <c r="CK26" s="51">
        <v>339577</v>
      </c>
      <c r="CL26" s="51">
        <v>314164</v>
      </c>
      <c r="CM26" s="51">
        <v>231341</v>
      </c>
      <c r="CN26" s="51">
        <v>235418</v>
      </c>
      <c r="CO26" s="51">
        <v>201881</v>
      </c>
      <c r="CP26" s="51">
        <v>179528</v>
      </c>
      <c r="CQ26" s="51">
        <v>154223</v>
      </c>
      <c r="CR26" s="51">
        <v>91175</v>
      </c>
      <c r="CS26" s="51">
        <v>90370</v>
      </c>
      <c r="CT26" s="51">
        <v>73117</v>
      </c>
      <c r="CU26" s="51">
        <v>68615</v>
      </c>
      <c r="CV26" s="51">
        <v>54475</v>
      </c>
      <c r="CW26" s="51">
        <v>35542</v>
      </c>
      <c r="CX26" s="51">
        <v>25793</v>
      </c>
      <c r="CY26" s="51">
        <v>18590</v>
      </c>
      <c r="CZ26" s="51">
        <v>31659</v>
      </c>
    </row>
    <row r="27" spans="1:104" x14ac:dyDescent="0.3">
      <c r="A27" s="52" t="s">
        <v>59</v>
      </c>
      <c r="B27" s="60">
        <v>2039</v>
      </c>
      <c r="C27" s="51">
        <v>50247657</v>
      </c>
      <c r="D27" s="51">
        <v>268868</v>
      </c>
      <c r="E27" s="51">
        <v>274890</v>
      </c>
      <c r="F27" s="51">
        <v>278025</v>
      </c>
      <c r="G27" s="51">
        <v>276843</v>
      </c>
      <c r="H27" s="51">
        <v>275200</v>
      </c>
      <c r="I27" s="51">
        <v>272798</v>
      </c>
      <c r="J27" s="51">
        <v>269535</v>
      </c>
      <c r="K27" s="51">
        <v>265315</v>
      </c>
      <c r="L27" s="51">
        <v>259898</v>
      </c>
      <c r="M27" s="51">
        <v>253139</v>
      </c>
      <c r="N27" s="51">
        <v>245075</v>
      </c>
      <c r="O27" s="51">
        <v>236072</v>
      </c>
      <c r="P27" s="51">
        <v>226428</v>
      </c>
      <c r="Q27" s="51">
        <v>215968</v>
      </c>
      <c r="R27" s="51">
        <v>215978</v>
      </c>
      <c r="S27" s="51">
        <v>227279</v>
      </c>
      <c r="T27" s="51">
        <v>242170</v>
      </c>
      <c r="U27" s="51">
        <v>257610</v>
      </c>
      <c r="V27" s="51">
        <v>276230</v>
      </c>
      <c r="W27" s="51">
        <v>302079</v>
      </c>
      <c r="X27" s="51">
        <v>334678</v>
      </c>
      <c r="Y27" s="51">
        <v>366675</v>
      </c>
      <c r="Z27" s="51">
        <v>408964</v>
      </c>
      <c r="AA27" s="51">
        <v>458470</v>
      </c>
      <c r="AB27" s="51">
        <v>475893</v>
      </c>
      <c r="AC27" s="51">
        <v>472873</v>
      </c>
      <c r="AD27" s="51">
        <v>504800</v>
      </c>
      <c r="AE27" s="51">
        <v>516872</v>
      </c>
      <c r="AF27" s="51">
        <v>527547</v>
      </c>
      <c r="AG27" s="51">
        <v>493248</v>
      </c>
      <c r="AH27" s="51">
        <v>500646</v>
      </c>
      <c r="AI27" s="51">
        <v>534558</v>
      </c>
      <c r="AJ27" s="51">
        <v>506730</v>
      </c>
      <c r="AK27" s="51">
        <v>487405</v>
      </c>
      <c r="AL27" s="51">
        <v>498958</v>
      </c>
      <c r="AM27" s="51">
        <v>535931</v>
      </c>
      <c r="AN27" s="51">
        <v>537372</v>
      </c>
      <c r="AO27" s="51">
        <v>567634</v>
      </c>
      <c r="AP27" s="51">
        <v>650192</v>
      </c>
      <c r="AQ27" s="51">
        <v>674031</v>
      </c>
      <c r="AR27" s="51">
        <v>664857</v>
      </c>
      <c r="AS27" s="51">
        <v>697521</v>
      </c>
      <c r="AT27" s="51">
        <v>711036</v>
      </c>
      <c r="AU27" s="51">
        <v>731341</v>
      </c>
      <c r="AV27" s="51">
        <v>729627</v>
      </c>
      <c r="AW27" s="51">
        <v>738079</v>
      </c>
      <c r="AX27" s="51">
        <v>750594</v>
      </c>
      <c r="AY27" s="51">
        <v>744148</v>
      </c>
      <c r="AZ27" s="51">
        <v>686423</v>
      </c>
      <c r="BA27" s="51">
        <v>677070</v>
      </c>
      <c r="BB27" s="51">
        <v>660533</v>
      </c>
      <c r="BC27" s="51">
        <v>644379</v>
      </c>
      <c r="BD27" s="51">
        <v>654047</v>
      </c>
      <c r="BE27" s="51">
        <v>670859</v>
      </c>
      <c r="BF27" s="51">
        <v>667847</v>
      </c>
      <c r="BG27" s="51">
        <v>719463</v>
      </c>
      <c r="BH27" s="51">
        <v>786571</v>
      </c>
      <c r="BI27" s="51">
        <v>838821</v>
      </c>
      <c r="BJ27" s="51">
        <v>834272</v>
      </c>
      <c r="BK27" s="51">
        <v>828871</v>
      </c>
      <c r="BL27" s="51">
        <v>756956</v>
      </c>
      <c r="BM27" s="51">
        <v>744559</v>
      </c>
      <c r="BN27" s="51">
        <v>731515</v>
      </c>
      <c r="BO27" s="51">
        <v>744405</v>
      </c>
      <c r="BP27" s="51">
        <v>778977</v>
      </c>
      <c r="BQ27" s="51">
        <v>841571</v>
      </c>
      <c r="BR27" s="51">
        <v>853201</v>
      </c>
      <c r="BS27" s="51">
        <v>851391</v>
      </c>
      <c r="BT27" s="51">
        <v>880668</v>
      </c>
      <c r="BU27" s="51">
        <v>841095</v>
      </c>
      <c r="BV27" s="51">
        <v>878927</v>
      </c>
      <c r="BW27" s="51">
        <v>785779</v>
      </c>
      <c r="BX27" s="51">
        <v>754819</v>
      </c>
      <c r="BY27" s="51">
        <v>756813</v>
      </c>
      <c r="BZ27" s="51">
        <v>756676</v>
      </c>
      <c r="CA27" s="51">
        <v>677206</v>
      </c>
      <c r="CB27" s="51">
        <v>775340</v>
      </c>
      <c r="CC27" s="51">
        <v>700446</v>
      </c>
      <c r="CD27" s="51">
        <v>796151</v>
      </c>
      <c r="CE27" s="51">
        <v>734947</v>
      </c>
      <c r="CF27" s="51">
        <v>644115</v>
      </c>
      <c r="CG27" s="51">
        <v>591338</v>
      </c>
      <c r="CH27" s="51">
        <v>534412</v>
      </c>
      <c r="CI27" s="51">
        <v>482021</v>
      </c>
      <c r="CJ27" s="51">
        <v>472242</v>
      </c>
      <c r="CK27" s="51">
        <v>351647</v>
      </c>
      <c r="CL27" s="51">
        <v>318409</v>
      </c>
      <c r="CM27" s="51">
        <v>291693</v>
      </c>
      <c r="CN27" s="51">
        <v>212502</v>
      </c>
      <c r="CO27" s="51">
        <v>213650</v>
      </c>
      <c r="CP27" s="51">
        <v>180785</v>
      </c>
      <c r="CQ27" s="51">
        <v>158410</v>
      </c>
      <c r="CR27" s="51">
        <v>133918</v>
      </c>
      <c r="CS27" s="51">
        <v>77767</v>
      </c>
      <c r="CT27" s="51">
        <v>75644</v>
      </c>
      <c r="CU27" s="51">
        <v>59965</v>
      </c>
      <c r="CV27" s="51">
        <v>54999</v>
      </c>
      <c r="CW27" s="51">
        <v>42623</v>
      </c>
      <c r="CX27" s="51">
        <v>27105</v>
      </c>
      <c r="CY27" s="51">
        <v>19142</v>
      </c>
      <c r="CZ27" s="51">
        <v>34592</v>
      </c>
    </row>
    <row r="28" spans="1:104" x14ac:dyDescent="0.3">
      <c r="A28" s="52" t="s">
        <v>59</v>
      </c>
      <c r="B28" s="60">
        <v>2040</v>
      </c>
      <c r="C28" s="51">
        <v>50059218</v>
      </c>
      <c r="D28" s="51">
        <v>262983</v>
      </c>
      <c r="E28" s="51">
        <v>267883</v>
      </c>
      <c r="F28" s="51">
        <v>274774</v>
      </c>
      <c r="G28" s="51">
        <v>277976</v>
      </c>
      <c r="H28" s="51">
        <v>276598</v>
      </c>
      <c r="I28" s="51">
        <v>274779</v>
      </c>
      <c r="J28" s="51">
        <v>272402</v>
      </c>
      <c r="K28" s="51">
        <v>269318</v>
      </c>
      <c r="L28" s="51">
        <v>265198</v>
      </c>
      <c r="M28" s="51">
        <v>259790</v>
      </c>
      <c r="N28" s="51">
        <v>253017</v>
      </c>
      <c r="O28" s="51">
        <v>245139</v>
      </c>
      <c r="P28" s="51">
        <v>236361</v>
      </c>
      <c r="Q28" s="51">
        <v>226583</v>
      </c>
      <c r="R28" s="51">
        <v>215950</v>
      </c>
      <c r="S28" s="51">
        <v>215830</v>
      </c>
      <c r="T28" s="51">
        <v>227336</v>
      </c>
      <c r="U28" s="51">
        <v>243218</v>
      </c>
      <c r="V28" s="51">
        <v>261428</v>
      </c>
      <c r="W28" s="51">
        <v>282454</v>
      </c>
      <c r="X28" s="51">
        <v>308350</v>
      </c>
      <c r="Y28" s="51">
        <v>339963</v>
      </c>
      <c r="Z28" s="51">
        <v>372298</v>
      </c>
      <c r="AA28" s="51">
        <v>415462</v>
      </c>
      <c r="AB28" s="51">
        <v>463792</v>
      </c>
      <c r="AC28" s="51">
        <v>480630</v>
      </c>
      <c r="AD28" s="51">
        <v>477379</v>
      </c>
      <c r="AE28" s="51">
        <v>508031</v>
      </c>
      <c r="AF28" s="51">
        <v>518976</v>
      </c>
      <c r="AG28" s="51">
        <v>528794</v>
      </c>
      <c r="AH28" s="51">
        <v>493993</v>
      </c>
      <c r="AI28" s="51">
        <v>501091</v>
      </c>
      <c r="AJ28" s="51">
        <v>534630</v>
      </c>
      <c r="AK28" s="51">
        <v>506362</v>
      </c>
      <c r="AL28" s="51">
        <v>486840</v>
      </c>
      <c r="AM28" s="51">
        <v>498353</v>
      </c>
      <c r="AN28" s="51">
        <v>535224</v>
      </c>
      <c r="AO28" s="51">
        <v>536732</v>
      </c>
      <c r="AP28" s="51">
        <v>567084</v>
      </c>
      <c r="AQ28" s="51">
        <v>649600</v>
      </c>
      <c r="AR28" s="51">
        <v>673565</v>
      </c>
      <c r="AS28" s="51">
        <v>664568</v>
      </c>
      <c r="AT28" s="51">
        <v>697410</v>
      </c>
      <c r="AU28" s="51">
        <v>711188</v>
      </c>
      <c r="AV28" s="51">
        <v>731676</v>
      </c>
      <c r="AW28" s="51">
        <v>730190</v>
      </c>
      <c r="AX28" s="51">
        <v>738809</v>
      </c>
      <c r="AY28" s="51">
        <v>751443</v>
      </c>
      <c r="AZ28" s="51">
        <v>744893</v>
      </c>
      <c r="BA28" s="51">
        <v>686770</v>
      </c>
      <c r="BB28" s="51">
        <v>677335</v>
      </c>
      <c r="BC28" s="51">
        <v>660840</v>
      </c>
      <c r="BD28" s="51">
        <v>644483</v>
      </c>
      <c r="BE28" s="51">
        <v>654031</v>
      </c>
      <c r="BF28" s="51">
        <v>670669</v>
      </c>
      <c r="BG28" s="51">
        <v>667473</v>
      </c>
      <c r="BH28" s="51">
        <v>718635</v>
      </c>
      <c r="BI28" s="51">
        <v>785149</v>
      </c>
      <c r="BJ28" s="51">
        <v>837077</v>
      </c>
      <c r="BK28" s="51">
        <v>832355</v>
      </c>
      <c r="BL28" s="51">
        <v>827626</v>
      </c>
      <c r="BM28" s="51">
        <v>755911</v>
      </c>
      <c r="BN28" s="51">
        <v>742563</v>
      </c>
      <c r="BO28" s="51">
        <v>729100</v>
      </c>
      <c r="BP28" s="51">
        <v>741545</v>
      </c>
      <c r="BQ28" s="51">
        <v>775675</v>
      </c>
      <c r="BR28" s="51">
        <v>837755</v>
      </c>
      <c r="BS28" s="51">
        <v>849124</v>
      </c>
      <c r="BT28" s="51">
        <v>847003</v>
      </c>
      <c r="BU28" s="51">
        <v>875733</v>
      </c>
      <c r="BV28" s="51">
        <v>835937</v>
      </c>
      <c r="BW28" s="51">
        <v>872947</v>
      </c>
      <c r="BX28" s="51">
        <v>779868</v>
      </c>
      <c r="BY28" s="51">
        <v>748473</v>
      </c>
      <c r="BZ28" s="51">
        <v>749602</v>
      </c>
      <c r="CA28" s="51">
        <v>748409</v>
      </c>
      <c r="CB28" s="51">
        <v>668539</v>
      </c>
      <c r="CC28" s="51">
        <v>763603</v>
      </c>
      <c r="CD28" s="51">
        <v>687936</v>
      </c>
      <c r="CE28" s="51">
        <v>779358</v>
      </c>
      <c r="CF28" s="51">
        <v>716704</v>
      </c>
      <c r="CG28" s="51">
        <v>625275</v>
      </c>
      <c r="CH28" s="51">
        <v>571026</v>
      </c>
      <c r="CI28" s="51">
        <v>513069</v>
      </c>
      <c r="CJ28" s="51">
        <v>459724</v>
      </c>
      <c r="CK28" s="51">
        <v>447019</v>
      </c>
      <c r="CL28" s="51">
        <v>330016</v>
      </c>
      <c r="CM28" s="51">
        <v>295921</v>
      </c>
      <c r="CN28" s="51">
        <v>268175</v>
      </c>
      <c r="CO28" s="51">
        <v>193058</v>
      </c>
      <c r="CP28" s="51">
        <v>191527</v>
      </c>
      <c r="CQ28" s="51">
        <v>159701</v>
      </c>
      <c r="CR28" s="51">
        <v>137684</v>
      </c>
      <c r="CS28" s="51">
        <v>114374</v>
      </c>
      <c r="CT28" s="51">
        <v>65136</v>
      </c>
      <c r="CU28" s="51">
        <v>62078</v>
      </c>
      <c r="CV28" s="51">
        <v>48135</v>
      </c>
      <c r="CW28" s="51">
        <v>43077</v>
      </c>
      <c r="CX28" s="51">
        <v>32533</v>
      </c>
      <c r="CY28" s="51">
        <v>20133</v>
      </c>
      <c r="CZ28" s="51">
        <v>36986</v>
      </c>
    </row>
    <row r="29" spans="1:104" x14ac:dyDescent="0.3">
      <c r="A29" s="52" t="s">
        <v>59</v>
      </c>
      <c r="B29" s="60">
        <v>2041</v>
      </c>
      <c r="C29" s="51">
        <v>49851637</v>
      </c>
      <c r="D29" s="51">
        <v>258177</v>
      </c>
      <c r="E29" s="51">
        <v>262036</v>
      </c>
      <c r="F29" s="51">
        <v>267784</v>
      </c>
      <c r="G29" s="51">
        <v>274727</v>
      </c>
      <c r="H29" s="51">
        <v>277729</v>
      </c>
      <c r="I29" s="51">
        <v>276174</v>
      </c>
      <c r="J29" s="51">
        <v>274379</v>
      </c>
      <c r="K29" s="51">
        <v>272181</v>
      </c>
      <c r="L29" s="51">
        <v>269194</v>
      </c>
      <c r="M29" s="51">
        <v>265082</v>
      </c>
      <c r="N29" s="51">
        <v>259658</v>
      </c>
      <c r="O29" s="51">
        <v>253075</v>
      </c>
      <c r="P29" s="51">
        <v>245430</v>
      </c>
      <c r="Q29" s="51">
        <v>236513</v>
      </c>
      <c r="R29" s="51">
        <v>226560</v>
      </c>
      <c r="S29" s="51">
        <v>215817</v>
      </c>
      <c r="T29" s="51">
        <v>215908</v>
      </c>
      <c r="U29" s="51">
        <v>228383</v>
      </c>
      <c r="V29" s="51">
        <v>247041</v>
      </c>
      <c r="W29" s="51">
        <v>267700</v>
      </c>
      <c r="X29" s="51">
        <v>288829</v>
      </c>
      <c r="Y29" s="51">
        <v>313744</v>
      </c>
      <c r="Z29" s="51">
        <v>345639</v>
      </c>
      <c r="AA29" s="51">
        <v>378821</v>
      </c>
      <c r="AB29" s="51">
        <v>420796</v>
      </c>
      <c r="AC29" s="51">
        <v>468539</v>
      </c>
      <c r="AD29" s="51">
        <v>485122</v>
      </c>
      <c r="AE29" s="51">
        <v>480587</v>
      </c>
      <c r="AF29" s="51">
        <v>510132</v>
      </c>
      <c r="AG29" s="51">
        <v>520235</v>
      </c>
      <c r="AH29" s="51">
        <v>529541</v>
      </c>
      <c r="AI29" s="51">
        <v>494431</v>
      </c>
      <c r="AJ29" s="51">
        <v>501175</v>
      </c>
      <c r="AK29" s="51">
        <v>534271</v>
      </c>
      <c r="AL29" s="51">
        <v>505797</v>
      </c>
      <c r="AM29" s="51">
        <v>486240</v>
      </c>
      <c r="AN29" s="51">
        <v>497661</v>
      </c>
      <c r="AO29" s="51">
        <v>534590</v>
      </c>
      <c r="AP29" s="51">
        <v>536193</v>
      </c>
      <c r="AQ29" s="51">
        <v>566528</v>
      </c>
      <c r="AR29" s="51">
        <v>649154</v>
      </c>
      <c r="AS29" s="51">
        <v>673276</v>
      </c>
      <c r="AT29" s="51">
        <v>664476</v>
      </c>
      <c r="AU29" s="51">
        <v>697572</v>
      </c>
      <c r="AV29" s="51">
        <v>711545</v>
      </c>
      <c r="AW29" s="51">
        <v>732253</v>
      </c>
      <c r="AX29" s="51">
        <v>730936</v>
      </c>
      <c r="AY29" s="51">
        <v>739687</v>
      </c>
      <c r="AZ29" s="51">
        <v>752232</v>
      </c>
      <c r="BA29" s="51">
        <v>745236</v>
      </c>
      <c r="BB29" s="51">
        <v>687063</v>
      </c>
      <c r="BC29" s="51">
        <v>677660</v>
      </c>
      <c r="BD29" s="51">
        <v>660950</v>
      </c>
      <c r="BE29" s="51">
        <v>644494</v>
      </c>
      <c r="BF29" s="51">
        <v>653891</v>
      </c>
      <c r="BG29" s="51">
        <v>670303</v>
      </c>
      <c r="BH29" s="51">
        <v>666720</v>
      </c>
      <c r="BI29" s="51">
        <v>717331</v>
      </c>
      <c r="BJ29" s="51">
        <v>783543</v>
      </c>
      <c r="BK29" s="51">
        <v>835215</v>
      </c>
      <c r="BL29" s="51">
        <v>831189</v>
      </c>
      <c r="BM29" s="51">
        <v>826501</v>
      </c>
      <c r="BN29" s="51">
        <v>753956</v>
      </c>
      <c r="BO29" s="51">
        <v>740190</v>
      </c>
      <c r="BP29" s="51">
        <v>726333</v>
      </c>
      <c r="BQ29" s="51">
        <v>738425</v>
      </c>
      <c r="BR29" s="51">
        <v>772182</v>
      </c>
      <c r="BS29" s="51">
        <v>833850</v>
      </c>
      <c r="BT29" s="51">
        <v>844883</v>
      </c>
      <c r="BU29" s="51">
        <v>842374</v>
      </c>
      <c r="BV29" s="51">
        <v>870511</v>
      </c>
      <c r="BW29" s="51">
        <v>830395</v>
      </c>
      <c r="BX29" s="51">
        <v>866558</v>
      </c>
      <c r="BY29" s="51">
        <v>773521</v>
      </c>
      <c r="BZ29" s="51">
        <v>741549</v>
      </c>
      <c r="CA29" s="51">
        <v>741597</v>
      </c>
      <c r="CB29" s="51">
        <v>739071</v>
      </c>
      <c r="CC29" s="51">
        <v>658705</v>
      </c>
      <c r="CD29" s="51">
        <v>750194</v>
      </c>
      <c r="CE29" s="51">
        <v>673678</v>
      </c>
      <c r="CF29" s="51">
        <v>760361</v>
      </c>
      <c r="CG29" s="51">
        <v>696180</v>
      </c>
      <c r="CH29" s="51">
        <v>604212</v>
      </c>
      <c r="CI29" s="51">
        <v>548528</v>
      </c>
      <c r="CJ29" s="51">
        <v>489646</v>
      </c>
      <c r="CK29" s="51">
        <v>435476</v>
      </c>
      <c r="CL29" s="51">
        <v>419848</v>
      </c>
      <c r="CM29" s="51">
        <v>306965</v>
      </c>
      <c r="CN29" s="51">
        <v>272314</v>
      </c>
      <c r="CO29" s="51">
        <v>243836</v>
      </c>
      <c r="CP29" s="51">
        <v>173241</v>
      </c>
      <c r="CQ29" s="51">
        <v>169356</v>
      </c>
      <c r="CR29" s="51">
        <v>138954</v>
      </c>
      <c r="CS29" s="51">
        <v>117690</v>
      </c>
      <c r="CT29" s="51">
        <v>95915</v>
      </c>
      <c r="CU29" s="51">
        <v>53482</v>
      </c>
      <c r="CV29" s="51">
        <v>49858</v>
      </c>
      <c r="CW29" s="51">
        <v>37751</v>
      </c>
      <c r="CX29" s="51">
        <v>32909</v>
      </c>
      <c r="CY29" s="51">
        <v>24182</v>
      </c>
      <c r="CZ29" s="51">
        <v>39315</v>
      </c>
    </row>
    <row r="30" spans="1:104" x14ac:dyDescent="0.3">
      <c r="A30" s="52" t="s">
        <v>59</v>
      </c>
      <c r="B30" s="60">
        <v>2042</v>
      </c>
      <c r="C30" s="51">
        <v>49625415</v>
      </c>
      <c r="D30" s="51">
        <v>254280</v>
      </c>
      <c r="E30" s="51">
        <v>257262</v>
      </c>
      <c r="F30" s="51">
        <v>261955</v>
      </c>
      <c r="G30" s="51">
        <v>267748</v>
      </c>
      <c r="H30" s="51">
        <v>274483</v>
      </c>
      <c r="I30" s="51">
        <v>277303</v>
      </c>
      <c r="J30" s="51">
        <v>275772</v>
      </c>
      <c r="K30" s="51">
        <v>274154</v>
      </c>
      <c r="L30" s="51">
        <v>272053</v>
      </c>
      <c r="M30" s="51">
        <v>269072</v>
      </c>
      <c r="N30" s="51">
        <v>264941</v>
      </c>
      <c r="O30" s="51">
        <v>259711</v>
      </c>
      <c r="P30" s="51">
        <v>253369</v>
      </c>
      <c r="Q30" s="51">
        <v>245578</v>
      </c>
      <c r="R30" s="51">
        <v>236479</v>
      </c>
      <c r="S30" s="51">
        <v>226422</v>
      </c>
      <c r="T30" s="51">
        <v>215899</v>
      </c>
      <c r="U30" s="51">
        <v>216951</v>
      </c>
      <c r="V30" s="51">
        <v>232209</v>
      </c>
      <c r="W30" s="51">
        <v>253351</v>
      </c>
      <c r="X30" s="51">
        <v>274153</v>
      </c>
      <c r="Y30" s="51">
        <v>294315</v>
      </c>
      <c r="Z30" s="51">
        <v>319471</v>
      </c>
      <c r="AA30" s="51">
        <v>352185</v>
      </c>
      <c r="AB30" s="51">
        <v>384152</v>
      </c>
      <c r="AC30" s="51">
        <v>425516</v>
      </c>
      <c r="AD30" s="51">
        <v>473027</v>
      </c>
      <c r="AE30" s="51">
        <v>488324</v>
      </c>
      <c r="AF30" s="51">
        <v>482678</v>
      </c>
      <c r="AG30" s="51">
        <v>511392</v>
      </c>
      <c r="AH30" s="51">
        <v>520996</v>
      </c>
      <c r="AI30" s="51">
        <v>529981</v>
      </c>
      <c r="AJ30" s="51">
        <v>494507</v>
      </c>
      <c r="AK30" s="51">
        <v>500823</v>
      </c>
      <c r="AL30" s="51">
        <v>533711</v>
      </c>
      <c r="AM30" s="51">
        <v>505198</v>
      </c>
      <c r="AN30" s="51">
        <v>485555</v>
      </c>
      <c r="AO30" s="51">
        <v>497045</v>
      </c>
      <c r="AP30" s="51">
        <v>534057</v>
      </c>
      <c r="AQ30" s="51">
        <v>535648</v>
      </c>
      <c r="AR30" s="51">
        <v>566119</v>
      </c>
      <c r="AS30" s="51">
        <v>648887</v>
      </c>
      <c r="AT30" s="51">
        <v>673187</v>
      </c>
      <c r="AU30" s="51">
        <v>664658</v>
      </c>
      <c r="AV30" s="51">
        <v>697942</v>
      </c>
      <c r="AW30" s="51">
        <v>712148</v>
      </c>
      <c r="AX30" s="51">
        <v>733016</v>
      </c>
      <c r="AY30" s="51">
        <v>731832</v>
      </c>
      <c r="AZ30" s="51">
        <v>740509</v>
      </c>
      <c r="BA30" s="51">
        <v>752623</v>
      </c>
      <c r="BB30" s="51">
        <v>745527</v>
      </c>
      <c r="BC30" s="51">
        <v>687420</v>
      </c>
      <c r="BD30" s="51">
        <v>677793</v>
      </c>
      <c r="BE30" s="51">
        <v>660970</v>
      </c>
      <c r="BF30" s="51">
        <v>644386</v>
      </c>
      <c r="BG30" s="51">
        <v>653581</v>
      </c>
      <c r="BH30" s="51">
        <v>669563</v>
      </c>
      <c r="BI30" s="51">
        <v>665503</v>
      </c>
      <c r="BJ30" s="51">
        <v>715854</v>
      </c>
      <c r="BK30" s="51">
        <v>781827</v>
      </c>
      <c r="BL30" s="51">
        <v>834112</v>
      </c>
      <c r="BM30" s="51">
        <v>830148</v>
      </c>
      <c r="BN30" s="51">
        <v>824463</v>
      </c>
      <c r="BO30" s="51">
        <v>751631</v>
      </c>
      <c r="BP30" s="51">
        <v>737472</v>
      </c>
      <c r="BQ30" s="51">
        <v>723321</v>
      </c>
      <c r="BR30" s="51">
        <v>735139</v>
      </c>
      <c r="BS30" s="51">
        <v>768632</v>
      </c>
      <c r="BT30" s="51">
        <v>829797</v>
      </c>
      <c r="BU30" s="51">
        <v>840412</v>
      </c>
      <c r="BV30" s="51">
        <v>837481</v>
      </c>
      <c r="BW30" s="51">
        <v>864895</v>
      </c>
      <c r="BX30" s="51">
        <v>824480</v>
      </c>
      <c r="BY30" s="51">
        <v>859686</v>
      </c>
      <c r="BZ30" s="51">
        <v>766588</v>
      </c>
      <c r="CA30" s="51">
        <v>733853</v>
      </c>
      <c r="CB30" s="51">
        <v>732542</v>
      </c>
      <c r="CC30" s="51">
        <v>728454</v>
      </c>
      <c r="CD30" s="51">
        <v>647436</v>
      </c>
      <c r="CE30" s="51">
        <v>734885</v>
      </c>
      <c r="CF30" s="51">
        <v>657521</v>
      </c>
      <c r="CG30" s="51">
        <v>738958</v>
      </c>
      <c r="CH30" s="51">
        <v>673197</v>
      </c>
      <c r="CI30" s="51">
        <v>580843</v>
      </c>
      <c r="CJ30" s="51">
        <v>523805</v>
      </c>
      <c r="CK30" s="51">
        <v>464136</v>
      </c>
      <c r="CL30" s="51">
        <v>409310</v>
      </c>
      <c r="CM30" s="51">
        <v>390855</v>
      </c>
      <c r="CN30" s="51">
        <v>282731</v>
      </c>
      <c r="CO30" s="51">
        <v>247845</v>
      </c>
      <c r="CP30" s="51">
        <v>218999</v>
      </c>
      <c r="CQ30" s="51">
        <v>153352</v>
      </c>
      <c r="CR30" s="51">
        <v>147511</v>
      </c>
      <c r="CS30" s="51">
        <v>118913</v>
      </c>
      <c r="CT30" s="51">
        <v>98788</v>
      </c>
      <c r="CU30" s="51">
        <v>78858</v>
      </c>
      <c r="CV30" s="51">
        <v>42980</v>
      </c>
      <c r="CW30" s="51">
        <v>39127</v>
      </c>
      <c r="CX30" s="51">
        <v>28883</v>
      </c>
      <c r="CY30" s="51">
        <v>24487</v>
      </c>
      <c r="CZ30" s="51">
        <v>43818</v>
      </c>
    </row>
    <row r="31" spans="1:104" x14ac:dyDescent="0.3">
      <c r="A31" s="52" t="s">
        <v>59</v>
      </c>
      <c r="B31" s="60">
        <v>2043</v>
      </c>
      <c r="C31" s="51">
        <v>49380766</v>
      </c>
      <c r="D31" s="51">
        <v>251018</v>
      </c>
      <c r="E31" s="51">
        <v>253391</v>
      </c>
      <c r="F31" s="51">
        <v>257197</v>
      </c>
      <c r="G31" s="51">
        <v>261932</v>
      </c>
      <c r="H31" s="51">
        <v>267514</v>
      </c>
      <c r="I31" s="51">
        <v>274060</v>
      </c>
      <c r="J31" s="51">
        <v>276899</v>
      </c>
      <c r="K31" s="51">
        <v>275545</v>
      </c>
      <c r="L31" s="51">
        <v>274022</v>
      </c>
      <c r="M31" s="51">
        <v>271927</v>
      </c>
      <c r="N31" s="51">
        <v>268924</v>
      </c>
      <c r="O31" s="51">
        <v>264991</v>
      </c>
      <c r="P31" s="51">
        <v>260007</v>
      </c>
      <c r="Q31" s="51">
        <v>253515</v>
      </c>
      <c r="R31" s="51">
        <v>245534</v>
      </c>
      <c r="S31" s="51">
        <v>236322</v>
      </c>
      <c r="T31" s="51">
        <v>226491</v>
      </c>
      <c r="U31" s="51">
        <v>216937</v>
      </c>
      <c r="V31" s="51">
        <v>220784</v>
      </c>
      <c r="W31" s="51">
        <v>238558</v>
      </c>
      <c r="X31" s="51">
        <v>259868</v>
      </c>
      <c r="Y31" s="51">
        <v>279704</v>
      </c>
      <c r="Z31" s="51">
        <v>300085</v>
      </c>
      <c r="AA31" s="51">
        <v>326041</v>
      </c>
      <c r="AB31" s="51">
        <v>357513</v>
      </c>
      <c r="AC31" s="51">
        <v>388805</v>
      </c>
      <c r="AD31" s="51">
        <v>429944</v>
      </c>
      <c r="AE31" s="51">
        <v>476227</v>
      </c>
      <c r="AF31" s="51">
        <v>490411</v>
      </c>
      <c r="AG31" s="51">
        <v>483935</v>
      </c>
      <c r="AH31" s="51">
        <v>512156</v>
      </c>
      <c r="AI31" s="51">
        <v>521454</v>
      </c>
      <c r="AJ31" s="51">
        <v>530065</v>
      </c>
      <c r="AK31" s="51">
        <v>494155</v>
      </c>
      <c r="AL31" s="51">
        <v>500276</v>
      </c>
      <c r="AM31" s="51">
        <v>533114</v>
      </c>
      <c r="AN31" s="51">
        <v>504514</v>
      </c>
      <c r="AO31" s="51">
        <v>484947</v>
      </c>
      <c r="AP31" s="51">
        <v>496531</v>
      </c>
      <c r="AQ31" s="51">
        <v>533519</v>
      </c>
      <c r="AR31" s="51">
        <v>535245</v>
      </c>
      <c r="AS31" s="51">
        <v>565882</v>
      </c>
      <c r="AT31" s="51">
        <v>648819</v>
      </c>
      <c r="AU31" s="51">
        <v>673369</v>
      </c>
      <c r="AV31" s="51">
        <v>665045</v>
      </c>
      <c r="AW31" s="51">
        <v>698558</v>
      </c>
      <c r="AX31" s="51">
        <v>712938</v>
      </c>
      <c r="AY31" s="51">
        <v>733930</v>
      </c>
      <c r="AZ31" s="51">
        <v>732674</v>
      </c>
      <c r="BA31" s="51">
        <v>740934</v>
      </c>
      <c r="BB31" s="51">
        <v>752963</v>
      </c>
      <c r="BC31" s="51">
        <v>745880</v>
      </c>
      <c r="BD31" s="51">
        <v>687584</v>
      </c>
      <c r="BE31" s="51">
        <v>677835</v>
      </c>
      <c r="BF31" s="51">
        <v>660872</v>
      </c>
      <c r="BG31" s="51">
        <v>644111</v>
      </c>
      <c r="BH31" s="51">
        <v>652902</v>
      </c>
      <c r="BI31" s="51">
        <v>668365</v>
      </c>
      <c r="BJ31" s="51">
        <v>664119</v>
      </c>
      <c r="BK31" s="51">
        <v>714272</v>
      </c>
      <c r="BL31" s="51">
        <v>780879</v>
      </c>
      <c r="BM31" s="51">
        <v>833138</v>
      </c>
      <c r="BN31" s="51">
        <v>828198</v>
      </c>
      <c r="BO31" s="51">
        <v>822052</v>
      </c>
      <c r="BP31" s="51">
        <v>748964</v>
      </c>
      <c r="BQ31" s="51">
        <v>734514</v>
      </c>
      <c r="BR31" s="51">
        <v>720156</v>
      </c>
      <c r="BS31" s="51">
        <v>731814</v>
      </c>
      <c r="BT31" s="51">
        <v>764962</v>
      </c>
      <c r="BU31" s="51">
        <v>825528</v>
      </c>
      <c r="BV31" s="51">
        <v>835687</v>
      </c>
      <c r="BW31" s="51">
        <v>832216</v>
      </c>
      <c r="BX31" s="51">
        <v>858888</v>
      </c>
      <c r="BY31" s="51">
        <v>818108</v>
      </c>
      <c r="BZ31" s="51">
        <v>852161</v>
      </c>
      <c r="CA31" s="51">
        <v>758868</v>
      </c>
      <c r="CB31" s="51">
        <v>725133</v>
      </c>
      <c r="CC31" s="51">
        <v>722238</v>
      </c>
      <c r="CD31" s="51">
        <v>716290</v>
      </c>
      <c r="CE31" s="51">
        <v>634560</v>
      </c>
      <c r="CF31" s="51">
        <v>717527</v>
      </c>
      <c r="CG31" s="51">
        <v>639298</v>
      </c>
      <c r="CH31" s="51">
        <v>714957</v>
      </c>
      <c r="CI31" s="51">
        <v>647651</v>
      </c>
      <c r="CJ31" s="51">
        <v>555117</v>
      </c>
      <c r="CK31" s="51">
        <v>496844</v>
      </c>
      <c r="CL31" s="51">
        <v>436574</v>
      </c>
      <c r="CM31" s="51">
        <v>381350</v>
      </c>
      <c r="CN31" s="51">
        <v>360329</v>
      </c>
      <c r="CO31" s="51">
        <v>257576</v>
      </c>
      <c r="CP31" s="51">
        <v>222836</v>
      </c>
      <c r="CQ31" s="51">
        <v>194039</v>
      </c>
      <c r="CR31" s="51">
        <v>133725</v>
      </c>
      <c r="CS31" s="51">
        <v>126378</v>
      </c>
      <c r="CT31" s="51">
        <v>99936</v>
      </c>
      <c r="CU31" s="51">
        <v>81300</v>
      </c>
      <c r="CV31" s="51">
        <v>63461</v>
      </c>
      <c r="CW31" s="51">
        <v>33751</v>
      </c>
      <c r="CX31" s="51">
        <v>29956</v>
      </c>
      <c r="CY31" s="51">
        <v>21524</v>
      </c>
      <c r="CZ31" s="51">
        <v>47154</v>
      </c>
    </row>
    <row r="32" spans="1:104" x14ac:dyDescent="0.3">
      <c r="A32" s="52" t="s">
        <v>59</v>
      </c>
      <c r="B32" s="60">
        <v>2044</v>
      </c>
      <c r="C32" s="51">
        <v>49117432</v>
      </c>
      <c r="D32" s="51">
        <v>248038</v>
      </c>
      <c r="E32" s="51">
        <v>250151</v>
      </c>
      <c r="F32" s="51">
        <v>253338</v>
      </c>
      <c r="G32" s="51">
        <v>257185</v>
      </c>
      <c r="H32" s="51">
        <v>261709</v>
      </c>
      <c r="I32" s="51">
        <v>267100</v>
      </c>
      <c r="J32" s="51">
        <v>273658</v>
      </c>
      <c r="K32" s="51">
        <v>276671</v>
      </c>
      <c r="L32" s="51">
        <v>275411</v>
      </c>
      <c r="M32" s="51">
        <v>273892</v>
      </c>
      <c r="N32" s="51">
        <v>271773</v>
      </c>
      <c r="O32" s="51">
        <v>268970</v>
      </c>
      <c r="P32" s="51">
        <v>265288</v>
      </c>
      <c r="Q32" s="51">
        <v>260151</v>
      </c>
      <c r="R32" s="51">
        <v>253462</v>
      </c>
      <c r="S32" s="51">
        <v>245359</v>
      </c>
      <c r="T32" s="51">
        <v>236374</v>
      </c>
      <c r="U32" s="51">
        <v>227525</v>
      </c>
      <c r="V32" s="51">
        <v>220779</v>
      </c>
      <c r="W32" s="51">
        <v>227170</v>
      </c>
      <c r="X32" s="51">
        <v>245142</v>
      </c>
      <c r="Y32" s="51">
        <v>265481</v>
      </c>
      <c r="Z32" s="51">
        <v>285504</v>
      </c>
      <c r="AA32" s="51">
        <v>306675</v>
      </c>
      <c r="AB32" s="51">
        <v>331371</v>
      </c>
      <c r="AC32" s="51">
        <v>362108</v>
      </c>
      <c r="AD32" s="51">
        <v>393150</v>
      </c>
      <c r="AE32" s="51">
        <v>433107</v>
      </c>
      <c r="AF32" s="51">
        <v>478316</v>
      </c>
      <c r="AG32" s="51">
        <v>491666</v>
      </c>
      <c r="AH32" s="51">
        <v>484699</v>
      </c>
      <c r="AI32" s="51">
        <v>512616</v>
      </c>
      <c r="AJ32" s="51">
        <v>521554</v>
      </c>
      <c r="AK32" s="51">
        <v>529720</v>
      </c>
      <c r="AL32" s="51">
        <v>493609</v>
      </c>
      <c r="AM32" s="51">
        <v>499692</v>
      </c>
      <c r="AN32" s="51">
        <v>532430</v>
      </c>
      <c r="AO32" s="51">
        <v>503906</v>
      </c>
      <c r="AP32" s="51">
        <v>484441</v>
      </c>
      <c r="AQ32" s="51">
        <v>496011</v>
      </c>
      <c r="AR32" s="51">
        <v>533118</v>
      </c>
      <c r="AS32" s="51">
        <v>535006</v>
      </c>
      <c r="AT32" s="51">
        <v>565839</v>
      </c>
      <c r="AU32" s="51">
        <v>649023</v>
      </c>
      <c r="AV32" s="51">
        <v>673757</v>
      </c>
      <c r="AW32" s="51">
        <v>665677</v>
      </c>
      <c r="AX32" s="51">
        <v>699359</v>
      </c>
      <c r="AY32" s="51">
        <v>713880</v>
      </c>
      <c r="AZ32" s="51">
        <v>734791</v>
      </c>
      <c r="BA32" s="51">
        <v>733120</v>
      </c>
      <c r="BB32" s="51">
        <v>741309</v>
      </c>
      <c r="BC32" s="51">
        <v>753364</v>
      </c>
      <c r="BD32" s="51">
        <v>746037</v>
      </c>
      <c r="BE32" s="51">
        <v>687659</v>
      </c>
      <c r="BF32" s="51">
        <v>677759</v>
      </c>
      <c r="BG32" s="51">
        <v>660607</v>
      </c>
      <c r="BH32" s="51">
        <v>643468</v>
      </c>
      <c r="BI32" s="51">
        <v>651764</v>
      </c>
      <c r="BJ32" s="51">
        <v>666995</v>
      </c>
      <c r="BK32" s="51">
        <v>662631</v>
      </c>
      <c r="BL32" s="51">
        <v>713465</v>
      </c>
      <c r="BM32" s="51">
        <v>780065</v>
      </c>
      <c r="BN32" s="51">
        <v>831256</v>
      </c>
      <c r="BO32" s="51">
        <v>825874</v>
      </c>
      <c r="BP32" s="51">
        <v>819290</v>
      </c>
      <c r="BQ32" s="51">
        <v>746057</v>
      </c>
      <c r="BR32" s="51">
        <v>731404</v>
      </c>
      <c r="BS32" s="51">
        <v>716960</v>
      </c>
      <c r="BT32" s="51">
        <v>728387</v>
      </c>
      <c r="BU32" s="51">
        <v>761108</v>
      </c>
      <c r="BV32" s="51">
        <v>821017</v>
      </c>
      <c r="BW32" s="51">
        <v>830602</v>
      </c>
      <c r="BX32" s="51">
        <v>826592</v>
      </c>
      <c r="BY32" s="51">
        <v>852417</v>
      </c>
      <c r="BZ32" s="51">
        <v>811132</v>
      </c>
      <c r="CA32" s="51">
        <v>843781</v>
      </c>
      <c r="CB32" s="51">
        <v>750116</v>
      </c>
      <c r="CC32" s="51">
        <v>715203</v>
      </c>
      <c r="CD32" s="51">
        <v>710415</v>
      </c>
      <c r="CE32" s="51">
        <v>702363</v>
      </c>
      <c r="CF32" s="51">
        <v>619929</v>
      </c>
      <c r="CG32" s="51">
        <v>697924</v>
      </c>
      <c r="CH32" s="51">
        <v>618821</v>
      </c>
      <c r="CI32" s="51">
        <v>688235</v>
      </c>
      <c r="CJ32" s="51">
        <v>619469</v>
      </c>
      <c r="CK32" s="51">
        <v>526999</v>
      </c>
      <c r="CL32" s="51">
        <v>467662</v>
      </c>
      <c r="CM32" s="51">
        <v>407066</v>
      </c>
      <c r="CN32" s="51">
        <v>351854</v>
      </c>
      <c r="CO32" s="51">
        <v>328577</v>
      </c>
      <c r="CP32" s="51">
        <v>231811</v>
      </c>
      <c r="CQ32" s="51">
        <v>197649</v>
      </c>
      <c r="CR32" s="51">
        <v>169359</v>
      </c>
      <c r="CS32" s="51">
        <v>114694</v>
      </c>
      <c r="CT32" s="51">
        <v>106323</v>
      </c>
      <c r="CU32" s="51">
        <v>82340</v>
      </c>
      <c r="CV32" s="51">
        <v>65484</v>
      </c>
      <c r="CW32" s="51">
        <v>49899</v>
      </c>
      <c r="CX32" s="51">
        <v>25854</v>
      </c>
      <c r="CY32" s="51">
        <v>22335</v>
      </c>
      <c r="CZ32" s="51">
        <v>47279</v>
      </c>
    </row>
    <row r="33" spans="1:104" x14ac:dyDescent="0.3">
      <c r="A33" s="52" t="s">
        <v>59</v>
      </c>
      <c r="B33" s="60">
        <v>2045</v>
      </c>
      <c r="C33" s="51">
        <v>48835031</v>
      </c>
      <c r="D33" s="51">
        <v>244967</v>
      </c>
      <c r="E33" s="51">
        <v>247190</v>
      </c>
      <c r="F33" s="51">
        <v>250108</v>
      </c>
      <c r="G33" s="51">
        <v>253334</v>
      </c>
      <c r="H33" s="51">
        <v>256973</v>
      </c>
      <c r="I33" s="51">
        <v>261308</v>
      </c>
      <c r="J33" s="51">
        <v>266708</v>
      </c>
      <c r="K33" s="51">
        <v>273432</v>
      </c>
      <c r="L33" s="51">
        <v>276535</v>
      </c>
      <c r="M33" s="51">
        <v>275279</v>
      </c>
      <c r="N33" s="51">
        <v>273736</v>
      </c>
      <c r="O33" s="51">
        <v>271818</v>
      </c>
      <c r="P33" s="51">
        <v>269269</v>
      </c>
      <c r="Q33" s="51">
        <v>265429</v>
      </c>
      <c r="R33" s="51">
        <v>260090</v>
      </c>
      <c r="S33" s="51">
        <v>253270</v>
      </c>
      <c r="T33" s="51">
        <v>245397</v>
      </c>
      <c r="U33" s="51">
        <v>237410</v>
      </c>
      <c r="V33" s="51">
        <v>231373</v>
      </c>
      <c r="W33" s="51">
        <v>227186</v>
      </c>
      <c r="X33" s="51">
        <v>233815</v>
      </c>
      <c r="Y33" s="51">
        <v>250818</v>
      </c>
      <c r="Z33" s="51">
        <v>271312</v>
      </c>
      <c r="AA33" s="51">
        <v>292110</v>
      </c>
      <c r="AB33" s="51">
        <v>312003</v>
      </c>
      <c r="AC33" s="51">
        <v>335922</v>
      </c>
      <c r="AD33" s="51">
        <v>366385</v>
      </c>
      <c r="AE33" s="51">
        <v>396261</v>
      </c>
      <c r="AF33" s="51">
        <v>435177</v>
      </c>
      <c r="AG33" s="51">
        <v>479574</v>
      </c>
      <c r="AH33" s="51">
        <v>492427</v>
      </c>
      <c r="AI33" s="51">
        <v>485159</v>
      </c>
      <c r="AJ33" s="51">
        <v>512716</v>
      </c>
      <c r="AK33" s="51">
        <v>521218</v>
      </c>
      <c r="AL33" s="51">
        <v>529174</v>
      </c>
      <c r="AM33" s="51">
        <v>493028</v>
      </c>
      <c r="AN33" s="51">
        <v>499022</v>
      </c>
      <c r="AO33" s="51">
        <v>531820</v>
      </c>
      <c r="AP33" s="51">
        <v>503398</v>
      </c>
      <c r="AQ33" s="51">
        <v>483928</v>
      </c>
      <c r="AR33" s="51">
        <v>495629</v>
      </c>
      <c r="AS33" s="51">
        <v>532881</v>
      </c>
      <c r="AT33" s="51">
        <v>534959</v>
      </c>
      <c r="AU33" s="51">
        <v>566066</v>
      </c>
      <c r="AV33" s="51">
        <v>649431</v>
      </c>
      <c r="AW33" s="51">
        <v>674388</v>
      </c>
      <c r="AX33" s="51">
        <v>666494</v>
      </c>
      <c r="AY33" s="51">
        <v>700312</v>
      </c>
      <c r="AZ33" s="51">
        <v>714770</v>
      </c>
      <c r="BA33" s="51">
        <v>735257</v>
      </c>
      <c r="BB33" s="51">
        <v>733517</v>
      </c>
      <c r="BC33" s="51">
        <v>741746</v>
      </c>
      <c r="BD33" s="51">
        <v>753568</v>
      </c>
      <c r="BE33" s="51">
        <v>746102</v>
      </c>
      <c r="BF33" s="51">
        <v>687614</v>
      </c>
      <c r="BG33" s="51">
        <v>677513</v>
      </c>
      <c r="BH33" s="51">
        <v>659973</v>
      </c>
      <c r="BI33" s="51">
        <v>642368</v>
      </c>
      <c r="BJ33" s="51">
        <v>650458</v>
      </c>
      <c r="BK33" s="51">
        <v>665521</v>
      </c>
      <c r="BL33" s="51">
        <v>661922</v>
      </c>
      <c r="BM33" s="51">
        <v>712802</v>
      </c>
      <c r="BN33" s="51">
        <v>778351</v>
      </c>
      <c r="BO33" s="51">
        <v>829002</v>
      </c>
      <c r="BP33" s="51">
        <v>823201</v>
      </c>
      <c r="BQ33" s="51">
        <v>816279</v>
      </c>
      <c r="BR33" s="51">
        <v>742999</v>
      </c>
      <c r="BS33" s="51">
        <v>728265</v>
      </c>
      <c r="BT33" s="51">
        <v>713673</v>
      </c>
      <c r="BU33" s="51">
        <v>724797</v>
      </c>
      <c r="BV33" s="51">
        <v>757047</v>
      </c>
      <c r="BW33" s="51">
        <v>816167</v>
      </c>
      <c r="BX33" s="51">
        <v>825173</v>
      </c>
      <c r="BY33" s="51">
        <v>820537</v>
      </c>
      <c r="BZ33" s="51">
        <v>845334</v>
      </c>
      <c r="CA33" s="51">
        <v>803356</v>
      </c>
      <c r="CB33" s="51">
        <v>834273</v>
      </c>
      <c r="CC33" s="51">
        <v>740136</v>
      </c>
      <c r="CD33" s="51">
        <v>703793</v>
      </c>
      <c r="CE33" s="51">
        <v>696865</v>
      </c>
      <c r="CF33" s="51">
        <v>686522</v>
      </c>
      <c r="CG33" s="51">
        <v>603375</v>
      </c>
      <c r="CH33" s="51">
        <v>675874</v>
      </c>
      <c r="CI33" s="51">
        <v>595992</v>
      </c>
      <c r="CJ33" s="51">
        <v>658698</v>
      </c>
      <c r="CK33" s="51">
        <v>588592</v>
      </c>
      <c r="CL33" s="51">
        <v>496494</v>
      </c>
      <c r="CM33" s="51">
        <v>436365</v>
      </c>
      <c r="CN33" s="51">
        <v>375878</v>
      </c>
      <c r="CO33" s="51">
        <v>321114</v>
      </c>
      <c r="CP33" s="51">
        <v>295988</v>
      </c>
      <c r="CQ33" s="51">
        <v>205810</v>
      </c>
      <c r="CR33" s="51">
        <v>172692</v>
      </c>
      <c r="CS33" s="51">
        <v>145387</v>
      </c>
      <c r="CT33" s="51">
        <v>96597</v>
      </c>
      <c r="CU33" s="51">
        <v>87692</v>
      </c>
      <c r="CV33" s="51">
        <v>66394</v>
      </c>
      <c r="CW33" s="51">
        <v>51532</v>
      </c>
      <c r="CX33" s="51">
        <v>38268</v>
      </c>
      <c r="CY33" s="51">
        <v>19285</v>
      </c>
      <c r="CZ33" s="51">
        <v>47864</v>
      </c>
    </row>
    <row r="34" spans="1:104" x14ac:dyDescent="0.3">
      <c r="A34" s="52" t="s">
        <v>59</v>
      </c>
      <c r="B34" s="60">
        <v>2046</v>
      </c>
      <c r="C34" s="51">
        <v>48532231</v>
      </c>
      <c r="D34" s="51">
        <v>241452</v>
      </c>
      <c r="E34" s="51">
        <v>244138</v>
      </c>
      <c r="F34" s="51">
        <v>247156</v>
      </c>
      <c r="G34" s="51">
        <v>250111</v>
      </c>
      <c r="H34" s="51">
        <v>253130</v>
      </c>
      <c r="I34" s="51">
        <v>256582</v>
      </c>
      <c r="J34" s="51">
        <v>260927</v>
      </c>
      <c r="K34" s="51">
        <v>266489</v>
      </c>
      <c r="L34" s="51">
        <v>273298</v>
      </c>
      <c r="M34" s="51">
        <v>276401</v>
      </c>
      <c r="N34" s="51">
        <v>275119</v>
      </c>
      <c r="O34" s="51">
        <v>273780</v>
      </c>
      <c r="P34" s="51">
        <v>272118</v>
      </c>
      <c r="Q34" s="51">
        <v>269409</v>
      </c>
      <c r="R34" s="51">
        <v>265362</v>
      </c>
      <c r="S34" s="51">
        <v>259885</v>
      </c>
      <c r="T34" s="51">
        <v>253295</v>
      </c>
      <c r="U34" s="51">
        <v>246437</v>
      </c>
      <c r="V34" s="51">
        <v>241255</v>
      </c>
      <c r="W34" s="51">
        <v>237773</v>
      </c>
      <c r="X34" s="51">
        <v>233861</v>
      </c>
      <c r="Y34" s="51">
        <v>239543</v>
      </c>
      <c r="Z34" s="51">
        <v>256676</v>
      </c>
      <c r="AA34" s="51">
        <v>277931</v>
      </c>
      <c r="AB34" s="51">
        <v>297439</v>
      </c>
      <c r="AC34" s="51">
        <v>316512</v>
      </c>
      <c r="AD34" s="51">
        <v>340142</v>
      </c>
      <c r="AE34" s="51">
        <v>369454</v>
      </c>
      <c r="AF34" s="51">
        <v>398301</v>
      </c>
      <c r="AG34" s="51">
        <v>436426</v>
      </c>
      <c r="AH34" s="51">
        <v>480340</v>
      </c>
      <c r="AI34" s="51">
        <v>492880</v>
      </c>
      <c r="AJ34" s="51">
        <v>485256</v>
      </c>
      <c r="AK34" s="51">
        <v>512382</v>
      </c>
      <c r="AL34" s="51">
        <v>520681</v>
      </c>
      <c r="AM34" s="51">
        <v>528592</v>
      </c>
      <c r="AN34" s="51">
        <v>492362</v>
      </c>
      <c r="AO34" s="51">
        <v>498427</v>
      </c>
      <c r="AP34" s="51">
        <v>531311</v>
      </c>
      <c r="AQ34" s="51">
        <v>502884</v>
      </c>
      <c r="AR34" s="51">
        <v>483550</v>
      </c>
      <c r="AS34" s="51">
        <v>495407</v>
      </c>
      <c r="AT34" s="51">
        <v>532833</v>
      </c>
      <c r="AU34" s="51">
        <v>535175</v>
      </c>
      <c r="AV34" s="51">
        <v>566491</v>
      </c>
      <c r="AW34" s="51">
        <v>650083</v>
      </c>
      <c r="AX34" s="51">
        <v>675203</v>
      </c>
      <c r="AY34" s="51">
        <v>667462</v>
      </c>
      <c r="AZ34" s="51">
        <v>701214</v>
      </c>
      <c r="BA34" s="51">
        <v>715265</v>
      </c>
      <c r="BB34" s="51">
        <v>735671</v>
      </c>
      <c r="BC34" s="51">
        <v>733974</v>
      </c>
      <c r="BD34" s="51">
        <v>741987</v>
      </c>
      <c r="BE34" s="51">
        <v>753678</v>
      </c>
      <c r="BF34" s="51">
        <v>746042</v>
      </c>
      <c r="BG34" s="51">
        <v>687399</v>
      </c>
      <c r="BH34" s="51">
        <v>676896</v>
      </c>
      <c r="BI34" s="51">
        <v>658880</v>
      </c>
      <c r="BJ34" s="51">
        <v>641099</v>
      </c>
      <c r="BK34" s="51">
        <v>649048</v>
      </c>
      <c r="BL34" s="51">
        <v>664827</v>
      </c>
      <c r="BM34" s="51">
        <v>661364</v>
      </c>
      <c r="BN34" s="51">
        <v>711246</v>
      </c>
      <c r="BO34" s="51">
        <v>776269</v>
      </c>
      <c r="BP34" s="51">
        <v>826397</v>
      </c>
      <c r="BQ34" s="51">
        <v>820271</v>
      </c>
      <c r="BR34" s="51">
        <v>813096</v>
      </c>
      <c r="BS34" s="51">
        <v>739906</v>
      </c>
      <c r="BT34" s="51">
        <v>725030</v>
      </c>
      <c r="BU34" s="51">
        <v>710222</v>
      </c>
      <c r="BV34" s="51">
        <v>721012</v>
      </c>
      <c r="BW34" s="51">
        <v>752673</v>
      </c>
      <c r="BX34" s="51">
        <v>810968</v>
      </c>
      <c r="BY34" s="51">
        <v>819302</v>
      </c>
      <c r="BZ34" s="51">
        <v>813879</v>
      </c>
      <c r="CA34" s="51">
        <v>837406</v>
      </c>
      <c r="CB34" s="51">
        <v>794493</v>
      </c>
      <c r="CC34" s="51">
        <v>823387</v>
      </c>
      <c r="CD34" s="51">
        <v>728624</v>
      </c>
      <c r="CE34" s="51">
        <v>690666</v>
      </c>
      <c r="CF34" s="51">
        <v>681397</v>
      </c>
      <c r="CG34" s="51">
        <v>668533</v>
      </c>
      <c r="CH34" s="51">
        <v>584675</v>
      </c>
      <c r="CI34" s="51">
        <v>651210</v>
      </c>
      <c r="CJ34" s="51">
        <v>570683</v>
      </c>
      <c r="CK34" s="51">
        <v>626243</v>
      </c>
      <c r="CL34" s="51">
        <v>554989</v>
      </c>
      <c r="CM34" s="51">
        <v>463678</v>
      </c>
      <c r="CN34" s="51">
        <v>403204</v>
      </c>
      <c r="CO34" s="51">
        <v>343297</v>
      </c>
      <c r="CP34" s="51">
        <v>289492</v>
      </c>
      <c r="CQ34" s="51">
        <v>263022</v>
      </c>
      <c r="CR34" s="51">
        <v>179986</v>
      </c>
      <c r="CS34" s="51">
        <v>148394</v>
      </c>
      <c r="CT34" s="51">
        <v>122548</v>
      </c>
      <c r="CU34" s="51">
        <v>79750</v>
      </c>
      <c r="CV34" s="51">
        <v>70776</v>
      </c>
      <c r="CW34" s="51">
        <v>52301</v>
      </c>
      <c r="CX34" s="51">
        <v>39549</v>
      </c>
      <c r="CY34" s="51">
        <v>28576</v>
      </c>
      <c r="CZ34" s="51">
        <v>46016</v>
      </c>
    </row>
    <row r="35" spans="1:104" x14ac:dyDescent="0.3">
      <c r="A35" s="52" t="s">
        <v>59</v>
      </c>
      <c r="B35" s="60">
        <v>2047</v>
      </c>
      <c r="C35" s="51">
        <v>48208374</v>
      </c>
      <c r="D35" s="51">
        <v>237212</v>
      </c>
      <c r="E35" s="51">
        <v>240644</v>
      </c>
      <c r="F35" s="51">
        <v>244113</v>
      </c>
      <c r="G35" s="51">
        <v>247165</v>
      </c>
      <c r="H35" s="51">
        <v>249914</v>
      </c>
      <c r="I35" s="51">
        <v>252748</v>
      </c>
      <c r="J35" s="51">
        <v>256210</v>
      </c>
      <c r="K35" s="51">
        <v>260718</v>
      </c>
      <c r="L35" s="51">
        <v>266363</v>
      </c>
      <c r="M35" s="51">
        <v>273166</v>
      </c>
      <c r="N35" s="51">
        <v>276240</v>
      </c>
      <c r="O35" s="51">
        <v>275162</v>
      </c>
      <c r="P35" s="51">
        <v>274081</v>
      </c>
      <c r="Q35" s="51">
        <v>272257</v>
      </c>
      <c r="R35" s="51">
        <v>269337</v>
      </c>
      <c r="S35" s="51">
        <v>265146</v>
      </c>
      <c r="T35" s="51">
        <v>259900</v>
      </c>
      <c r="U35" s="51">
        <v>254337</v>
      </c>
      <c r="V35" s="51">
        <v>250280</v>
      </c>
      <c r="W35" s="51">
        <v>247628</v>
      </c>
      <c r="X35" s="51">
        <v>244429</v>
      </c>
      <c r="Y35" s="51">
        <v>239605</v>
      </c>
      <c r="Z35" s="51">
        <v>245423</v>
      </c>
      <c r="AA35" s="51">
        <v>263305</v>
      </c>
      <c r="AB35" s="51">
        <v>283260</v>
      </c>
      <c r="AC35" s="51">
        <v>301918</v>
      </c>
      <c r="AD35" s="51">
        <v>320683</v>
      </c>
      <c r="AE35" s="51">
        <v>343175</v>
      </c>
      <c r="AF35" s="51">
        <v>371470</v>
      </c>
      <c r="AG35" s="51">
        <v>399534</v>
      </c>
      <c r="AH35" s="51">
        <v>437190</v>
      </c>
      <c r="AI35" s="51">
        <v>480799</v>
      </c>
      <c r="AJ35" s="51">
        <v>492972</v>
      </c>
      <c r="AK35" s="51">
        <v>484921</v>
      </c>
      <c r="AL35" s="51">
        <v>511849</v>
      </c>
      <c r="AM35" s="51">
        <v>520107</v>
      </c>
      <c r="AN35" s="51">
        <v>527923</v>
      </c>
      <c r="AO35" s="51">
        <v>491772</v>
      </c>
      <c r="AP35" s="51">
        <v>497935</v>
      </c>
      <c r="AQ35" s="51">
        <v>530797</v>
      </c>
      <c r="AR35" s="51">
        <v>502504</v>
      </c>
      <c r="AS35" s="51">
        <v>483329</v>
      </c>
      <c r="AT35" s="51">
        <v>495374</v>
      </c>
      <c r="AU35" s="51">
        <v>533047</v>
      </c>
      <c r="AV35" s="51">
        <v>535587</v>
      </c>
      <c r="AW35" s="51">
        <v>567161</v>
      </c>
      <c r="AX35" s="51">
        <v>650920</v>
      </c>
      <c r="AY35" s="51">
        <v>676169</v>
      </c>
      <c r="AZ35" s="51">
        <v>668380</v>
      </c>
      <c r="BA35" s="51">
        <v>701724</v>
      </c>
      <c r="BB35" s="51">
        <v>715711</v>
      </c>
      <c r="BC35" s="51">
        <v>736148</v>
      </c>
      <c r="BD35" s="51">
        <v>734237</v>
      </c>
      <c r="BE35" s="51">
        <v>742135</v>
      </c>
      <c r="BF35" s="51">
        <v>753664</v>
      </c>
      <c r="BG35" s="51">
        <v>745809</v>
      </c>
      <c r="BH35" s="51">
        <v>686812</v>
      </c>
      <c r="BI35" s="51">
        <v>675820</v>
      </c>
      <c r="BJ35" s="51">
        <v>657616</v>
      </c>
      <c r="BK35" s="51">
        <v>639727</v>
      </c>
      <c r="BL35" s="51">
        <v>648420</v>
      </c>
      <c r="BM35" s="51">
        <v>664286</v>
      </c>
      <c r="BN35" s="51">
        <v>659920</v>
      </c>
      <c r="BO35" s="51">
        <v>709329</v>
      </c>
      <c r="BP35" s="51">
        <v>773845</v>
      </c>
      <c r="BQ35" s="51">
        <v>823536</v>
      </c>
      <c r="BR35" s="51">
        <v>817166</v>
      </c>
      <c r="BS35" s="51">
        <v>809859</v>
      </c>
      <c r="BT35" s="51">
        <v>736716</v>
      </c>
      <c r="BU35" s="51">
        <v>721630</v>
      </c>
      <c r="BV35" s="51">
        <v>706586</v>
      </c>
      <c r="BW35" s="51">
        <v>716940</v>
      </c>
      <c r="BX35" s="51">
        <v>747993</v>
      </c>
      <c r="BY35" s="51">
        <v>805344</v>
      </c>
      <c r="BZ35" s="51">
        <v>812840</v>
      </c>
      <c r="CA35" s="51">
        <v>806417</v>
      </c>
      <c r="CB35" s="51">
        <v>828358</v>
      </c>
      <c r="CC35" s="51">
        <v>784337</v>
      </c>
      <c r="CD35" s="51">
        <v>810816</v>
      </c>
      <c r="CE35" s="51">
        <v>715352</v>
      </c>
      <c r="CF35" s="51">
        <v>675652</v>
      </c>
      <c r="CG35" s="51">
        <v>663801</v>
      </c>
      <c r="CH35" s="51">
        <v>648182</v>
      </c>
      <c r="CI35" s="51">
        <v>563719</v>
      </c>
      <c r="CJ35" s="51">
        <v>623830</v>
      </c>
      <c r="CK35" s="51">
        <v>542836</v>
      </c>
      <c r="CL35" s="51">
        <v>590860</v>
      </c>
      <c r="CM35" s="51">
        <v>518767</v>
      </c>
      <c r="CN35" s="51">
        <v>428839</v>
      </c>
      <c r="CO35" s="51">
        <v>368510</v>
      </c>
      <c r="CP35" s="51">
        <v>309730</v>
      </c>
      <c r="CQ35" s="51">
        <v>257458</v>
      </c>
      <c r="CR35" s="51">
        <v>230232</v>
      </c>
      <c r="CS35" s="51">
        <v>154809</v>
      </c>
      <c r="CT35" s="51">
        <v>125211</v>
      </c>
      <c r="CU35" s="51">
        <v>101261</v>
      </c>
      <c r="CV35" s="51">
        <v>64434</v>
      </c>
      <c r="CW35" s="51">
        <v>55807</v>
      </c>
      <c r="CX35" s="51">
        <v>40182</v>
      </c>
      <c r="CY35" s="51">
        <v>29556</v>
      </c>
      <c r="CZ35" s="51">
        <v>51446</v>
      </c>
    </row>
    <row r="36" spans="1:104" x14ac:dyDescent="0.3">
      <c r="A36" s="52" t="s">
        <v>59</v>
      </c>
      <c r="B36" s="60">
        <v>2048</v>
      </c>
      <c r="C36" s="51">
        <v>47863071</v>
      </c>
      <c r="D36" s="51">
        <v>232070</v>
      </c>
      <c r="E36" s="51">
        <v>236429</v>
      </c>
      <c r="F36" s="51">
        <v>240629</v>
      </c>
      <c r="G36" s="51">
        <v>244129</v>
      </c>
      <c r="H36" s="51">
        <v>246974</v>
      </c>
      <c r="I36" s="51">
        <v>249538</v>
      </c>
      <c r="J36" s="51">
        <v>252384</v>
      </c>
      <c r="K36" s="51">
        <v>256009</v>
      </c>
      <c r="L36" s="51">
        <v>260601</v>
      </c>
      <c r="M36" s="51">
        <v>266239</v>
      </c>
      <c r="N36" s="51">
        <v>273006</v>
      </c>
      <c r="O36" s="51">
        <v>276282</v>
      </c>
      <c r="P36" s="51">
        <v>275464</v>
      </c>
      <c r="Q36" s="51">
        <v>274218</v>
      </c>
      <c r="R36" s="51">
        <v>272182</v>
      </c>
      <c r="S36" s="51">
        <v>269112</v>
      </c>
      <c r="T36" s="51">
        <v>265152</v>
      </c>
      <c r="U36" s="51">
        <v>260945</v>
      </c>
      <c r="V36" s="51">
        <v>258178</v>
      </c>
      <c r="W36" s="51">
        <v>256629</v>
      </c>
      <c r="X36" s="51">
        <v>254238</v>
      </c>
      <c r="Y36" s="51">
        <v>250146</v>
      </c>
      <c r="Z36" s="51">
        <v>245489</v>
      </c>
      <c r="AA36" s="51">
        <v>252062</v>
      </c>
      <c r="AB36" s="51">
        <v>268634</v>
      </c>
      <c r="AC36" s="51">
        <v>287714</v>
      </c>
      <c r="AD36" s="51">
        <v>306053</v>
      </c>
      <c r="AE36" s="51">
        <v>323686</v>
      </c>
      <c r="AF36" s="51">
        <v>345171</v>
      </c>
      <c r="AG36" s="51">
        <v>372690</v>
      </c>
      <c r="AH36" s="51">
        <v>400287</v>
      </c>
      <c r="AI36" s="51">
        <v>437647</v>
      </c>
      <c r="AJ36" s="51">
        <v>480895</v>
      </c>
      <c r="AK36" s="51">
        <v>492638</v>
      </c>
      <c r="AL36" s="51">
        <v>484393</v>
      </c>
      <c r="AM36" s="51">
        <v>511279</v>
      </c>
      <c r="AN36" s="51">
        <v>519447</v>
      </c>
      <c r="AO36" s="51">
        <v>527330</v>
      </c>
      <c r="AP36" s="51">
        <v>491285</v>
      </c>
      <c r="AQ36" s="51">
        <v>497438</v>
      </c>
      <c r="AR36" s="51">
        <v>530420</v>
      </c>
      <c r="AS36" s="51">
        <v>502283</v>
      </c>
      <c r="AT36" s="51">
        <v>483296</v>
      </c>
      <c r="AU36" s="51">
        <v>495603</v>
      </c>
      <c r="AV36" s="51">
        <v>533459</v>
      </c>
      <c r="AW36" s="51">
        <v>536240</v>
      </c>
      <c r="AX36" s="51">
        <v>568015</v>
      </c>
      <c r="AY36" s="51">
        <v>651910</v>
      </c>
      <c r="AZ36" s="51">
        <v>677088</v>
      </c>
      <c r="BA36" s="51">
        <v>668910</v>
      </c>
      <c r="BB36" s="51">
        <v>702185</v>
      </c>
      <c r="BC36" s="51">
        <v>716222</v>
      </c>
      <c r="BD36" s="51">
        <v>736432</v>
      </c>
      <c r="BE36" s="51">
        <v>734410</v>
      </c>
      <c r="BF36" s="51">
        <v>742161</v>
      </c>
      <c r="BG36" s="51">
        <v>753476</v>
      </c>
      <c r="BH36" s="51">
        <v>745201</v>
      </c>
      <c r="BI36" s="51">
        <v>685767</v>
      </c>
      <c r="BJ36" s="51">
        <v>674574</v>
      </c>
      <c r="BK36" s="51">
        <v>656251</v>
      </c>
      <c r="BL36" s="51">
        <v>639141</v>
      </c>
      <c r="BM36" s="51">
        <v>647950</v>
      </c>
      <c r="BN36" s="51">
        <v>662862</v>
      </c>
      <c r="BO36" s="51">
        <v>658125</v>
      </c>
      <c r="BP36" s="51">
        <v>707085</v>
      </c>
      <c r="BQ36" s="51">
        <v>771180</v>
      </c>
      <c r="BR36" s="51">
        <v>820507</v>
      </c>
      <c r="BS36" s="51">
        <v>814014</v>
      </c>
      <c r="BT36" s="51">
        <v>806512</v>
      </c>
      <c r="BU36" s="51">
        <v>733364</v>
      </c>
      <c r="BV36" s="51">
        <v>718051</v>
      </c>
      <c r="BW36" s="51">
        <v>702681</v>
      </c>
      <c r="BX36" s="51">
        <v>712593</v>
      </c>
      <c r="BY36" s="51">
        <v>742939</v>
      </c>
      <c r="BZ36" s="51">
        <v>799156</v>
      </c>
      <c r="CA36" s="51">
        <v>805596</v>
      </c>
      <c r="CB36" s="51">
        <v>797897</v>
      </c>
      <c r="CC36" s="51">
        <v>817984</v>
      </c>
      <c r="CD36" s="51">
        <v>772590</v>
      </c>
      <c r="CE36" s="51">
        <v>796310</v>
      </c>
      <c r="CF36" s="51">
        <v>700156</v>
      </c>
      <c r="CG36" s="51">
        <v>658552</v>
      </c>
      <c r="CH36" s="51">
        <v>643870</v>
      </c>
      <c r="CI36" s="51">
        <v>625334</v>
      </c>
      <c r="CJ36" s="51">
        <v>540412</v>
      </c>
      <c r="CK36" s="51">
        <v>593671</v>
      </c>
      <c r="CL36" s="51">
        <v>512435</v>
      </c>
      <c r="CM36" s="51">
        <v>552671</v>
      </c>
      <c r="CN36" s="51">
        <v>480247</v>
      </c>
      <c r="CO36" s="51">
        <v>392329</v>
      </c>
      <c r="CP36" s="51">
        <v>332725</v>
      </c>
      <c r="CQ36" s="51">
        <v>275683</v>
      </c>
      <c r="CR36" s="51">
        <v>225554</v>
      </c>
      <c r="CS36" s="51">
        <v>198218</v>
      </c>
      <c r="CT36" s="51">
        <v>130753</v>
      </c>
      <c r="CU36" s="51">
        <v>103571</v>
      </c>
      <c r="CV36" s="51">
        <v>81886</v>
      </c>
      <c r="CW36" s="51">
        <v>50862</v>
      </c>
      <c r="CX36" s="51">
        <v>42918</v>
      </c>
      <c r="CY36" s="51">
        <v>30062</v>
      </c>
      <c r="CZ36" s="51">
        <v>56030</v>
      </c>
    </row>
    <row r="37" spans="1:104" x14ac:dyDescent="0.3">
      <c r="A37" s="52" t="s">
        <v>59</v>
      </c>
      <c r="B37" s="60">
        <v>2049</v>
      </c>
      <c r="C37" s="51">
        <v>47495914</v>
      </c>
      <c r="D37" s="51">
        <v>225972</v>
      </c>
      <c r="E37" s="51">
        <v>231316</v>
      </c>
      <c r="F37" s="51">
        <v>236426</v>
      </c>
      <c r="G37" s="51">
        <v>240651</v>
      </c>
      <c r="H37" s="51">
        <v>243944</v>
      </c>
      <c r="I37" s="51">
        <v>246604</v>
      </c>
      <c r="J37" s="51">
        <v>249180</v>
      </c>
      <c r="K37" s="51">
        <v>252189</v>
      </c>
      <c r="L37" s="51">
        <v>255899</v>
      </c>
      <c r="M37" s="51">
        <v>260486</v>
      </c>
      <c r="N37" s="51">
        <v>266088</v>
      </c>
      <c r="O37" s="51">
        <v>273052</v>
      </c>
      <c r="P37" s="51">
        <v>276584</v>
      </c>
      <c r="Q37" s="51">
        <v>275601</v>
      </c>
      <c r="R37" s="51">
        <v>274140</v>
      </c>
      <c r="S37" s="51">
        <v>271951</v>
      </c>
      <c r="T37" s="51">
        <v>269112</v>
      </c>
      <c r="U37" s="51">
        <v>266200</v>
      </c>
      <c r="V37" s="51">
        <v>264786</v>
      </c>
      <c r="W37" s="51">
        <v>264506</v>
      </c>
      <c r="X37" s="51">
        <v>263198</v>
      </c>
      <c r="Y37" s="51">
        <v>259914</v>
      </c>
      <c r="Z37" s="51">
        <v>256015</v>
      </c>
      <c r="AA37" s="51">
        <v>252132</v>
      </c>
      <c r="AB37" s="51">
        <v>257390</v>
      </c>
      <c r="AC37" s="51">
        <v>273065</v>
      </c>
      <c r="AD37" s="51">
        <v>291817</v>
      </c>
      <c r="AE37" s="51">
        <v>309034</v>
      </c>
      <c r="AF37" s="51">
        <v>325664</v>
      </c>
      <c r="AG37" s="51">
        <v>346380</v>
      </c>
      <c r="AH37" s="51">
        <v>373435</v>
      </c>
      <c r="AI37" s="51">
        <v>400729</v>
      </c>
      <c r="AJ37" s="51">
        <v>437736</v>
      </c>
      <c r="AK37" s="51">
        <v>480564</v>
      </c>
      <c r="AL37" s="51">
        <v>492109</v>
      </c>
      <c r="AM37" s="51">
        <v>483829</v>
      </c>
      <c r="AN37" s="51">
        <v>510624</v>
      </c>
      <c r="AO37" s="51">
        <v>518863</v>
      </c>
      <c r="AP37" s="51">
        <v>526838</v>
      </c>
      <c r="AQ37" s="51">
        <v>490793</v>
      </c>
      <c r="AR37" s="51">
        <v>497080</v>
      </c>
      <c r="AS37" s="51">
        <v>530204</v>
      </c>
      <c r="AT37" s="51">
        <v>502250</v>
      </c>
      <c r="AU37" s="51">
        <v>483522</v>
      </c>
      <c r="AV37" s="51">
        <v>496027</v>
      </c>
      <c r="AW37" s="51">
        <v>534109</v>
      </c>
      <c r="AX37" s="51">
        <v>537072</v>
      </c>
      <c r="AY37" s="51">
        <v>569021</v>
      </c>
      <c r="AZ37" s="51">
        <v>652854</v>
      </c>
      <c r="BA37" s="51">
        <v>677617</v>
      </c>
      <c r="BB37" s="51">
        <v>669393</v>
      </c>
      <c r="BC37" s="51">
        <v>702712</v>
      </c>
      <c r="BD37" s="51">
        <v>716542</v>
      </c>
      <c r="BE37" s="51">
        <v>736627</v>
      </c>
      <c r="BF37" s="51">
        <v>734464</v>
      </c>
      <c r="BG37" s="51">
        <v>742016</v>
      </c>
      <c r="BH37" s="51">
        <v>752915</v>
      </c>
      <c r="BI37" s="51">
        <v>744133</v>
      </c>
      <c r="BJ37" s="51">
        <v>684553</v>
      </c>
      <c r="BK37" s="51">
        <v>673228</v>
      </c>
      <c r="BL37" s="51">
        <v>655672</v>
      </c>
      <c r="BM37" s="51">
        <v>638715</v>
      </c>
      <c r="BN37" s="51">
        <v>646600</v>
      </c>
      <c r="BO37" s="51">
        <v>661089</v>
      </c>
      <c r="BP37" s="51">
        <v>656010</v>
      </c>
      <c r="BQ37" s="51">
        <v>704617</v>
      </c>
      <c r="BR37" s="51">
        <v>768363</v>
      </c>
      <c r="BS37" s="51">
        <v>817433</v>
      </c>
      <c r="BT37" s="51">
        <v>810749</v>
      </c>
      <c r="BU37" s="51">
        <v>802977</v>
      </c>
      <c r="BV37" s="51">
        <v>729829</v>
      </c>
      <c r="BW37" s="51">
        <v>714197</v>
      </c>
      <c r="BX37" s="51">
        <v>698507</v>
      </c>
      <c r="BY37" s="51">
        <v>707893</v>
      </c>
      <c r="BZ37" s="51">
        <v>737367</v>
      </c>
      <c r="CA37" s="51">
        <v>792200</v>
      </c>
      <c r="CB37" s="51">
        <v>797306</v>
      </c>
      <c r="CC37" s="51">
        <v>788110</v>
      </c>
      <c r="CD37" s="51">
        <v>805969</v>
      </c>
      <c r="CE37" s="51">
        <v>759016</v>
      </c>
      <c r="CF37" s="51">
        <v>779677</v>
      </c>
      <c r="CG37" s="51">
        <v>682814</v>
      </c>
      <c r="CH37" s="51">
        <v>639143</v>
      </c>
      <c r="CI37" s="51">
        <v>621460</v>
      </c>
      <c r="CJ37" s="51">
        <v>599880</v>
      </c>
      <c r="CK37" s="51">
        <v>514693</v>
      </c>
      <c r="CL37" s="51">
        <v>560716</v>
      </c>
      <c r="CM37" s="51">
        <v>479580</v>
      </c>
      <c r="CN37" s="51">
        <v>512001</v>
      </c>
      <c r="CO37" s="51">
        <v>439804</v>
      </c>
      <c r="CP37" s="51">
        <v>354602</v>
      </c>
      <c r="CQ37" s="51">
        <v>296381</v>
      </c>
      <c r="CR37" s="51">
        <v>241728</v>
      </c>
      <c r="CS37" s="51">
        <v>194363</v>
      </c>
      <c r="CT37" s="51">
        <v>167585</v>
      </c>
      <c r="CU37" s="51">
        <v>108266</v>
      </c>
      <c r="CV37" s="51">
        <v>83845</v>
      </c>
      <c r="CW37" s="51">
        <v>64695</v>
      </c>
      <c r="CX37" s="51">
        <v>39159</v>
      </c>
      <c r="CY37" s="51">
        <v>32141</v>
      </c>
      <c r="CZ37" s="51">
        <v>59607</v>
      </c>
    </row>
    <row r="38" spans="1:104" x14ac:dyDescent="0.3">
      <c r="A38" s="52" t="s">
        <v>59</v>
      </c>
      <c r="B38" s="60">
        <v>2050</v>
      </c>
      <c r="C38" s="51">
        <v>47106960</v>
      </c>
      <c r="D38" s="51">
        <v>218982</v>
      </c>
      <c r="E38" s="51">
        <v>225254</v>
      </c>
      <c r="F38" s="51">
        <v>231327</v>
      </c>
      <c r="G38" s="51">
        <v>236455</v>
      </c>
      <c r="H38" s="51">
        <v>240472</v>
      </c>
      <c r="I38" s="51">
        <v>243580</v>
      </c>
      <c r="J38" s="51">
        <v>246252</v>
      </c>
      <c r="K38" s="51">
        <v>248990</v>
      </c>
      <c r="L38" s="51">
        <v>252085</v>
      </c>
      <c r="M38" s="51">
        <v>255791</v>
      </c>
      <c r="N38" s="51">
        <v>260344</v>
      </c>
      <c r="O38" s="51">
        <v>266139</v>
      </c>
      <c r="P38" s="51">
        <v>273354</v>
      </c>
      <c r="Q38" s="51">
        <v>276721</v>
      </c>
      <c r="R38" s="51">
        <v>275522</v>
      </c>
      <c r="S38" s="51">
        <v>273904</v>
      </c>
      <c r="T38" s="51">
        <v>271947</v>
      </c>
      <c r="U38" s="51">
        <v>270162</v>
      </c>
      <c r="V38" s="51">
        <v>270039</v>
      </c>
      <c r="W38" s="51">
        <v>271095</v>
      </c>
      <c r="X38" s="51">
        <v>271037</v>
      </c>
      <c r="Y38" s="51">
        <v>268836</v>
      </c>
      <c r="Z38" s="51">
        <v>265767</v>
      </c>
      <c r="AA38" s="51">
        <v>262655</v>
      </c>
      <c r="AB38" s="51">
        <v>257455</v>
      </c>
      <c r="AC38" s="51">
        <v>261797</v>
      </c>
      <c r="AD38" s="51">
        <v>277137</v>
      </c>
      <c r="AE38" s="51">
        <v>294778</v>
      </c>
      <c r="AF38" s="51">
        <v>310999</v>
      </c>
      <c r="AG38" s="51">
        <v>326863</v>
      </c>
      <c r="AH38" s="51">
        <v>347118</v>
      </c>
      <c r="AI38" s="51">
        <v>373865</v>
      </c>
      <c r="AJ38" s="51">
        <v>400800</v>
      </c>
      <c r="AK38" s="51">
        <v>437400</v>
      </c>
      <c r="AL38" s="51">
        <v>480040</v>
      </c>
      <c r="AM38" s="51">
        <v>491546</v>
      </c>
      <c r="AN38" s="51">
        <v>483182</v>
      </c>
      <c r="AO38" s="51">
        <v>510045</v>
      </c>
      <c r="AP38" s="51">
        <v>518381</v>
      </c>
      <c r="AQ38" s="51">
        <v>526341</v>
      </c>
      <c r="AR38" s="51">
        <v>490437</v>
      </c>
      <c r="AS38" s="51">
        <v>496883</v>
      </c>
      <c r="AT38" s="51">
        <v>530178</v>
      </c>
      <c r="AU38" s="51">
        <v>502475</v>
      </c>
      <c r="AV38" s="51">
        <v>483942</v>
      </c>
      <c r="AW38" s="51">
        <v>496690</v>
      </c>
      <c r="AX38" s="51">
        <v>534937</v>
      </c>
      <c r="AY38" s="51">
        <v>538053</v>
      </c>
      <c r="AZ38" s="51">
        <v>569981</v>
      </c>
      <c r="BA38" s="51">
        <v>653410</v>
      </c>
      <c r="BB38" s="51">
        <v>678099</v>
      </c>
      <c r="BC38" s="51">
        <v>669943</v>
      </c>
      <c r="BD38" s="51">
        <v>703049</v>
      </c>
      <c r="BE38" s="51">
        <v>716774</v>
      </c>
      <c r="BF38" s="51">
        <v>736703</v>
      </c>
      <c r="BG38" s="51">
        <v>734347</v>
      </c>
      <c r="BH38" s="51">
        <v>741498</v>
      </c>
      <c r="BI38" s="51">
        <v>751889</v>
      </c>
      <c r="BJ38" s="51">
        <v>742890</v>
      </c>
      <c r="BK38" s="51">
        <v>683240</v>
      </c>
      <c r="BL38" s="51">
        <v>672667</v>
      </c>
      <c r="BM38" s="51">
        <v>655253</v>
      </c>
      <c r="BN38" s="51">
        <v>637412</v>
      </c>
      <c r="BO38" s="51">
        <v>644903</v>
      </c>
      <c r="BP38" s="51">
        <v>658997</v>
      </c>
      <c r="BQ38" s="51">
        <v>653686</v>
      </c>
      <c r="BR38" s="51">
        <v>702020</v>
      </c>
      <c r="BS38" s="51">
        <v>765520</v>
      </c>
      <c r="BT38" s="51">
        <v>814249</v>
      </c>
      <c r="BU38" s="51">
        <v>807301</v>
      </c>
      <c r="BV38" s="51">
        <v>799237</v>
      </c>
      <c r="BW38" s="51">
        <v>726021</v>
      </c>
      <c r="BX38" s="51">
        <v>710076</v>
      </c>
      <c r="BY38" s="51">
        <v>693997</v>
      </c>
      <c r="BZ38" s="51">
        <v>702715</v>
      </c>
      <c r="CA38" s="51">
        <v>731103</v>
      </c>
      <c r="CB38" s="51">
        <v>784236</v>
      </c>
      <c r="CC38" s="51">
        <v>787776</v>
      </c>
      <c r="CD38" s="51">
        <v>776761</v>
      </c>
      <c r="CE38" s="51">
        <v>792069</v>
      </c>
      <c r="CF38" s="51">
        <v>743431</v>
      </c>
      <c r="CG38" s="51">
        <v>760672</v>
      </c>
      <c r="CH38" s="51">
        <v>663102</v>
      </c>
      <c r="CI38" s="51">
        <v>617288</v>
      </c>
      <c r="CJ38" s="51">
        <v>596465</v>
      </c>
      <c r="CK38" s="51">
        <v>571742</v>
      </c>
      <c r="CL38" s="51">
        <v>486531</v>
      </c>
      <c r="CM38" s="51">
        <v>525064</v>
      </c>
      <c r="CN38" s="51">
        <v>444554</v>
      </c>
      <c r="CO38" s="51">
        <v>469247</v>
      </c>
      <c r="CP38" s="51">
        <v>397942</v>
      </c>
      <c r="CQ38" s="51">
        <v>316220</v>
      </c>
      <c r="CR38" s="51">
        <v>260092</v>
      </c>
      <c r="CS38" s="51">
        <v>208489</v>
      </c>
      <c r="CT38" s="51">
        <v>164479</v>
      </c>
      <c r="CU38" s="51">
        <v>138909</v>
      </c>
      <c r="CV38" s="51">
        <v>87739</v>
      </c>
      <c r="CW38" s="51">
        <v>66318</v>
      </c>
      <c r="CX38" s="51">
        <v>49855</v>
      </c>
      <c r="CY38" s="51">
        <v>29359</v>
      </c>
      <c r="CZ38" s="51">
        <v>63588</v>
      </c>
    </row>
    <row r="39" spans="1:104" x14ac:dyDescent="0.3">
      <c r="A39" s="52" t="s">
        <v>59</v>
      </c>
      <c r="B39" s="60">
        <v>2051</v>
      </c>
      <c r="C39" s="51">
        <v>46697391</v>
      </c>
      <c r="D39" s="51">
        <v>211279</v>
      </c>
      <c r="E39" s="51">
        <v>218305</v>
      </c>
      <c r="F39" s="51">
        <v>225281</v>
      </c>
      <c r="G39" s="51">
        <v>231365</v>
      </c>
      <c r="H39" s="51">
        <v>236284</v>
      </c>
      <c r="I39" s="51">
        <v>240114</v>
      </c>
      <c r="J39" s="51">
        <v>243232</v>
      </c>
      <c r="K39" s="51">
        <v>246066</v>
      </c>
      <c r="L39" s="51">
        <v>248892</v>
      </c>
      <c r="M39" s="51">
        <v>251983</v>
      </c>
      <c r="N39" s="51">
        <v>255657</v>
      </c>
      <c r="O39" s="51">
        <v>260399</v>
      </c>
      <c r="P39" s="51">
        <v>266441</v>
      </c>
      <c r="Q39" s="51">
        <v>273491</v>
      </c>
      <c r="R39" s="51">
        <v>276640</v>
      </c>
      <c r="S39" s="51">
        <v>275283</v>
      </c>
      <c r="T39" s="51">
        <v>273896</v>
      </c>
      <c r="U39" s="51">
        <v>272999</v>
      </c>
      <c r="V39" s="51">
        <v>274000</v>
      </c>
      <c r="W39" s="51">
        <v>276332</v>
      </c>
      <c r="X39" s="51">
        <v>277594</v>
      </c>
      <c r="Y39" s="51">
        <v>276642</v>
      </c>
      <c r="Z39" s="51">
        <v>274672</v>
      </c>
      <c r="AA39" s="51">
        <v>272402</v>
      </c>
      <c r="AB39" s="51">
        <v>267975</v>
      </c>
      <c r="AC39" s="51">
        <v>261847</v>
      </c>
      <c r="AD39" s="51">
        <v>265842</v>
      </c>
      <c r="AE39" s="51">
        <v>280078</v>
      </c>
      <c r="AF39" s="51">
        <v>296733</v>
      </c>
      <c r="AG39" s="51">
        <v>312191</v>
      </c>
      <c r="AH39" s="51">
        <v>327595</v>
      </c>
      <c r="AI39" s="51">
        <v>347538</v>
      </c>
      <c r="AJ39" s="51">
        <v>373922</v>
      </c>
      <c r="AK39" s="51">
        <v>400455</v>
      </c>
      <c r="AL39" s="51">
        <v>436881</v>
      </c>
      <c r="AM39" s="51">
        <v>479481</v>
      </c>
      <c r="AN39" s="51">
        <v>490900</v>
      </c>
      <c r="AO39" s="51">
        <v>482611</v>
      </c>
      <c r="AP39" s="51">
        <v>509568</v>
      </c>
      <c r="AQ39" s="51">
        <v>517895</v>
      </c>
      <c r="AR39" s="51">
        <v>525979</v>
      </c>
      <c r="AS39" s="51">
        <v>490238</v>
      </c>
      <c r="AT39" s="51">
        <v>496875</v>
      </c>
      <c r="AU39" s="51">
        <v>530412</v>
      </c>
      <c r="AV39" s="51">
        <v>502895</v>
      </c>
      <c r="AW39" s="51">
        <v>484599</v>
      </c>
      <c r="AX39" s="51">
        <v>497531</v>
      </c>
      <c r="AY39" s="51">
        <v>535913</v>
      </c>
      <c r="AZ39" s="51">
        <v>538991</v>
      </c>
      <c r="BA39" s="51">
        <v>570559</v>
      </c>
      <c r="BB39" s="51">
        <v>653920</v>
      </c>
      <c r="BC39" s="51">
        <v>678650</v>
      </c>
      <c r="BD39" s="51">
        <v>670305</v>
      </c>
      <c r="BE39" s="51">
        <v>703300</v>
      </c>
      <c r="BF39" s="51">
        <v>716890</v>
      </c>
      <c r="BG39" s="51">
        <v>736611</v>
      </c>
      <c r="BH39" s="51">
        <v>733859</v>
      </c>
      <c r="BI39" s="51">
        <v>740518</v>
      </c>
      <c r="BJ39" s="51">
        <v>750693</v>
      </c>
      <c r="BK39" s="51">
        <v>741550</v>
      </c>
      <c r="BL39" s="51">
        <v>682714</v>
      </c>
      <c r="BM39" s="51">
        <v>672267</v>
      </c>
      <c r="BN39" s="51">
        <v>653957</v>
      </c>
      <c r="BO39" s="51">
        <v>635766</v>
      </c>
      <c r="BP39" s="51">
        <v>642895</v>
      </c>
      <c r="BQ39" s="51">
        <v>656705</v>
      </c>
      <c r="BR39" s="51">
        <v>651258</v>
      </c>
      <c r="BS39" s="51">
        <v>699424</v>
      </c>
      <c r="BT39" s="51">
        <v>762591</v>
      </c>
      <c r="BU39" s="51">
        <v>810895</v>
      </c>
      <c r="BV39" s="51">
        <v>803659</v>
      </c>
      <c r="BW39" s="51">
        <v>795206</v>
      </c>
      <c r="BX39" s="51">
        <v>721960</v>
      </c>
      <c r="BY39" s="51">
        <v>705638</v>
      </c>
      <c r="BZ39" s="51">
        <v>689044</v>
      </c>
      <c r="CA39" s="51">
        <v>696910</v>
      </c>
      <c r="CB39" s="51">
        <v>723946</v>
      </c>
      <c r="CC39" s="51">
        <v>775099</v>
      </c>
      <c r="CD39" s="51">
        <v>776741</v>
      </c>
      <c r="CE39" s="51">
        <v>763651</v>
      </c>
      <c r="CF39" s="51">
        <v>776131</v>
      </c>
      <c r="CG39" s="51">
        <v>725640</v>
      </c>
      <c r="CH39" s="51">
        <v>739088</v>
      </c>
      <c r="CI39" s="51">
        <v>640905</v>
      </c>
      <c r="CJ39" s="51">
        <v>592907</v>
      </c>
      <c r="CK39" s="51">
        <v>568840</v>
      </c>
      <c r="CL39" s="51">
        <v>540932</v>
      </c>
      <c r="CM39" s="51">
        <v>456043</v>
      </c>
      <c r="CN39" s="51">
        <v>487049</v>
      </c>
      <c r="CO39" s="51">
        <v>407723</v>
      </c>
      <c r="CP39" s="51">
        <v>424962</v>
      </c>
      <c r="CQ39" s="51">
        <v>355299</v>
      </c>
      <c r="CR39" s="51">
        <v>277843</v>
      </c>
      <c r="CS39" s="51">
        <v>224533</v>
      </c>
      <c r="CT39" s="51">
        <v>176606</v>
      </c>
      <c r="CU39" s="51">
        <v>136470</v>
      </c>
      <c r="CV39" s="51">
        <v>112694</v>
      </c>
      <c r="CW39" s="51">
        <v>69472</v>
      </c>
      <c r="CX39" s="51">
        <v>51163</v>
      </c>
      <c r="CY39" s="51">
        <v>37411</v>
      </c>
      <c r="CZ39" s="51">
        <v>64305</v>
      </c>
    </row>
    <row r="40" spans="1:104" x14ac:dyDescent="0.3">
      <c r="A40" s="52" t="s">
        <v>59</v>
      </c>
      <c r="B40" s="60">
        <v>2052</v>
      </c>
      <c r="C40" s="51">
        <v>46267614</v>
      </c>
      <c r="D40" s="51">
        <v>203129</v>
      </c>
      <c r="E40" s="51">
        <v>210648</v>
      </c>
      <c r="F40" s="51">
        <v>218352</v>
      </c>
      <c r="G40" s="51">
        <v>225331</v>
      </c>
      <c r="H40" s="51">
        <v>231202</v>
      </c>
      <c r="I40" s="51">
        <v>235934</v>
      </c>
      <c r="J40" s="51">
        <v>239772</v>
      </c>
      <c r="K40" s="51">
        <v>243051</v>
      </c>
      <c r="L40" s="51">
        <v>245972</v>
      </c>
      <c r="M40" s="51">
        <v>248795</v>
      </c>
      <c r="N40" s="51">
        <v>251856</v>
      </c>
      <c r="O40" s="51">
        <v>255716</v>
      </c>
      <c r="P40" s="51">
        <v>260699</v>
      </c>
      <c r="Q40" s="51">
        <v>266578</v>
      </c>
      <c r="R40" s="51">
        <v>273412</v>
      </c>
      <c r="S40" s="51">
        <v>276399</v>
      </c>
      <c r="T40" s="51">
        <v>275273</v>
      </c>
      <c r="U40" s="51">
        <v>274949</v>
      </c>
      <c r="V40" s="51">
        <v>276836</v>
      </c>
      <c r="W40" s="51">
        <v>280281</v>
      </c>
      <c r="X40" s="51">
        <v>282805</v>
      </c>
      <c r="Y40" s="51">
        <v>283171</v>
      </c>
      <c r="Z40" s="51">
        <v>282466</v>
      </c>
      <c r="AA40" s="51">
        <v>281302</v>
      </c>
      <c r="AB40" s="51">
        <v>277725</v>
      </c>
      <c r="AC40" s="51">
        <v>272373</v>
      </c>
      <c r="AD40" s="51">
        <v>265881</v>
      </c>
      <c r="AE40" s="51">
        <v>268766</v>
      </c>
      <c r="AF40" s="51">
        <v>282022</v>
      </c>
      <c r="AG40" s="51">
        <v>297919</v>
      </c>
      <c r="AH40" s="51">
        <v>312918</v>
      </c>
      <c r="AI40" s="51">
        <v>328006</v>
      </c>
      <c r="AJ40" s="51">
        <v>347583</v>
      </c>
      <c r="AK40" s="51">
        <v>373570</v>
      </c>
      <c r="AL40" s="51">
        <v>399935</v>
      </c>
      <c r="AM40" s="51">
        <v>436329</v>
      </c>
      <c r="AN40" s="51">
        <v>478839</v>
      </c>
      <c r="AO40" s="51">
        <v>490331</v>
      </c>
      <c r="AP40" s="51">
        <v>482144</v>
      </c>
      <c r="AQ40" s="51">
        <v>509087</v>
      </c>
      <c r="AR40" s="51">
        <v>517547</v>
      </c>
      <c r="AS40" s="51">
        <v>525778</v>
      </c>
      <c r="AT40" s="51">
        <v>490228</v>
      </c>
      <c r="AU40" s="51">
        <v>497128</v>
      </c>
      <c r="AV40" s="51">
        <v>530843</v>
      </c>
      <c r="AW40" s="51">
        <v>503553</v>
      </c>
      <c r="AX40" s="51">
        <v>485433</v>
      </c>
      <c r="AY40" s="51">
        <v>498520</v>
      </c>
      <c r="AZ40" s="51">
        <v>536848</v>
      </c>
      <c r="BA40" s="51">
        <v>539549</v>
      </c>
      <c r="BB40" s="51">
        <v>571094</v>
      </c>
      <c r="BC40" s="51">
        <v>654501</v>
      </c>
      <c r="BD40" s="51">
        <v>679014</v>
      </c>
      <c r="BE40" s="51">
        <v>670585</v>
      </c>
      <c r="BF40" s="51">
        <v>703439</v>
      </c>
      <c r="BG40" s="51">
        <v>716841</v>
      </c>
      <c r="BH40" s="51">
        <v>736151</v>
      </c>
      <c r="BI40" s="51">
        <v>732913</v>
      </c>
      <c r="BJ40" s="51">
        <v>739371</v>
      </c>
      <c r="BK40" s="51">
        <v>749402</v>
      </c>
      <c r="BL40" s="51">
        <v>740996</v>
      </c>
      <c r="BM40" s="51">
        <v>682350</v>
      </c>
      <c r="BN40" s="51">
        <v>670990</v>
      </c>
      <c r="BO40" s="51">
        <v>652320</v>
      </c>
      <c r="BP40" s="51">
        <v>633813</v>
      </c>
      <c r="BQ40" s="51">
        <v>640692</v>
      </c>
      <c r="BR40" s="51">
        <v>654314</v>
      </c>
      <c r="BS40" s="51">
        <v>648848</v>
      </c>
      <c r="BT40" s="51">
        <v>696766</v>
      </c>
      <c r="BU40" s="51">
        <v>759517</v>
      </c>
      <c r="BV40" s="51">
        <v>807349</v>
      </c>
      <c r="BW40" s="51">
        <v>799725</v>
      </c>
      <c r="BX40" s="51">
        <v>790889</v>
      </c>
      <c r="BY40" s="51">
        <v>717575</v>
      </c>
      <c r="BZ40" s="51">
        <v>700750</v>
      </c>
      <c r="CA40" s="51">
        <v>683479</v>
      </c>
      <c r="CB40" s="51">
        <v>690260</v>
      </c>
      <c r="CC40" s="51">
        <v>715715</v>
      </c>
      <c r="CD40" s="51">
        <v>764489</v>
      </c>
      <c r="CE40" s="51">
        <v>763956</v>
      </c>
      <c r="CF40" s="51">
        <v>748576</v>
      </c>
      <c r="CG40" s="51">
        <v>757887</v>
      </c>
      <c r="CH40" s="51">
        <v>705371</v>
      </c>
      <c r="CI40" s="51">
        <v>714713</v>
      </c>
      <c r="CJ40" s="51">
        <v>616066</v>
      </c>
      <c r="CK40" s="51">
        <v>565883</v>
      </c>
      <c r="CL40" s="51">
        <v>538512</v>
      </c>
      <c r="CM40" s="51">
        <v>507485</v>
      </c>
      <c r="CN40" s="51">
        <v>423444</v>
      </c>
      <c r="CO40" s="51">
        <v>446989</v>
      </c>
      <c r="CP40" s="51">
        <v>369495</v>
      </c>
      <c r="CQ40" s="51">
        <v>379751</v>
      </c>
      <c r="CR40" s="51">
        <v>312551</v>
      </c>
      <c r="CS40" s="51">
        <v>240145</v>
      </c>
      <c r="CT40" s="51">
        <v>190360</v>
      </c>
      <c r="CU40" s="51">
        <v>146667</v>
      </c>
      <c r="CV40" s="51">
        <v>110819</v>
      </c>
      <c r="CW40" s="51">
        <v>89323</v>
      </c>
      <c r="CX40" s="51">
        <v>53651</v>
      </c>
      <c r="CY40" s="51">
        <v>38434</v>
      </c>
      <c r="CZ40" s="51">
        <v>70604</v>
      </c>
    </row>
    <row r="41" spans="1:104" x14ac:dyDescent="0.3">
      <c r="A41" s="52" t="s">
        <v>59</v>
      </c>
      <c r="B41" s="60">
        <v>2053</v>
      </c>
      <c r="C41" s="51">
        <v>45818111</v>
      </c>
      <c r="D41" s="51">
        <v>194845</v>
      </c>
      <c r="E41" s="51">
        <v>202546</v>
      </c>
      <c r="F41" s="51">
        <v>210715</v>
      </c>
      <c r="G41" s="51">
        <v>218414</v>
      </c>
      <c r="H41" s="51">
        <v>225179</v>
      </c>
      <c r="I41" s="51">
        <v>230861</v>
      </c>
      <c r="J41" s="51">
        <v>235599</v>
      </c>
      <c r="K41" s="51">
        <v>239596</v>
      </c>
      <c r="L41" s="51">
        <v>242961</v>
      </c>
      <c r="M41" s="51">
        <v>245879</v>
      </c>
      <c r="N41" s="51">
        <v>248674</v>
      </c>
      <c r="O41" s="51">
        <v>251919</v>
      </c>
      <c r="P41" s="51">
        <v>256015</v>
      </c>
      <c r="Q41" s="51">
        <v>260839</v>
      </c>
      <c r="R41" s="51">
        <v>266505</v>
      </c>
      <c r="S41" s="51">
        <v>273172</v>
      </c>
      <c r="T41" s="51">
        <v>276388</v>
      </c>
      <c r="U41" s="51">
        <v>276327</v>
      </c>
      <c r="V41" s="51">
        <v>278786</v>
      </c>
      <c r="W41" s="51">
        <v>283109</v>
      </c>
      <c r="X41" s="51">
        <v>286734</v>
      </c>
      <c r="Y41" s="51">
        <v>288360</v>
      </c>
      <c r="Z41" s="51">
        <v>288983</v>
      </c>
      <c r="AA41" s="51">
        <v>289092</v>
      </c>
      <c r="AB41" s="51">
        <v>286627</v>
      </c>
      <c r="AC41" s="51">
        <v>282142</v>
      </c>
      <c r="AD41" s="51">
        <v>276422</v>
      </c>
      <c r="AE41" s="51">
        <v>268800</v>
      </c>
      <c r="AF41" s="51">
        <v>270700</v>
      </c>
      <c r="AG41" s="51">
        <v>283202</v>
      </c>
      <c r="AH41" s="51">
        <v>298642</v>
      </c>
      <c r="AI41" s="51">
        <v>313323</v>
      </c>
      <c r="AJ41" s="51">
        <v>328041</v>
      </c>
      <c r="AK41" s="51">
        <v>347225</v>
      </c>
      <c r="AL41" s="51">
        <v>373049</v>
      </c>
      <c r="AM41" s="51">
        <v>399386</v>
      </c>
      <c r="AN41" s="51">
        <v>435697</v>
      </c>
      <c r="AO41" s="51">
        <v>478276</v>
      </c>
      <c r="AP41" s="51">
        <v>489864</v>
      </c>
      <c r="AQ41" s="51">
        <v>481673</v>
      </c>
      <c r="AR41" s="51">
        <v>508746</v>
      </c>
      <c r="AS41" s="51">
        <v>517362</v>
      </c>
      <c r="AT41" s="51">
        <v>525768</v>
      </c>
      <c r="AU41" s="51">
        <v>490478</v>
      </c>
      <c r="AV41" s="51">
        <v>497579</v>
      </c>
      <c r="AW41" s="51">
        <v>531513</v>
      </c>
      <c r="AX41" s="51">
        <v>504388</v>
      </c>
      <c r="AY41" s="51">
        <v>486415</v>
      </c>
      <c r="AZ41" s="51">
        <v>499470</v>
      </c>
      <c r="BA41" s="51">
        <v>537405</v>
      </c>
      <c r="BB41" s="51">
        <v>540066</v>
      </c>
      <c r="BC41" s="51">
        <v>571704</v>
      </c>
      <c r="BD41" s="51">
        <v>654897</v>
      </c>
      <c r="BE41" s="51">
        <v>679296</v>
      </c>
      <c r="BF41" s="51">
        <v>670755</v>
      </c>
      <c r="BG41" s="51">
        <v>703414</v>
      </c>
      <c r="BH41" s="51">
        <v>716426</v>
      </c>
      <c r="BI41" s="51">
        <v>735233</v>
      </c>
      <c r="BJ41" s="51">
        <v>731800</v>
      </c>
      <c r="BK41" s="51">
        <v>738130</v>
      </c>
      <c r="BL41" s="51">
        <v>748898</v>
      </c>
      <c r="BM41" s="51">
        <v>740600</v>
      </c>
      <c r="BN41" s="51">
        <v>681110</v>
      </c>
      <c r="BO41" s="51">
        <v>669371</v>
      </c>
      <c r="BP41" s="51">
        <v>650374</v>
      </c>
      <c r="BQ41" s="51">
        <v>631669</v>
      </c>
      <c r="BR41" s="51">
        <v>638396</v>
      </c>
      <c r="BS41" s="51">
        <v>651942</v>
      </c>
      <c r="BT41" s="51">
        <v>646395</v>
      </c>
      <c r="BU41" s="51">
        <v>693988</v>
      </c>
      <c r="BV41" s="51">
        <v>756273</v>
      </c>
      <c r="BW41" s="51">
        <v>803516</v>
      </c>
      <c r="BX41" s="51">
        <v>795512</v>
      </c>
      <c r="BY41" s="51">
        <v>786218</v>
      </c>
      <c r="BZ41" s="51">
        <v>712740</v>
      </c>
      <c r="CA41" s="51">
        <v>695250</v>
      </c>
      <c r="CB41" s="51">
        <v>677092</v>
      </c>
      <c r="CC41" s="51">
        <v>682594</v>
      </c>
      <c r="CD41" s="51">
        <v>706123</v>
      </c>
      <c r="CE41" s="51">
        <v>752158</v>
      </c>
      <c r="CF41" s="51">
        <v>749204</v>
      </c>
      <c r="CG41" s="51">
        <v>731263</v>
      </c>
      <c r="CH41" s="51">
        <v>737033</v>
      </c>
      <c r="CI41" s="51">
        <v>682408</v>
      </c>
      <c r="CJ41" s="51">
        <v>687345</v>
      </c>
      <c r="CK41" s="51">
        <v>588423</v>
      </c>
      <c r="CL41" s="51">
        <v>536106</v>
      </c>
      <c r="CM41" s="51">
        <v>505484</v>
      </c>
      <c r="CN41" s="51">
        <v>471595</v>
      </c>
      <c r="CO41" s="51">
        <v>388970</v>
      </c>
      <c r="CP41" s="51">
        <v>405298</v>
      </c>
      <c r="CQ41" s="51">
        <v>330365</v>
      </c>
      <c r="CR41" s="51">
        <v>334304</v>
      </c>
      <c r="CS41" s="51">
        <v>270429</v>
      </c>
      <c r="CT41" s="51">
        <v>203811</v>
      </c>
      <c r="CU41" s="51">
        <v>158199</v>
      </c>
      <c r="CV41" s="51">
        <v>119189</v>
      </c>
      <c r="CW41" s="51">
        <v>87903</v>
      </c>
      <c r="CX41" s="51">
        <v>69040</v>
      </c>
      <c r="CY41" s="51">
        <v>40337</v>
      </c>
      <c r="CZ41" s="51">
        <v>75774</v>
      </c>
    </row>
    <row r="42" spans="1:104" x14ac:dyDescent="0.3">
      <c r="A42" s="52" t="s">
        <v>59</v>
      </c>
      <c r="B42" s="60">
        <v>2054</v>
      </c>
      <c r="C42" s="51">
        <v>45350648</v>
      </c>
      <c r="D42" s="51">
        <v>186762</v>
      </c>
      <c r="E42" s="51">
        <v>194313</v>
      </c>
      <c r="F42" s="51">
        <v>202637</v>
      </c>
      <c r="G42" s="51">
        <v>210791</v>
      </c>
      <c r="H42" s="51">
        <v>218274</v>
      </c>
      <c r="I42" s="51">
        <v>224849</v>
      </c>
      <c r="J42" s="51">
        <v>230535</v>
      </c>
      <c r="K42" s="51">
        <v>235429</v>
      </c>
      <c r="L42" s="51">
        <v>239511</v>
      </c>
      <c r="M42" s="51">
        <v>242873</v>
      </c>
      <c r="N42" s="51">
        <v>245762</v>
      </c>
      <c r="O42" s="51">
        <v>248739</v>
      </c>
      <c r="P42" s="51">
        <v>252218</v>
      </c>
      <c r="Q42" s="51">
        <v>256157</v>
      </c>
      <c r="R42" s="51">
        <v>260773</v>
      </c>
      <c r="S42" s="51">
        <v>266274</v>
      </c>
      <c r="T42" s="51">
        <v>273165</v>
      </c>
      <c r="U42" s="51">
        <v>277442</v>
      </c>
      <c r="V42" s="51">
        <v>280164</v>
      </c>
      <c r="W42" s="51">
        <v>285053</v>
      </c>
      <c r="X42" s="51">
        <v>289547</v>
      </c>
      <c r="Y42" s="51">
        <v>292272</v>
      </c>
      <c r="Z42" s="51">
        <v>294164</v>
      </c>
      <c r="AA42" s="51">
        <v>295604</v>
      </c>
      <c r="AB42" s="51">
        <v>294420</v>
      </c>
      <c r="AC42" s="51">
        <v>291063</v>
      </c>
      <c r="AD42" s="51">
        <v>286215</v>
      </c>
      <c r="AE42" s="51">
        <v>279351</v>
      </c>
      <c r="AF42" s="51">
        <v>270731</v>
      </c>
      <c r="AG42" s="51">
        <v>271875</v>
      </c>
      <c r="AH42" s="51">
        <v>283923</v>
      </c>
      <c r="AI42" s="51">
        <v>299043</v>
      </c>
      <c r="AJ42" s="51">
        <v>313350</v>
      </c>
      <c r="AK42" s="51">
        <v>327679</v>
      </c>
      <c r="AL42" s="51">
        <v>346705</v>
      </c>
      <c r="AM42" s="51">
        <v>372502</v>
      </c>
      <c r="AN42" s="51">
        <v>398760</v>
      </c>
      <c r="AO42" s="51">
        <v>435145</v>
      </c>
      <c r="AP42" s="51">
        <v>477818</v>
      </c>
      <c r="AQ42" s="51">
        <v>489394</v>
      </c>
      <c r="AR42" s="51">
        <v>481341</v>
      </c>
      <c r="AS42" s="51">
        <v>508566</v>
      </c>
      <c r="AT42" s="51">
        <v>517368</v>
      </c>
      <c r="AU42" s="51">
        <v>526019</v>
      </c>
      <c r="AV42" s="51">
        <v>490925</v>
      </c>
      <c r="AW42" s="51">
        <v>498271</v>
      </c>
      <c r="AX42" s="51">
        <v>532363</v>
      </c>
      <c r="AY42" s="51">
        <v>505371</v>
      </c>
      <c r="AZ42" s="51">
        <v>487358</v>
      </c>
      <c r="BA42" s="51">
        <v>500044</v>
      </c>
      <c r="BB42" s="51">
        <v>537919</v>
      </c>
      <c r="BC42" s="51">
        <v>540660</v>
      </c>
      <c r="BD42" s="51">
        <v>572134</v>
      </c>
      <c r="BE42" s="51">
        <v>655213</v>
      </c>
      <c r="BF42" s="51">
        <v>679469</v>
      </c>
      <c r="BG42" s="51">
        <v>670764</v>
      </c>
      <c r="BH42" s="51">
        <v>703025</v>
      </c>
      <c r="BI42" s="51">
        <v>715554</v>
      </c>
      <c r="BJ42" s="51">
        <v>734148</v>
      </c>
      <c r="BK42" s="51">
        <v>730594</v>
      </c>
      <c r="BL42" s="51">
        <v>737677</v>
      </c>
      <c r="BM42" s="51">
        <v>748549</v>
      </c>
      <c r="BN42" s="51">
        <v>739322</v>
      </c>
      <c r="BO42" s="51">
        <v>679528</v>
      </c>
      <c r="BP42" s="51">
        <v>667442</v>
      </c>
      <c r="BQ42" s="51">
        <v>648237</v>
      </c>
      <c r="BR42" s="51">
        <v>629436</v>
      </c>
      <c r="BS42" s="51">
        <v>636124</v>
      </c>
      <c r="BT42" s="51">
        <v>649531</v>
      </c>
      <c r="BU42" s="51">
        <v>643840</v>
      </c>
      <c r="BV42" s="51">
        <v>691067</v>
      </c>
      <c r="BW42" s="51">
        <v>752772</v>
      </c>
      <c r="BX42" s="51">
        <v>799405</v>
      </c>
      <c r="BY42" s="51">
        <v>790942</v>
      </c>
      <c r="BZ42" s="51">
        <v>781051</v>
      </c>
      <c r="CA42" s="51">
        <v>707285</v>
      </c>
      <c r="CB42" s="51">
        <v>688922</v>
      </c>
      <c r="CC42" s="51">
        <v>669713</v>
      </c>
      <c r="CD42" s="51">
        <v>673642</v>
      </c>
      <c r="CE42" s="51">
        <v>694955</v>
      </c>
      <c r="CF42" s="51">
        <v>737899</v>
      </c>
      <c r="CG42" s="51">
        <v>732224</v>
      </c>
      <c r="CH42" s="51">
        <v>711430</v>
      </c>
      <c r="CI42" s="51">
        <v>713359</v>
      </c>
      <c r="CJ42" s="51">
        <v>656578</v>
      </c>
      <c r="CK42" s="51">
        <v>656837</v>
      </c>
      <c r="CL42" s="51">
        <v>557902</v>
      </c>
      <c r="CM42" s="51">
        <v>503617</v>
      </c>
      <c r="CN42" s="51">
        <v>469999</v>
      </c>
      <c r="CO42" s="51">
        <v>433577</v>
      </c>
      <c r="CP42" s="51">
        <v>353030</v>
      </c>
      <c r="CQ42" s="51">
        <v>362583</v>
      </c>
      <c r="CR42" s="51">
        <v>290998</v>
      </c>
      <c r="CS42" s="51">
        <v>289473</v>
      </c>
      <c r="CT42" s="51">
        <v>229769</v>
      </c>
      <c r="CU42" s="51">
        <v>169567</v>
      </c>
      <c r="CV42" s="51">
        <v>128656</v>
      </c>
      <c r="CW42" s="51">
        <v>94620</v>
      </c>
      <c r="CX42" s="51">
        <v>67999</v>
      </c>
      <c r="CY42" s="51">
        <v>51956</v>
      </c>
      <c r="CZ42" s="51">
        <v>80747</v>
      </c>
    </row>
    <row r="43" spans="1:104" x14ac:dyDescent="0.3">
      <c r="A43" s="52" t="s">
        <v>59</v>
      </c>
      <c r="B43" s="60">
        <v>2055</v>
      </c>
      <c r="C43" s="51">
        <v>44867534</v>
      </c>
      <c r="D43" s="51">
        <v>179197</v>
      </c>
      <c r="E43" s="51">
        <v>186278</v>
      </c>
      <c r="F43" s="51">
        <v>194427</v>
      </c>
      <c r="G43" s="51">
        <v>202728</v>
      </c>
      <c r="H43" s="51">
        <v>210664</v>
      </c>
      <c r="I43" s="51">
        <v>217956</v>
      </c>
      <c r="J43" s="51">
        <v>224532</v>
      </c>
      <c r="K43" s="51">
        <v>230371</v>
      </c>
      <c r="L43" s="51">
        <v>235349</v>
      </c>
      <c r="M43" s="51">
        <v>239427</v>
      </c>
      <c r="N43" s="51">
        <v>242761</v>
      </c>
      <c r="O43" s="51">
        <v>245829</v>
      </c>
      <c r="P43" s="51">
        <v>249037</v>
      </c>
      <c r="Q43" s="51">
        <v>252362</v>
      </c>
      <c r="R43" s="51">
        <v>256097</v>
      </c>
      <c r="S43" s="51">
        <v>260555</v>
      </c>
      <c r="T43" s="51">
        <v>266278</v>
      </c>
      <c r="U43" s="51">
        <v>274223</v>
      </c>
      <c r="V43" s="51">
        <v>281279</v>
      </c>
      <c r="W43" s="51">
        <v>286428</v>
      </c>
      <c r="X43" s="51">
        <v>291482</v>
      </c>
      <c r="Y43" s="51">
        <v>295072</v>
      </c>
      <c r="Z43" s="51">
        <v>298069</v>
      </c>
      <c r="AA43" s="51">
        <v>300783</v>
      </c>
      <c r="AB43" s="51">
        <v>300935</v>
      </c>
      <c r="AC43" s="51">
        <v>298873</v>
      </c>
      <c r="AD43" s="51">
        <v>295159</v>
      </c>
      <c r="AE43" s="51">
        <v>289160</v>
      </c>
      <c r="AF43" s="51">
        <v>281288</v>
      </c>
      <c r="AG43" s="51">
        <v>271905</v>
      </c>
      <c r="AH43" s="51">
        <v>272592</v>
      </c>
      <c r="AI43" s="51">
        <v>284319</v>
      </c>
      <c r="AJ43" s="51">
        <v>299064</v>
      </c>
      <c r="AK43" s="51">
        <v>312984</v>
      </c>
      <c r="AL43" s="51">
        <v>327158</v>
      </c>
      <c r="AM43" s="51">
        <v>346159</v>
      </c>
      <c r="AN43" s="51">
        <v>371880</v>
      </c>
      <c r="AO43" s="51">
        <v>398216</v>
      </c>
      <c r="AP43" s="51">
        <v>434699</v>
      </c>
      <c r="AQ43" s="51">
        <v>477356</v>
      </c>
      <c r="AR43" s="51">
        <v>489061</v>
      </c>
      <c r="AS43" s="51">
        <v>481169</v>
      </c>
      <c r="AT43" s="51">
        <v>508577</v>
      </c>
      <c r="AU43" s="51">
        <v>517638</v>
      </c>
      <c r="AV43" s="51">
        <v>526468</v>
      </c>
      <c r="AW43" s="51">
        <v>491611</v>
      </c>
      <c r="AX43" s="51">
        <v>499143</v>
      </c>
      <c r="AY43" s="51">
        <v>533363</v>
      </c>
      <c r="AZ43" s="51">
        <v>506317</v>
      </c>
      <c r="BA43" s="51">
        <v>487926</v>
      </c>
      <c r="BB43" s="51">
        <v>500577</v>
      </c>
      <c r="BC43" s="51">
        <v>538513</v>
      </c>
      <c r="BD43" s="51">
        <v>541076</v>
      </c>
      <c r="BE43" s="51">
        <v>572487</v>
      </c>
      <c r="BF43" s="51">
        <v>655422</v>
      </c>
      <c r="BG43" s="51">
        <v>679484</v>
      </c>
      <c r="BH43" s="51">
        <v>670413</v>
      </c>
      <c r="BI43" s="51">
        <v>702182</v>
      </c>
      <c r="BJ43" s="51">
        <v>714520</v>
      </c>
      <c r="BK43" s="51">
        <v>732973</v>
      </c>
      <c r="BL43" s="51">
        <v>730179</v>
      </c>
      <c r="BM43" s="51">
        <v>737382</v>
      </c>
      <c r="BN43" s="51">
        <v>747318</v>
      </c>
      <c r="BO43" s="51">
        <v>737699</v>
      </c>
      <c r="BP43" s="51">
        <v>677637</v>
      </c>
      <c r="BQ43" s="51">
        <v>665320</v>
      </c>
      <c r="BR43" s="51">
        <v>646010</v>
      </c>
      <c r="BS43" s="51">
        <v>627232</v>
      </c>
      <c r="BT43" s="51">
        <v>633818</v>
      </c>
      <c r="BU43" s="51">
        <v>647017</v>
      </c>
      <c r="BV43" s="51">
        <v>641164</v>
      </c>
      <c r="BW43" s="51">
        <v>687922</v>
      </c>
      <c r="BX43" s="51">
        <v>749018</v>
      </c>
      <c r="BY43" s="51">
        <v>794934</v>
      </c>
      <c r="BZ43" s="51">
        <v>785871</v>
      </c>
      <c r="CA43" s="51">
        <v>775205</v>
      </c>
      <c r="CB43" s="51">
        <v>700991</v>
      </c>
      <c r="CC43" s="51">
        <v>681591</v>
      </c>
      <c r="CD43" s="51">
        <v>661080</v>
      </c>
      <c r="CE43" s="51">
        <v>663195</v>
      </c>
      <c r="CF43" s="51">
        <v>682013</v>
      </c>
      <c r="CG43" s="51">
        <v>721457</v>
      </c>
      <c r="CH43" s="51">
        <v>712735</v>
      </c>
      <c r="CI43" s="51">
        <v>688882</v>
      </c>
      <c r="CJ43" s="51">
        <v>686694</v>
      </c>
      <c r="CK43" s="51">
        <v>627752</v>
      </c>
      <c r="CL43" s="51">
        <v>623116</v>
      </c>
      <c r="CM43" s="51">
        <v>524547</v>
      </c>
      <c r="CN43" s="51">
        <v>468663</v>
      </c>
      <c r="CO43" s="51">
        <v>432381</v>
      </c>
      <c r="CP43" s="51">
        <v>393893</v>
      </c>
      <c r="CQ43" s="51">
        <v>316160</v>
      </c>
      <c r="CR43" s="51">
        <v>319586</v>
      </c>
      <c r="CS43" s="51">
        <v>252147</v>
      </c>
      <c r="CT43" s="51">
        <v>246171</v>
      </c>
      <c r="CU43" s="51">
        <v>191406</v>
      </c>
      <c r="CV43" s="51">
        <v>138078</v>
      </c>
      <c r="CW43" s="51">
        <v>102229</v>
      </c>
      <c r="CX43" s="51">
        <v>73268</v>
      </c>
      <c r="CY43" s="51">
        <v>51225</v>
      </c>
      <c r="CZ43" s="51">
        <v>92697</v>
      </c>
    </row>
    <row r="44" spans="1:104" x14ac:dyDescent="0.3">
      <c r="A44" s="52" t="s">
        <v>59</v>
      </c>
      <c r="B44" s="60">
        <v>2056</v>
      </c>
      <c r="C44" s="51">
        <v>44371641</v>
      </c>
      <c r="D44" s="51">
        <v>172426</v>
      </c>
      <c r="E44" s="51">
        <v>178761</v>
      </c>
      <c r="F44" s="51">
        <v>186415</v>
      </c>
      <c r="G44" s="51">
        <v>194534</v>
      </c>
      <c r="H44" s="51">
        <v>202615</v>
      </c>
      <c r="I44" s="51">
        <v>210360</v>
      </c>
      <c r="J44" s="51">
        <v>217650</v>
      </c>
      <c r="K44" s="51">
        <v>224376</v>
      </c>
      <c r="L44" s="51">
        <v>230298</v>
      </c>
      <c r="M44" s="51">
        <v>235270</v>
      </c>
      <c r="N44" s="51">
        <v>239320</v>
      </c>
      <c r="O44" s="51">
        <v>242830</v>
      </c>
      <c r="P44" s="51">
        <v>246126</v>
      </c>
      <c r="Q44" s="51">
        <v>249183</v>
      </c>
      <c r="R44" s="51">
        <v>252307</v>
      </c>
      <c r="S44" s="51">
        <v>255889</v>
      </c>
      <c r="T44" s="51">
        <v>260569</v>
      </c>
      <c r="U44" s="51">
        <v>267336</v>
      </c>
      <c r="V44" s="51">
        <v>278059</v>
      </c>
      <c r="W44" s="51">
        <v>287540</v>
      </c>
      <c r="X44" s="51">
        <v>292850</v>
      </c>
      <c r="Y44" s="51">
        <v>297000</v>
      </c>
      <c r="Z44" s="51">
        <v>300865</v>
      </c>
      <c r="AA44" s="51">
        <v>304687</v>
      </c>
      <c r="AB44" s="51">
        <v>306116</v>
      </c>
      <c r="AC44" s="51">
        <v>305402</v>
      </c>
      <c r="AD44" s="51">
        <v>302989</v>
      </c>
      <c r="AE44" s="51">
        <v>298119</v>
      </c>
      <c r="AF44" s="51">
        <v>291108</v>
      </c>
      <c r="AG44" s="51">
        <v>282466</v>
      </c>
      <c r="AH44" s="51">
        <v>272620</v>
      </c>
      <c r="AI44" s="51">
        <v>272983</v>
      </c>
      <c r="AJ44" s="51">
        <v>284334</v>
      </c>
      <c r="AK44" s="51">
        <v>298696</v>
      </c>
      <c r="AL44" s="51">
        <v>312463</v>
      </c>
      <c r="AM44" s="51">
        <v>326614</v>
      </c>
      <c r="AN44" s="51">
        <v>345542</v>
      </c>
      <c r="AO44" s="51">
        <v>371342</v>
      </c>
      <c r="AP44" s="51">
        <v>397777</v>
      </c>
      <c r="AQ44" s="51">
        <v>434248</v>
      </c>
      <c r="AR44" s="51">
        <v>477031</v>
      </c>
      <c r="AS44" s="51">
        <v>488886</v>
      </c>
      <c r="AT44" s="51">
        <v>481186</v>
      </c>
      <c r="AU44" s="51">
        <v>508851</v>
      </c>
      <c r="AV44" s="51">
        <v>518106</v>
      </c>
      <c r="AW44" s="51">
        <v>527157</v>
      </c>
      <c r="AX44" s="51">
        <v>492476</v>
      </c>
      <c r="AY44" s="51">
        <v>500167</v>
      </c>
      <c r="AZ44" s="51">
        <v>534327</v>
      </c>
      <c r="BA44" s="51">
        <v>506887</v>
      </c>
      <c r="BB44" s="51">
        <v>488454</v>
      </c>
      <c r="BC44" s="51">
        <v>501190</v>
      </c>
      <c r="BD44" s="51">
        <v>538930</v>
      </c>
      <c r="BE44" s="51">
        <v>541419</v>
      </c>
      <c r="BF44" s="51">
        <v>572739</v>
      </c>
      <c r="BG44" s="51">
        <v>655474</v>
      </c>
      <c r="BH44" s="51">
        <v>679139</v>
      </c>
      <c r="BI44" s="51">
        <v>669612</v>
      </c>
      <c r="BJ44" s="51">
        <v>701180</v>
      </c>
      <c r="BK44" s="51">
        <v>713398</v>
      </c>
      <c r="BL44" s="51">
        <v>732590</v>
      </c>
      <c r="BM44" s="51">
        <v>729925</v>
      </c>
      <c r="BN44" s="51">
        <v>736209</v>
      </c>
      <c r="BO44" s="51">
        <v>745744</v>
      </c>
      <c r="BP44" s="51">
        <v>735763</v>
      </c>
      <c r="BQ44" s="51">
        <v>675553</v>
      </c>
      <c r="BR44" s="51">
        <v>663107</v>
      </c>
      <c r="BS44" s="51">
        <v>643811</v>
      </c>
      <c r="BT44" s="51">
        <v>625003</v>
      </c>
      <c r="BU44" s="51">
        <v>631423</v>
      </c>
      <c r="BV44" s="51">
        <v>644391</v>
      </c>
      <c r="BW44" s="51">
        <v>638297</v>
      </c>
      <c r="BX44" s="51">
        <v>684566</v>
      </c>
      <c r="BY44" s="51">
        <v>744944</v>
      </c>
      <c r="BZ44" s="51">
        <v>789978</v>
      </c>
      <c r="CA44" s="51">
        <v>780135</v>
      </c>
      <c r="CB44" s="51">
        <v>768466</v>
      </c>
      <c r="CC44" s="51">
        <v>693706</v>
      </c>
      <c r="CD44" s="51">
        <v>673021</v>
      </c>
      <c r="CE44" s="51">
        <v>651012</v>
      </c>
      <c r="CF44" s="51">
        <v>651095</v>
      </c>
      <c r="CG44" s="51">
        <v>667095</v>
      </c>
      <c r="CH44" s="51">
        <v>702588</v>
      </c>
      <c r="CI44" s="51">
        <v>690572</v>
      </c>
      <c r="CJ44" s="51">
        <v>663484</v>
      </c>
      <c r="CK44" s="51">
        <v>656931</v>
      </c>
      <c r="CL44" s="51">
        <v>595877</v>
      </c>
      <c r="CM44" s="51">
        <v>586253</v>
      </c>
      <c r="CN44" s="51">
        <v>488629</v>
      </c>
      <c r="CO44" s="51">
        <v>431574</v>
      </c>
      <c r="CP44" s="51">
        <v>393094</v>
      </c>
      <c r="CQ44" s="51">
        <v>353139</v>
      </c>
      <c r="CR44" s="51">
        <v>279000</v>
      </c>
      <c r="CS44" s="51">
        <v>277125</v>
      </c>
      <c r="CT44" s="51">
        <v>214593</v>
      </c>
      <c r="CU44" s="51">
        <v>205269</v>
      </c>
      <c r="CV44" s="51">
        <v>156071</v>
      </c>
      <c r="CW44" s="51">
        <v>109863</v>
      </c>
      <c r="CX44" s="51">
        <v>79234</v>
      </c>
      <c r="CY44" s="51">
        <v>55250</v>
      </c>
      <c r="CZ44" s="51">
        <v>100567</v>
      </c>
    </row>
    <row r="45" spans="1:104" x14ac:dyDescent="0.3">
      <c r="A45" s="52" t="s">
        <v>59</v>
      </c>
      <c r="B45" s="60">
        <v>2057</v>
      </c>
      <c r="C45" s="51">
        <v>43864958</v>
      </c>
      <c r="D45" s="51">
        <v>166659</v>
      </c>
      <c r="E45" s="51">
        <v>172032</v>
      </c>
      <c r="F45" s="51">
        <v>178920</v>
      </c>
      <c r="G45" s="51">
        <v>186538</v>
      </c>
      <c r="H45" s="51">
        <v>194437</v>
      </c>
      <c r="I45" s="51">
        <v>202326</v>
      </c>
      <c r="J45" s="51">
        <v>210067</v>
      </c>
      <c r="K45" s="51">
        <v>217503</v>
      </c>
      <c r="L45" s="51">
        <v>224310</v>
      </c>
      <c r="M45" s="51">
        <v>230226</v>
      </c>
      <c r="N45" s="51">
        <v>235169</v>
      </c>
      <c r="O45" s="51">
        <v>239392</v>
      </c>
      <c r="P45" s="51">
        <v>243127</v>
      </c>
      <c r="Q45" s="51">
        <v>246273</v>
      </c>
      <c r="R45" s="51">
        <v>249132</v>
      </c>
      <c r="S45" s="51">
        <v>252107</v>
      </c>
      <c r="T45" s="51">
        <v>255911</v>
      </c>
      <c r="U45" s="51">
        <v>261626</v>
      </c>
      <c r="V45" s="51">
        <v>271171</v>
      </c>
      <c r="W45" s="51">
        <v>284321</v>
      </c>
      <c r="X45" s="51">
        <v>293957</v>
      </c>
      <c r="Y45" s="51">
        <v>298362</v>
      </c>
      <c r="Z45" s="51">
        <v>302790</v>
      </c>
      <c r="AA45" s="51">
        <v>307482</v>
      </c>
      <c r="AB45" s="51">
        <v>310022</v>
      </c>
      <c r="AC45" s="51">
        <v>310595</v>
      </c>
      <c r="AD45" s="51">
        <v>309536</v>
      </c>
      <c r="AE45" s="51">
        <v>305963</v>
      </c>
      <c r="AF45" s="51">
        <v>300076</v>
      </c>
      <c r="AG45" s="51">
        <v>292293</v>
      </c>
      <c r="AH45" s="51">
        <v>283185</v>
      </c>
      <c r="AI45" s="51">
        <v>273008</v>
      </c>
      <c r="AJ45" s="51">
        <v>272992</v>
      </c>
      <c r="AK45" s="51">
        <v>283962</v>
      </c>
      <c r="AL45" s="51">
        <v>298175</v>
      </c>
      <c r="AM45" s="51">
        <v>311920</v>
      </c>
      <c r="AN45" s="51">
        <v>325999</v>
      </c>
      <c r="AO45" s="51">
        <v>345009</v>
      </c>
      <c r="AP45" s="51">
        <v>370908</v>
      </c>
      <c r="AQ45" s="51">
        <v>397332</v>
      </c>
      <c r="AR45" s="51">
        <v>433933</v>
      </c>
      <c r="AS45" s="51">
        <v>476864</v>
      </c>
      <c r="AT45" s="51">
        <v>488901</v>
      </c>
      <c r="AU45" s="51">
        <v>481465</v>
      </c>
      <c r="AV45" s="51">
        <v>509323</v>
      </c>
      <c r="AW45" s="51">
        <v>518816</v>
      </c>
      <c r="AX45" s="51">
        <v>528026</v>
      </c>
      <c r="AY45" s="51">
        <v>493492</v>
      </c>
      <c r="AZ45" s="51">
        <v>501154</v>
      </c>
      <c r="BA45" s="51">
        <v>534913</v>
      </c>
      <c r="BB45" s="51">
        <v>507417</v>
      </c>
      <c r="BC45" s="51">
        <v>489064</v>
      </c>
      <c r="BD45" s="51">
        <v>501628</v>
      </c>
      <c r="BE45" s="51">
        <v>539274</v>
      </c>
      <c r="BF45" s="51">
        <v>541663</v>
      </c>
      <c r="BG45" s="51">
        <v>572839</v>
      </c>
      <c r="BH45" s="51">
        <v>655170</v>
      </c>
      <c r="BI45" s="51">
        <v>678347</v>
      </c>
      <c r="BJ45" s="51">
        <v>668655</v>
      </c>
      <c r="BK45" s="51">
        <v>700090</v>
      </c>
      <c r="BL45" s="51">
        <v>713071</v>
      </c>
      <c r="BM45" s="51">
        <v>732371</v>
      </c>
      <c r="BN45" s="51">
        <v>728796</v>
      </c>
      <c r="BO45" s="51">
        <v>734696</v>
      </c>
      <c r="BP45" s="51">
        <v>743859</v>
      </c>
      <c r="BQ45" s="51">
        <v>733630</v>
      </c>
      <c r="BR45" s="51">
        <v>673378</v>
      </c>
      <c r="BS45" s="51">
        <v>660921</v>
      </c>
      <c r="BT45" s="51">
        <v>641587</v>
      </c>
      <c r="BU45" s="51">
        <v>622691</v>
      </c>
      <c r="BV45" s="51">
        <v>628925</v>
      </c>
      <c r="BW45" s="51">
        <v>641576</v>
      </c>
      <c r="BX45" s="51">
        <v>635246</v>
      </c>
      <c r="BY45" s="51">
        <v>680928</v>
      </c>
      <c r="BZ45" s="51">
        <v>740423</v>
      </c>
      <c r="CA45" s="51">
        <v>784361</v>
      </c>
      <c r="CB45" s="51">
        <v>773507</v>
      </c>
      <c r="CC45" s="51">
        <v>760649</v>
      </c>
      <c r="CD45" s="51">
        <v>685172</v>
      </c>
      <c r="CE45" s="51">
        <v>663001</v>
      </c>
      <c r="CF45" s="51">
        <v>639327</v>
      </c>
      <c r="CG45" s="51">
        <v>637114</v>
      </c>
      <c r="CH45" s="51">
        <v>649929</v>
      </c>
      <c r="CI45" s="51">
        <v>681077</v>
      </c>
      <c r="CJ45" s="51">
        <v>665541</v>
      </c>
      <c r="CK45" s="51">
        <v>635069</v>
      </c>
      <c r="CL45" s="51">
        <v>623946</v>
      </c>
      <c r="CM45" s="51">
        <v>560954</v>
      </c>
      <c r="CN45" s="51">
        <v>546468</v>
      </c>
      <c r="CO45" s="51">
        <v>450413</v>
      </c>
      <c r="CP45" s="51">
        <v>392741</v>
      </c>
      <c r="CQ45" s="51">
        <v>352667</v>
      </c>
      <c r="CR45" s="51">
        <v>311961</v>
      </c>
      <c r="CS45" s="51">
        <v>242211</v>
      </c>
      <c r="CT45" s="51">
        <v>236010</v>
      </c>
      <c r="CU45" s="51">
        <v>179061</v>
      </c>
      <c r="CV45" s="51">
        <v>167525</v>
      </c>
      <c r="CW45" s="51">
        <v>124337</v>
      </c>
      <c r="CX45" s="51">
        <v>85258</v>
      </c>
      <c r="CY45" s="51">
        <v>59799</v>
      </c>
      <c r="CZ45" s="51">
        <v>108915</v>
      </c>
    </row>
    <row r="46" spans="1:104" x14ac:dyDescent="0.3">
      <c r="A46" s="52" t="s">
        <v>59</v>
      </c>
      <c r="B46" s="60">
        <v>2058</v>
      </c>
      <c r="C46" s="51">
        <v>43349217</v>
      </c>
      <c r="D46" s="51">
        <v>162028</v>
      </c>
      <c r="E46" s="51">
        <v>166302</v>
      </c>
      <c r="F46" s="51">
        <v>172211</v>
      </c>
      <c r="G46" s="51">
        <v>179058</v>
      </c>
      <c r="H46" s="51">
        <v>186456</v>
      </c>
      <c r="I46" s="51">
        <v>194164</v>
      </c>
      <c r="J46" s="51">
        <v>202047</v>
      </c>
      <c r="K46" s="51">
        <v>209932</v>
      </c>
      <c r="L46" s="51">
        <v>217446</v>
      </c>
      <c r="M46" s="51">
        <v>224246</v>
      </c>
      <c r="N46" s="51">
        <v>230132</v>
      </c>
      <c r="O46" s="51">
        <v>235244</v>
      </c>
      <c r="P46" s="51">
        <v>239688</v>
      </c>
      <c r="Q46" s="51">
        <v>243275</v>
      </c>
      <c r="R46" s="51">
        <v>246226</v>
      </c>
      <c r="S46" s="51">
        <v>248940</v>
      </c>
      <c r="T46" s="51">
        <v>252136</v>
      </c>
      <c r="U46" s="51">
        <v>256967</v>
      </c>
      <c r="V46" s="51">
        <v>265463</v>
      </c>
      <c r="W46" s="51">
        <v>277445</v>
      </c>
      <c r="X46" s="51">
        <v>290741</v>
      </c>
      <c r="Y46" s="51">
        <v>299465</v>
      </c>
      <c r="Z46" s="51">
        <v>304151</v>
      </c>
      <c r="AA46" s="51">
        <v>309406</v>
      </c>
      <c r="AB46" s="51">
        <v>312820</v>
      </c>
      <c r="AC46" s="51">
        <v>314512</v>
      </c>
      <c r="AD46" s="51">
        <v>314744</v>
      </c>
      <c r="AE46" s="51">
        <v>312522</v>
      </c>
      <c r="AF46" s="51">
        <v>307929</v>
      </c>
      <c r="AG46" s="51">
        <v>301267</v>
      </c>
      <c r="AH46" s="51">
        <v>293017</v>
      </c>
      <c r="AI46" s="51">
        <v>283576</v>
      </c>
      <c r="AJ46" s="51">
        <v>273015</v>
      </c>
      <c r="AK46" s="51">
        <v>272618</v>
      </c>
      <c r="AL46" s="51">
        <v>283441</v>
      </c>
      <c r="AM46" s="51">
        <v>297633</v>
      </c>
      <c r="AN46" s="51">
        <v>311307</v>
      </c>
      <c r="AO46" s="51">
        <v>325470</v>
      </c>
      <c r="AP46" s="51">
        <v>344580</v>
      </c>
      <c r="AQ46" s="51">
        <v>370467</v>
      </c>
      <c r="AR46" s="51">
        <v>397020</v>
      </c>
      <c r="AS46" s="51">
        <v>433773</v>
      </c>
      <c r="AT46" s="51">
        <v>476887</v>
      </c>
      <c r="AU46" s="51">
        <v>489176</v>
      </c>
      <c r="AV46" s="51">
        <v>481941</v>
      </c>
      <c r="AW46" s="51">
        <v>510037</v>
      </c>
      <c r="AX46" s="51">
        <v>519708</v>
      </c>
      <c r="AY46" s="51">
        <v>529047</v>
      </c>
      <c r="AZ46" s="51">
        <v>494473</v>
      </c>
      <c r="BA46" s="51">
        <v>501767</v>
      </c>
      <c r="BB46" s="51">
        <v>535459</v>
      </c>
      <c r="BC46" s="51">
        <v>508030</v>
      </c>
      <c r="BD46" s="51">
        <v>489499</v>
      </c>
      <c r="BE46" s="51">
        <v>501995</v>
      </c>
      <c r="BF46" s="51">
        <v>539520</v>
      </c>
      <c r="BG46" s="51">
        <v>541760</v>
      </c>
      <c r="BH46" s="51">
        <v>572591</v>
      </c>
      <c r="BI46" s="51">
        <v>654419</v>
      </c>
      <c r="BJ46" s="51">
        <v>677396</v>
      </c>
      <c r="BK46" s="51">
        <v>667610</v>
      </c>
      <c r="BL46" s="51">
        <v>699797</v>
      </c>
      <c r="BM46" s="51">
        <v>712910</v>
      </c>
      <c r="BN46" s="51">
        <v>731278</v>
      </c>
      <c r="BO46" s="51">
        <v>727326</v>
      </c>
      <c r="BP46" s="51">
        <v>732873</v>
      </c>
      <c r="BQ46" s="51">
        <v>741772</v>
      </c>
      <c r="BR46" s="51">
        <v>731394</v>
      </c>
      <c r="BS46" s="51">
        <v>671229</v>
      </c>
      <c r="BT46" s="51">
        <v>658704</v>
      </c>
      <c r="BU46" s="51">
        <v>639272</v>
      </c>
      <c r="BV46" s="51">
        <v>620278</v>
      </c>
      <c r="BW46" s="51">
        <v>626246</v>
      </c>
      <c r="BX46" s="51">
        <v>638573</v>
      </c>
      <c r="BY46" s="51">
        <v>631938</v>
      </c>
      <c r="BZ46" s="51">
        <v>676885</v>
      </c>
      <c r="CA46" s="51">
        <v>735282</v>
      </c>
      <c r="CB46" s="51">
        <v>777847</v>
      </c>
      <c r="CC46" s="51">
        <v>765795</v>
      </c>
      <c r="CD46" s="51">
        <v>751463</v>
      </c>
      <c r="CE46" s="51">
        <v>675158</v>
      </c>
      <c r="CF46" s="51">
        <v>651331</v>
      </c>
      <c r="CG46" s="51">
        <v>625778</v>
      </c>
      <c r="CH46" s="51">
        <v>620968</v>
      </c>
      <c r="CI46" s="51">
        <v>630293</v>
      </c>
      <c r="CJ46" s="51">
        <v>656698</v>
      </c>
      <c r="CK46" s="51">
        <v>637437</v>
      </c>
      <c r="CL46" s="51">
        <v>603481</v>
      </c>
      <c r="CM46" s="51">
        <v>587702</v>
      </c>
      <c r="CN46" s="51">
        <v>523162</v>
      </c>
      <c r="CO46" s="51">
        <v>504028</v>
      </c>
      <c r="CP46" s="51">
        <v>410279</v>
      </c>
      <c r="CQ46" s="51">
        <v>352671</v>
      </c>
      <c r="CR46" s="51">
        <v>311734</v>
      </c>
      <c r="CS46" s="51">
        <v>271092</v>
      </c>
      <c r="CT46" s="51">
        <v>206499</v>
      </c>
      <c r="CU46" s="51">
        <v>197046</v>
      </c>
      <c r="CV46" s="51">
        <v>146223</v>
      </c>
      <c r="CW46" s="51">
        <v>133570</v>
      </c>
      <c r="CX46" s="51">
        <v>96607</v>
      </c>
      <c r="CY46" s="51">
        <v>64423</v>
      </c>
      <c r="CZ46" s="51">
        <v>117980</v>
      </c>
    </row>
    <row r="47" spans="1:104" x14ac:dyDescent="0.3">
      <c r="A47" s="52" t="s">
        <v>59</v>
      </c>
      <c r="B47" s="60">
        <v>2059</v>
      </c>
      <c r="C47" s="51">
        <v>42827316</v>
      </c>
      <c r="D47" s="51">
        <v>158587</v>
      </c>
      <c r="E47" s="51">
        <v>161701</v>
      </c>
      <c r="F47" s="51">
        <v>166498</v>
      </c>
      <c r="G47" s="51">
        <v>172362</v>
      </c>
      <c r="H47" s="51">
        <v>178990</v>
      </c>
      <c r="I47" s="51">
        <v>186198</v>
      </c>
      <c r="J47" s="51">
        <v>193899</v>
      </c>
      <c r="K47" s="51">
        <v>201922</v>
      </c>
      <c r="L47" s="51">
        <v>209885</v>
      </c>
      <c r="M47" s="51">
        <v>217391</v>
      </c>
      <c r="N47" s="51">
        <v>224160</v>
      </c>
      <c r="O47" s="51">
        <v>230211</v>
      </c>
      <c r="P47" s="51">
        <v>235540</v>
      </c>
      <c r="Q47" s="51">
        <v>239838</v>
      </c>
      <c r="R47" s="51">
        <v>243232</v>
      </c>
      <c r="S47" s="51">
        <v>246039</v>
      </c>
      <c r="T47" s="51">
        <v>248975</v>
      </c>
      <c r="U47" s="51">
        <v>253191</v>
      </c>
      <c r="V47" s="51">
        <v>260806</v>
      </c>
      <c r="W47" s="51">
        <v>271755</v>
      </c>
      <c r="X47" s="51">
        <v>283887</v>
      </c>
      <c r="Y47" s="51">
        <v>296257</v>
      </c>
      <c r="Z47" s="51">
        <v>305253</v>
      </c>
      <c r="AA47" s="51">
        <v>310767</v>
      </c>
      <c r="AB47" s="51">
        <v>314746</v>
      </c>
      <c r="AC47" s="51">
        <v>317317</v>
      </c>
      <c r="AD47" s="51">
        <v>318672</v>
      </c>
      <c r="AE47" s="51">
        <v>317740</v>
      </c>
      <c r="AF47" s="51">
        <v>314495</v>
      </c>
      <c r="AG47" s="51">
        <v>309126</v>
      </c>
      <c r="AH47" s="51">
        <v>301995</v>
      </c>
      <c r="AI47" s="51">
        <v>293415</v>
      </c>
      <c r="AJ47" s="51">
        <v>283587</v>
      </c>
      <c r="AK47" s="51">
        <v>272641</v>
      </c>
      <c r="AL47" s="51">
        <v>272097</v>
      </c>
      <c r="AM47" s="51">
        <v>282901</v>
      </c>
      <c r="AN47" s="51">
        <v>297023</v>
      </c>
      <c r="AO47" s="51">
        <v>310780</v>
      </c>
      <c r="AP47" s="51">
        <v>325045</v>
      </c>
      <c r="AQ47" s="51">
        <v>344144</v>
      </c>
      <c r="AR47" s="51">
        <v>370158</v>
      </c>
      <c r="AS47" s="51">
        <v>396857</v>
      </c>
      <c r="AT47" s="51">
        <v>433799</v>
      </c>
      <c r="AU47" s="51">
        <v>477170</v>
      </c>
      <c r="AV47" s="51">
        <v>489648</v>
      </c>
      <c r="AW47" s="51">
        <v>482658</v>
      </c>
      <c r="AX47" s="51">
        <v>510932</v>
      </c>
      <c r="AY47" s="51">
        <v>520754</v>
      </c>
      <c r="AZ47" s="51">
        <v>530033</v>
      </c>
      <c r="BA47" s="51">
        <v>495079</v>
      </c>
      <c r="BB47" s="51">
        <v>502340</v>
      </c>
      <c r="BC47" s="51">
        <v>536087</v>
      </c>
      <c r="BD47" s="51">
        <v>508467</v>
      </c>
      <c r="BE47" s="51">
        <v>489866</v>
      </c>
      <c r="BF47" s="51">
        <v>502266</v>
      </c>
      <c r="BG47" s="51">
        <v>539621</v>
      </c>
      <c r="BH47" s="51">
        <v>541512</v>
      </c>
      <c r="BI47" s="51">
        <v>571901</v>
      </c>
      <c r="BJ47" s="51">
        <v>653513</v>
      </c>
      <c r="BK47" s="51">
        <v>676358</v>
      </c>
      <c r="BL47" s="51">
        <v>667364</v>
      </c>
      <c r="BM47" s="51">
        <v>699673</v>
      </c>
      <c r="BN47" s="51">
        <v>711878</v>
      </c>
      <c r="BO47" s="51">
        <v>729845</v>
      </c>
      <c r="BP47" s="51">
        <v>725549</v>
      </c>
      <c r="BQ47" s="51">
        <v>730851</v>
      </c>
      <c r="BR47" s="51">
        <v>739576</v>
      </c>
      <c r="BS47" s="51">
        <v>729171</v>
      </c>
      <c r="BT47" s="51">
        <v>669049</v>
      </c>
      <c r="BU47" s="51">
        <v>656393</v>
      </c>
      <c r="BV47" s="51">
        <v>636854</v>
      </c>
      <c r="BW47" s="51">
        <v>617692</v>
      </c>
      <c r="BX47" s="51">
        <v>623391</v>
      </c>
      <c r="BY47" s="51">
        <v>635318</v>
      </c>
      <c r="BZ47" s="51">
        <v>628264</v>
      </c>
      <c r="CA47" s="51">
        <v>672285</v>
      </c>
      <c r="CB47" s="51">
        <v>729316</v>
      </c>
      <c r="CC47" s="51">
        <v>770264</v>
      </c>
      <c r="CD47" s="51">
        <v>756722</v>
      </c>
      <c r="CE47" s="51">
        <v>740676</v>
      </c>
      <c r="CF47" s="51">
        <v>663489</v>
      </c>
      <c r="CG47" s="51">
        <v>637790</v>
      </c>
      <c r="CH47" s="51">
        <v>610127</v>
      </c>
      <c r="CI47" s="51">
        <v>602487</v>
      </c>
      <c r="CJ47" s="51">
        <v>608026</v>
      </c>
      <c r="CK47" s="51">
        <v>629311</v>
      </c>
      <c r="CL47" s="51">
        <v>606167</v>
      </c>
      <c r="CM47" s="51">
        <v>568753</v>
      </c>
      <c r="CN47" s="51">
        <v>548459</v>
      </c>
      <c r="CO47" s="51">
        <v>482828</v>
      </c>
      <c r="CP47" s="51">
        <v>459432</v>
      </c>
      <c r="CQ47" s="51">
        <v>368817</v>
      </c>
      <c r="CR47" s="51">
        <v>312057</v>
      </c>
      <c r="CS47" s="51">
        <v>271085</v>
      </c>
      <c r="CT47" s="51">
        <v>231375</v>
      </c>
      <c r="CU47" s="51">
        <v>172613</v>
      </c>
      <c r="CV47" s="51">
        <v>161015</v>
      </c>
      <c r="CW47" s="51">
        <v>116664</v>
      </c>
      <c r="CX47" s="51">
        <v>103873</v>
      </c>
      <c r="CY47" s="51">
        <v>73091</v>
      </c>
      <c r="CZ47" s="51">
        <v>127639</v>
      </c>
    </row>
    <row r="48" spans="1:104" x14ac:dyDescent="0.3">
      <c r="A48" s="52" t="s">
        <v>59</v>
      </c>
      <c r="B48" s="60">
        <v>2060</v>
      </c>
      <c r="C48" s="51">
        <v>42302086</v>
      </c>
      <c r="D48" s="51">
        <v>156307</v>
      </c>
      <c r="E48" s="51">
        <v>158283</v>
      </c>
      <c r="F48" s="51">
        <v>161912</v>
      </c>
      <c r="G48" s="51">
        <v>166662</v>
      </c>
      <c r="H48" s="51">
        <v>172307</v>
      </c>
      <c r="I48" s="51">
        <v>178747</v>
      </c>
      <c r="J48" s="51">
        <v>185947</v>
      </c>
      <c r="K48" s="51">
        <v>193786</v>
      </c>
      <c r="L48" s="51">
        <v>201886</v>
      </c>
      <c r="M48" s="51">
        <v>209840</v>
      </c>
      <c r="N48" s="51">
        <v>217316</v>
      </c>
      <c r="O48" s="51">
        <v>224244</v>
      </c>
      <c r="P48" s="51">
        <v>230505</v>
      </c>
      <c r="Q48" s="51">
        <v>235690</v>
      </c>
      <c r="R48" s="51">
        <v>239798</v>
      </c>
      <c r="S48" s="51">
        <v>243052</v>
      </c>
      <c r="T48" s="51">
        <v>246079</v>
      </c>
      <c r="U48" s="51">
        <v>250030</v>
      </c>
      <c r="V48" s="51">
        <v>257032</v>
      </c>
      <c r="W48" s="51">
        <v>267112</v>
      </c>
      <c r="X48" s="51">
        <v>278226</v>
      </c>
      <c r="Y48" s="51">
        <v>289427</v>
      </c>
      <c r="Z48" s="51">
        <v>302050</v>
      </c>
      <c r="AA48" s="51">
        <v>311870</v>
      </c>
      <c r="AB48" s="51">
        <v>316109</v>
      </c>
      <c r="AC48" s="51">
        <v>319250</v>
      </c>
      <c r="AD48" s="51">
        <v>321486</v>
      </c>
      <c r="AE48" s="51">
        <v>321676</v>
      </c>
      <c r="AF48" s="51">
        <v>319720</v>
      </c>
      <c r="AG48" s="51">
        <v>315697</v>
      </c>
      <c r="AH48" s="51">
        <v>309859</v>
      </c>
      <c r="AI48" s="51">
        <v>302398</v>
      </c>
      <c r="AJ48" s="51">
        <v>293433</v>
      </c>
      <c r="AK48" s="51">
        <v>283216</v>
      </c>
      <c r="AL48" s="51">
        <v>272120</v>
      </c>
      <c r="AM48" s="51">
        <v>271558</v>
      </c>
      <c r="AN48" s="51">
        <v>282293</v>
      </c>
      <c r="AO48" s="51">
        <v>296499</v>
      </c>
      <c r="AP48" s="51">
        <v>310358</v>
      </c>
      <c r="AQ48" s="51">
        <v>324612</v>
      </c>
      <c r="AR48" s="51">
        <v>343836</v>
      </c>
      <c r="AS48" s="51">
        <v>369992</v>
      </c>
      <c r="AT48" s="51">
        <v>396879</v>
      </c>
      <c r="AU48" s="51">
        <v>434085</v>
      </c>
      <c r="AV48" s="51">
        <v>477650</v>
      </c>
      <c r="AW48" s="51">
        <v>490360</v>
      </c>
      <c r="AX48" s="51">
        <v>483556</v>
      </c>
      <c r="AY48" s="51">
        <v>511981</v>
      </c>
      <c r="AZ48" s="51">
        <v>521764</v>
      </c>
      <c r="BA48" s="51">
        <v>530643</v>
      </c>
      <c r="BB48" s="51">
        <v>495646</v>
      </c>
      <c r="BC48" s="51">
        <v>502995</v>
      </c>
      <c r="BD48" s="51">
        <v>536539</v>
      </c>
      <c r="BE48" s="51">
        <v>508836</v>
      </c>
      <c r="BF48" s="51">
        <v>490138</v>
      </c>
      <c r="BG48" s="51">
        <v>502396</v>
      </c>
      <c r="BH48" s="51">
        <v>539378</v>
      </c>
      <c r="BI48" s="51">
        <v>540829</v>
      </c>
      <c r="BJ48" s="51">
        <v>571064</v>
      </c>
      <c r="BK48" s="51">
        <v>652522</v>
      </c>
      <c r="BL48" s="51">
        <v>676122</v>
      </c>
      <c r="BM48" s="51">
        <v>667292</v>
      </c>
      <c r="BN48" s="51">
        <v>698681</v>
      </c>
      <c r="BO48" s="51">
        <v>710510</v>
      </c>
      <c r="BP48" s="51">
        <v>728108</v>
      </c>
      <c r="BQ48" s="51">
        <v>723579</v>
      </c>
      <c r="BR48" s="51">
        <v>728728</v>
      </c>
      <c r="BS48" s="51">
        <v>737400</v>
      </c>
      <c r="BT48" s="51">
        <v>726911</v>
      </c>
      <c r="BU48" s="51">
        <v>666780</v>
      </c>
      <c r="BV48" s="51">
        <v>653980</v>
      </c>
      <c r="BW48" s="51">
        <v>634263</v>
      </c>
      <c r="BX48" s="51">
        <v>614943</v>
      </c>
      <c r="BY48" s="51">
        <v>620303</v>
      </c>
      <c r="BZ48" s="51">
        <v>631709</v>
      </c>
      <c r="CA48" s="51">
        <v>624092</v>
      </c>
      <c r="CB48" s="51">
        <v>666954</v>
      </c>
      <c r="CC48" s="51">
        <v>722378</v>
      </c>
      <c r="CD48" s="51">
        <v>761348</v>
      </c>
      <c r="CE48" s="51">
        <v>746076</v>
      </c>
      <c r="CF48" s="51">
        <v>728114</v>
      </c>
      <c r="CG48" s="51">
        <v>649951</v>
      </c>
      <c r="CH48" s="51">
        <v>622146</v>
      </c>
      <c r="CI48" s="51">
        <v>592209</v>
      </c>
      <c r="CJ48" s="51">
        <v>581520</v>
      </c>
      <c r="CK48" s="51">
        <v>583001</v>
      </c>
      <c r="CL48" s="51">
        <v>598820</v>
      </c>
      <c r="CM48" s="51">
        <v>571756</v>
      </c>
      <c r="CN48" s="51">
        <v>531127</v>
      </c>
      <c r="CO48" s="51">
        <v>506544</v>
      </c>
      <c r="CP48" s="51">
        <v>440416</v>
      </c>
      <c r="CQ48" s="51">
        <v>413322</v>
      </c>
      <c r="CR48" s="51">
        <v>326729</v>
      </c>
      <c r="CS48" s="51">
        <v>271668</v>
      </c>
      <c r="CT48" s="51">
        <v>231546</v>
      </c>
      <c r="CU48" s="51">
        <v>193632</v>
      </c>
      <c r="CV48" s="51">
        <v>141227</v>
      </c>
      <c r="CW48" s="51">
        <v>128555</v>
      </c>
      <c r="CX48" s="51">
        <v>90788</v>
      </c>
      <c r="CY48" s="51">
        <v>78660</v>
      </c>
      <c r="CZ48" s="51">
        <v>140717</v>
      </c>
    </row>
    <row r="49" spans="1:104" x14ac:dyDescent="0.3">
      <c r="A49" s="52" t="s">
        <v>59</v>
      </c>
      <c r="B49" s="60">
        <v>2061</v>
      </c>
      <c r="C49" s="51">
        <v>41775305</v>
      </c>
      <c r="D49" s="51">
        <v>155083</v>
      </c>
      <c r="E49" s="51">
        <v>156019</v>
      </c>
      <c r="F49" s="51">
        <v>158505</v>
      </c>
      <c r="G49" s="51">
        <v>162085</v>
      </c>
      <c r="H49" s="51">
        <v>166619</v>
      </c>
      <c r="I49" s="51">
        <v>172077</v>
      </c>
      <c r="J49" s="51">
        <v>178509</v>
      </c>
      <c r="K49" s="51">
        <v>185845</v>
      </c>
      <c r="L49" s="51">
        <v>193762</v>
      </c>
      <c r="M49" s="51">
        <v>201851</v>
      </c>
      <c r="N49" s="51">
        <v>209776</v>
      </c>
      <c r="O49" s="51">
        <v>217405</v>
      </c>
      <c r="P49" s="51">
        <v>224537</v>
      </c>
      <c r="Q49" s="51">
        <v>230657</v>
      </c>
      <c r="R49" s="51">
        <v>235655</v>
      </c>
      <c r="S49" s="51">
        <v>239624</v>
      </c>
      <c r="T49" s="51">
        <v>243097</v>
      </c>
      <c r="U49" s="51">
        <v>247133</v>
      </c>
      <c r="V49" s="51">
        <v>253873</v>
      </c>
      <c r="W49" s="51">
        <v>263350</v>
      </c>
      <c r="X49" s="51">
        <v>273608</v>
      </c>
      <c r="Y49" s="51">
        <v>283791</v>
      </c>
      <c r="Z49" s="51">
        <v>295232</v>
      </c>
      <c r="AA49" s="51">
        <v>308669</v>
      </c>
      <c r="AB49" s="51">
        <v>317212</v>
      </c>
      <c r="AC49" s="51">
        <v>320617</v>
      </c>
      <c r="AD49" s="51">
        <v>323425</v>
      </c>
      <c r="AE49" s="51">
        <v>324496</v>
      </c>
      <c r="AF49" s="51">
        <v>323661</v>
      </c>
      <c r="AG49" s="51">
        <v>320927</v>
      </c>
      <c r="AH49" s="51">
        <v>316435</v>
      </c>
      <c r="AI49" s="51">
        <v>310268</v>
      </c>
      <c r="AJ49" s="51">
        <v>302423</v>
      </c>
      <c r="AK49" s="51">
        <v>293067</v>
      </c>
      <c r="AL49" s="51">
        <v>282696</v>
      </c>
      <c r="AM49" s="51">
        <v>271581</v>
      </c>
      <c r="AN49" s="51">
        <v>270952</v>
      </c>
      <c r="AO49" s="51">
        <v>281773</v>
      </c>
      <c r="AP49" s="51">
        <v>296079</v>
      </c>
      <c r="AQ49" s="51">
        <v>309927</v>
      </c>
      <c r="AR49" s="51">
        <v>324305</v>
      </c>
      <c r="AS49" s="51">
        <v>343670</v>
      </c>
      <c r="AT49" s="51">
        <v>370008</v>
      </c>
      <c r="AU49" s="51">
        <v>397157</v>
      </c>
      <c r="AV49" s="51">
        <v>434565</v>
      </c>
      <c r="AW49" s="51">
        <v>478371</v>
      </c>
      <c r="AX49" s="51">
        <v>491252</v>
      </c>
      <c r="AY49" s="51">
        <v>484607</v>
      </c>
      <c r="AZ49" s="51">
        <v>512996</v>
      </c>
      <c r="BA49" s="51">
        <v>522399</v>
      </c>
      <c r="BB49" s="51">
        <v>531213</v>
      </c>
      <c r="BC49" s="51">
        <v>496297</v>
      </c>
      <c r="BD49" s="51">
        <v>503476</v>
      </c>
      <c r="BE49" s="51">
        <v>536921</v>
      </c>
      <c r="BF49" s="51">
        <v>509109</v>
      </c>
      <c r="BG49" s="51">
        <v>490270</v>
      </c>
      <c r="BH49" s="51">
        <v>502184</v>
      </c>
      <c r="BI49" s="51">
        <v>538701</v>
      </c>
      <c r="BJ49" s="51">
        <v>539997</v>
      </c>
      <c r="BK49" s="51">
        <v>570141</v>
      </c>
      <c r="BL49" s="51">
        <v>652334</v>
      </c>
      <c r="BM49" s="51">
        <v>676060</v>
      </c>
      <c r="BN49" s="51">
        <v>666355</v>
      </c>
      <c r="BO49" s="51">
        <v>697356</v>
      </c>
      <c r="BP49" s="51">
        <v>708843</v>
      </c>
      <c r="BQ49" s="51">
        <v>726180</v>
      </c>
      <c r="BR49" s="51">
        <v>721512</v>
      </c>
      <c r="BS49" s="51">
        <v>726628</v>
      </c>
      <c r="BT49" s="51">
        <v>735183</v>
      </c>
      <c r="BU49" s="51">
        <v>724546</v>
      </c>
      <c r="BV49" s="51">
        <v>664409</v>
      </c>
      <c r="BW49" s="51">
        <v>651392</v>
      </c>
      <c r="BX49" s="51">
        <v>631507</v>
      </c>
      <c r="BY49" s="51">
        <v>611973</v>
      </c>
      <c r="BZ49" s="51">
        <v>616879</v>
      </c>
      <c r="CA49" s="51">
        <v>627611</v>
      </c>
      <c r="CB49" s="51">
        <v>619253</v>
      </c>
      <c r="CC49" s="51">
        <v>660750</v>
      </c>
      <c r="CD49" s="51">
        <v>714202</v>
      </c>
      <c r="CE49" s="51">
        <v>750868</v>
      </c>
      <c r="CF49" s="51">
        <v>733654</v>
      </c>
      <c r="CG49" s="51">
        <v>713513</v>
      </c>
      <c r="CH49" s="51">
        <v>634278</v>
      </c>
      <c r="CI49" s="51">
        <v>604195</v>
      </c>
      <c r="CJ49" s="51">
        <v>571845</v>
      </c>
      <c r="CK49" s="51">
        <v>557909</v>
      </c>
      <c r="CL49" s="51">
        <v>555081</v>
      </c>
      <c r="CM49" s="51">
        <v>565197</v>
      </c>
      <c r="CN49" s="51">
        <v>534388</v>
      </c>
      <c r="CO49" s="51">
        <v>490865</v>
      </c>
      <c r="CP49" s="51">
        <v>462385</v>
      </c>
      <c r="CQ49" s="51">
        <v>396485</v>
      </c>
      <c r="CR49" s="51">
        <v>366430</v>
      </c>
      <c r="CS49" s="51">
        <v>284774</v>
      </c>
      <c r="CT49" s="51">
        <v>232295</v>
      </c>
      <c r="CU49" s="51">
        <v>193912</v>
      </c>
      <c r="CV49" s="51">
        <v>158601</v>
      </c>
      <c r="CW49" s="51">
        <v>112890</v>
      </c>
      <c r="CX49" s="51">
        <v>100102</v>
      </c>
      <c r="CY49" s="51">
        <v>68792</v>
      </c>
      <c r="CZ49" s="51">
        <v>153933</v>
      </c>
    </row>
    <row r="50" spans="1:104" x14ac:dyDescent="0.3">
      <c r="A50" s="52" t="s">
        <v>59</v>
      </c>
      <c r="B50" s="60">
        <v>2062</v>
      </c>
      <c r="C50" s="51">
        <v>41248542</v>
      </c>
      <c r="D50" s="51">
        <v>154761</v>
      </c>
      <c r="E50" s="51">
        <v>154805</v>
      </c>
      <c r="F50" s="51">
        <v>156248</v>
      </c>
      <c r="G50" s="51">
        <v>158686</v>
      </c>
      <c r="H50" s="51">
        <v>162052</v>
      </c>
      <c r="I50" s="51">
        <v>166401</v>
      </c>
      <c r="J50" s="51">
        <v>171851</v>
      </c>
      <c r="K50" s="51">
        <v>178419</v>
      </c>
      <c r="L50" s="51">
        <v>185832</v>
      </c>
      <c r="M50" s="51">
        <v>193740</v>
      </c>
      <c r="N50" s="51">
        <v>201798</v>
      </c>
      <c r="O50" s="51">
        <v>209870</v>
      </c>
      <c r="P50" s="51">
        <v>217697</v>
      </c>
      <c r="Q50" s="51">
        <v>224691</v>
      </c>
      <c r="R50" s="51">
        <v>230627</v>
      </c>
      <c r="S50" s="51">
        <v>235488</v>
      </c>
      <c r="T50" s="51">
        <v>239674</v>
      </c>
      <c r="U50" s="51">
        <v>244151</v>
      </c>
      <c r="V50" s="51">
        <v>250976</v>
      </c>
      <c r="W50" s="51">
        <v>260200</v>
      </c>
      <c r="X50" s="51">
        <v>269865</v>
      </c>
      <c r="Y50" s="51">
        <v>279194</v>
      </c>
      <c r="Z50" s="51">
        <v>289607</v>
      </c>
      <c r="AA50" s="51">
        <v>301854</v>
      </c>
      <c r="AB50" s="51">
        <v>314014</v>
      </c>
      <c r="AC50" s="51">
        <v>321723</v>
      </c>
      <c r="AD50" s="51">
        <v>324796</v>
      </c>
      <c r="AE50" s="51">
        <v>326438</v>
      </c>
      <c r="AF50" s="51">
        <v>326485</v>
      </c>
      <c r="AG50" s="51">
        <v>324871</v>
      </c>
      <c r="AH50" s="51">
        <v>321668</v>
      </c>
      <c r="AI50" s="51">
        <v>316849</v>
      </c>
      <c r="AJ50" s="51">
        <v>310299</v>
      </c>
      <c r="AK50" s="51">
        <v>302062</v>
      </c>
      <c r="AL50" s="51">
        <v>292550</v>
      </c>
      <c r="AM50" s="51">
        <v>282158</v>
      </c>
      <c r="AN50" s="51">
        <v>270975</v>
      </c>
      <c r="AO50" s="51">
        <v>270433</v>
      </c>
      <c r="AP50" s="51">
        <v>281356</v>
      </c>
      <c r="AQ50" s="51">
        <v>295651</v>
      </c>
      <c r="AR50" s="51">
        <v>309622</v>
      </c>
      <c r="AS50" s="51">
        <v>324137</v>
      </c>
      <c r="AT50" s="51">
        <v>343683</v>
      </c>
      <c r="AU50" s="51">
        <v>370278</v>
      </c>
      <c r="AV50" s="51">
        <v>397626</v>
      </c>
      <c r="AW50" s="51">
        <v>435285</v>
      </c>
      <c r="AX50" s="51">
        <v>479271</v>
      </c>
      <c r="AY50" s="51">
        <v>492296</v>
      </c>
      <c r="AZ50" s="51">
        <v>485623</v>
      </c>
      <c r="BA50" s="51">
        <v>513636</v>
      </c>
      <c r="BB50" s="51">
        <v>522996</v>
      </c>
      <c r="BC50" s="51">
        <v>531866</v>
      </c>
      <c r="BD50" s="51">
        <v>496773</v>
      </c>
      <c r="BE50" s="51">
        <v>503887</v>
      </c>
      <c r="BF50" s="51">
        <v>537206</v>
      </c>
      <c r="BG50" s="51">
        <v>509241</v>
      </c>
      <c r="BH50" s="51">
        <v>490061</v>
      </c>
      <c r="BI50" s="51">
        <v>501540</v>
      </c>
      <c r="BJ50" s="51">
        <v>537874</v>
      </c>
      <c r="BK50" s="51">
        <v>539078</v>
      </c>
      <c r="BL50" s="51">
        <v>570024</v>
      </c>
      <c r="BM50" s="51">
        <v>652322</v>
      </c>
      <c r="BN50" s="51">
        <v>675132</v>
      </c>
      <c r="BO50" s="51">
        <v>665088</v>
      </c>
      <c r="BP50" s="51">
        <v>695733</v>
      </c>
      <c r="BQ50" s="51">
        <v>706987</v>
      </c>
      <c r="BR50" s="51">
        <v>724157</v>
      </c>
      <c r="BS50" s="51">
        <v>719472</v>
      </c>
      <c r="BT50" s="51">
        <v>724491</v>
      </c>
      <c r="BU50" s="51">
        <v>732862</v>
      </c>
      <c r="BV50" s="51">
        <v>722065</v>
      </c>
      <c r="BW50" s="51">
        <v>661863</v>
      </c>
      <c r="BX50" s="51">
        <v>648636</v>
      </c>
      <c r="BY50" s="51">
        <v>628527</v>
      </c>
      <c r="BZ50" s="51">
        <v>608677</v>
      </c>
      <c r="CA50" s="51">
        <v>612985</v>
      </c>
      <c r="CB50" s="51">
        <v>622852</v>
      </c>
      <c r="CC50" s="51">
        <v>613614</v>
      </c>
      <c r="CD50" s="51">
        <v>653422</v>
      </c>
      <c r="CE50" s="51">
        <v>704575</v>
      </c>
      <c r="CF50" s="51">
        <v>738614</v>
      </c>
      <c r="CG50" s="51">
        <v>719186</v>
      </c>
      <c r="CH50" s="51">
        <v>696578</v>
      </c>
      <c r="CI50" s="51">
        <v>616256</v>
      </c>
      <c r="CJ50" s="51">
        <v>583748</v>
      </c>
      <c r="CK50" s="51">
        <v>548871</v>
      </c>
      <c r="CL50" s="51">
        <v>531513</v>
      </c>
      <c r="CM50" s="51">
        <v>524231</v>
      </c>
      <c r="CN50" s="51">
        <v>528612</v>
      </c>
      <c r="CO50" s="51">
        <v>494312</v>
      </c>
      <c r="CP50" s="51">
        <v>448371</v>
      </c>
      <c r="CQ50" s="51">
        <v>416563</v>
      </c>
      <c r="CR50" s="51">
        <v>351735</v>
      </c>
      <c r="CS50" s="51">
        <v>319609</v>
      </c>
      <c r="CT50" s="51">
        <v>243782</v>
      </c>
      <c r="CU50" s="51">
        <v>194743</v>
      </c>
      <c r="CV50" s="51">
        <v>158931</v>
      </c>
      <c r="CW50" s="51">
        <v>126912</v>
      </c>
      <c r="CX50" s="51">
        <v>88003</v>
      </c>
      <c r="CY50" s="51">
        <v>75888</v>
      </c>
      <c r="CZ50" s="51">
        <v>155806</v>
      </c>
    </row>
    <row r="51" spans="1:104" x14ac:dyDescent="0.3">
      <c r="A51" s="52" t="s">
        <v>59</v>
      </c>
      <c r="B51" s="60">
        <v>2063</v>
      </c>
      <c r="C51" s="51">
        <v>40723791</v>
      </c>
      <c r="D51" s="51">
        <v>155145</v>
      </c>
      <c r="E51" s="51">
        <v>154486</v>
      </c>
      <c r="F51" s="51">
        <v>155039</v>
      </c>
      <c r="G51" s="51">
        <v>156434</v>
      </c>
      <c r="H51" s="51">
        <v>158660</v>
      </c>
      <c r="I51" s="51">
        <v>161844</v>
      </c>
      <c r="J51" s="51">
        <v>166185</v>
      </c>
      <c r="K51" s="51">
        <v>171771</v>
      </c>
      <c r="L51" s="51">
        <v>178416</v>
      </c>
      <c r="M51" s="51">
        <v>185821</v>
      </c>
      <c r="N51" s="51">
        <v>193700</v>
      </c>
      <c r="O51" s="51">
        <v>201899</v>
      </c>
      <c r="P51" s="51">
        <v>210161</v>
      </c>
      <c r="Q51" s="51">
        <v>217852</v>
      </c>
      <c r="R51" s="51">
        <v>224668</v>
      </c>
      <c r="S51" s="51">
        <v>230469</v>
      </c>
      <c r="T51" s="51">
        <v>235546</v>
      </c>
      <c r="U51" s="51">
        <v>240728</v>
      </c>
      <c r="V51" s="51">
        <v>247995</v>
      </c>
      <c r="W51" s="51">
        <v>257312</v>
      </c>
      <c r="X51" s="51">
        <v>266732</v>
      </c>
      <c r="Y51" s="51">
        <v>275468</v>
      </c>
      <c r="Z51" s="51">
        <v>285019</v>
      </c>
      <c r="AA51" s="51">
        <v>296233</v>
      </c>
      <c r="AB51" s="51">
        <v>307200</v>
      </c>
      <c r="AC51" s="51">
        <v>318526</v>
      </c>
      <c r="AD51" s="51">
        <v>325907</v>
      </c>
      <c r="AE51" s="51">
        <v>327813</v>
      </c>
      <c r="AF51" s="51">
        <v>328430</v>
      </c>
      <c r="AG51" s="51">
        <v>327699</v>
      </c>
      <c r="AH51" s="51">
        <v>325615</v>
      </c>
      <c r="AI51" s="51">
        <v>322086</v>
      </c>
      <c r="AJ51" s="51">
        <v>316886</v>
      </c>
      <c r="AK51" s="51">
        <v>309942</v>
      </c>
      <c r="AL51" s="51">
        <v>301548</v>
      </c>
      <c r="AM51" s="51">
        <v>292014</v>
      </c>
      <c r="AN51" s="51">
        <v>281553</v>
      </c>
      <c r="AO51" s="51">
        <v>270458</v>
      </c>
      <c r="AP51" s="51">
        <v>270018</v>
      </c>
      <c r="AQ51" s="51">
        <v>280931</v>
      </c>
      <c r="AR51" s="51">
        <v>295347</v>
      </c>
      <c r="AS51" s="51">
        <v>309453</v>
      </c>
      <c r="AT51" s="51">
        <v>324147</v>
      </c>
      <c r="AU51" s="51">
        <v>343948</v>
      </c>
      <c r="AV51" s="51">
        <v>370737</v>
      </c>
      <c r="AW51" s="51">
        <v>398332</v>
      </c>
      <c r="AX51" s="51">
        <v>436184</v>
      </c>
      <c r="AY51" s="51">
        <v>480324</v>
      </c>
      <c r="AZ51" s="51">
        <v>493307</v>
      </c>
      <c r="BA51" s="51">
        <v>486266</v>
      </c>
      <c r="BB51" s="51">
        <v>514238</v>
      </c>
      <c r="BC51" s="51">
        <v>523675</v>
      </c>
      <c r="BD51" s="51">
        <v>532345</v>
      </c>
      <c r="BE51" s="51">
        <v>497182</v>
      </c>
      <c r="BF51" s="51">
        <v>504204</v>
      </c>
      <c r="BG51" s="51">
        <v>537351</v>
      </c>
      <c r="BH51" s="51">
        <v>509033</v>
      </c>
      <c r="BI51" s="51">
        <v>489424</v>
      </c>
      <c r="BJ51" s="51">
        <v>500752</v>
      </c>
      <c r="BK51" s="51">
        <v>536963</v>
      </c>
      <c r="BL51" s="51">
        <v>538971</v>
      </c>
      <c r="BM51" s="51">
        <v>570093</v>
      </c>
      <c r="BN51" s="51">
        <v>651451</v>
      </c>
      <c r="BO51" s="51">
        <v>673877</v>
      </c>
      <c r="BP51" s="51">
        <v>663530</v>
      </c>
      <c r="BQ51" s="51">
        <v>693930</v>
      </c>
      <c r="BR51" s="51">
        <v>705047</v>
      </c>
      <c r="BS51" s="51">
        <v>722167</v>
      </c>
      <c r="BT51" s="51">
        <v>717404</v>
      </c>
      <c r="BU51" s="51">
        <v>722261</v>
      </c>
      <c r="BV51" s="51">
        <v>730426</v>
      </c>
      <c r="BW51" s="51">
        <v>719389</v>
      </c>
      <c r="BX51" s="51">
        <v>659151</v>
      </c>
      <c r="BY51" s="51">
        <v>645650</v>
      </c>
      <c r="BZ51" s="51">
        <v>625216</v>
      </c>
      <c r="CA51" s="51">
        <v>604924</v>
      </c>
      <c r="CB51" s="51">
        <v>608457</v>
      </c>
      <c r="CC51" s="51">
        <v>617299</v>
      </c>
      <c r="CD51" s="51">
        <v>606949</v>
      </c>
      <c r="CE51" s="51">
        <v>644789</v>
      </c>
      <c r="CF51" s="51">
        <v>693308</v>
      </c>
      <c r="CG51" s="51">
        <v>724332</v>
      </c>
      <c r="CH51" s="51">
        <v>702388</v>
      </c>
      <c r="CI51" s="51">
        <v>677086</v>
      </c>
      <c r="CJ51" s="51">
        <v>595710</v>
      </c>
      <c r="CK51" s="51">
        <v>560653</v>
      </c>
      <c r="CL51" s="51">
        <v>523171</v>
      </c>
      <c r="CM51" s="51">
        <v>502318</v>
      </c>
      <c r="CN51" s="51">
        <v>490634</v>
      </c>
      <c r="CO51" s="51">
        <v>489338</v>
      </c>
      <c r="CP51" s="51">
        <v>451961</v>
      </c>
      <c r="CQ51" s="51">
        <v>404240</v>
      </c>
      <c r="CR51" s="51">
        <v>369845</v>
      </c>
      <c r="CS51" s="51">
        <v>307019</v>
      </c>
      <c r="CT51" s="51">
        <v>273823</v>
      </c>
      <c r="CU51" s="51">
        <v>204629</v>
      </c>
      <c r="CV51" s="51">
        <v>159796</v>
      </c>
      <c r="CW51" s="51">
        <v>127267</v>
      </c>
      <c r="CX51" s="51">
        <v>99046</v>
      </c>
      <c r="CY51" s="51">
        <v>66797</v>
      </c>
      <c r="CZ51" s="51">
        <v>162028</v>
      </c>
    </row>
    <row r="52" spans="1:104" x14ac:dyDescent="0.3">
      <c r="A52" s="52" t="s">
        <v>59</v>
      </c>
      <c r="B52" s="60">
        <v>2064</v>
      </c>
      <c r="C52" s="51">
        <v>40202384</v>
      </c>
      <c r="D52" s="51">
        <v>156024</v>
      </c>
      <c r="E52" s="51">
        <v>154870</v>
      </c>
      <c r="F52" s="51">
        <v>154722</v>
      </c>
      <c r="G52" s="51">
        <v>155229</v>
      </c>
      <c r="H52" s="51">
        <v>156414</v>
      </c>
      <c r="I52" s="51">
        <v>158459</v>
      </c>
      <c r="J52" s="51">
        <v>161637</v>
      </c>
      <c r="K52" s="51">
        <v>166114</v>
      </c>
      <c r="L52" s="51">
        <v>171778</v>
      </c>
      <c r="M52" s="51">
        <v>178415</v>
      </c>
      <c r="N52" s="51">
        <v>185793</v>
      </c>
      <c r="O52" s="51">
        <v>193807</v>
      </c>
      <c r="P52" s="51">
        <v>202188</v>
      </c>
      <c r="Q52" s="51">
        <v>210318</v>
      </c>
      <c r="R52" s="51">
        <v>217836</v>
      </c>
      <c r="S52" s="51">
        <v>224520</v>
      </c>
      <c r="T52" s="51">
        <v>230534</v>
      </c>
      <c r="U52" s="51">
        <v>236600</v>
      </c>
      <c r="V52" s="51">
        <v>244573</v>
      </c>
      <c r="W52" s="51">
        <v>254338</v>
      </c>
      <c r="X52" s="51">
        <v>263857</v>
      </c>
      <c r="Y52" s="51">
        <v>272350</v>
      </c>
      <c r="Z52" s="51">
        <v>281300</v>
      </c>
      <c r="AA52" s="51">
        <v>291649</v>
      </c>
      <c r="AB52" s="51">
        <v>301579</v>
      </c>
      <c r="AC52" s="51">
        <v>311706</v>
      </c>
      <c r="AD52" s="51">
        <v>322708</v>
      </c>
      <c r="AE52" s="51">
        <v>328927</v>
      </c>
      <c r="AF52" s="51">
        <v>329808</v>
      </c>
      <c r="AG52" s="51">
        <v>329646</v>
      </c>
      <c r="AH52" s="51">
        <v>328445</v>
      </c>
      <c r="AI52" s="51">
        <v>326037</v>
      </c>
      <c r="AJ52" s="51">
        <v>322127</v>
      </c>
      <c r="AK52" s="51">
        <v>316533</v>
      </c>
      <c r="AL52" s="51">
        <v>309430</v>
      </c>
      <c r="AM52" s="51">
        <v>301014</v>
      </c>
      <c r="AN52" s="51">
        <v>291411</v>
      </c>
      <c r="AO52" s="51">
        <v>281036</v>
      </c>
      <c r="AP52" s="51">
        <v>270044</v>
      </c>
      <c r="AQ52" s="51">
        <v>269595</v>
      </c>
      <c r="AR52" s="51">
        <v>280628</v>
      </c>
      <c r="AS52" s="51">
        <v>295177</v>
      </c>
      <c r="AT52" s="51">
        <v>309461</v>
      </c>
      <c r="AU52" s="51">
        <v>324407</v>
      </c>
      <c r="AV52" s="51">
        <v>344401</v>
      </c>
      <c r="AW52" s="51">
        <v>371432</v>
      </c>
      <c r="AX52" s="51">
        <v>399214</v>
      </c>
      <c r="AY52" s="51">
        <v>437234</v>
      </c>
      <c r="AZ52" s="51">
        <v>481344</v>
      </c>
      <c r="BA52" s="51">
        <v>493945</v>
      </c>
      <c r="BB52" s="51">
        <v>486872</v>
      </c>
      <c r="BC52" s="51">
        <v>514923</v>
      </c>
      <c r="BD52" s="51">
        <v>524181</v>
      </c>
      <c r="BE52" s="51">
        <v>532756</v>
      </c>
      <c r="BF52" s="51">
        <v>497498</v>
      </c>
      <c r="BG52" s="51">
        <v>504382</v>
      </c>
      <c r="BH52" s="51">
        <v>537154</v>
      </c>
      <c r="BI52" s="51">
        <v>508398</v>
      </c>
      <c r="BJ52" s="51">
        <v>488643</v>
      </c>
      <c r="BK52" s="51">
        <v>499879</v>
      </c>
      <c r="BL52" s="51">
        <v>536863</v>
      </c>
      <c r="BM52" s="51">
        <v>539056</v>
      </c>
      <c r="BN52" s="51">
        <v>569311</v>
      </c>
      <c r="BO52" s="51">
        <v>650254</v>
      </c>
      <c r="BP52" s="51">
        <v>672332</v>
      </c>
      <c r="BQ52" s="51">
        <v>661797</v>
      </c>
      <c r="BR52" s="51">
        <v>692048</v>
      </c>
      <c r="BS52" s="51">
        <v>703147</v>
      </c>
      <c r="BT52" s="51">
        <v>720151</v>
      </c>
      <c r="BU52" s="51">
        <v>715247</v>
      </c>
      <c r="BV52" s="51">
        <v>719921</v>
      </c>
      <c r="BW52" s="51">
        <v>727795</v>
      </c>
      <c r="BX52" s="51">
        <v>716527</v>
      </c>
      <c r="BY52" s="51">
        <v>656209</v>
      </c>
      <c r="BZ52" s="51">
        <v>642328</v>
      </c>
      <c r="CA52" s="51">
        <v>621442</v>
      </c>
      <c r="CB52" s="51">
        <v>600555</v>
      </c>
      <c r="CC52" s="51">
        <v>603166</v>
      </c>
      <c r="CD52" s="51">
        <v>610731</v>
      </c>
      <c r="CE52" s="51">
        <v>599083</v>
      </c>
      <c r="CF52" s="51">
        <v>634665</v>
      </c>
      <c r="CG52" s="51">
        <v>680152</v>
      </c>
      <c r="CH52" s="51">
        <v>707717</v>
      </c>
      <c r="CI52" s="51">
        <v>683023</v>
      </c>
      <c r="CJ52" s="51">
        <v>654828</v>
      </c>
      <c r="CK52" s="51">
        <v>572462</v>
      </c>
      <c r="CL52" s="51">
        <v>534772</v>
      </c>
      <c r="CM52" s="51">
        <v>494705</v>
      </c>
      <c r="CN52" s="51">
        <v>470472</v>
      </c>
      <c r="CO52" s="51">
        <v>454515</v>
      </c>
      <c r="CP52" s="51">
        <v>447773</v>
      </c>
      <c r="CQ52" s="51">
        <v>407901</v>
      </c>
      <c r="CR52" s="51">
        <v>359191</v>
      </c>
      <c r="CS52" s="51">
        <v>323105</v>
      </c>
      <c r="CT52" s="51">
        <v>263247</v>
      </c>
      <c r="CU52" s="51">
        <v>230045</v>
      </c>
      <c r="CV52" s="51">
        <v>168133</v>
      </c>
      <c r="CW52" s="51">
        <v>128116</v>
      </c>
      <c r="CX52" s="51">
        <v>99402</v>
      </c>
      <c r="CY52" s="51">
        <v>75272</v>
      </c>
      <c r="CZ52" s="51">
        <v>159625</v>
      </c>
    </row>
    <row r="53" spans="1:104" x14ac:dyDescent="0.3">
      <c r="A53" s="52" t="s">
        <v>59</v>
      </c>
      <c r="B53" s="60">
        <v>2065</v>
      </c>
      <c r="C53" s="51">
        <v>39685210</v>
      </c>
      <c r="D53" s="51">
        <v>157179</v>
      </c>
      <c r="E53" s="51">
        <v>155745</v>
      </c>
      <c r="F53" s="51">
        <v>155105</v>
      </c>
      <c r="G53" s="51">
        <v>154913</v>
      </c>
      <c r="H53" s="51">
        <v>155211</v>
      </c>
      <c r="I53" s="51">
        <v>156219</v>
      </c>
      <c r="J53" s="51">
        <v>158259</v>
      </c>
      <c r="K53" s="51">
        <v>161574</v>
      </c>
      <c r="L53" s="51">
        <v>166129</v>
      </c>
      <c r="M53" s="51">
        <v>171787</v>
      </c>
      <c r="N53" s="51">
        <v>178399</v>
      </c>
      <c r="O53" s="51">
        <v>185906</v>
      </c>
      <c r="P53" s="51">
        <v>194094</v>
      </c>
      <c r="Q53" s="51">
        <v>202349</v>
      </c>
      <c r="R53" s="51">
        <v>210310</v>
      </c>
      <c r="S53" s="51">
        <v>217700</v>
      </c>
      <c r="T53" s="51">
        <v>224595</v>
      </c>
      <c r="U53" s="51">
        <v>231587</v>
      </c>
      <c r="V53" s="51">
        <v>240445</v>
      </c>
      <c r="W53" s="51">
        <v>250925</v>
      </c>
      <c r="X53" s="51">
        <v>260896</v>
      </c>
      <c r="Y53" s="51">
        <v>269488</v>
      </c>
      <c r="Z53" s="51">
        <v>278189</v>
      </c>
      <c r="AA53" s="51">
        <v>287933</v>
      </c>
      <c r="AB53" s="51">
        <v>296995</v>
      </c>
      <c r="AC53" s="51">
        <v>306074</v>
      </c>
      <c r="AD53" s="51">
        <v>315876</v>
      </c>
      <c r="AE53" s="51">
        <v>325727</v>
      </c>
      <c r="AF53" s="51">
        <v>330924</v>
      </c>
      <c r="AG53" s="51">
        <v>331026</v>
      </c>
      <c r="AH53" s="51">
        <v>330395</v>
      </c>
      <c r="AI53" s="51">
        <v>328870</v>
      </c>
      <c r="AJ53" s="51">
        <v>326082</v>
      </c>
      <c r="AK53" s="51">
        <v>321778</v>
      </c>
      <c r="AL53" s="51">
        <v>316024</v>
      </c>
      <c r="AM53" s="51">
        <v>308898</v>
      </c>
      <c r="AN53" s="51">
        <v>300412</v>
      </c>
      <c r="AO53" s="51">
        <v>290895</v>
      </c>
      <c r="AP53" s="51">
        <v>280622</v>
      </c>
      <c r="AQ53" s="51">
        <v>269621</v>
      </c>
      <c r="AR53" s="51">
        <v>269294</v>
      </c>
      <c r="AS53" s="51">
        <v>280459</v>
      </c>
      <c r="AT53" s="51">
        <v>295184</v>
      </c>
      <c r="AU53" s="51">
        <v>309717</v>
      </c>
      <c r="AV53" s="51">
        <v>324852</v>
      </c>
      <c r="AW53" s="51">
        <v>345088</v>
      </c>
      <c r="AX53" s="51">
        <v>372300</v>
      </c>
      <c r="AY53" s="51">
        <v>400245</v>
      </c>
      <c r="AZ53" s="51">
        <v>438251</v>
      </c>
      <c r="BA53" s="51">
        <v>481992</v>
      </c>
      <c r="BB53" s="51">
        <v>494546</v>
      </c>
      <c r="BC53" s="51">
        <v>487562</v>
      </c>
      <c r="BD53" s="51">
        <v>515436</v>
      </c>
      <c r="BE53" s="51">
        <v>524618</v>
      </c>
      <c r="BF53" s="51">
        <v>533073</v>
      </c>
      <c r="BG53" s="51">
        <v>497676</v>
      </c>
      <c r="BH53" s="51">
        <v>504221</v>
      </c>
      <c r="BI53" s="51">
        <v>536528</v>
      </c>
      <c r="BJ53" s="51">
        <v>507616</v>
      </c>
      <c r="BK53" s="51">
        <v>487777</v>
      </c>
      <c r="BL53" s="51">
        <v>499820</v>
      </c>
      <c r="BM53" s="51">
        <v>536957</v>
      </c>
      <c r="BN53" s="51">
        <v>538292</v>
      </c>
      <c r="BO53" s="51">
        <v>568208</v>
      </c>
      <c r="BP53" s="51">
        <v>648769</v>
      </c>
      <c r="BQ53" s="51">
        <v>670615</v>
      </c>
      <c r="BR53" s="51">
        <v>659994</v>
      </c>
      <c r="BS53" s="51">
        <v>690210</v>
      </c>
      <c r="BT53" s="51">
        <v>701228</v>
      </c>
      <c r="BU53" s="51">
        <v>718050</v>
      </c>
      <c r="BV53" s="51">
        <v>712987</v>
      </c>
      <c r="BW53" s="51">
        <v>717396</v>
      </c>
      <c r="BX53" s="51">
        <v>724980</v>
      </c>
      <c r="BY53" s="51">
        <v>713416</v>
      </c>
      <c r="BZ53" s="51">
        <v>652933</v>
      </c>
      <c r="CA53" s="51">
        <v>638537</v>
      </c>
      <c r="CB53" s="51">
        <v>617044</v>
      </c>
      <c r="CC53" s="51">
        <v>595445</v>
      </c>
      <c r="CD53" s="51">
        <v>596896</v>
      </c>
      <c r="CE53" s="51">
        <v>602966</v>
      </c>
      <c r="CF53" s="51">
        <v>589845</v>
      </c>
      <c r="CG53" s="51">
        <v>622826</v>
      </c>
      <c r="CH53" s="51">
        <v>664817</v>
      </c>
      <c r="CI53" s="51">
        <v>688529</v>
      </c>
      <c r="CJ53" s="51">
        <v>660873</v>
      </c>
      <c r="CK53" s="51">
        <v>629598</v>
      </c>
      <c r="CL53" s="51">
        <v>546364</v>
      </c>
      <c r="CM53" s="51">
        <v>506051</v>
      </c>
      <c r="CN53" s="51">
        <v>463608</v>
      </c>
      <c r="CO53" s="51">
        <v>436175</v>
      </c>
      <c r="CP53" s="51">
        <v>416227</v>
      </c>
      <c r="CQ53" s="51">
        <v>404460</v>
      </c>
      <c r="CR53" s="51">
        <v>362835</v>
      </c>
      <c r="CS53" s="51">
        <v>314049</v>
      </c>
      <c r="CT53" s="51">
        <v>277280</v>
      </c>
      <c r="CU53" s="51">
        <v>221334</v>
      </c>
      <c r="CV53" s="51">
        <v>189177</v>
      </c>
      <c r="CW53" s="51">
        <v>134981</v>
      </c>
      <c r="CX53" s="51">
        <v>100186</v>
      </c>
      <c r="CY53" s="51">
        <v>75599</v>
      </c>
      <c r="CZ53" s="51">
        <v>164062</v>
      </c>
    </row>
    <row r="54" spans="1:104" x14ac:dyDescent="0.3">
      <c r="A54" s="52" t="s">
        <v>59</v>
      </c>
      <c r="B54" s="60">
        <v>2066</v>
      </c>
      <c r="C54" s="51">
        <v>39172974</v>
      </c>
      <c r="D54" s="51">
        <v>158411</v>
      </c>
      <c r="E54" s="51">
        <v>156893</v>
      </c>
      <c r="F54" s="51">
        <v>155978</v>
      </c>
      <c r="G54" s="51">
        <v>155296</v>
      </c>
      <c r="H54" s="51">
        <v>154897</v>
      </c>
      <c r="I54" s="51">
        <v>155019</v>
      </c>
      <c r="J54" s="51">
        <v>156023</v>
      </c>
      <c r="K54" s="51">
        <v>158201</v>
      </c>
      <c r="L54" s="51">
        <v>161597</v>
      </c>
      <c r="M54" s="51">
        <v>166147</v>
      </c>
      <c r="N54" s="51">
        <v>171781</v>
      </c>
      <c r="O54" s="51">
        <v>178518</v>
      </c>
      <c r="P54" s="51">
        <v>186191</v>
      </c>
      <c r="Q54" s="51">
        <v>194257</v>
      </c>
      <c r="R54" s="51">
        <v>202350</v>
      </c>
      <c r="S54" s="51">
        <v>210187</v>
      </c>
      <c r="T54" s="51">
        <v>217786</v>
      </c>
      <c r="U54" s="51">
        <v>225648</v>
      </c>
      <c r="V54" s="51">
        <v>235433</v>
      </c>
      <c r="W54" s="51">
        <v>246806</v>
      </c>
      <c r="X54" s="51">
        <v>257498</v>
      </c>
      <c r="Y54" s="51">
        <v>266538</v>
      </c>
      <c r="Z54" s="51">
        <v>275333</v>
      </c>
      <c r="AA54" s="51">
        <v>284826</v>
      </c>
      <c r="AB54" s="51">
        <v>293279</v>
      </c>
      <c r="AC54" s="51">
        <v>301481</v>
      </c>
      <c r="AD54" s="51">
        <v>310231</v>
      </c>
      <c r="AE54" s="51">
        <v>318888</v>
      </c>
      <c r="AF54" s="51">
        <v>327724</v>
      </c>
      <c r="AG54" s="51">
        <v>332144</v>
      </c>
      <c r="AH54" s="51">
        <v>331777</v>
      </c>
      <c r="AI54" s="51">
        <v>330822</v>
      </c>
      <c r="AJ54" s="51">
        <v>328919</v>
      </c>
      <c r="AK54" s="51">
        <v>325735</v>
      </c>
      <c r="AL54" s="51">
        <v>321271</v>
      </c>
      <c r="AM54" s="51">
        <v>315494</v>
      </c>
      <c r="AN54" s="51">
        <v>308297</v>
      </c>
      <c r="AO54" s="51">
        <v>299897</v>
      </c>
      <c r="AP54" s="51">
        <v>290482</v>
      </c>
      <c r="AQ54" s="51">
        <v>280200</v>
      </c>
      <c r="AR54" s="51">
        <v>269319</v>
      </c>
      <c r="AS54" s="51">
        <v>269124</v>
      </c>
      <c r="AT54" s="51">
        <v>280464</v>
      </c>
      <c r="AU54" s="51">
        <v>295437</v>
      </c>
      <c r="AV54" s="51">
        <v>310157</v>
      </c>
      <c r="AW54" s="51">
        <v>325530</v>
      </c>
      <c r="AX54" s="51">
        <v>345946</v>
      </c>
      <c r="AY54" s="51">
        <v>373315</v>
      </c>
      <c r="AZ54" s="51">
        <v>401245</v>
      </c>
      <c r="BA54" s="51">
        <v>438898</v>
      </c>
      <c r="BB54" s="51">
        <v>482603</v>
      </c>
      <c r="BC54" s="51">
        <v>495232</v>
      </c>
      <c r="BD54" s="51">
        <v>488081</v>
      </c>
      <c r="BE54" s="51">
        <v>515881</v>
      </c>
      <c r="BF54" s="51">
        <v>524963</v>
      </c>
      <c r="BG54" s="51">
        <v>533252</v>
      </c>
      <c r="BH54" s="51">
        <v>497516</v>
      </c>
      <c r="BI54" s="51">
        <v>503631</v>
      </c>
      <c r="BJ54" s="51">
        <v>535754</v>
      </c>
      <c r="BK54" s="51">
        <v>506751</v>
      </c>
      <c r="BL54" s="51">
        <v>487726</v>
      </c>
      <c r="BM54" s="51">
        <v>499957</v>
      </c>
      <c r="BN54" s="51">
        <v>536203</v>
      </c>
      <c r="BO54" s="51">
        <v>537211</v>
      </c>
      <c r="BP54" s="51">
        <v>566827</v>
      </c>
      <c r="BQ54" s="51">
        <v>647118</v>
      </c>
      <c r="BR54" s="51">
        <v>668831</v>
      </c>
      <c r="BS54" s="51">
        <v>658244</v>
      </c>
      <c r="BT54" s="51">
        <v>688362</v>
      </c>
      <c r="BU54" s="51">
        <v>699234</v>
      </c>
      <c r="BV54" s="51">
        <v>715851</v>
      </c>
      <c r="BW54" s="51">
        <v>710548</v>
      </c>
      <c r="BX54" s="51">
        <v>714695</v>
      </c>
      <c r="BY54" s="51">
        <v>721913</v>
      </c>
      <c r="BZ54" s="51">
        <v>709941</v>
      </c>
      <c r="CA54" s="51">
        <v>649187</v>
      </c>
      <c r="CB54" s="51">
        <v>634111</v>
      </c>
      <c r="CC54" s="51">
        <v>611892</v>
      </c>
      <c r="CD54" s="51">
        <v>589381</v>
      </c>
      <c r="CE54" s="51">
        <v>589474</v>
      </c>
      <c r="CF54" s="51">
        <v>593837</v>
      </c>
      <c r="CG54" s="51">
        <v>579028</v>
      </c>
      <c r="CH54" s="51">
        <v>609006</v>
      </c>
      <c r="CI54" s="51">
        <v>647083</v>
      </c>
      <c r="CJ54" s="51">
        <v>666546</v>
      </c>
      <c r="CK54" s="51">
        <v>635730</v>
      </c>
      <c r="CL54" s="51">
        <v>601237</v>
      </c>
      <c r="CM54" s="51">
        <v>517356</v>
      </c>
      <c r="CN54" s="51">
        <v>474620</v>
      </c>
      <c r="CO54" s="51">
        <v>430073</v>
      </c>
      <c r="CP54" s="51">
        <v>399758</v>
      </c>
      <c r="CQ54" s="51">
        <v>376265</v>
      </c>
      <c r="CR54" s="51">
        <v>360085</v>
      </c>
      <c r="CS54" s="51">
        <v>317589</v>
      </c>
      <c r="CT54" s="51">
        <v>269726</v>
      </c>
      <c r="CU54" s="51">
        <v>233334</v>
      </c>
      <c r="CV54" s="51">
        <v>182153</v>
      </c>
      <c r="CW54" s="51">
        <v>152001</v>
      </c>
      <c r="CX54" s="51">
        <v>105693</v>
      </c>
      <c r="CY54" s="51">
        <v>76284</v>
      </c>
      <c r="CZ54" s="51">
        <v>167510</v>
      </c>
    </row>
    <row r="55" spans="1:104" x14ac:dyDescent="0.3">
      <c r="A55" s="52" t="s">
        <v>59</v>
      </c>
      <c r="B55" s="60">
        <v>2067</v>
      </c>
      <c r="C55" s="51">
        <v>38666431</v>
      </c>
      <c r="D55" s="51">
        <v>159550</v>
      </c>
      <c r="E55" s="51">
        <v>158118</v>
      </c>
      <c r="F55" s="51">
        <v>157124</v>
      </c>
      <c r="G55" s="51">
        <v>156168</v>
      </c>
      <c r="H55" s="51">
        <v>155280</v>
      </c>
      <c r="I55" s="51">
        <v>154707</v>
      </c>
      <c r="J55" s="51">
        <v>154827</v>
      </c>
      <c r="K55" s="51">
        <v>155969</v>
      </c>
      <c r="L55" s="51">
        <v>158229</v>
      </c>
      <c r="M55" s="51">
        <v>161622</v>
      </c>
      <c r="N55" s="51">
        <v>166150</v>
      </c>
      <c r="O55" s="51">
        <v>171904</v>
      </c>
      <c r="P55" s="51">
        <v>178801</v>
      </c>
      <c r="Q55" s="51">
        <v>186357</v>
      </c>
      <c r="R55" s="51">
        <v>194267</v>
      </c>
      <c r="S55" s="51">
        <v>202242</v>
      </c>
      <c r="T55" s="51">
        <v>210285</v>
      </c>
      <c r="U55" s="51">
        <v>218839</v>
      </c>
      <c r="V55" s="51">
        <v>229495</v>
      </c>
      <c r="W55" s="51">
        <v>241806</v>
      </c>
      <c r="X55" s="51">
        <v>253396</v>
      </c>
      <c r="Y55" s="51">
        <v>263155</v>
      </c>
      <c r="Z55" s="51">
        <v>272388</v>
      </c>
      <c r="AA55" s="51">
        <v>281972</v>
      </c>
      <c r="AB55" s="51">
        <v>290171</v>
      </c>
      <c r="AC55" s="51">
        <v>297758</v>
      </c>
      <c r="AD55" s="51">
        <v>305628</v>
      </c>
      <c r="AE55" s="51">
        <v>313235</v>
      </c>
      <c r="AF55" s="51">
        <v>320882</v>
      </c>
      <c r="AG55" s="51">
        <v>328944</v>
      </c>
      <c r="AH55" s="51">
        <v>332897</v>
      </c>
      <c r="AI55" s="51">
        <v>332207</v>
      </c>
      <c r="AJ55" s="51">
        <v>330873</v>
      </c>
      <c r="AK55" s="51">
        <v>328575</v>
      </c>
      <c r="AL55" s="51">
        <v>325230</v>
      </c>
      <c r="AM55" s="51">
        <v>320743</v>
      </c>
      <c r="AN55" s="51">
        <v>314895</v>
      </c>
      <c r="AO55" s="51">
        <v>307784</v>
      </c>
      <c r="AP55" s="51">
        <v>299486</v>
      </c>
      <c r="AQ55" s="51">
        <v>290062</v>
      </c>
      <c r="AR55" s="51">
        <v>279899</v>
      </c>
      <c r="AS55" s="51">
        <v>269147</v>
      </c>
      <c r="AT55" s="51">
        <v>269128</v>
      </c>
      <c r="AU55" s="51">
        <v>280715</v>
      </c>
      <c r="AV55" s="51">
        <v>295875</v>
      </c>
      <c r="AW55" s="51">
        <v>310830</v>
      </c>
      <c r="AX55" s="51">
        <v>326378</v>
      </c>
      <c r="AY55" s="51">
        <v>346950</v>
      </c>
      <c r="AZ55" s="51">
        <v>374300</v>
      </c>
      <c r="BA55" s="51">
        <v>401877</v>
      </c>
      <c r="BB55" s="51">
        <v>439509</v>
      </c>
      <c r="BC55" s="51">
        <v>483301</v>
      </c>
      <c r="BD55" s="51">
        <v>495748</v>
      </c>
      <c r="BE55" s="51">
        <v>488535</v>
      </c>
      <c r="BF55" s="51">
        <v>516235</v>
      </c>
      <c r="BG55" s="51">
        <v>525170</v>
      </c>
      <c r="BH55" s="51">
        <v>533092</v>
      </c>
      <c r="BI55" s="51">
        <v>496931</v>
      </c>
      <c r="BJ55" s="51">
        <v>502900</v>
      </c>
      <c r="BK55" s="51">
        <v>534899</v>
      </c>
      <c r="BL55" s="51">
        <v>506702</v>
      </c>
      <c r="BM55" s="51">
        <v>487876</v>
      </c>
      <c r="BN55" s="51">
        <v>499251</v>
      </c>
      <c r="BO55" s="51">
        <v>535136</v>
      </c>
      <c r="BP55" s="51">
        <v>535857</v>
      </c>
      <c r="BQ55" s="51">
        <v>565291</v>
      </c>
      <c r="BR55" s="51">
        <v>645407</v>
      </c>
      <c r="BS55" s="51">
        <v>667103</v>
      </c>
      <c r="BT55" s="51">
        <v>656494</v>
      </c>
      <c r="BU55" s="51">
        <v>686447</v>
      </c>
      <c r="BV55" s="51">
        <v>697153</v>
      </c>
      <c r="BW55" s="51">
        <v>713476</v>
      </c>
      <c r="BX55" s="51">
        <v>707941</v>
      </c>
      <c r="BY55" s="51">
        <v>711752</v>
      </c>
      <c r="BZ55" s="51">
        <v>718482</v>
      </c>
      <c r="CA55" s="51">
        <v>705964</v>
      </c>
      <c r="CB55" s="51">
        <v>644807</v>
      </c>
      <c r="CC55" s="51">
        <v>628924</v>
      </c>
      <c r="CD55" s="51">
        <v>605776</v>
      </c>
      <c r="CE55" s="51">
        <v>582193</v>
      </c>
      <c r="CF55" s="51">
        <v>580737</v>
      </c>
      <c r="CG55" s="51">
        <v>583132</v>
      </c>
      <c r="CH55" s="51">
        <v>566383</v>
      </c>
      <c r="CI55" s="51">
        <v>593001</v>
      </c>
      <c r="CJ55" s="51">
        <v>626733</v>
      </c>
      <c r="CK55" s="51">
        <v>641554</v>
      </c>
      <c r="CL55" s="51">
        <v>607422</v>
      </c>
      <c r="CM55" s="51">
        <v>569670</v>
      </c>
      <c r="CN55" s="51">
        <v>485567</v>
      </c>
      <c r="CO55" s="51">
        <v>440671</v>
      </c>
      <c r="CP55" s="51">
        <v>394425</v>
      </c>
      <c r="CQ55" s="51">
        <v>361696</v>
      </c>
      <c r="CR55" s="51">
        <v>335271</v>
      </c>
      <c r="CS55" s="51">
        <v>315476</v>
      </c>
      <c r="CT55" s="51">
        <v>273093</v>
      </c>
      <c r="CU55" s="51">
        <v>227176</v>
      </c>
      <c r="CV55" s="51">
        <v>192208</v>
      </c>
      <c r="CW55" s="51">
        <v>146480</v>
      </c>
      <c r="CX55" s="51">
        <v>119128</v>
      </c>
      <c r="CY55" s="51">
        <v>80591</v>
      </c>
      <c r="CZ55" s="51">
        <v>170545</v>
      </c>
    </row>
    <row r="56" spans="1:104" x14ac:dyDescent="0.3">
      <c r="A56" s="52" t="s">
        <v>59</v>
      </c>
      <c r="B56" s="60">
        <v>2068</v>
      </c>
      <c r="C56" s="51">
        <v>38165892</v>
      </c>
      <c r="D56" s="51">
        <v>160463</v>
      </c>
      <c r="E56" s="51">
        <v>159250</v>
      </c>
      <c r="F56" s="51">
        <v>158345</v>
      </c>
      <c r="G56" s="51">
        <v>157312</v>
      </c>
      <c r="H56" s="51">
        <v>156150</v>
      </c>
      <c r="I56" s="51">
        <v>155090</v>
      </c>
      <c r="J56" s="51">
        <v>154516</v>
      </c>
      <c r="K56" s="51">
        <v>154776</v>
      </c>
      <c r="L56" s="51">
        <v>156001</v>
      </c>
      <c r="M56" s="51">
        <v>158259</v>
      </c>
      <c r="N56" s="51">
        <v>161634</v>
      </c>
      <c r="O56" s="51">
        <v>166277</v>
      </c>
      <c r="P56" s="51">
        <v>172186</v>
      </c>
      <c r="Q56" s="51">
        <v>178969</v>
      </c>
      <c r="R56" s="51">
        <v>186375</v>
      </c>
      <c r="S56" s="51">
        <v>194174</v>
      </c>
      <c r="T56" s="51">
        <v>202353</v>
      </c>
      <c r="U56" s="51">
        <v>211336</v>
      </c>
      <c r="V56" s="51">
        <v>222687</v>
      </c>
      <c r="W56" s="51">
        <v>235882</v>
      </c>
      <c r="X56" s="51">
        <v>248417</v>
      </c>
      <c r="Y56" s="51">
        <v>259069</v>
      </c>
      <c r="Z56" s="51">
        <v>269011</v>
      </c>
      <c r="AA56" s="51">
        <v>279029</v>
      </c>
      <c r="AB56" s="51">
        <v>287317</v>
      </c>
      <c r="AC56" s="51">
        <v>294644</v>
      </c>
      <c r="AD56" s="51">
        <v>301896</v>
      </c>
      <c r="AE56" s="51">
        <v>308625</v>
      </c>
      <c r="AF56" s="51">
        <v>315224</v>
      </c>
      <c r="AG56" s="51">
        <v>322100</v>
      </c>
      <c r="AH56" s="51">
        <v>329697</v>
      </c>
      <c r="AI56" s="51">
        <v>333329</v>
      </c>
      <c r="AJ56" s="51">
        <v>332261</v>
      </c>
      <c r="AK56" s="51">
        <v>330531</v>
      </c>
      <c r="AL56" s="51">
        <v>328072</v>
      </c>
      <c r="AM56" s="51">
        <v>324704</v>
      </c>
      <c r="AN56" s="51">
        <v>320146</v>
      </c>
      <c r="AO56" s="51">
        <v>314383</v>
      </c>
      <c r="AP56" s="51">
        <v>307374</v>
      </c>
      <c r="AQ56" s="51">
        <v>299068</v>
      </c>
      <c r="AR56" s="51">
        <v>289763</v>
      </c>
      <c r="AS56" s="51">
        <v>279729</v>
      </c>
      <c r="AT56" s="51">
        <v>269150</v>
      </c>
      <c r="AU56" s="51">
        <v>269376</v>
      </c>
      <c r="AV56" s="51">
        <v>281149</v>
      </c>
      <c r="AW56" s="51">
        <v>296544</v>
      </c>
      <c r="AX56" s="51">
        <v>311671</v>
      </c>
      <c r="AY56" s="51">
        <v>327371</v>
      </c>
      <c r="AZ56" s="51">
        <v>347923</v>
      </c>
      <c r="BA56" s="51">
        <v>374917</v>
      </c>
      <c r="BB56" s="51">
        <v>402472</v>
      </c>
      <c r="BC56" s="51">
        <v>440208</v>
      </c>
      <c r="BD56" s="51">
        <v>483829</v>
      </c>
      <c r="BE56" s="51">
        <v>496198</v>
      </c>
      <c r="BF56" s="51">
        <v>488898</v>
      </c>
      <c r="BG56" s="51">
        <v>516452</v>
      </c>
      <c r="BH56" s="51">
        <v>525039</v>
      </c>
      <c r="BI56" s="51">
        <v>532506</v>
      </c>
      <c r="BJ56" s="51">
        <v>496203</v>
      </c>
      <c r="BK56" s="51">
        <v>502086</v>
      </c>
      <c r="BL56" s="51">
        <v>534859</v>
      </c>
      <c r="BM56" s="51">
        <v>506853</v>
      </c>
      <c r="BN56" s="51">
        <v>487184</v>
      </c>
      <c r="BO56" s="51">
        <v>498235</v>
      </c>
      <c r="BP56" s="51">
        <v>533796</v>
      </c>
      <c r="BQ56" s="51">
        <v>534358</v>
      </c>
      <c r="BR56" s="51">
        <v>563712</v>
      </c>
      <c r="BS56" s="51">
        <v>643758</v>
      </c>
      <c r="BT56" s="51">
        <v>665378</v>
      </c>
      <c r="BU56" s="51">
        <v>654689</v>
      </c>
      <c r="BV56" s="51">
        <v>684453</v>
      </c>
      <c r="BW56" s="51">
        <v>694912</v>
      </c>
      <c r="BX56" s="51">
        <v>710942</v>
      </c>
      <c r="BY56" s="51">
        <v>705105</v>
      </c>
      <c r="BZ56" s="51">
        <v>708463</v>
      </c>
      <c r="CA56" s="51">
        <v>714554</v>
      </c>
      <c r="CB56" s="51">
        <v>701314</v>
      </c>
      <c r="CC56" s="51">
        <v>639674</v>
      </c>
      <c r="CD56" s="51">
        <v>622764</v>
      </c>
      <c r="CE56" s="51">
        <v>598521</v>
      </c>
      <c r="CF56" s="51">
        <v>573724</v>
      </c>
      <c r="CG56" s="51">
        <v>570480</v>
      </c>
      <c r="CH56" s="51">
        <v>570608</v>
      </c>
      <c r="CI56" s="51">
        <v>551719</v>
      </c>
      <c r="CJ56" s="51">
        <v>574611</v>
      </c>
      <c r="CK56" s="51">
        <v>603565</v>
      </c>
      <c r="CL56" s="51">
        <v>613371</v>
      </c>
      <c r="CM56" s="51">
        <v>575870</v>
      </c>
      <c r="CN56" s="51">
        <v>535023</v>
      </c>
      <c r="CO56" s="51">
        <v>451175</v>
      </c>
      <c r="CP56" s="51">
        <v>404516</v>
      </c>
      <c r="CQ56" s="51">
        <v>357113</v>
      </c>
      <c r="CR56" s="51">
        <v>322582</v>
      </c>
      <c r="CS56" s="51">
        <v>293991</v>
      </c>
      <c r="CT56" s="51">
        <v>271528</v>
      </c>
      <c r="CU56" s="51">
        <v>230288</v>
      </c>
      <c r="CV56" s="51">
        <v>187293</v>
      </c>
      <c r="CW56" s="51">
        <v>154703</v>
      </c>
      <c r="CX56" s="51">
        <v>114890</v>
      </c>
      <c r="CY56" s="51">
        <v>90911</v>
      </c>
      <c r="CZ56" s="51">
        <v>175991</v>
      </c>
    </row>
    <row r="57" spans="1:104" x14ac:dyDescent="0.3">
      <c r="A57" s="52" t="s">
        <v>59</v>
      </c>
      <c r="B57" s="60">
        <v>2069</v>
      </c>
      <c r="C57" s="51">
        <v>37670942</v>
      </c>
      <c r="D57" s="51">
        <v>161053</v>
      </c>
      <c r="E57" s="51">
        <v>160157</v>
      </c>
      <c r="F57" s="51">
        <v>159474</v>
      </c>
      <c r="G57" s="51">
        <v>158531</v>
      </c>
      <c r="H57" s="51">
        <v>157294</v>
      </c>
      <c r="I57" s="51">
        <v>155958</v>
      </c>
      <c r="J57" s="51">
        <v>154898</v>
      </c>
      <c r="K57" s="51">
        <v>154466</v>
      </c>
      <c r="L57" s="51">
        <v>154810</v>
      </c>
      <c r="M57" s="51">
        <v>156035</v>
      </c>
      <c r="N57" s="51">
        <v>158277</v>
      </c>
      <c r="O57" s="51">
        <v>161765</v>
      </c>
      <c r="P57" s="51">
        <v>166557</v>
      </c>
      <c r="Q57" s="51">
        <v>172358</v>
      </c>
      <c r="R57" s="51">
        <v>178996</v>
      </c>
      <c r="S57" s="51">
        <v>186297</v>
      </c>
      <c r="T57" s="51">
        <v>194298</v>
      </c>
      <c r="U57" s="51">
        <v>203403</v>
      </c>
      <c r="V57" s="51">
        <v>215185</v>
      </c>
      <c r="W57" s="51">
        <v>229090</v>
      </c>
      <c r="X57" s="51">
        <v>242516</v>
      </c>
      <c r="Y57" s="51">
        <v>254109</v>
      </c>
      <c r="Z57" s="51">
        <v>264932</v>
      </c>
      <c r="AA57" s="51">
        <v>275654</v>
      </c>
      <c r="AB57" s="51">
        <v>284374</v>
      </c>
      <c r="AC57" s="51">
        <v>291785</v>
      </c>
      <c r="AD57" s="51">
        <v>298775</v>
      </c>
      <c r="AE57" s="51">
        <v>304887</v>
      </c>
      <c r="AF57" s="51">
        <v>310610</v>
      </c>
      <c r="AG57" s="51">
        <v>316439</v>
      </c>
      <c r="AH57" s="51">
        <v>322852</v>
      </c>
      <c r="AI57" s="51">
        <v>330129</v>
      </c>
      <c r="AJ57" s="51">
        <v>333384</v>
      </c>
      <c r="AK57" s="51">
        <v>331921</v>
      </c>
      <c r="AL57" s="51">
        <v>330029</v>
      </c>
      <c r="AM57" s="51">
        <v>327547</v>
      </c>
      <c r="AN57" s="51">
        <v>324108</v>
      </c>
      <c r="AO57" s="51">
        <v>319635</v>
      </c>
      <c r="AP57" s="51">
        <v>313975</v>
      </c>
      <c r="AQ57" s="51">
        <v>306957</v>
      </c>
      <c r="AR57" s="51">
        <v>298772</v>
      </c>
      <c r="AS57" s="51">
        <v>289596</v>
      </c>
      <c r="AT57" s="51">
        <v>279734</v>
      </c>
      <c r="AU57" s="51">
        <v>269396</v>
      </c>
      <c r="AV57" s="51">
        <v>269806</v>
      </c>
      <c r="AW57" s="51">
        <v>281813</v>
      </c>
      <c r="AX57" s="51">
        <v>297379</v>
      </c>
      <c r="AY57" s="51">
        <v>312655</v>
      </c>
      <c r="AZ57" s="51">
        <v>328333</v>
      </c>
      <c r="BA57" s="51">
        <v>348529</v>
      </c>
      <c r="BB57" s="51">
        <v>375498</v>
      </c>
      <c r="BC57" s="51">
        <v>403156</v>
      </c>
      <c r="BD57" s="51">
        <v>440738</v>
      </c>
      <c r="BE57" s="51">
        <v>484291</v>
      </c>
      <c r="BF57" s="51">
        <v>496557</v>
      </c>
      <c r="BG57" s="51">
        <v>489125</v>
      </c>
      <c r="BH57" s="51">
        <v>516330</v>
      </c>
      <c r="BI57" s="51">
        <v>524479</v>
      </c>
      <c r="BJ57" s="51">
        <v>531773</v>
      </c>
      <c r="BK57" s="51">
        <v>495391</v>
      </c>
      <c r="BL57" s="51">
        <v>502088</v>
      </c>
      <c r="BM57" s="51">
        <v>535017</v>
      </c>
      <c r="BN57" s="51">
        <v>506160</v>
      </c>
      <c r="BO57" s="51">
        <v>486181</v>
      </c>
      <c r="BP57" s="51">
        <v>496948</v>
      </c>
      <c r="BQ57" s="51">
        <v>532312</v>
      </c>
      <c r="BR57" s="51">
        <v>532827</v>
      </c>
      <c r="BS57" s="51">
        <v>562212</v>
      </c>
      <c r="BT57" s="51">
        <v>642116</v>
      </c>
      <c r="BU57" s="51">
        <v>663595</v>
      </c>
      <c r="BV57" s="51">
        <v>652814</v>
      </c>
      <c r="BW57" s="51">
        <v>682306</v>
      </c>
      <c r="BX57" s="51">
        <v>692520</v>
      </c>
      <c r="BY57" s="51">
        <v>708179</v>
      </c>
      <c r="BZ57" s="51">
        <v>701928</v>
      </c>
      <c r="CA57" s="51">
        <v>704685</v>
      </c>
      <c r="CB57" s="51">
        <v>709946</v>
      </c>
      <c r="CC57" s="51">
        <v>695845</v>
      </c>
      <c r="CD57" s="51">
        <v>633555</v>
      </c>
      <c r="CE57" s="51">
        <v>615434</v>
      </c>
      <c r="CF57" s="51">
        <v>589950</v>
      </c>
      <c r="CG57" s="51">
        <v>563755</v>
      </c>
      <c r="CH57" s="51">
        <v>558441</v>
      </c>
      <c r="CI57" s="51">
        <v>556041</v>
      </c>
      <c r="CJ57" s="51">
        <v>534825</v>
      </c>
      <c r="CK57" s="51">
        <v>553621</v>
      </c>
      <c r="CL57" s="51">
        <v>577366</v>
      </c>
      <c r="CM57" s="51">
        <v>581874</v>
      </c>
      <c r="CN57" s="51">
        <v>541157</v>
      </c>
      <c r="CO57" s="51">
        <v>497450</v>
      </c>
      <c r="CP57" s="51">
        <v>414460</v>
      </c>
      <c r="CQ57" s="51">
        <v>366577</v>
      </c>
      <c r="CR57" s="51">
        <v>318693</v>
      </c>
      <c r="CS57" s="51">
        <v>283106</v>
      </c>
      <c r="CT57" s="51">
        <v>253238</v>
      </c>
      <c r="CU57" s="51">
        <v>229161</v>
      </c>
      <c r="CV57" s="51">
        <v>190070</v>
      </c>
      <c r="CW57" s="51">
        <v>150856</v>
      </c>
      <c r="CX57" s="51">
        <v>121432</v>
      </c>
      <c r="CY57" s="51">
        <v>87732</v>
      </c>
      <c r="CZ57" s="51">
        <v>187598</v>
      </c>
    </row>
    <row r="58" spans="1:104" x14ac:dyDescent="0.3">
      <c r="A58" s="52" t="s">
        <v>59</v>
      </c>
      <c r="B58" s="60">
        <v>2070</v>
      </c>
      <c r="C58" s="51">
        <v>37181774</v>
      </c>
      <c r="D58" s="51">
        <v>161265</v>
      </c>
      <c r="E58" s="51">
        <v>160743</v>
      </c>
      <c r="F58" s="51">
        <v>160379</v>
      </c>
      <c r="G58" s="51">
        <v>159658</v>
      </c>
      <c r="H58" s="51">
        <v>158510</v>
      </c>
      <c r="I58" s="51">
        <v>157101</v>
      </c>
      <c r="J58" s="51">
        <v>155766</v>
      </c>
      <c r="K58" s="51">
        <v>154848</v>
      </c>
      <c r="L58" s="51">
        <v>154502</v>
      </c>
      <c r="M58" s="51">
        <v>154846</v>
      </c>
      <c r="N58" s="51">
        <v>156057</v>
      </c>
      <c r="O58" s="51">
        <v>158410</v>
      </c>
      <c r="P58" s="51">
        <v>162044</v>
      </c>
      <c r="Q58" s="51">
        <v>166731</v>
      </c>
      <c r="R58" s="51">
        <v>172392</v>
      </c>
      <c r="S58" s="51">
        <v>178932</v>
      </c>
      <c r="T58" s="51">
        <v>186435</v>
      </c>
      <c r="U58" s="51">
        <v>195346</v>
      </c>
      <c r="V58" s="51">
        <v>207254</v>
      </c>
      <c r="W58" s="51">
        <v>221606</v>
      </c>
      <c r="X58" s="51">
        <v>235753</v>
      </c>
      <c r="Y58" s="51">
        <v>248232</v>
      </c>
      <c r="Z58" s="51">
        <v>259982</v>
      </c>
      <c r="AA58" s="51">
        <v>271578</v>
      </c>
      <c r="AB58" s="51">
        <v>281000</v>
      </c>
      <c r="AC58" s="51">
        <v>288838</v>
      </c>
      <c r="AD58" s="51">
        <v>295909</v>
      </c>
      <c r="AE58" s="51">
        <v>301762</v>
      </c>
      <c r="AF58" s="51">
        <v>306869</v>
      </c>
      <c r="AG58" s="51">
        <v>311824</v>
      </c>
      <c r="AH58" s="51">
        <v>317190</v>
      </c>
      <c r="AI58" s="51">
        <v>323283</v>
      </c>
      <c r="AJ58" s="51">
        <v>330186</v>
      </c>
      <c r="AK58" s="51">
        <v>333045</v>
      </c>
      <c r="AL58" s="51">
        <v>331420</v>
      </c>
      <c r="AM58" s="51">
        <v>329505</v>
      </c>
      <c r="AN58" s="51">
        <v>326953</v>
      </c>
      <c r="AO58" s="51">
        <v>323599</v>
      </c>
      <c r="AP58" s="51">
        <v>319229</v>
      </c>
      <c r="AQ58" s="51">
        <v>313560</v>
      </c>
      <c r="AR58" s="51">
        <v>306663</v>
      </c>
      <c r="AS58" s="51">
        <v>298609</v>
      </c>
      <c r="AT58" s="51">
        <v>289606</v>
      </c>
      <c r="AU58" s="51">
        <v>279983</v>
      </c>
      <c r="AV58" s="51">
        <v>269824</v>
      </c>
      <c r="AW58" s="51">
        <v>270465</v>
      </c>
      <c r="AX58" s="51">
        <v>282643</v>
      </c>
      <c r="AY58" s="51">
        <v>298357</v>
      </c>
      <c r="AZ58" s="51">
        <v>313610</v>
      </c>
      <c r="BA58" s="51">
        <v>328930</v>
      </c>
      <c r="BB58" s="51">
        <v>349101</v>
      </c>
      <c r="BC58" s="51">
        <v>376170</v>
      </c>
      <c r="BD58" s="51">
        <v>403673</v>
      </c>
      <c r="BE58" s="51">
        <v>441204</v>
      </c>
      <c r="BF58" s="51">
        <v>484663</v>
      </c>
      <c r="BG58" s="51">
        <v>496782</v>
      </c>
      <c r="BH58" s="51">
        <v>489017</v>
      </c>
      <c r="BI58" s="51">
        <v>515781</v>
      </c>
      <c r="BJ58" s="51">
        <v>523775</v>
      </c>
      <c r="BK58" s="51">
        <v>530959</v>
      </c>
      <c r="BL58" s="51">
        <v>495397</v>
      </c>
      <c r="BM58" s="51">
        <v>502290</v>
      </c>
      <c r="BN58" s="51">
        <v>534329</v>
      </c>
      <c r="BO58" s="51">
        <v>505157</v>
      </c>
      <c r="BP58" s="51">
        <v>484909</v>
      </c>
      <c r="BQ58" s="51">
        <v>495522</v>
      </c>
      <c r="BR58" s="51">
        <v>530801</v>
      </c>
      <c r="BS58" s="51">
        <v>531381</v>
      </c>
      <c r="BT58" s="51">
        <v>560736</v>
      </c>
      <c r="BU58" s="51">
        <v>640425</v>
      </c>
      <c r="BV58" s="51">
        <v>661743</v>
      </c>
      <c r="BW58" s="51">
        <v>650800</v>
      </c>
      <c r="BX58" s="51">
        <v>680014</v>
      </c>
      <c r="BY58" s="51">
        <v>689910</v>
      </c>
      <c r="BZ58" s="51">
        <v>705078</v>
      </c>
      <c r="CA58" s="51">
        <v>698271</v>
      </c>
      <c r="CB58" s="51">
        <v>700243</v>
      </c>
      <c r="CC58" s="51">
        <v>704519</v>
      </c>
      <c r="CD58" s="51">
        <v>689320</v>
      </c>
      <c r="CE58" s="51">
        <v>626263</v>
      </c>
      <c r="CF58" s="51">
        <v>606761</v>
      </c>
      <c r="CG58" s="51">
        <v>579844</v>
      </c>
      <c r="CH58" s="51">
        <v>552035</v>
      </c>
      <c r="CI58" s="51">
        <v>544416</v>
      </c>
      <c r="CJ58" s="51">
        <v>539235</v>
      </c>
      <c r="CK58" s="51">
        <v>515517</v>
      </c>
      <c r="CL58" s="51">
        <v>529850</v>
      </c>
      <c r="CM58" s="51">
        <v>548041</v>
      </c>
      <c r="CN58" s="51">
        <v>547169</v>
      </c>
      <c r="CO58" s="51">
        <v>503464</v>
      </c>
      <c r="CP58" s="51">
        <v>457287</v>
      </c>
      <c r="CQ58" s="51">
        <v>375881</v>
      </c>
      <c r="CR58" s="51">
        <v>327452</v>
      </c>
      <c r="CS58" s="51">
        <v>279878</v>
      </c>
      <c r="CT58" s="51">
        <v>244084</v>
      </c>
      <c r="CU58" s="51">
        <v>213907</v>
      </c>
      <c r="CV58" s="51">
        <v>189310</v>
      </c>
      <c r="CW58" s="51">
        <v>153273</v>
      </c>
      <c r="CX58" s="51">
        <v>118504</v>
      </c>
      <c r="CY58" s="51">
        <v>92804</v>
      </c>
      <c r="CZ58" s="51">
        <v>193597</v>
      </c>
    </row>
    <row r="59" spans="1:104" x14ac:dyDescent="0.3">
      <c r="A59" s="52" t="s">
        <v>59</v>
      </c>
      <c r="B59" s="60">
        <v>2071</v>
      </c>
      <c r="C59" s="51">
        <v>36698961</v>
      </c>
      <c r="D59" s="51">
        <v>161079</v>
      </c>
      <c r="E59" s="51">
        <v>160954</v>
      </c>
      <c r="F59" s="51">
        <v>160963</v>
      </c>
      <c r="G59" s="51">
        <v>160561</v>
      </c>
      <c r="H59" s="51">
        <v>159635</v>
      </c>
      <c r="I59" s="51">
        <v>158314</v>
      </c>
      <c r="J59" s="51">
        <v>156907</v>
      </c>
      <c r="K59" s="51">
        <v>155715</v>
      </c>
      <c r="L59" s="51">
        <v>154884</v>
      </c>
      <c r="M59" s="51">
        <v>154540</v>
      </c>
      <c r="N59" s="51">
        <v>154871</v>
      </c>
      <c r="O59" s="51">
        <v>156192</v>
      </c>
      <c r="P59" s="51">
        <v>158688</v>
      </c>
      <c r="Q59" s="51">
        <v>162220</v>
      </c>
      <c r="R59" s="51">
        <v>166772</v>
      </c>
      <c r="S59" s="51">
        <v>172342</v>
      </c>
      <c r="T59" s="51">
        <v>179081</v>
      </c>
      <c r="U59" s="51">
        <v>187481</v>
      </c>
      <c r="V59" s="51">
        <v>199197</v>
      </c>
      <c r="W59" s="51">
        <v>213695</v>
      </c>
      <c r="X59" s="51">
        <v>228300</v>
      </c>
      <c r="Y59" s="51">
        <v>241495</v>
      </c>
      <c r="Z59" s="51">
        <v>254116</v>
      </c>
      <c r="AA59" s="51">
        <v>266631</v>
      </c>
      <c r="AB59" s="51">
        <v>276924</v>
      </c>
      <c r="AC59" s="51">
        <v>285459</v>
      </c>
      <c r="AD59" s="51">
        <v>292956</v>
      </c>
      <c r="AE59" s="51">
        <v>298893</v>
      </c>
      <c r="AF59" s="51">
        <v>303742</v>
      </c>
      <c r="AG59" s="51">
        <v>308081</v>
      </c>
      <c r="AH59" s="51">
        <v>312573</v>
      </c>
      <c r="AI59" s="51">
        <v>317620</v>
      </c>
      <c r="AJ59" s="51">
        <v>323337</v>
      </c>
      <c r="AK59" s="51">
        <v>329848</v>
      </c>
      <c r="AL59" s="51">
        <v>332547</v>
      </c>
      <c r="AM59" s="51">
        <v>330898</v>
      </c>
      <c r="AN59" s="51">
        <v>328912</v>
      </c>
      <c r="AO59" s="51">
        <v>326446</v>
      </c>
      <c r="AP59" s="51">
        <v>323195</v>
      </c>
      <c r="AQ59" s="51">
        <v>318816</v>
      </c>
      <c r="AR59" s="51">
        <v>313269</v>
      </c>
      <c r="AS59" s="51">
        <v>306505</v>
      </c>
      <c r="AT59" s="51">
        <v>298623</v>
      </c>
      <c r="AU59" s="51">
        <v>289860</v>
      </c>
      <c r="AV59" s="51">
        <v>280415</v>
      </c>
      <c r="AW59" s="51">
        <v>270482</v>
      </c>
      <c r="AX59" s="51">
        <v>271290</v>
      </c>
      <c r="AY59" s="51">
        <v>283615</v>
      </c>
      <c r="AZ59" s="51">
        <v>299306</v>
      </c>
      <c r="BA59" s="51">
        <v>314200</v>
      </c>
      <c r="BB59" s="51">
        <v>329492</v>
      </c>
      <c r="BC59" s="51">
        <v>349765</v>
      </c>
      <c r="BD59" s="51">
        <v>376677</v>
      </c>
      <c r="BE59" s="51">
        <v>404129</v>
      </c>
      <c r="BF59" s="51">
        <v>441584</v>
      </c>
      <c r="BG59" s="51">
        <v>484902</v>
      </c>
      <c r="BH59" s="51">
        <v>496672</v>
      </c>
      <c r="BI59" s="51">
        <v>488484</v>
      </c>
      <c r="BJ59" s="51">
        <v>515091</v>
      </c>
      <c r="BK59" s="51">
        <v>522992</v>
      </c>
      <c r="BL59" s="51">
        <v>530962</v>
      </c>
      <c r="BM59" s="51">
        <v>495606</v>
      </c>
      <c r="BN59" s="51">
        <v>501651</v>
      </c>
      <c r="BO59" s="51">
        <v>533332</v>
      </c>
      <c r="BP59" s="51">
        <v>503887</v>
      </c>
      <c r="BQ59" s="51">
        <v>483505</v>
      </c>
      <c r="BR59" s="51">
        <v>494078</v>
      </c>
      <c r="BS59" s="51">
        <v>529380</v>
      </c>
      <c r="BT59" s="51">
        <v>529975</v>
      </c>
      <c r="BU59" s="51">
        <v>559241</v>
      </c>
      <c r="BV59" s="51">
        <v>638681</v>
      </c>
      <c r="BW59" s="51">
        <v>659760</v>
      </c>
      <c r="BX59" s="51">
        <v>648665</v>
      </c>
      <c r="BY59" s="51">
        <v>677525</v>
      </c>
      <c r="BZ59" s="51">
        <v>686989</v>
      </c>
      <c r="CA59" s="51">
        <v>701517</v>
      </c>
      <c r="CB59" s="51">
        <v>693980</v>
      </c>
      <c r="CC59" s="51">
        <v>695023</v>
      </c>
      <c r="CD59" s="51">
        <v>698047</v>
      </c>
      <c r="CE59" s="51">
        <v>681548</v>
      </c>
      <c r="CF59" s="51">
        <v>617640</v>
      </c>
      <c r="CG59" s="51">
        <v>596540</v>
      </c>
      <c r="CH59" s="51">
        <v>567969</v>
      </c>
      <c r="CI59" s="51">
        <v>538380</v>
      </c>
      <c r="CJ59" s="51">
        <v>528229</v>
      </c>
      <c r="CK59" s="51">
        <v>520021</v>
      </c>
      <c r="CL59" s="51">
        <v>493644</v>
      </c>
      <c r="CM59" s="51">
        <v>503231</v>
      </c>
      <c r="CN59" s="51">
        <v>515712</v>
      </c>
      <c r="CO59" s="51">
        <v>509459</v>
      </c>
      <c r="CP59" s="51">
        <v>463151</v>
      </c>
      <c r="CQ59" s="51">
        <v>415057</v>
      </c>
      <c r="CR59" s="51">
        <v>336064</v>
      </c>
      <c r="CS59" s="51">
        <v>287883</v>
      </c>
      <c r="CT59" s="51">
        <v>241487</v>
      </c>
      <c r="CU59" s="51">
        <v>206388</v>
      </c>
      <c r="CV59" s="51">
        <v>176881</v>
      </c>
      <c r="CW59" s="51">
        <v>152818</v>
      </c>
      <c r="CX59" s="51">
        <v>120563</v>
      </c>
      <c r="CY59" s="51">
        <v>90650</v>
      </c>
      <c r="CZ59" s="51">
        <v>201609</v>
      </c>
    </row>
    <row r="60" spans="1:104" x14ac:dyDescent="0.3">
      <c r="A60" s="53" t="s">
        <v>59</v>
      </c>
      <c r="B60" s="62">
        <v>2072</v>
      </c>
      <c r="C60" s="51">
        <v>36222293</v>
      </c>
      <c r="D60" s="51">
        <v>160502</v>
      </c>
      <c r="E60" s="51">
        <v>160768</v>
      </c>
      <c r="F60" s="51">
        <v>161172</v>
      </c>
      <c r="G60" s="51">
        <v>161144</v>
      </c>
      <c r="H60" s="51">
        <v>160536</v>
      </c>
      <c r="I60" s="51">
        <v>159437</v>
      </c>
      <c r="J60" s="51">
        <v>158118</v>
      </c>
      <c r="K60" s="51">
        <v>156854</v>
      </c>
      <c r="L60" s="51">
        <v>155749</v>
      </c>
      <c r="M60" s="51">
        <v>154922</v>
      </c>
      <c r="N60" s="51">
        <v>154566</v>
      </c>
      <c r="O60" s="51">
        <v>155006</v>
      </c>
      <c r="P60" s="51">
        <v>156469</v>
      </c>
      <c r="Q60" s="51">
        <v>158866</v>
      </c>
      <c r="R60" s="51">
        <v>162267</v>
      </c>
      <c r="S60" s="51">
        <v>166734</v>
      </c>
      <c r="T60" s="51">
        <v>172503</v>
      </c>
      <c r="U60" s="51">
        <v>180126</v>
      </c>
      <c r="V60" s="51">
        <v>191334</v>
      </c>
      <c r="W60" s="51">
        <v>205658</v>
      </c>
      <c r="X60" s="51">
        <v>220424</v>
      </c>
      <c r="Y60" s="51">
        <v>234073</v>
      </c>
      <c r="Z60" s="51">
        <v>247391</v>
      </c>
      <c r="AA60" s="51">
        <v>260769</v>
      </c>
      <c r="AB60" s="51">
        <v>271977</v>
      </c>
      <c r="AC60" s="51">
        <v>281376</v>
      </c>
      <c r="AD60" s="51">
        <v>289571</v>
      </c>
      <c r="AE60" s="51">
        <v>295936</v>
      </c>
      <c r="AF60" s="51">
        <v>300870</v>
      </c>
      <c r="AG60" s="51">
        <v>304953</v>
      </c>
      <c r="AH60" s="51">
        <v>308829</v>
      </c>
      <c r="AI60" s="51">
        <v>313000</v>
      </c>
      <c r="AJ60" s="51">
        <v>317672</v>
      </c>
      <c r="AK60" s="51">
        <v>322997</v>
      </c>
      <c r="AL60" s="51">
        <v>329350</v>
      </c>
      <c r="AM60" s="51">
        <v>332027</v>
      </c>
      <c r="AN60" s="51">
        <v>330306</v>
      </c>
      <c r="AO60" s="51">
        <v>328406</v>
      </c>
      <c r="AP60" s="51">
        <v>326043</v>
      </c>
      <c r="AQ60" s="51">
        <v>322784</v>
      </c>
      <c r="AR60" s="51">
        <v>318527</v>
      </c>
      <c r="AS60" s="51">
        <v>313115</v>
      </c>
      <c r="AT60" s="51">
        <v>306524</v>
      </c>
      <c r="AU60" s="51">
        <v>298883</v>
      </c>
      <c r="AV60" s="51">
        <v>290299</v>
      </c>
      <c r="AW60" s="51">
        <v>281076</v>
      </c>
      <c r="AX60" s="51">
        <v>271304</v>
      </c>
      <c r="AY60" s="51">
        <v>272257</v>
      </c>
      <c r="AZ60" s="51">
        <v>284558</v>
      </c>
      <c r="BA60" s="51">
        <v>299892</v>
      </c>
      <c r="BB60" s="51">
        <v>314756</v>
      </c>
      <c r="BC60" s="51">
        <v>330147</v>
      </c>
      <c r="BD60" s="51">
        <v>350264</v>
      </c>
      <c r="BE60" s="51">
        <v>377123</v>
      </c>
      <c r="BF60" s="51">
        <v>404500</v>
      </c>
      <c r="BG60" s="51">
        <v>441831</v>
      </c>
      <c r="BH60" s="51">
        <v>484807</v>
      </c>
      <c r="BI60" s="51">
        <v>496138</v>
      </c>
      <c r="BJ60" s="51">
        <v>487811</v>
      </c>
      <c r="BK60" s="51">
        <v>514321</v>
      </c>
      <c r="BL60" s="51">
        <v>523027</v>
      </c>
      <c r="BM60" s="51">
        <v>531167</v>
      </c>
      <c r="BN60" s="51">
        <v>494975</v>
      </c>
      <c r="BO60" s="51">
        <v>500704</v>
      </c>
      <c r="BP60" s="51">
        <v>532067</v>
      </c>
      <c r="BQ60" s="51">
        <v>502485</v>
      </c>
      <c r="BR60" s="51">
        <v>482089</v>
      </c>
      <c r="BS60" s="51">
        <v>492733</v>
      </c>
      <c r="BT60" s="51">
        <v>528004</v>
      </c>
      <c r="BU60" s="51">
        <v>528560</v>
      </c>
      <c r="BV60" s="51">
        <v>557718</v>
      </c>
      <c r="BW60" s="51">
        <v>636822</v>
      </c>
      <c r="BX60" s="51">
        <v>657661</v>
      </c>
      <c r="BY60" s="51">
        <v>646354</v>
      </c>
      <c r="BZ60" s="51">
        <v>674743</v>
      </c>
      <c r="CA60" s="51">
        <v>683634</v>
      </c>
      <c r="CB60" s="51">
        <v>697337</v>
      </c>
      <c r="CC60" s="51">
        <v>688936</v>
      </c>
      <c r="CD60" s="51">
        <v>688792</v>
      </c>
      <c r="CE60" s="51">
        <v>690337</v>
      </c>
      <c r="CF60" s="51">
        <v>672353</v>
      </c>
      <c r="CG60" s="51">
        <v>607466</v>
      </c>
      <c r="CH60" s="51">
        <v>584517</v>
      </c>
      <c r="CI60" s="51">
        <v>554118</v>
      </c>
      <c r="CJ60" s="51">
        <v>522603</v>
      </c>
      <c r="CK60" s="51">
        <v>509698</v>
      </c>
      <c r="CL60" s="51">
        <v>498233</v>
      </c>
      <c r="CM60" s="51">
        <v>469119</v>
      </c>
      <c r="CN60" s="51">
        <v>473847</v>
      </c>
      <c r="CO60" s="51">
        <v>480532</v>
      </c>
      <c r="CP60" s="51">
        <v>469062</v>
      </c>
      <c r="CQ60" s="51">
        <v>420701</v>
      </c>
      <c r="CR60" s="51">
        <v>371404</v>
      </c>
      <c r="CS60" s="51">
        <v>295730</v>
      </c>
      <c r="CT60" s="51">
        <v>248673</v>
      </c>
      <c r="CU60" s="51">
        <v>204351</v>
      </c>
      <c r="CV60" s="51">
        <v>170841</v>
      </c>
      <c r="CW60" s="51">
        <v>142922</v>
      </c>
      <c r="CX60" s="51">
        <v>120326</v>
      </c>
      <c r="CY60" s="51">
        <v>92344</v>
      </c>
      <c r="CZ60" s="51">
        <v>205690</v>
      </c>
    </row>
    <row r="62" spans="1:104" x14ac:dyDescent="0.3">
      <c r="A62" s="3" t="s">
        <v>120</v>
      </c>
      <c r="B62" s="47"/>
    </row>
    <row r="63" spans="1:104" x14ac:dyDescent="0.3">
      <c r="A63" s="3" t="s">
        <v>121</v>
      </c>
      <c r="B63" s="3" t="s">
        <v>122</v>
      </c>
    </row>
    <row r="64" spans="1:104" x14ac:dyDescent="0.3">
      <c r="A64" s="3" t="s">
        <v>59</v>
      </c>
      <c r="B64" s="3" t="s">
        <v>59</v>
      </c>
    </row>
    <row r="65" spans="1:2" x14ac:dyDescent="0.3">
      <c r="A65" s="3" t="s">
        <v>59</v>
      </c>
      <c r="B65" s="3" t="s">
        <v>123</v>
      </c>
    </row>
    <row r="66" spans="1:2" x14ac:dyDescent="0.3">
      <c r="A66" s="3" t="s">
        <v>59</v>
      </c>
      <c r="B66" s="3" t="s">
        <v>59</v>
      </c>
    </row>
    <row r="67" spans="1:2" x14ac:dyDescent="0.3">
      <c r="A67" s="3" t="s">
        <v>59</v>
      </c>
      <c r="B67" s="3" t="s">
        <v>124</v>
      </c>
    </row>
    <row r="68" spans="1:2" x14ac:dyDescent="0.3">
      <c r="A68" s="3" t="s">
        <v>59</v>
      </c>
      <c r="B68" s="3" t="s">
        <v>59</v>
      </c>
    </row>
    <row r="69" spans="1:2" x14ac:dyDescent="0.3">
      <c r="A69" s="3" t="s">
        <v>59</v>
      </c>
      <c r="B69" s="3" t="s">
        <v>125</v>
      </c>
    </row>
    <row r="70" spans="1:2" x14ac:dyDescent="0.3">
      <c r="A70" s="3" t="s">
        <v>59</v>
      </c>
      <c r="B70" s="3" t="s">
        <v>59</v>
      </c>
    </row>
    <row r="71" spans="1:2" x14ac:dyDescent="0.3">
      <c r="A71" s="3" t="s">
        <v>59</v>
      </c>
      <c r="B71" s="3" t="s">
        <v>126</v>
      </c>
    </row>
    <row r="72" spans="1:2" x14ac:dyDescent="0.3">
      <c r="A72" s="3" t="s">
        <v>59</v>
      </c>
      <c r="B72" s="3" t="s">
        <v>59</v>
      </c>
    </row>
    <row r="73" spans="1:2" x14ac:dyDescent="0.3">
      <c r="A73" s="3" t="s">
        <v>59</v>
      </c>
      <c r="B73" s="3" t="s">
        <v>127</v>
      </c>
    </row>
    <row r="74" spans="1:2" x14ac:dyDescent="0.3">
      <c r="A74" s="3" t="s">
        <v>59</v>
      </c>
      <c r="B74" s="3" t="s">
        <v>59</v>
      </c>
    </row>
    <row r="75" spans="1:2" x14ac:dyDescent="0.3">
      <c r="A75" s="3" t="s">
        <v>59</v>
      </c>
      <c r="B75" s="3" t="s">
        <v>128</v>
      </c>
    </row>
    <row r="76" spans="1:2" x14ac:dyDescent="0.3">
      <c r="A76" s="3" t="s">
        <v>59</v>
      </c>
      <c r="B76" s="3" t="s">
        <v>59</v>
      </c>
    </row>
    <row r="77" spans="1:2" x14ac:dyDescent="0.3">
      <c r="A77" s="3" t="s">
        <v>59</v>
      </c>
      <c r="B77" s="3" t="s">
        <v>129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C2AED-73AE-45CB-BD7F-6154AA286092}">
  <dimension ref="A1:B888"/>
  <sheetViews>
    <sheetView workbookViewId="0">
      <selection activeCell="E34" sqref="E34"/>
    </sheetView>
  </sheetViews>
  <sheetFormatPr defaultRowHeight="16.5" x14ac:dyDescent="0.3"/>
  <cols>
    <col min="1" max="2" width="20.75" customWidth="1"/>
  </cols>
  <sheetData>
    <row r="1" spans="1:2" s="47" customFormat="1" x14ac:dyDescent="0.3">
      <c r="A1" s="3" t="s">
        <v>108</v>
      </c>
      <c r="B1" s="3" t="s">
        <v>246</v>
      </c>
    </row>
    <row r="2" spans="1:2" s="47" customFormat="1" x14ac:dyDescent="0.3">
      <c r="A2" s="3" t="s">
        <v>110</v>
      </c>
      <c r="B2" s="3" t="s">
        <v>247</v>
      </c>
    </row>
    <row r="3" spans="1:2" s="47" customFormat="1" x14ac:dyDescent="0.3">
      <c r="A3" s="3" t="s">
        <v>112</v>
      </c>
      <c r="B3" s="3" t="s">
        <v>248</v>
      </c>
    </row>
    <row r="4" spans="1:2" s="47" customFormat="1" x14ac:dyDescent="0.3">
      <c r="A4" s="3" t="s">
        <v>114</v>
      </c>
      <c r="B4" s="3" t="s">
        <v>249</v>
      </c>
    </row>
    <row r="5" spans="1:2" s="47" customFormat="1" x14ac:dyDescent="0.3">
      <c r="A5" s="3" t="s">
        <v>116</v>
      </c>
      <c r="B5" s="3" t="s">
        <v>250</v>
      </c>
    </row>
    <row r="6" spans="1:2" s="47" customFormat="1" x14ac:dyDescent="0.3">
      <c r="A6" s="3" t="s">
        <v>117</v>
      </c>
      <c r="B6" s="3" t="s">
        <v>251</v>
      </c>
    </row>
    <row r="7" spans="1:2" s="47" customFormat="1" x14ac:dyDescent="0.3">
      <c r="A7" s="3" t="s">
        <v>59</v>
      </c>
      <c r="B7" s="3" t="s">
        <v>119</v>
      </c>
    </row>
    <row r="8" spans="1:2" s="47" customFormat="1" x14ac:dyDescent="0.3">
      <c r="A8" s="3" t="s">
        <v>252</v>
      </c>
      <c r="B8" s="3" t="s">
        <v>253</v>
      </c>
    </row>
    <row r="9" spans="1:2" s="47" customFormat="1" x14ac:dyDescent="0.3">
      <c r="A9" s="3" t="s">
        <v>120</v>
      </c>
    </row>
    <row r="10" spans="1:2" s="47" customFormat="1" x14ac:dyDescent="0.3">
      <c r="A10" s="3" t="s">
        <v>121</v>
      </c>
      <c r="B10" s="3" t="s">
        <v>254</v>
      </c>
    </row>
    <row r="11" spans="1:2" s="47" customFormat="1" x14ac:dyDescent="0.3">
      <c r="A11" s="3" t="s">
        <v>59</v>
      </c>
      <c r="B11" s="3" t="s">
        <v>59</v>
      </c>
    </row>
    <row r="12" spans="1:2" s="47" customFormat="1" x14ac:dyDescent="0.3">
      <c r="A12" s="3" t="s">
        <v>59</v>
      </c>
      <c r="B12" s="3" t="s">
        <v>255</v>
      </c>
    </row>
    <row r="13" spans="1:2" s="47" customFormat="1" x14ac:dyDescent="0.3">
      <c r="A13" s="3" t="s">
        <v>59</v>
      </c>
      <c r="B13" s="3" t="s">
        <v>59</v>
      </c>
    </row>
    <row r="14" spans="1:2" s="47" customFormat="1" x14ac:dyDescent="0.3">
      <c r="A14" s="3" t="s">
        <v>59</v>
      </c>
      <c r="B14" s="3" t="s">
        <v>256</v>
      </c>
    </row>
    <row r="15" spans="1:2" s="47" customFormat="1" x14ac:dyDescent="0.3">
      <c r="A15" s="3" t="s">
        <v>257</v>
      </c>
      <c r="B15" s="3" t="s">
        <v>258</v>
      </c>
    </row>
    <row r="17" spans="1:2" x14ac:dyDescent="0.3">
      <c r="A17" s="55" t="s">
        <v>131</v>
      </c>
      <c r="B17" s="49" t="s">
        <v>132</v>
      </c>
    </row>
    <row r="18" spans="1:2" x14ac:dyDescent="0.3">
      <c r="A18" s="56" t="s">
        <v>131</v>
      </c>
      <c r="B18" s="49" t="s">
        <v>132</v>
      </c>
    </row>
    <row r="19" spans="1:2" x14ac:dyDescent="0.3">
      <c r="A19" s="58">
        <v>36312</v>
      </c>
      <c r="B19" s="57">
        <v>57.6</v>
      </c>
    </row>
    <row r="20" spans="1:2" x14ac:dyDescent="0.3">
      <c r="A20" s="58">
        <v>36342</v>
      </c>
      <c r="B20" s="57">
        <v>57.5</v>
      </c>
    </row>
    <row r="21" spans="1:2" x14ac:dyDescent="0.3">
      <c r="A21" s="58">
        <v>36373</v>
      </c>
      <c r="B21" s="57">
        <v>57.3</v>
      </c>
    </row>
    <row r="22" spans="1:2" x14ac:dyDescent="0.3">
      <c r="A22" s="58">
        <v>36404</v>
      </c>
      <c r="B22" s="57">
        <v>58.6</v>
      </c>
    </row>
    <row r="23" spans="1:2" x14ac:dyDescent="0.3">
      <c r="A23" s="58">
        <v>36434</v>
      </c>
      <c r="B23" s="57">
        <v>59</v>
      </c>
    </row>
    <row r="24" spans="1:2" x14ac:dyDescent="0.3">
      <c r="A24" s="58">
        <v>36465</v>
      </c>
      <c r="B24" s="57">
        <v>58.8</v>
      </c>
    </row>
    <row r="25" spans="1:2" x14ac:dyDescent="0.3">
      <c r="A25" s="58">
        <v>36495</v>
      </c>
      <c r="B25" s="57">
        <v>57.5</v>
      </c>
    </row>
    <row r="26" spans="1:2" x14ac:dyDescent="0.3">
      <c r="A26" s="58">
        <v>36526</v>
      </c>
      <c r="B26" s="57">
        <v>56.2</v>
      </c>
    </row>
    <row r="27" spans="1:2" x14ac:dyDescent="0.3">
      <c r="A27" s="58">
        <v>36557</v>
      </c>
      <c r="B27" s="57">
        <v>56.2</v>
      </c>
    </row>
    <row r="28" spans="1:2" x14ac:dyDescent="0.3">
      <c r="A28" s="58">
        <v>36586</v>
      </c>
      <c r="B28" s="57">
        <v>57.4</v>
      </c>
    </row>
    <row r="29" spans="1:2" x14ac:dyDescent="0.3">
      <c r="A29" s="58">
        <v>36617</v>
      </c>
      <c r="B29" s="57">
        <v>58.5</v>
      </c>
    </row>
    <row r="30" spans="1:2" x14ac:dyDescent="0.3">
      <c r="A30" s="58">
        <v>36647</v>
      </c>
      <c r="B30" s="57">
        <v>59.3</v>
      </c>
    </row>
    <row r="31" spans="1:2" x14ac:dyDescent="0.3">
      <c r="A31" s="58">
        <v>36678</v>
      </c>
      <c r="B31" s="57">
        <v>59.4</v>
      </c>
    </row>
    <row r="32" spans="1:2" x14ac:dyDescent="0.3">
      <c r="A32" s="58">
        <v>36708</v>
      </c>
      <c r="B32" s="57">
        <v>59.7</v>
      </c>
    </row>
    <row r="33" spans="1:2" x14ac:dyDescent="0.3">
      <c r="A33" s="58">
        <v>36739</v>
      </c>
      <c r="B33" s="57">
        <v>59</v>
      </c>
    </row>
    <row r="34" spans="1:2" x14ac:dyDescent="0.3">
      <c r="A34" s="58">
        <v>36770</v>
      </c>
      <c r="B34" s="57">
        <v>59.4</v>
      </c>
    </row>
    <row r="35" spans="1:2" x14ac:dyDescent="0.3">
      <c r="A35" s="58">
        <v>36800</v>
      </c>
      <c r="B35" s="57">
        <v>59.8</v>
      </c>
    </row>
    <row r="36" spans="1:2" x14ac:dyDescent="0.3">
      <c r="A36" s="58">
        <v>36831</v>
      </c>
      <c r="B36" s="57">
        <v>59.3</v>
      </c>
    </row>
    <row r="37" spans="1:2" x14ac:dyDescent="0.3">
      <c r="A37" s="58">
        <v>36861</v>
      </c>
      <c r="B37" s="57">
        <v>57.9</v>
      </c>
    </row>
    <row r="38" spans="1:2" x14ac:dyDescent="0.3">
      <c r="A38" s="58">
        <v>36892</v>
      </c>
      <c r="B38" s="57">
        <v>56.3</v>
      </c>
    </row>
    <row r="39" spans="1:2" x14ac:dyDescent="0.3">
      <c r="A39" s="58">
        <v>36923</v>
      </c>
      <c r="B39" s="57">
        <v>56.1</v>
      </c>
    </row>
    <row r="40" spans="1:2" x14ac:dyDescent="0.3">
      <c r="A40" s="58">
        <v>36951</v>
      </c>
      <c r="B40" s="57">
        <v>57.4</v>
      </c>
    </row>
    <row r="41" spans="1:2" x14ac:dyDescent="0.3">
      <c r="A41" s="58">
        <v>36982</v>
      </c>
      <c r="B41" s="57">
        <v>59.4</v>
      </c>
    </row>
    <row r="42" spans="1:2" x14ac:dyDescent="0.3">
      <c r="A42" s="58">
        <v>37012</v>
      </c>
      <c r="B42" s="57">
        <v>60.1</v>
      </c>
    </row>
    <row r="43" spans="1:2" x14ac:dyDescent="0.3">
      <c r="A43" s="58">
        <v>37043</v>
      </c>
      <c r="B43" s="57">
        <v>60.1</v>
      </c>
    </row>
    <row r="44" spans="1:2" x14ac:dyDescent="0.3">
      <c r="A44" s="58">
        <v>37073</v>
      </c>
      <c r="B44" s="57">
        <v>60.1</v>
      </c>
    </row>
    <row r="45" spans="1:2" x14ac:dyDescent="0.3">
      <c r="A45" s="58">
        <v>37104</v>
      </c>
      <c r="B45" s="57">
        <v>59.4</v>
      </c>
    </row>
    <row r="46" spans="1:2" x14ac:dyDescent="0.3">
      <c r="A46" s="58">
        <v>37135</v>
      </c>
      <c r="B46" s="57">
        <v>60.1</v>
      </c>
    </row>
    <row r="47" spans="1:2" x14ac:dyDescent="0.3">
      <c r="A47" s="58">
        <v>37165</v>
      </c>
      <c r="B47" s="57">
        <v>60.3</v>
      </c>
    </row>
    <row r="48" spans="1:2" x14ac:dyDescent="0.3">
      <c r="A48" s="58">
        <v>37196</v>
      </c>
      <c r="B48" s="57">
        <v>60.2</v>
      </c>
    </row>
    <row r="49" spans="1:2" x14ac:dyDescent="0.3">
      <c r="A49" s="58">
        <v>37226</v>
      </c>
      <c r="B49" s="57">
        <v>58.9</v>
      </c>
    </row>
    <row r="50" spans="1:2" x14ac:dyDescent="0.3">
      <c r="A50" s="58">
        <v>37257</v>
      </c>
      <c r="B50" s="57">
        <v>58.1</v>
      </c>
    </row>
    <row r="51" spans="1:2" x14ac:dyDescent="0.3">
      <c r="A51" s="58">
        <v>37288</v>
      </c>
      <c r="B51" s="57">
        <v>58.2</v>
      </c>
    </row>
    <row r="52" spans="1:2" x14ac:dyDescent="0.3">
      <c r="A52" s="58">
        <v>37316</v>
      </c>
      <c r="B52" s="57">
        <v>59.1</v>
      </c>
    </row>
    <row r="53" spans="1:2" x14ac:dyDescent="0.3">
      <c r="A53" s="58">
        <v>37347</v>
      </c>
      <c r="B53" s="57">
        <v>60.5</v>
      </c>
    </row>
    <row r="54" spans="1:2" x14ac:dyDescent="0.3">
      <c r="A54" s="58">
        <v>37377</v>
      </c>
      <c r="B54" s="57">
        <v>60.9</v>
      </c>
    </row>
    <row r="55" spans="1:2" x14ac:dyDescent="0.3">
      <c r="A55" s="58">
        <v>37408</v>
      </c>
      <c r="B55" s="57">
        <v>61</v>
      </c>
    </row>
    <row r="56" spans="1:2" x14ac:dyDescent="0.3">
      <c r="A56" s="58">
        <v>37438</v>
      </c>
      <c r="B56" s="57">
        <v>61</v>
      </c>
    </row>
    <row r="57" spans="1:2" x14ac:dyDescent="0.3">
      <c r="A57" s="58">
        <v>37469</v>
      </c>
      <c r="B57" s="57">
        <v>60.1</v>
      </c>
    </row>
    <row r="58" spans="1:2" x14ac:dyDescent="0.3">
      <c r="A58" s="58">
        <v>37500</v>
      </c>
      <c r="B58" s="57">
        <v>60.8</v>
      </c>
    </row>
    <row r="59" spans="1:2" x14ac:dyDescent="0.3">
      <c r="A59" s="58">
        <v>37530</v>
      </c>
      <c r="B59" s="57">
        <v>60.9</v>
      </c>
    </row>
    <row r="60" spans="1:2" x14ac:dyDescent="0.3">
      <c r="A60" s="58">
        <v>37561</v>
      </c>
      <c r="B60" s="57">
        <v>60.5</v>
      </c>
    </row>
    <row r="61" spans="1:2" x14ac:dyDescent="0.3">
      <c r="A61" s="58">
        <v>37591</v>
      </c>
      <c r="B61" s="57">
        <v>59.5</v>
      </c>
    </row>
    <row r="62" spans="1:2" x14ac:dyDescent="0.3">
      <c r="A62" s="58">
        <v>37622</v>
      </c>
      <c r="B62" s="57">
        <v>58.1</v>
      </c>
    </row>
    <row r="63" spans="1:2" x14ac:dyDescent="0.3">
      <c r="A63" s="58">
        <v>37653</v>
      </c>
      <c r="B63" s="57">
        <v>57.9</v>
      </c>
    </row>
    <row r="64" spans="1:2" x14ac:dyDescent="0.3">
      <c r="A64" s="58">
        <v>37681</v>
      </c>
      <c r="B64" s="57">
        <v>58.7</v>
      </c>
    </row>
    <row r="65" spans="1:2" x14ac:dyDescent="0.3">
      <c r="A65" s="58">
        <v>37712</v>
      </c>
      <c r="B65" s="57">
        <v>59.6</v>
      </c>
    </row>
    <row r="66" spans="1:2" x14ac:dyDescent="0.3">
      <c r="A66" s="58">
        <v>37742</v>
      </c>
      <c r="B66" s="57">
        <v>60.1</v>
      </c>
    </row>
    <row r="67" spans="1:2" x14ac:dyDescent="0.3">
      <c r="A67" s="58">
        <v>37773</v>
      </c>
      <c r="B67" s="57">
        <v>60.1</v>
      </c>
    </row>
    <row r="68" spans="1:2" x14ac:dyDescent="0.3">
      <c r="A68" s="58">
        <v>37803</v>
      </c>
      <c r="B68" s="57">
        <v>60.2</v>
      </c>
    </row>
    <row r="69" spans="1:2" x14ac:dyDescent="0.3">
      <c r="A69" s="58">
        <v>37834</v>
      </c>
      <c r="B69" s="57">
        <v>59.3</v>
      </c>
    </row>
    <row r="70" spans="1:2" x14ac:dyDescent="0.3">
      <c r="A70" s="58">
        <v>37865</v>
      </c>
      <c r="B70" s="57">
        <v>59.7</v>
      </c>
    </row>
    <row r="71" spans="1:2" x14ac:dyDescent="0.3">
      <c r="A71" s="58">
        <v>37895</v>
      </c>
      <c r="B71" s="57">
        <v>60.1</v>
      </c>
    </row>
    <row r="72" spans="1:2" x14ac:dyDescent="0.3">
      <c r="A72" s="58">
        <v>37926</v>
      </c>
      <c r="B72" s="57">
        <v>60</v>
      </c>
    </row>
    <row r="73" spans="1:2" x14ac:dyDescent="0.3">
      <c r="A73" s="58">
        <v>37956</v>
      </c>
      <c r="B73" s="57">
        <v>59</v>
      </c>
    </row>
    <row r="74" spans="1:2" x14ac:dyDescent="0.3">
      <c r="A74" s="58">
        <v>37987</v>
      </c>
      <c r="B74" s="57">
        <v>58.6</v>
      </c>
    </row>
    <row r="75" spans="1:2" x14ac:dyDescent="0.3">
      <c r="A75" s="58">
        <v>38018</v>
      </c>
      <c r="B75" s="57">
        <v>58.7</v>
      </c>
    </row>
    <row r="76" spans="1:2" x14ac:dyDescent="0.3">
      <c r="A76" s="58">
        <v>38047</v>
      </c>
      <c r="B76" s="57">
        <v>59.7</v>
      </c>
    </row>
    <row r="77" spans="1:2" x14ac:dyDescent="0.3">
      <c r="A77" s="58">
        <v>38078</v>
      </c>
      <c r="B77" s="57">
        <v>60.5</v>
      </c>
    </row>
    <row r="78" spans="1:2" x14ac:dyDescent="0.3">
      <c r="A78" s="58">
        <v>38108</v>
      </c>
      <c r="B78" s="57">
        <v>60.6</v>
      </c>
    </row>
    <row r="79" spans="1:2" x14ac:dyDescent="0.3">
      <c r="A79" s="58">
        <v>38139</v>
      </c>
      <c r="B79" s="57">
        <v>60.8</v>
      </c>
    </row>
    <row r="80" spans="1:2" x14ac:dyDescent="0.3">
      <c r="A80" s="58">
        <v>38169</v>
      </c>
      <c r="B80" s="57">
        <v>60.6</v>
      </c>
    </row>
    <row r="81" spans="1:2" x14ac:dyDescent="0.3">
      <c r="A81" s="58">
        <v>38200</v>
      </c>
      <c r="B81" s="57">
        <v>59.6</v>
      </c>
    </row>
    <row r="82" spans="1:2" x14ac:dyDescent="0.3">
      <c r="A82" s="58">
        <v>38231</v>
      </c>
      <c r="B82" s="57">
        <v>60.6</v>
      </c>
    </row>
    <row r="83" spans="1:2" x14ac:dyDescent="0.3">
      <c r="A83" s="58">
        <v>38261</v>
      </c>
      <c r="B83" s="57">
        <v>60.8</v>
      </c>
    </row>
    <row r="84" spans="1:2" x14ac:dyDescent="0.3">
      <c r="A84" s="58">
        <v>38292</v>
      </c>
      <c r="B84" s="57">
        <v>60.5</v>
      </c>
    </row>
    <row r="85" spans="1:2" x14ac:dyDescent="0.3">
      <c r="A85" s="58">
        <v>38322</v>
      </c>
      <c r="B85" s="57">
        <v>59.6</v>
      </c>
    </row>
    <row r="86" spans="1:2" x14ac:dyDescent="0.3">
      <c r="A86" s="58">
        <v>38353</v>
      </c>
      <c r="B86" s="57">
        <v>58.4</v>
      </c>
    </row>
    <row r="87" spans="1:2" x14ac:dyDescent="0.3">
      <c r="A87" s="58">
        <v>38384</v>
      </c>
      <c r="B87" s="57">
        <v>58.3</v>
      </c>
    </row>
    <row r="88" spans="1:2" x14ac:dyDescent="0.3">
      <c r="A88" s="58">
        <v>38412</v>
      </c>
      <c r="B88" s="57">
        <v>59.4</v>
      </c>
    </row>
    <row r="89" spans="1:2" x14ac:dyDescent="0.3">
      <c r="A89" s="58">
        <v>38443</v>
      </c>
      <c r="B89" s="57">
        <v>60.3</v>
      </c>
    </row>
    <row r="90" spans="1:2" x14ac:dyDescent="0.3">
      <c r="A90" s="58">
        <v>38473</v>
      </c>
      <c r="B90" s="57">
        <v>60.8</v>
      </c>
    </row>
    <row r="91" spans="1:2" x14ac:dyDescent="0.3">
      <c r="A91" s="58">
        <v>38504</v>
      </c>
      <c r="B91" s="57">
        <v>60.8</v>
      </c>
    </row>
    <row r="92" spans="1:2" x14ac:dyDescent="0.3">
      <c r="A92" s="58">
        <v>38534</v>
      </c>
      <c r="B92" s="57">
        <v>60.6</v>
      </c>
    </row>
    <row r="93" spans="1:2" x14ac:dyDescent="0.3">
      <c r="A93" s="58">
        <v>38565</v>
      </c>
      <c r="B93" s="57">
        <v>59.7</v>
      </c>
    </row>
    <row r="94" spans="1:2" x14ac:dyDescent="0.3">
      <c r="A94" s="58">
        <v>38596</v>
      </c>
      <c r="B94" s="57">
        <v>60.2</v>
      </c>
    </row>
    <row r="95" spans="1:2" x14ac:dyDescent="0.3">
      <c r="A95" s="58">
        <v>38626</v>
      </c>
      <c r="B95" s="57">
        <v>60.5</v>
      </c>
    </row>
    <row r="96" spans="1:2" x14ac:dyDescent="0.3">
      <c r="A96" s="58">
        <v>38657</v>
      </c>
      <c r="B96" s="57">
        <v>60.5</v>
      </c>
    </row>
    <row r="97" spans="1:2" x14ac:dyDescent="0.3">
      <c r="A97" s="58">
        <v>38687</v>
      </c>
      <c r="B97" s="57">
        <v>59.2</v>
      </c>
    </row>
    <row r="98" spans="1:2" x14ac:dyDescent="0.3">
      <c r="A98" s="58">
        <v>38718</v>
      </c>
      <c r="B98" s="57">
        <v>58.5</v>
      </c>
    </row>
    <row r="99" spans="1:2" x14ac:dyDescent="0.3">
      <c r="A99" s="58">
        <v>38749</v>
      </c>
      <c r="B99" s="57">
        <v>58.3</v>
      </c>
    </row>
    <row r="100" spans="1:2" x14ac:dyDescent="0.3">
      <c r="A100" s="58">
        <v>38777</v>
      </c>
      <c r="B100" s="57">
        <v>59.4</v>
      </c>
    </row>
    <row r="101" spans="1:2" x14ac:dyDescent="0.3">
      <c r="A101" s="58">
        <v>38808</v>
      </c>
      <c r="B101" s="57">
        <v>60.4</v>
      </c>
    </row>
    <row r="102" spans="1:2" x14ac:dyDescent="0.3">
      <c r="A102" s="58">
        <v>38838</v>
      </c>
      <c r="B102" s="57">
        <v>60.9</v>
      </c>
    </row>
    <row r="103" spans="1:2" x14ac:dyDescent="0.3">
      <c r="A103" s="58">
        <v>38869</v>
      </c>
      <c r="B103" s="57">
        <v>60.9</v>
      </c>
    </row>
    <row r="104" spans="1:2" x14ac:dyDescent="0.3">
      <c r="A104" s="58">
        <v>38899</v>
      </c>
      <c r="B104" s="57">
        <v>60.7</v>
      </c>
    </row>
    <row r="105" spans="1:2" x14ac:dyDescent="0.3">
      <c r="A105" s="58">
        <v>38930</v>
      </c>
      <c r="B105" s="57">
        <v>60</v>
      </c>
    </row>
    <row r="106" spans="1:2" x14ac:dyDescent="0.3">
      <c r="A106" s="58">
        <v>38961</v>
      </c>
      <c r="B106" s="57">
        <v>60.4</v>
      </c>
    </row>
    <row r="107" spans="1:2" x14ac:dyDescent="0.3">
      <c r="A107" s="58">
        <v>38991</v>
      </c>
      <c r="B107" s="57">
        <v>60.7</v>
      </c>
    </row>
    <row r="108" spans="1:2" x14ac:dyDescent="0.3">
      <c r="A108" s="58">
        <v>39022</v>
      </c>
      <c r="B108" s="57">
        <v>60.6</v>
      </c>
    </row>
    <row r="109" spans="1:2" x14ac:dyDescent="0.3">
      <c r="A109" s="58">
        <v>39052</v>
      </c>
      <c r="B109" s="57">
        <v>59.4</v>
      </c>
    </row>
    <row r="110" spans="1:2" x14ac:dyDescent="0.3">
      <c r="A110" s="58">
        <v>39083</v>
      </c>
      <c r="B110" s="57">
        <v>58.7</v>
      </c>
    </row>
    <row r="111" spans="1:2" x14ac:dyDescent="0.3">
      <c r="A111" s="58">
        <v>39114</v>
      </c>
      <c r="B111" s="57">
        <v>58.5</v>
      </c>
    </row>
    <row r="112" spans="1:2" x14ac:dyDescent="0.3">
      <c r="A112" s="58">
        <v>39142</v>
      </c>
      <c r="B112" s="57">
        <v>59.6</v>
      </c>
    </row>
    <row r="113" spans="1:2" x14ac:dyDescent="0.3">
      <c r="A113" s="58">
        <v>39173</v>
      </c>
      <c r="B113" s="57">
        <v>60.5</v>
      </c>
    </row>
    <row r="114" spans="1:2" x14ac:dyDescent="0.3">
      <c r="A114" s="58">
        <v>39203</v>
      </c>
      <c r="B114" s="57">
        <v>61</v>
      </c>
    </row>
    <row r="115" spans="1:2" x14ac:dyDescent="0.3">
      <c r="A115" s="58">
        <v>39234</v>
      </c>
      <c r="B115" s="57">
        <v>61.1</v>
      </c>
    </row>
    <row r="116" spans="1:2" x14ac:dyDescent="0.3">
      <c r="A116" s="58">
        <v>39264</v>
      </c>
      <c r="B116" s="57">
        <v>60.9</v>
      </c>
    </row>
    <row r="117" spans="1:2" x14ac:dyDescent="0.3">
      <c r="A117" s="58">
        <v>39295</v>
      </c>
      <c r="B117" s="57">
        <v>60.1</v>
      </c>
    </row>
    <row r="118" spans="1:2" x14ac:dyDescent="0.3">
      <c r="A118" s="58">
        <v>39326</v>
      </c>
      <c r="B118" s="57">
        <v>60.5</v>
      </c>
    </row>
    <row r="119" spans="1:2" x14ac:dyDescent="0.3">
      <c r="A119" s="58">
        <v>39356</v>
      </c>
      <c r="B119" s="57">
        <v>60.7</v>
      </c>
    </row>
    <row r="120" spans="1:2" x14ac:dyDescent="0.3">
      <c r="A120" s="58">
        <v>39387</v>
      </c>
      <c r="B120" s="57">
        <v>60.7</v>
      </c>
    </row>
    <row r="121" spans="1:2" x14ac:dyDescent="0.3">
      <c r="A121" s="58">
        <v>39417</v>
      </c>
      <c r="B121" s="57">
        <v>59.4</v>
      </c>
    </row>
    <row r="122" spans="1:2" x14ac:dyDescent="0.3">
      <c r="A122" s="58">
        <v>39448</v>
      </c>
      <c r="B122" s="57">
        <v>58.6</v>
      </c>
    </row>
    <row r="123" spans="1:2" x14ac:dyDescent="0.3">
      <c r="A123" s="58">
        <v>39479</v>
      </c>
      <c r="B123" s="57">
        <v>58.3</v>
      </c>
    </row>
    <row r="124" spans="1:2" x14ac:dyDescent="0.3">
      <c r="A124" s="58">
        <v>39508</v>
      </c>
      <c r="B124" s="57">
        <v>59.3</v>
      </c>
    </row>
    <row r="125" spans="1:2" x14ac:dyDescent="0.3">
      <c r="A125" s="58">
        <v>39539</v>
      </c>
      <c r="B125" s="57">
        <v>60.3</v>
      </c>
    </row>
    <row r="126" spans="1:2" x14ac:dyDescent="0.3">
      <c r="A126" s="58">
        <v>39569</v>
      </c>
      <c r="B126" s="57">
        <v>60.8</v>
      </c>
    </row>
    <row r="127" spans="1:2" x14ac:dyDescent="0.3">
      <c r="A127" s="58">
        <v>39600</v>
      </c>
      <c r="B127" s="57">
        <v>60.8</v>
      </c>
    </row>
    <row r="128" spans="1:2" x14ac:dyDescent="0.3">
      <c r="A128" s="58">
        <v>39630</v>
      </c>
      <c r="B128" s="57">
        <v>60.6</v>
      </c>
    </row>
    <row r="129" spans="1:2" x14ac:dyDescent="0.3">
      <c r="A129" s="58">
        <v>39661</v>
      </c>
      <c r="B129" s="57">
        <v>59.8</v>
      </c>
    </row>
    <row r="130" spans="1:2" x14ac:dyDescent="0.3">
      <c r="A130" s="58">
        <v>39692</v>
      </c>
      <c r="B130" s="57">
        <v>60</v>
      </c>
    </row>
    <row r="131" spans="1:2" x14ac:dyDescent="0.3">
      <c r="A131" s="58">
        <v>39722</v>
      </c>
      <c r="B131" s="57">
        <v>60.2</v>
      </c>
    </row>
    <row r="132" spans="1:2" x14ac:dyDescent="0.3">
      <c r="A132" s="58">
        <v>39753</v>
      </c>
      <c r="B132" s="57">
        <v>60.1</v>
      </c>
    </row>
    <row r="133" spans="1:2" x14ac:dyDescent="0.3">
      <c r="A133" s="58">
        <v>39783</v>
      </c>
      <c r="B133" s="57">
        <v>58.6</v>
      </c>
    </row>
    <row r="134" spans="1:2" x14ac:dyDescent="0.3">
      <c r="A134" s="58">
        <v>39814</v>
      </c>
      <c r="B134" s="57">
        <v>57.5</v>
      </c>
    </row>
    <row r="135" spans="1:2" x14ac:dyDescent="0.3">
      <c r="A135" s="58">
        <v>39845</v>
      </c>
      <c r="B135" s="57">
        <v>57.1</v>
      </c>
    </row>
    <row r="136" spans="1:2" x14ac:dyDescent="0.3">
      <c r="A136" s="58">
        <v>39873</v>
      </c>
      <c r="B136" s="57">
        <v>58</v>
      </c>
    </row>
    <row r="137" spans="1:2" x14ac:dyDescent="0.3">
      <c r="A137" s="58">
        <v>39904</v>
      </c>
      <c r="B137" s="57">
        <v>59</v>
      </c>
    </row>
    <row r="138" spans="1:2" x14ac:dyDescent="0.3">
      <c r="A138" s="58">
        <v>39934</v>
      </c>
      <c r="B138" s="57">
        <v>59.4</v>
      </c>
    </row>
    <row r="139" spans="1:2" x14ac:dyDescent="0.3">
      <c r="A139" s="58">
        <v>39965</v>
      </c>
      <c r="B139" s="57">
        <v>60</v>
      </c>
    </row>
    <row r="140" spans="1:2" x14ac:dyDescent="0.3">
      <c r="A140" s="58">
        <v>39995</v>
      </c>
      <c r="B140" s="57">
        <v>59.5</v>
      </c>
    </row>
    <row r="141" spans="1:2" x14ac:dyDescent="0.3">
      <c r="A141" s="58">
        <v>40026</v>
      </c>
      <c r="B141" s="57">
        <v>59</v>
      </c>
    </row>
    <row r="142" spans="1:2" x14ac:dyDescent="0.3">
      <c r="A142" s="58">
        <v>40057</v>
      </c>
      <c r="B142" s="57">
        <v>59.4</v>
      </c>
    </row>
    <row r="143" spans="1:2" x14ac:dyDescent="0.3">
      <c r="A143" s="58">
        <v>40087</v>
      </c>
      <c r="B143" s="57">
        <v>59.4</v>
      </c>
    </row>
    <row r="144" spans="1:2" x14ac:dyDescent="0.3">
      <c r="A144" s="58">
        <v>40118</v>
      </c>
      <c r="B144" s="57">
        <v>59.2</v>
      </c>
    </row>
    <row r="145" spans="1:2" x14ac:dyDescent="0.3">
      <c r="A145" s="58">
        <v>40148</v>
      </c>
      <c r="B145" s="57">
        <v>57.8</v>
      </c>
    </row>
    <row r="146" spans="1:2" x14ac:dyDescent="0.3">
      <c r="A146" s="58">
        <v>40179</v>
      </c>
      <c r="B146" s="57">
        <v>56.8</v>
      </c>
    </row>
    <row r="147" spans="1:2" x14ac:dyDescent="0.3">
      <c r="A147" s="58">
        <v>40210</v>
      </c>
      <c r="B147" s="57">
        <v>56.7</v>
      </c>
    </row>
    <row r="148" spans="1:2" x14ac:dyDescent="0.3">
      <c r="A148" s="58">
        <v>40238</v>
      </c>
      <c r="B148" s="57">
        <v>57.9</v>
      </c>
    </row>
    <row r="149" spans="1:2" x14ac:dyDescent="0.3">
      <c r="A149" s="58">
        <v>40269</v>
      </c>
      <c r="B149" s="57">
        <v>59.2</v>
      </c>
    </row>
    <row r="150" spans="1:2" x14ac:dyDescent="0.3">
      <c r="A150" s="58">
        <v>40299</v>
      </c>
      <c r="B150" s="57">
        <v>60.1</v>
      </c>
    </row>
    <row r="151" spans="1:2" x14ac:dyDescent="0.3">
      <c r="A151" s="58">
        <v>40330</v>
      </c>
      <c r="B151" s="57">
        <v>60</v>
      </c>
    </row>
    <row r="152" spans="1:2" x14ac:dyDescent="0.3">
      <c r="A152" s="58">
        <v>40360</v>
      </c>
      <c r="B152" s="57">
        <v>60</v>
      </c>
    </row>
    <row r="153" spans="1:2" x14ac:dyDescent="0.3">
      <c r="A153" s="58">
        <v>40391</v>
      </c>
      <c r="B153" s="57">
        <v>59.2</v>
      </c>
    </row>
    <row r="154" spans="1:2" x14ac:dyDescent="0.3">
      <c r="A154" s="58">
        <v>40422</v>
      </c>
      <c r="B154" s="57">
        <v>59.3</v>
      </c>
    </row>
    <row r="155" spans="1:2" x14ac:dyDescent="0.3">
      <c r="A155" s="58">
        <v>40452</v>
      </c>
      <c r="B155" s="57">
        <v>59.5</v>
      </c>
    </row>
    <row r="156" spans="1:2" x14ac:dyDescent="0.3">
      <c r="A156" s="58">
        <v>40483</v>
      </c>
      <c r="B156" s="57">
        <v>59.3</v>
      </c>
    </row>
    <row r="157" spans="1:2" x14ac:dyDescent="0.3">
      <c r="A157" s="58">
        <v>40513</v>
      </c>
      <c r="B157" s="57">
        <v>58.2</v>
      </c>
    </row>
    <row r="158" spans="1:2" x14ac:dyDescent="0.3">
      <c r="A158" s="58">
        <v>40544</v>
      </c>
      <c r="B158" s="57">
        <v>57</v>
      </c>
    </row>
    <row r="159" spans="1:2" x14ac:dyDescent="0.3">
      <c r="A159" s="58">
        <v>40575</v>
      </c>
      <c r="B159" s="57">
        <v>57.3</v>
      </c>
    </row>
    <row r="160" spans="1:2" x14ac:dyDescent="0.3">
      <c r="A160" s="58">
        <v>40603</v>
      </c>
      <c r="B160" s="57">
        <v>58.5</v>
      </c>
    </row>
    <row r="161" spans="1:2" x14ac:dyDescent="0.3">
      <c r="A161" s="58">
        <v>40634</v>
      </c>
      <c r="B161" s="57">
        <v>59.5</v>
      </c>
    </row>
    <row r="162" spans="1:2" x14ac:dyDescent="0.3">
      <c r="A162" s="58">
        <v>40664</v>
      </c>
      <c r="B162" s="57">
        <v>60.4</v>
      </c>
    </row>
    <row r="163" spans="1:2" x14ac:dyDescent="0.3">
      <c r="A163" s="58">
        <v>40695</v>
      </c>
      <c r="B163" s="57">
        <v>60.5</v>
      </c>
    </row>
    <row r="164" spans="1:2" x14ac:dyDescent="0.3">
      <c r="A164" s="58">
        <v>40725</v>
      </c>
      <c r="B164" s="57">
        <v>60.2</v>
      </c>
    </row>
    <row r="165" spans="1:2" x14ac:dyDescent="0.3">
      <c r="A165" s="58">
        <v>40756</v>
      </c>
      <c r="B165" s="57">
        <v>59.8</v>
      </c>
    </row>
    <row r="166" spans="1:2" x14ac:dyDescent="0.3">
      <c r="A166" s="58">
        <v>40787</v>
      </c>
      <c r="B166" s="57">
        <v>59.3</v>
      </c>
    </row>
    <row r="167" spans="1:2" x14ac:dyDescent="0.3">
      <c r="A167" s="58">
        <v>40817</v>
      </c>
      <c r="B167" s="57">
        <v>60.1</v>
      </c>
    </row>
    <row r="168" spans="1:2" x14ac:dyDescent="0.3">
      <c r="A168" s="58">
        <v>40848</v>
      </c>
      <c r="B168" s="57">
        <v>59.9</v>
      </c>
    </row>
    <row r="169" spans="1:2" x14ac:dyDescent="0.3">
      <c r="A169" s="58">
        <v>40878</v>
      </c>
      <c r="B169" s="57">
        <v>58.7</v>
      </c>
    </row>
    <row r="170" spans="1:2" x14ac:dyDescent="0.3">
      <c r="A170" s="58">
        <v>40909</v>
      </c>
      <c r="B170" s="57">
        <v>57.7</v>
      </c>
    </row>
    <row r="171" spans="1:2" x14ac:dyDescent="0.3">
      <c r="A171" s="58">
        <v>40940</v>
      </c>
      <c r="B171" s="57">
        <v>57.7</v>
      </c>
    </row>
    <row r="172" spans="1:2" x14ac:dyDescent="0.3">
      <c r="A172" s="58">
        <v>40969</v>
      </c>
      <c r="B172" s="57">
        <v>58.9</v>
      </c>
    </row>
    <row r="173" spans="1:2" x14ac:dyDescent="0.3">
      <c r="A173" s="58">
        <v>41000</v>
      </c>
      <c r="B173" s="57">
        <v>60</v>
      </c>
    </row>
    <row r="174" spans="1:2" x14ac:dyDescent="0.3">
      <c r="A174" s="58">
        <v>41030</v>
      </c>
      <c r="B174" s="57">
        <v>60.8</v>
      </c>
    </row>
    <row r="175" spans="1:2" x14ac:dyDescent="0.3">
      <c r="A175" s="58">
        <v>41061</v>
      </c>
      <c r="B175" s="57">
        <v>60.7</v>
      </c>
    </row>
    <row r="176" spans="1:2" x14ac:dyDescent="0.3">
      <c r="A176" s="58">
        <v>41091</v>
      </c>
      <c r="B176" s="57">
        <v>60.6</v>
      </c>
    </row>
    <row r="177" spans="1:2" x14ac:dyDescent="0.3">
      <c r="A177" s="58">
        <v>41122</v>
      </c>
      <c r="B177" s="57">
        <v>59.9</v>
      </c>
    </row>
    <row r="178" spans="1:2" x14ac:dyDescent="0.3">
      <c r="A178" s="58">
        <v>41153</v>
      </c>
      <c r="B178" s="57">
        <v>60.2</v>
      </c>
    </row>
    <row r="179" spans="1:2" x14ac:dyDescent="0.3">
      <c r="A179" s="58">
        <v>41183</v>
      </c>
      <c r="B179" s="57">
        <v>60.3</v>
      </c>
    </row>
    <row r="180" spans="1:2" x14ac:dyDescent="0.3">
      <c r="A180" s="58">
        <v>41214</v>
      </c>
      <c r="B180" s="57">
        <v>59.9</v>
      </c>
    </row>
    <row r="181" spans="1:2" x14ac:dyDescent="0.3">
      <c r="A181" s="58">
        <v>41244</v>
      </c>
      <c r="B181" s="57">
        <v>58.6</v>
      </c>
    </row>
    <row r="182" spans="1:2" x14ac:dyDescent="0.3">
      <c r="A182" s="58">
        <v>41275</v>
      </c>
      <c r="B182" s="57">
        <v>57.7</v>
      </c>
    </row>
    <row r="183" spans="1:2" x14ac:dyDescent="0.3">
      <c r="A183" s="58">
        <v>41306</v>
      </c>
      <c r="B183" s="57">
        <v>57.5</v>
      </c>
    </row>
    <row r="184" spans="1:2" x14ac:dyDescent="0.3">
      <c r="A184" s="58">
        <v>41334</v>
      </c>
      <c r="B184" s="57">
        <v>58.7</v>
      </c>
    </row>
    <row r="185" spans="1:2" x14ac:dyDescent="0.3">
      <c r="A185" s="58">
        <v>41365</v>
      </c>
      <c r="B185" s="57">
        <v>60</v>
      </c>
    </row>
    <row r="186" spans="1:2" x14ac:dyDescent="0.3">
      <c r="A186" s="58">
        <v>41395</v>
      </c>
      <c r="B186" s="57">
        <v>60.6</v>
      </c>
    </row>
    <row r="187" spans="1:2" x14ac:dyDescent="0.3">
      <c r="A187" s="58">
        <v>41426</v>
      </c>
      <c r="B187" s="57">
        <v>60.8</v>
      </c>
    </row>
    <row r="188" spans="1:2" x14ac:dyDescent="0.3">
      <c r="A188" s="58">
        <v>41456</v>
      </c>
      <c r="B188" s="57">
        <v>60.7</v>
      </c>
    </row>
    <row r="189" spans="1:2" x14ac:dyDescent="0.3">
      <c r="A189" s="58">
        <v>41487</v>
      </c>
      <c r="B189" s="57">
        <v>60.2</v>
      </c>
    </row>
    <row r="190" spans="1:2" x14ac:dyDescent="0.3">
      <c r="A190" s="58">
        <v>41518</v>
      </c>
      <c r="B190" s="57">
        <v>60.6</v>
      </c>
    </row>
    <row r="191" spans="1:2" x14ac:dyDescent="0.3">
      <c r="A191" s="58">
        <v>41548</v>
      </c>
      <c r="B191" s="57">
        <v>60.8</v>
      </c>
    </row>
    <row r="192" spans="1:2" x14ac:dyDescent="0.3">
      <c r="A192" s="58">
        <v>41579</v>
      </c>
      <c r="B192" s="57">
        <v>60.7</v>
      </c>
    </row>
    <row r="193" spans="1:2" x14ac:dyDescent="0.3">
      <c r="A193" s="58">
        <v>41609</v>
      </c>
      <c r="B193" s="57">
        <v>59.4</v>
      </c>
    </row>
    <row r="194" spans="1:2" x14ac:dyDescent="0.3">
      <c r="A194" s="58">
        <v>41640</v>
      </c>
      <c r="B194" s="57">
        <v>58.8</v>
      </c>
    </row>
    <row r="195" spans="1:2" x14ac:dyDescent="0.3">
      <c r="A195" s="58">
        <v>41671</v>
      </c>
      <c r="B195" s="57">
        <v>58.9</v>
      </c>
    </row>
    <row r="196" spans="1:2" x14ac:dyDescent="0.3">
      <c r="A196" s="58">
        <v>41699</v>
      </c>
      <c r="B196" s="57">
        <v>59.7</v>
      </c>
    </row>
    <row r="197" spans="1:2" x14ac:dyDescent="0.3">
      <c r="A197" s="58">
        <v>41730</v>
      </c>
      <c r="B197" s="57">
        <v>60.9</v>
      </c>
    </row>
    <row r="198" spans="1:2" x14ac:dyDescent="0.3">
      <c r="A198" s="58">
        <v>41760</v>
      </c>
      <c r="B198" s="57">
        <v>61.1</v>
      </c>
    </row>
    <row r="199" spans="1:2" x14ac:dyDescent="0.3">
      <c r="A199" s="58">
        <v>41791</v>
      </c>
      <c r="B199" s="57">
        <v>61.2</v>
      </c>
    </row>
    <row r="200" spans="1:2" x14ac:dyDescent="0.3">
      <c r="A200" s="58">
        <v>41821</v>
      </c>
      <c r="B200" s="57">
        <v>61.4</v>
      </c>
    </row>
    <row r="201" spans="1:2" x14ac:dyDescent="0.3">
      <c r="A201" s="58">
        <v>41852</v>
      </c>
      <c r="B201" s="57">
        <v>61.1</v>
      </c>
    </row>
    <row r="202" spans="1:2" x14ac:dyDescent="0.3">
      <c r="A202" s="58">
        <v>41883</v>
      </c>
      <c r="B202" s="57">
        <v>61.1</v>
      </c>
    </row>
    <row r="203" spans="1:2" x14ac:dyDescent="0.3">
      <c r="A203" s="58">
        <v>41913</v>
      </c>
      <c r="B203" s="57">
        <v>61.1</v>
      </c>
    </row>
    <row r="204" spans="1:2" x14ac:dyDescent="0.3">
      <c r="A204" s="58">
        <v>41944</v>
      </c>
      <c r="B204" s="57">
        <v>61.1</v>
      </c>
    </row>
    <row r="205" spans="1:2" x14ac:dyDescent="0.3">
      <c r="A205" s="58">
        <v>41974</v>
      </c>
      <c r="B205" s="57">
        <v>59.7</v>
      </c>
    </row>
    <row r="206" spans="1:2" x14ac:dyDescent="0.3">
      <c r="A206" s="58">
        <v>42005</v>
      </c>
      <c r="B206" s="57">
        <v>59</v>
      </c>
    </row>
    <row r="207" spans="1:2" x14ac:dyDescent="0.3">
      <c r="A207" s="58">
        <v>42036</v>
      </c>
      <c r="B207" s="57">
        <v>59.1</v>
      </c>
    </row>
    <row r="208" spans="1:2" x14ac:dyDescent="0.3">
      <c r="A208" s="58">
        <v>42064</v>
      </c>
      <c r="B208" s="57">
        <v>59.8</v>
      </c>
    </row>
    <row r="209" spans="1:2" x14ac:dyDescent="0.3">
      <c r="A209" s="58">
        <v>42095</v>
      </c>
      <c r="B209" s="57">
        <v>60.6</v>
      </c>
    </row>
    <row r="210" spans="1:2" x14ac:dyDescent="0.3">
      <c r="A210" s="58">
        <v>42125</v>
      </c>
      <c r="B210" s="57">
        <v>61.2</v>
      </c>
    </row>
    <row r="211" spans="1:2" x14ac:dyDescent="0.3">
      <c r="A211" s="58">
        <v>42156</v>
      </c>
      <c r="B211" s="57">
        <v>61.2</v>
      </c>
    </row>
    <row r="212" spans="1:2" x14ac:dyDescent="0.3">
      <c r="A212" s="58">
        <v>42186</v>
      </c>
      <c r="B212" s="57">
        <v>61.3</v>
      </c>
    </row>
    <row r="213" spans="1:2" x14ac:dyDescent="0.3">
      <c r="A213" s="58">
        <v>42217</v>
      </c>
      <c r="B213" s="57">
        <v>60.9</v>
      </c>
    </row>
    <row r="214" spans="1:2" x14ac:dyDescent="0.3">
      <c r="A214" s="58">
        <v>42248</v>
      </c>
      <c r="B214" s="57">
        <v>61.1</v>
      </c>
    </row>
    <row r="215" spans="1:2" x14ac:dyDescent="0.3">
      <c r="A215" s="58">
        <v>42278</v>
      </c>
      <c r="B215" s="57">
        <v>61.2</v>
      </c>
    </row>
    <row r="216" spans="1:2" x14ac:dyDescent="0.3">
      <c r="A216" s="58">
        <v>42309</v>
      </c>
      <c r="B216" s="57">
        <v>61</v>
      </c>
    </row>
    <row r="217" spans="1:2" x14ac:dyDescent="0.3">
      <c r="A217" s="58">
        <v>42339</v>
      </c>
      <c r="B217" s="57">
        <v>60.1</v>
      </c>
    </row>
    <row r="218" spans="1:2" x14ac:dyDescent="0.3">
      <c r="A218" s="58">
        <v>42370</v>
      </c>
      <c r="B218" s="57">
        <v>59</v>
      </c>
    </row>
    <row r="219" spans="1:2" x14ac:dyDescent="0.3">
      <c r="A219" s="58">
        <v>42401</v>
      </c>
      <c r="B219" s="57">
        <v>58.9</v>
      </c>
    </row>
    <row r="220" spans="1:2" x14ac:dyDescent="0.3">
      <c r="A220" s="58">
        <v>42430</v>
      </c>
      <c r="B220" s="57">
        <v>59.7</v>
      </c>
    </row>
    <row r="221" spans="1:2" x14ac:dyDescent="0.3">
      <c r="A221" s="58">
        <v>42461</v>
      </c>
      <c r="B221" s="57">
        <v>60.5</v>
      </c>
    </row>
    <row r="222" spans="1:2" x14ac:dyDescent="0.3">
      <c r="A222" s="58">
        <v>42491</v>
      </c>
      <c r="B222" s="57">
        <v>61.1</v>
      </c>
    </row>
    <row r="223" spans="1:2" x14ac:dyDescent="0.3">
      <c r="A223" s="58">
        <v>42522</v>
      </c>
      <c r="B223" s="57">
        <v>61.3</v>
      </c>
    </row>
    <row r="224" spans="1:2" x14ac:dyDescent="0.3">
      <c r="A224" s="58">
        <v>42552</v>
      </c>
      <c r="B224" s="57">
        <v>61.3</v>
      </c>
    </row>
    <row r="225" spans="1:2" x14ac:dyDescent="0.3">
      <c r="A225" s="58">
        <v>42583</v>
      </c>
      <c r="B225" s="57">
        <v>61.2</v>
      </c>
    </row>
    <row r="226" spans="1:2" x14ac:dyDescent="0.3">
      <c r="A226" s="58">
        <v>42614</v>
      </c>
      <c r="B226" s="57">
        <v>61.1</v>
      </c>
    </row>
    <row r="227" spans="1:2" x14ac:dyDescent="0.3">
      <c r="A227" s="58">
        <v>42644</v>
      </c>
      <c r="B227" s="57">
        <v>61.2</v>
      </c>
    </row>
    <row r="228" spans="1:2" x14ac:dyDescent="0.3">
      <c r="A228" s="58">
        <v>42675</v>
      </c>
      <c r="B228" s="57">
        <v>61.2</v>
      </c>
    </row>
    <row r="229" spans="1:2" x14ac:dyDescent="0.3">
      <c r="A229" s="58">
        <v>42705</v>
      </c>
      <c r="B229" s="57">
        <v>60.2</v>
      </c>
    </row>
    <row r="230" spans="1:2" x14ac:dyDescent="0.3">
      <c r="A230" s="58">
        <v>42736</v>
      </c>
      <c r="B230" s="57">
        <v>59.1</v>
      </c>
    </row>
    <row r="231" spans="1:2" x14ac:dyDescent="0.3">
      <c r="A231" s="58">
        <v>42767</v>
      </c>
      <c r="B231" s="57">
        <v>59.3</v>
      </c>
    </row>
    <row r="232" spans="1:2" x14ac:dyDescent="0.3">
      <c r="A232" s="58">
        <v>42795</v>
      </c>
      <c r="B232" s="57">
        <v>60.3</v>
      </c>
    </row>
    <row r="233" spans="1:2" x14ac:dyDescent="0.3">
      <c r="A233" s="58">
        <v>42826</v>
      </c>
      <c r="B233" s="57">
        <v>61</v>
      </c>
    </row>
    <row r="234" spans="1:2" x14ac:dyDescent="0.3">
      <c r="A234" s="58">
        <v>42856</v>
      </c>
      <c r="B234" s="57">
        <v>61.5</v>
      </c>
    </row>
    <row r="235" spans="1:2" x14ac:dyDescent="0.3">
      <c r="A235" s="58">
        <v>42887</v>
      </c>
      <c r="B235" s="57">
        <v>61.5</v>
      </c>
    </row>
    <row r="236" spans="1:2" x14ac:dyDescent="0.3">
      <c r="A236" s="58">
        <v>42917</v>
      </c>
      <c r="B236" s="57">
        <v>61.6</v>
      </c>
    </row>
    <row r="237" spans="1:2" x14ac:dyDescent="0.3">
      <c r="A237" s="58">
        <v>42948</v>
      </c>
      <c r="B237" s="57">
        <v>61.2</v>
      </c>
    </row>
    <row r="238" spans="1:2" x14ac:dyDescent="0.3">
      <c r="A238" s="58">
        <v>42979</v>
      </c>
      <c r="B238" s="57">
        <v>61.4</v>
      </c>
    </row>
    <row r="239" spans="1:2" x14ac:dyDescent="0.3">
      <c r="A239" s="58">
        <v>43009</v>
      </c>
      <c r="B239" s="57">
        <v>61.4</v>
      </c>
    </row>
    <row r="240" spans="1:2" x14ac:dyDescent="0.3">
      <c r="A240" s="58">
        <v>43040</v>
      </c>
      <c r="B240" s="57">
        <v>61.4</v>
      </c>
    </row>
    <row r="241" spans="1:2" x14ac:dyDescent="0.3">
      <c r="A241" s="58">
        <v>43070</v>
      </c>
      <c r="B241" s="57">
        <v>60.4</v>
      </c>
    </row>
    <row r="242" spans="1:2" x14ac:dyDescent="0.3">
      <c r="A242" s="58">
        <v>43101</v>
      </c>
      <c r="B242" s="57">
        <v>59.5</v>
      </c>
    </row>
    <row r="243" spans="1:2" x14ac:dyDescent="0.3">
      <c r="A243" s="58">
        <v>43132</v>
      </c>
      <c r="B243" s="57">
        <v>59.2</v>
      </c>
    </row>
    <row r="244" spans="1:2" x14ac:dyDescent="0.3">
      <c r="A244" s="58">
        <v>43160</v>
      </c>
      <c r="B244" s="57">
        <v>60.2</v>
      </c>
    </row>
    <row r="245" spans="1:2" x14ac:dyDescent="0.3">
      <c r="A245" s="58">
        <v>43191</v>
      </c>
      <c r="B245" s="57">
        <v>60.9</v>
      </c>
    </row>
    <row r="246" spans="1:2" x14ac:dyDescent="0.3">
      <c r="A246" s="58">
        <v>43221</v>
      </c>
      <c r="B246" s="57">
        <v>61.3</v>
      </c>
    </row>
    <row r="247" spans="1:2" x14ac:dyDescent="0.3">
      <c r="A247" s="58">
        <v>43252</v>
      </c>
      <c r="B247" s="57">
        <v>61.4</v>
      </c>
    </row>
    <row r="248" spans="1:2" x14ac:dyDescent="0.3">
      <c r="A248" s="58">
        <v>43282</v>
      </c>
      <c r="B248" s="57">
        <v>61.3</v>
      </c>
    </row>
    <row r="249" spans="1:2" x14ac:dyDescent="0.3">
      <c r="A249" s="58">
        <v>43313</v>
      </c>
      <c r="B249" s="57">
        <v>60.9</v>
      </c>
    </row>
    <row r="250" spans="1:2" x14ac:dyDescent="0.3">
      <c r="A250" s="58">
        <v>43344</v>
      </c>
      <c r="B250" s="57">
        <v>61.2</v>
      </c>
    </row>
    <row r="251" spans="1:2" x14ac:dyDescent="0.3">
      <c r="A251" s="58">
        <v>43374</v>
      </c>
      <c r="B251" s="57">
        <v>61.2</v>
      </c>
    </row>
    <row r="252" spans="1:2" x14ac:dyDescent="0.3">
      <c r="A252" s="58">
        <v>43405</v>
      </c>
      <c r="B252" s="57">
        <v>61.4</v>
      </c>
    </row>
    <row r="253" spans="1:2" x14ac:dyDescent="0.3">
      <c r="A253" s="58">
        <v>43435</v>
      </c>
      <c r="B253" s="57">
        <v>60.1</v>
      </c>
    </row>
    <row r="254" spans="1:2" x14ac:dyDescent="0.3">
      <c r="A254" s="58">
        <v>43466</v>
      </c>
      <c r="B254" s="57">
        <v>59.2</v>
      </c>
    </row>
    <row r="255" spans="1:2" x14ac:dyDescent="0.3">
      <c r="A255" s="58">
        <v>43497</v>
      </c>
      <c r="B255" s="57">
        <v>59.4</v>
      </c>
    </row>
    <row r="256" spans="1:2" x14ac:dyDescent="0.3">
      <c r="A256" s="58">
        <v>43525</v>
      </c>
      <c r="B256" s="57">
        <v>60.4</v>
      </c>
    </row>
    <row r="257" spans="1:2" x14ac:dyDescent="0.3">
      <c r="A257" s="58">
        <v>43556</v>
      </c>
      <c r="B257" s="57">
        <v>60.8</v>
      </c>
    </row>
    <row r="258" spans="1:2" x14ac:dyDescent="0.3">
      <c r="A258" s="58">
        <v>43586</v>
      </c>
      <c r="B258" s="57">
        <v>61.5</v>
      </c>
    </row>
    <row r="259" spans="1:2" x14ac:dyDescent="0.3">
      <c r="A259" s="58">
        <v>43617</v>
      </c>
      <c r="B259" s="57">
        <v>61.6</v>
      </c>
    </row>
    <row r="260" spans="1:2" x14ac:dyDescent="0.3">
      <c r="A260" s="58">
        <v>43647</v>
      </c>
      <c r="B260" s="57">
        <v>61.5</v>
      </c>
    </row>
    <row r="261" spans="1:2" x14ac:dyDescent="0.3">
      <c r="A261" s="58">
        <v>43678</v>
      </c>
      <c r="B261" s="57">
        <v>61.4</v>
      </c>
    </row>
    <row r="262" spans="1:2" x14ac:dyDescent="0.3">
      <c r="A262" s="58">
        <v>43709</v>
      </c>
      <c r="B262" s="57">
        <v>61.5</v>
      </c>
    </row>
    <row r="263" spans="1:2" x14ac:dyDescent="0.3">
      <c r="A263" s="58">
        <v>43739</v>
      </c>
      <c r="B263" s="57">
        <v>61.7</v>
      </c>
    </row>
    <row r="264" spans="1:2" x14ac:dyDescent="0.3">
      <c r="A264" s="58">
        <v>43770</v>
      </c>
      <c r="B264" s="57">
        <v>61.7</v>
      </c>
    </row>
    <row r="265" spans="1:2" x14ac:dyDescent="0.3">
      <c r="A265" s="58">
        <v>43800</v>
      </c>
      <c r="B265" s="57">
        <v>60.8</v>
      </c>
    </row>
    <row r="266" spans="1:2" x14ac:dyDescent="0.3">
      <c r="A266" s="58">
        <v>43831</v>
      </c>
      <c r="B266" s="57">
        <v>60</v>
      </c>
    </row>
    <row r="267" spans="1:2" x14ac:dyDescent="0.3">
      <c r="A267" s="58">
        <v>43862</v>
      </c>
      <c r="B267" s="57">
        <v>60</v>
      </c>
    </row>
    <row r="268" spans="1:2" x14ac:dyDescent="0.3">
      <c r="A268" s="58">
        <v>43891</v>
      </c>
      <c r="B268" s="57">
        <v>59.5</v>
      </c>
    </row>
    <row r="269" spans="1:2" x14ac:dyDescent="0.3">
      <c r="A269" s="58">
        <v>43922</v>
      </c>
      <c r="B269" s="57">
        <v>59.4</v>
      </c>
    </row>
    <row r="270" spans="1:2" x14ac:dyDescent="0.3">
      <c r="A270" s="58">
        <v>43952</v>
      </c>
      <c r="B270" s="57">
        <v>60.2</v>
      </c>
    </row>
    <row r="271" spans="1:2" x14ac:dyDescent="0.3">
      <c r="A271" s="58">
        <v>43983</v>
      </c>
      <c r="B271" s="57">
        <v>60.4</v>
      </c>
    </row>
    <row r="272" spans="1:2" x14ac:dyDescent="0.3">
      <c r="A272" s="58">
        <v>44013</v>
      </c>
      <c r="B272" s="57">
        <v>60.5</v>
      </c>
    </row>
    <row r="273" spans="1:2" x14ac:dyDescent="0.3">
      <c r="A273" s="58">
        <v>44044</v>
      </c>
      <c r="B273" s="57">
        <v>60.4</v>
      </c>
    </row>
    <row r="274" spans="1:2" x14ac:dyDescent="0.3">
      <c r="A274" s="58">
        <v>44075</v>
      </c>
      <c r="B274" s="57">
        <v>60.3</v>
      </c>
    </row>
    <row r="275" spans="1:2" x14ac:dyDescent="0.3">
      <c r="A275" s="58">
        <v>44105</v>
      </c>
      <c r="B275" s="57">
        <v>60.4</v>
      </c>
    </row>
    <row r="276" spans="1:2" x14ac:dyDescent="0.3">
      <c r="A276" s="58">
        <v>44136</v>
      </c>
      <c r="B276" s="57">
        <v>60.7</v>
      </c>
    </row>
    <row r="277" spans="1:2" x14ac:dyDescent="0.3">
      <c r="A277" s="58">
        <v>44166</v>
      </c>
      <c r="B277" s="57">
        <v>59.1</v>
      </c>
    </row>
    <row r="278" spans="1:2" x14ac:dyDescent="0.3">
      <c r="A278" s="58">
        <v>44197</v>
      </c>
      <c r="B278" s="57">
        <v>57.4</v>
      </c>
    </row>
    <row r="279" spans="1:2" x14ac:dyDescent="0.3">
      <c r="A279" s="58">
        <v>44228</v>
      </c>
      <c r="B279" s="57">
        <v>58.6</v>
      </c>
    </row>
    <row r="280" spans="1:2" x14ac:dyDescent="0.3">
      <c r="A280" s="58">
        <v>44256</v>
      </c>
      <c r="B280" s="57">
        <v>59.8</v>
      </c>
    </row>
    <row r="281" spans="1:2" x14ac:dyDescent="0.3">
      <c r="A281" s="58">
        <v>44287</v>
      </c>
      <c r="B281" s="57">
        <v>60.4</v>
      </c>
    </row>
    <row r="282" spans="1:2" x14ac:dyDescent="0.3">
      <c r="A282" s="58">
        <v>44317</v>
      </c>
      <c r="B282" s="57">
        <v>61.2</v>
      </c>
    </row>
    <row r="283" spans="1:2" x14ac:dyDescent="0.3">
      <c r="A283" s="58">
        <v>44348</v>
      </c>
      <c r="B283" s="57">
        <v>61.3</v>
      </c>
    </row>
    <row r="284" spans="1:2" x14ac:dyDescent="0.3">
      <c r="A284" s="58">
        <v>44378</v>
      </c>
      <c r="B284" s="57">
        <v>61.3</v>
      </c>
    </row>
    <row r="285" spans="1:2" x14ac:dyDescent="0.3">
      <c r="A285" s="58">
        <v>44409</v>
      </c>
      <c r="B285" s="57">
        <v>61.2</v>
      </c>
    </row>
    <row r="286" spans="1:2" x14ac:dyDescent="0.3">
      <c r="A286" s="58">
        <v>44440</v>
      </c>
      <c r="B286" s="57">
        <v>61.3</v>
      </c>
    </row>
    <row r="287" spans="1:2" x14ac:dyDescent="0.3">
      <c r="A287" s="58">
        <v>44470</v>
      </c>
      <c r="B287" s="57">
        <v>61.4</v>
      </c>
    </row>
    <row r="288" spans="1:2" x14ac:dyDescent="0.3">
      <c r="A288" s="58">
        <v>44501</v>
      </c>
      <c r="B288" s="57">
        <v>61.5</v>
      </c>
    </row>
    <row r="289" spans="1:2" x14ac:dyDescent="0.3">
      <c r="A289" s="58">
        <v>44531</v>
      </c>
      <c r="B289" s="57">
        <v>60.4</v>
      </c>
    </row>
    <row r="290" spans="1:2" x14ac:dyDescent="0.3">
      <c r="A290" s="58">
        <v>44562</v>
      </c>
      <c r="B290" s="57">
        <v>59.6</v>
      </c>
    </row>
    <row r="291" spans="1:2" x14ac:dyDescent="0.3">
      <c r="A291" s="58">
        <v>44593</v>
      </c>
      <c r="B291" s="57">
        <v>60.6</v>
      </c>
    </row>
    <row r="292" spans="1:2" x14ac:dyDescent="0.3">
      <c r="A292" s="58">
        <v>44621</v>
      </c>
      <c r="B292" s="57">
        <v>61.4</v>
      </c>
    </row>
    <row r="293" spans="1:2" x14ac:dyDescent="0.3">
      <c r="A293" s="58">
        <v>44652</v>
      </c>
      <c r="B293" s="57">
        <v>62.1</v>
      </c>
    </row>
    <row r="294" spans="1:2" x14ac:dyDescent="0.3">
      <c r="A294" s="58">
        <v>44682</v>
      </c>
      <c r="B294" s="57">
        <v>63</v>
      </c>
    </row>
    <row r="295" spans="1:2" x14ac:dyDescent="0.3">
      <c r="A295" s="58">
        <v>44713</v>
      </c>
      <c r="B295" s="57">
        <v>62.9</v>
      </c>
    </row>
    <row r="296" spans="1:2" x14ac:dyDescent="0.3">
      <c r="A296" s="58">
        <v>44743</v>
      </c>
      <c r="B296" s="57">
        <v>62.9</v>
      </c>
    </row>
    <row r="297" spans="1:2" x14ac:dyDescent="0.3">
      <c r="A297" s="58">
        <v>44774</v>
      </c>
      <c r="B297" s="57">
        <v>62.8</v>
      </c>
    </row>
    <row r="298" spans="1:2" x14ac:dyDescent="0.3">
      <c r="A298" s="58">
        <v>44805</v>
      </c>
      <c r="B298" s="57">
        <v>62.7</v>
      </c>
    </row>
    <row r="299" spans="1:2" x14ac:dyDescent="0.3">
      <c r="A299" s="58">
        <v>44835</v>
      </c>
      <c r="B299" s="57">
        <v>62.7</v>
      </c>
    </row>
    <row r="300" spans="1:2" x14ac:dyDescent="0.3">
      <c r="A300" s="58">
        <v>44866</v>
      </c>
      <c r="B300" s="57">
        <v>62.7</v>
      </c>
    </row>
    <row r="301" spans="1:2" x14ac:dyDescent="0.3">
      <c r="A301" s="58">
        <v>44896</v>
      </c>
      <c r="B301" s="57">
        <v>61.3</v>
      </c>
    </row>
    <row r="302" spans="1:2" x14ac:dyDescent="0.3">
      <c r="A302" s="58">
        <v>44927</v>
      </c>
      <c r="B302" s="57">
        <v>60.3</v>
      </c>
    </row>
    <row r="303" spans="1:2" x14ac:dyDescent="0.3">
      <c r="A303" s="58">
        <v>44958</v>
      </c>
      <c r="B303" s="57">
        <v>61.1</v>
      </c>
    </row>
    <row r="304" spans="1:2" x14ac:dyDescent="0.3">
      <c r="A304" s="58">
        <v>44986</v>
      </c>
      <c r="B304" s="57">
        <v>62.2</v>
      </c>
    </row>
    <row r="305" spans="1:2" x14ac:dyDescent="0.3">
      <c r="A305" s="58">
        <v>45017</v>
      </c>
      <c r="B305" s="57">
        <v>62.7</v>
      </c>
    </row>
    <row r="306" spans="1:2" x14ac:dyDescent="0.3">
      <c r="A306" s="58">
        <v>45047</v>
      </c>
      <c r="B306" s="57">
        <v>63.5</v>
      </c>
    </row>
    <row r="307" spans="1:2" x14ac:dyDescent="0.3">
      <c r="A307" s="58">
        <v>45078</v>
      </c>
      <c r="B307" s="57">
        <v>63.5</v>
      </c>
    </row>
    <row r="308" spans="1:2" x14ac:dyDescent="0.3">
      <c r="A308" s="58">
        <v>45108</v>
      </c>
      <c r="B308" s="57">
        <v>63.2</v>
      </c>
    </row>
    <row r="309" spans="1:2" x14ac:dyDescent="0.3">
      <c r="A309" s="58">
        <v>45139</v>
      </c>
      <c r="B309" s="57">
        <v>63.1</v>
      </c>
    </row>
    <row r="310" spans="1:2" x14ac:dyDescent="0.3">
      <c r="A310" s="58">
        <v>45170</v>
      </c>
      <c r="B310" s="57">
        <v>63.2</v>
      </c>
    </row>
    <row r="311" spans="1:2" x14ac:dyDescent="0.3">
      <c r="A311" s="58">
        <v>45200</v>
      </c>
      <c r="B311" s="57">
        <v>63.3</v>
      </c>
    </row>
    <row r="312" spans="1:2" x14ac:dyDescent="0.3">
      <c r="A312" s="58">
        <v>45231</v>
      </c>
      <c r="B312" s="57">
        <v>63.1</v>
      </c>
    </row>
    <row r="313" spans="1:2" x14ac:dyDescent="0.3">
      <c r="A313" s="58">
        <v>45261</v>
      </c>
      <c r="B313" s="57">
        <v>61.7</v>
      </c>
    </row>
    <row r="314" spans="1:2" x14ac:dyDescent="0.3">
      <c r="A314" s="58">
        <v>45292</v>
      </c>
      <c r="B314" s="57">
        <v>61</v>
      </c>
    </row>
    <row r="315" spans="1:2" x14ac:dyDescent="0.3">
      <c r="A315" s="58">
        <v>45323</v>
      </c>
      <c r="B315" s="57">
        <v>61.6</v>
      </c>
    </row>
    <row r="316" spans="1:2" x14ac:dyDescent="0.3">
      <c r="A316" s="58">
        <v>45352</v>
      </c>
      <c r="B316" s="57">
        <v>62.4</v>
      </c>
    </row>
    <row r="317" spans="1:2" x14ac:dyDescent="0.3">
      <c r="A317" s="58">
        <v>45383</v>
      </c>
      <c r="B317" s="57">
        <v>63</v>
      </c>
    </row>
    <row r="318" spans="1:2" x14ac:dyDescent="0.3">
      <c r="A318" s="58">
        <v>45413</v>
      </c>
      <c r="B318" s="57">
        <v>63.5</v>
      </c>
    </row>
    <row r="319" spans="1:2" x14ac:dyDescent="0.3">
      <c r="A319" s="58">
        <v>45444</v>
      </c>
      <c r="B319" s="57">
        <v>63.5</v>
      </c>
    </row>
    <row r="320" spans="1:2" x14ac:dyDescent="0.3">
      <c r="A320" s="58">
        <v>45474</v>
      </c>
      <c r="B320" s="57">
        <v>63.3</v>
      </c>
    </row>
    <row r="321" spans="1:2" x14ac:dyDescent="0.3">
      <c r="A321" s="58">
        <v>45505</v>
      </c>
      <c r="B321" s="57">
        <v>63.2</v>
      </c>
    </row>
    <row r="322" spans="1:2" x14ac:dyDescent="0.3">
      <c r="A322" s="58">
        <v>45536</v>
      </c>
      <c r="B322" s="57">
        <v>63.3</v>
      </c>
    </row>
    <row r="323" spans="1:2" x14ac:dyDescent="0.3">
      <c r="A323" s="58">
        <v>45566</v>
      </c>
      <c r="B323" s="57">
        <v>63.3</v>
      </c>
    </row>
    <row r="324" spans="1:2" x14ac:dyDescent="0.3">
      <c r="A324" s="58">
        <v>45597</v>
      </c>
      <c r="B324" s="57">
        <v>63.2</v>
      </c>
    </row>
    <row r="325" spans="1:2" x14ac:dyDescent="0.3">
      <c r="A325" s="58">
        <v>45627</v>
      </c>
      <c r="B325" s="57">
        <v>61.4</v>
      </c>
    </row>
    <row r="326" spans="1:2" x14ac:dyDescent="0.3">
      <c r="A326" s="59">
        <v>45658</v>
      </c>
      <c r="B326" s="57">
        <v>61</v>
      </c>
    </row>
    <row r="327" spans="1:2" x14ac:dyDescent="0.3">
      <c r="A327" s="5"/>
      <c r="B327" s="6"/>
    </row>
    <row r="328" spans="1:2" x14ac:dyDescent="0.3">
      <c r="A328" s="5"/>
      <c r="B328" s="6"/>
    </row>
    <row r="329" spans="1:2" x14ac:dyDescent="0.3">
      <c r="A329" s="5"/>
      <c r="B329" s="6"/>
    </row>
    <row r="330" spans="1:2" x14ac:dyDescent="0.3">
      <c r="A330" s="5"/>
      <c r="B330" s="6"/>
    </row>
    <row r="331" spans="1:2" x14ac:dyDescent="0.3">
      <c r="A331" s="5"/>
      <c r="B331" s="6"/>
    </row>
    <row r="332" spans="1:2" x14ac:dyDescent="0.3">
      <c r="A332" s="5"/>
      <c r="B332" s="6"/>
    </row>
    <row r="333" spans="1:2" x14ac:dyDescent="0.3">
      <c r="A333" s="5"/>
      <c r="B333" s="6"/>
    </row>
    <row r="334" spans="1:2" x14ac:dyDescent="0.3">
      <c r="A334" s="5"/>
      <c r="B334" s="6"/>
    </row>
    <row r="335" spans="1:2" x14ac:dyDescent="0.3">
      <c r="A335" s="5"/>
      <c r="B335" s="6"/>
    </row>
    <row r="336" spans="1:2" x14ac:dyDescent="0.3">
      <c r="A336" s="5"/>
      <c r="B336" s="6"/>
    </row>
    <row r="337" spans="1:2" x14ac:dyDescent="0.3">
      <c r="A337" s="5"/>
      <c r="B337" s="6"/>
    </row>
    <row r="338" spans="1:2" x14ac:dyDescent="0.3">
      <c r="A338" s="5"/>
      <c r="B338" s="6"/>
    </row>
    <row r="339" spans="1:2" x14ac:dyDescent="0.3">
      <c r="A339" s="5"/>
      <c r="B339" s="6"/>
    </row>
    <row r="340" spans="1:2" x14ac:dyDescent="0.3">
      <c r="A340" s="5"/>
      <c r="B340" s="6"/>
    </row>
    <row r="341" spans="1:2" x14ac:dyDescent="0.3">
      <c r="A341" s="5"/>
      <c r="B341" s="6"/>
    </row>
    <row r="342" spans="1:2" x14ac:dyDescent="0.3">
      <c r="A342" s="5"/>
      <c r="B342" s="6"/>
    </row>
    <row r="343" spans="1:2" x14ac:dyDescent="0.3">
      <c r="A343" s="5"/>
      <c r="B343" s="6"/>
    </row>
    <row r="344" spans="1:2" x14ac:dyDescent="0.3">
      <c r="A344" s="5"/>
      <c r="B344" s="6"/>
    </row>
    <row r="345" spans="1:2" x14ac:dyDescent="0.3">
      <c r="A345" s="5"/>
      <c r="B345" s="6"/>
    </row>
    <row r="346" spans="1:2" x14ac:dyDescent="0.3">
      <c r="A346" s="5"/>
      <c r="B346" s="6"/>
    </row>
    <row r="347" spans="1:2" x14ac:dyDescent="0.3">
      <c r="A347" s="5"/>
      <c r="B347" s="6"/>
    </row>
    <row r="348" spans="1:2" x14ac:dyDescent="0.3">
      <c r="A348" s="5"/>
      <c r="B348" s="6"/>
    </row>
    <row r="349" spans="1:2" x14ac:dyDescent="0.3">
      <c r="A349" s="5"/>
      <c r="B349" s="6"/>
    </row>
    <row r="350" spans="1:2" x14ac:dyDescent="0.3">
      <c r="A350" s="5"/>
      <c r="B350" s="6"/>
    </row>
    <row r="351" spans="1:2" x14ac:dyDescent="0.3">
      <c r="A351" s="5"/>
      <c r="B351" s="6"/>
    </row>
    <row r="352" spans="1:2" x14ac:dyDescent="0.3">
      <c r="A352" s="5"/>
      <c r="B352" s="6"/>
    </row>
    <row r="353" spans="1:2" x14ac:dyDescent="0.3">
      <c r="A353" s="5"/>
      <c r="B353" s="6"/>
    </row>
    <row r="354" spans="1:2" x14ac:dyDescent="0.3">
      <c r="A354" s="5"/>
      <c r="B354" s="6"/>
    </row>
    <row r="355" spans="1:2" x14ac:dyDescent="0.3">
      <c r="A355" s="5"/>
      <c r="B355" s="6"/>
    </row>
    <row r="356" spans="1:2" x14ac:dyDescent="0.3">
      <c r="A356" s="5"/>
      <c r="B356" s="6"/>
    </row>
    <row r="357" spans="1:2" x14ac:dyDescent="0.3">
      <c r="A357" s="5"/>
      <c r="B357" s="6"/>
    </row>
    <row r="358" spans="1:2" x14ac:dyDescent="0.3">
      <c r="A358" s="5"/>
      <c r="B358" s="6"/>
    </row>
    <row r="359" spans="1:2" x14ac:dyDescent="0.3">
      <c r="A359" s="5"/>
      <c r="B359" s="6"/>
    </row>
    <row r="360" spans="1:2" x14ac:dyDescent="0.3">
      <c r="A360" s="5"/>
      <c r="B360" s="6"/>
    </row>
    <row r="361" spans="1:2" x14ac:dyDescent="0.3">
      <c r="A361" s="5"/>
      <c r="B361" s="6"/>
    </row>
    <row r="362" spans="1:2" x14ac:dyDescent="0.3">
      <c r="A362" s="5"/>
      <c r="B362" s="6"/>
    </row>
    <row r="363" spans="1:2" x14ac:dyDescent="0.3">
      <c r="A363" s="5"/>
      <c r="B363" s="6"/>
    </row>
    <row r="364" spans="1:2" x14ac:dyDescent="0.3">
      <c r="A364" s="5"/>
      <c r="B364" s="6"/>
    </row>
    <row r="365" spans="1:2" x14ac:dyDescent="0.3">
      <c r="A365" s="5"/>
      <c r="B365" s="6"/>
    </row>
    <row r="366" spans="1:2" x14ac:dyDescent="0.3">
      <c r="A366" s="5"/>
      <c r="B366" s="6"/>
    </row>
    <row r="367" spans="1:2" x14ac:dyDescent="0.3">
      <c r="A367" s="5"/>
      <c r="B367" s="6"/>
    </row>
    <row r="368" spans="1:2" x14ac:dyDescent="0.3">
      <c r="A368" s="5"/>
      <c r="B368" s="6"/>
    </row>
    <row r="369" spans="1:2" x14ac:dyDescent="0.3">
      <c r="A369" s="5"/>
      <c r="B369" s="6"/>
    </row>
    <row r="370" spans="1:2" x14ac:dyDescent="0.3">
      <c r="A370" s="5"/>
      <c r="B370" s="6"/>
    </row>
    <row r="371" spans="1:2" x14ac:dyDescent="0.3">
      <c r="A371" s="5"/>
      <c r="B371" s="6"/>
    </row>
    <row r="372" spans="1:2" x14ac:dyDescent="0.3">
      <c r="A372" s="5"/>
      <c r="B372" s="6"/>
    </row>
    <row r="373" spans="1:2" x14ac:dyDescent="0.3">
      <c r="A373" s="5"/>
      <c r="B373" s="6"/>
    </row>
    <row r="374" spans="1:2" x14ac:dyDescent="0.3">
      <c r="A374" s="5"/>
      <c r="B374" s="6"/>
    </row>
    <row r="375" spans="1:2" x14ac:dyDescent="0.3">
      <c r="A375" s="5"/>
      <c r="B375" s="6"/>
    </row>
    <row r="376" spans="1:2" x14ac:dyDescent="0.3">
      <c r="A376" s="5"/>
      <c r="B376" s="6"/>
    </row>
    <row r="377" spans="1:2" x14ac:dyDescent="0.3">
      <c r="A377" s="5"/>
      <c r="B377" s="6"/>
    </row>
    <row r="378" spans="1:2" x14ac:dyDescent="0.3">
      <c r="A378" s="5"/>
      <c r="B378" s="6"/>
    </row>
    <row r="379" spans="1:2" x14ac:dyDescent="0.3">
      <c r="A379" s="5"/>
      <c r="B379" s="6"/>
    </row>
    <row r="380" spans="1:2" x14ac:dyDescent="0.3">
      <c r="A380" s="5"/>
      <c r="B380" s="6"/>
    </row>
    <row r="381" spans="1:2" x14ac:dyDescent="0.3">
      <c r="A381" s="5"/>
      <c r="B381" s="6"/>
    </row>
    <row r="382" spans="1:2" x14ac:dyDescent="0.3">
      <c r="A382" s="5"/>
      <c r="B382" s="6"/>
    </row>
    <row r="383" spans="1:2" x14ac:dyDescent="0.3">
      <c r="A383" s="5"/>
      <c r="B383" s="6"/>
    </row>
    <row r="384" spans="1:2" x14ac:dyDescent="0.3">
      <c r="A384" s="5"/>
      <c r="B384" s="6"/>
    </row>
    <row r="385" spans="1:2" x14ac:dyDescent="0.3">
      <c r="A385" s="5"/>
      <c r="B385" s="6"/>
    </row>
    <row r="386" spans="1:2" x14ac:dyDescent="0.3">
      <c r="A386" s="5"/>
      <c r="B386" s="6"/>
    </row>
    <row r="387" spans="1:2" x14ac:dyDescent="0.3">
      <c r="A387" s="5"/>
      <c r="B387" s="6"/>
    </row>
    <row r="388" spans="1:2" x14ac:dyDescent="0.3">
      <c r="A388" s="5"/>
      <c r="B388" s="6"/>
    </row>
    <row r="389" spans="1:2" x14ac:dyDescent="0.3">
      <c r="A389" s="5"/>
      <c r="B389" s="6"/>
    </row>
    <row r="390" spans="1:2" x14ac:dyDescent="0.3">
      <c r="A390" s="5"/>
      <c r="B390" s="6"/>
    </row>
    <row r="391" spans="1:2" x14ac:dyDescent="0.3">
      <c r="A391" s="5"/>
      <c r="B391" s="6"/>
    </row>
    <row r="392" spans="1:2" x14ac:dyDescent="0.3">
      <c r="A392" s="5"/>
      <c r="B392" s="6"/>
    </row>
    <row r="393" spans="1:2" x14ac:dyDescent="0.3">
      <c r="A393" s="5"/>
      <c r="B393" s="6"/>
    </row>
    <row r="394" spans="1:2" x14ac:dyDescent="0.3">
      <c r="A394" s="5"/>
      <c r="B394" s="6"/>
    </row>
    <row r="395" spans="1:2" x14ac:dyDescent="0.3">
      <c r="A395" s="5"/>
      <c r="B395" s="6"/>
    </row>
    <row r="396" spans="1:2" x14ac:dyDescent="0.3">
      <c r="A396" s="5"/>
      <c r="B396" s="6"/>
    </row>
    <row r="397" spans="1:2" x14ac:dyDescent="0.3">
      <c r="A397" s="5"/>
      <c r="B397" s="6"/>
    </row>
    <row r="398" spans="1:2" x14ac:dyDescent="0.3">
      <c r="A398" s="5"/>
      <c r="B398" s="6"/>
    </row>
    <row r="399" spans="1:2" x14ac:dyDescent="0.3">
      <c r="A399" s="5"/>
      <c r="B399" s="6"/>
    </row>
    <row r="400" spans="1:2" x14ac:dyDescent="0.3">
      <c r="A400" s="5"/>
      <c r="B400" s="6"/>
    </row>
    <row r="401" spans="1:2" x14ac:dyDescent="0.3">
      <c r="A401" s="5"/>
      <c r="B401" s="6"/>
    </row>
    <row r="402" spans="1:2" x14ac:dyDescent="0.3">
      <c r="A402" s="5"/>
      <c r="B402" s="6"/>
    </row>
    <row r="403" spans="1:2" x14ac:dyDescent="0.3">
      <c r="A403" s="5"/>
      <c r="B403" s="6"/>
    </row>
    <row r="404" spans="1:2" x14ac:dyDescent="0.3">
      <c r="A404" s="5"/>
      <c r="B404" s="6"/>
    </row>
    <row r="405" spans="1:2" x14ac:dyDescent="0.3">
      <c r="A405" s="5"/>
      <c r="B405" s="6"/>
    </row>
    <row r="406" spans="1:2" x14ac:dyDescent="0.3">
      <c r="A406" s="5"/>
      <c r="B406" s="6"/>
    </row>
    <row r="407" spans="1:2" x14ac:dyDescent="0.3">
      <c r="A407" s="5"/>
      <c r="B407" s="6"/>
    </row>
    <row r="408" spans="1:2" x14ac:dyDescent="0.3">
      <c r="A408" s="5"/>
      <c r="B408" s="6"/>
    </row>
    <row r="409" spans="1:2" x14ac:dyDescent="0.3">
      <c r="A409" s="5"/>
      <c r="B409" s="6"/>
    </row>
    <row r="410" spans="1:2" x14ac:dyDescent="0.3">
      <c r="A410" s="5"/>
      <c r="B410" s="6"/>
    </row>
    <row r="411" spans="1:2" x14ac:dyDescent="0.3">
      <c r="A411" s="5"/>
      <c r="B411" s="6"/>
    </row>
    <row r="412" spans="1:2" x14ac:dyDescent="0.3">
      <c r="A412" s="5"/>
      <c r="B412" s="6"/>
    </row>
    <row r="413" spans="1:2" x14ac:dyDescent="0.3">
      <c r="A413" s="5"/>
      <c r="B413" s="6"/>
    </row>
    <row r="414" spans="1:2" x14ac:dyDescent="0.3">
      <c r="A414" s="5"/>
      <c r="B414" s="6"/>
    </row>
    <row r="415" spans="1:2" x14ac:dyDescent="0.3">
      <c r="A415" s="5"/>
      <c r="B415" s="6"/>
    </row>
    <row r="416" spans="1:2" x14ac:dyDescent="0.3">
      <c r="A416" s="5"/>
      <c r="B416" s="6"/>
    </row>
    <row r="417" spans="1:2" x14ac:dyDescent="0.3">
      <c r="A417" s="5"/>
      <c r="B417" s="6"/>
    </row>
    <row r="418" spans="1:2" x14ac:dyDescent="0.3">
      <c r="A418" s="5"/>
      <c r="B418" s="6"/>
    </row>
    <row r="419" spans="1:2" x14ac:dyDescent="0.3">
      <c r="A419" s="5"/>
      <c r="B419" s="6"/>
    </row>
    <row r="420" spans="1:2" x14ac:dyDescent="0.3">
      <c r="A420" s="5"/>
      <c r="B420" s="6"/>
    </row>
    <row r="421" spans="1:2" x14ac:dyDescent="0.3">
      <c r="A421" s="5"/>
      <c r="B421" s="6"/>
    </row>
    <row r="422" spans="1:2" x14ac:dyDescent="0.3">
      <c r="A422" s="5"/>
      <c r="B422" s="6"/>
    </row>
    <row r="423" spans="1:2" x14ac:dyDescent="0.3">
      <c r="A423" s="5"/>
      <c r="B423" s="6"/>
    </row>
    <row r="424" spans="1:2" x14ac:dyDescent="0.3">
      <c r="A424" s="5"/>
      <c r="B424" s="6"/>
    </row>
    <row r="425" spans="1:2" x14ac:dyDescent="0.3">
      <c r="A425" s="5"/>
      <c r="B425" s="6"/>
    </row>
    <row r="426" spans="1:2" x14ac:dyDescent="0.3">
      <c r="A426" s="5"/>
      <c r="B426" s="6"/>
    </row>
    <row r="427" spans="1:2" x14ac:dyDescent="0.3">
      <c r="A427" s="5"/>
      <c r="B427" s="6"/>
    </row>
    <row r="428" spans="1:2" x14ac:dyDescent="0.3">
      <c r="A428" s="5"/>
      <c r="B428" s="6"/>
    </row>
    <row r="429" spans="1:2" x14ac:dyDescent="0.3">
      <c r="A429" s="5"/>
      <c r="B429" s="6"/>
    </row>
    <row r="430" spans="1:2" x14ac:dyDescent="0.3">
      <c r="A430" s="5"/>
      <c r="B430" s="6"/>
    </row>
    <row r="431" spans="1:2" x14ac:dyDescent="0.3">
      <c r="A431" s="5"/>
      <c r="B431" s="6"/>
    </row>
    <row r="432" spans="1:2" x14ac:dyDescent="0.3">
      <c r="A432" s="5"/>
      <c r="B432" s="6"/>
    </row>
    <row r="433" spans="1:2" x14ac:dyDescent="0.3">
      <c r="A433" s="5"/>
      <c r="B433" s="6"/>
    </row>
    <row r="434" spans="1:2" x14ac:dyDescent="0.3">
      <c r="A434" s="5"/>
      <c r="B434" s="6"/>
    </row>
    <row r="435" spans="1:2" x14ac:dyDescent="0.3">
      <c r="A435" s="5"/>
      <c r="B435" s="6"/>
    </row>
    <row r="436" spans="1:2" x14ac:dyDescent="0.3">
      <c r="A436" s="5"/>
      <c r="B436" s="6"/>
    </row>
    <row r="437" spans="1:2" x14ac:dyDescent="0.3">
      <c r="A437" s="5"/>
      <c r="B437" s="6"/>
    </row>
    <row r="438" spans="1:2" x14ac:dyDescent="0.3">
      <c r="A438" s="5"/>
      <c r="B438" s="6"/>
    </row>
    <row r="439" spans="1:2" x14ac:dyDescent="0.3">
      <c r="A439" s="5"/>
      <c r="B439" s="6"/>
    </row>
    <row r="440" spans="1:2" x14ac:dyDescent="0.3">
      <c r="A440" s="5"/>
      <c r="B440" s="6"/>
    </row>
    <row r="441" spans="1:2" x14ac:dyDescent="0.3">
      <c r="A441" s="5"/>
      <c r="B441" s="6"/>
    </row>
    <row r="442" spans="1:2" x14ac:dyDescent="0.3">
      <c r="A442" s="5"/>
      <c r="B442" s="6"/>
    </row>
    <row r="443" spans="1:2" x14ac:dyDescent="0.3">
      <c r="A443" s="5"/>
      <c r="B443" s="6"/>
    </row>
    <row r="444" spans="1:2" x14ac:dyDescent="0.3">
      <c r="A444" s="5"/>
      <c r="B444" s="6"/>
    </row>
    <row r="445" spans="1:2" x14ac:dyDescent="0.3">
      <c r="A445" s="5"/>
      <c r="B445" s="6"/>
    </row>
    <row r="446" spans="1:2" x14ac:dyDescent="0.3">
      <c r="A446" s="5"/>
      <c r="B446" s="6"/>
    </row>
    <row r="447" spans="1:2" x14ac:dyDescent="0.3">
      <c r="A447" s="5"/>
      <c r="B447" s="6"/>
    </row>
    <row r="448" spans="1:2" x14ac:dyDescent="0.3">
      <c r="A448" s="5"/>
      <c r="B448" s="6"/>
    </row>
    <row r="449" spans="1:2" x14ac:dyDescent="0.3">
      <c r="A449" s="5"/>
      <c r="B449" s="6"/>
    </row>
    <row r="450" spans="1:2" x14ac:dyDescent="0.3">
      <c r="A450" s="5"/>
      <c r="B450" s="6"/>
    </row>
    <row r="451" spans="1:2" x14ac:dyDescent="0.3">
      <c r="A451" s="5"/>
      <c r="B451" s="6"/>
    </row>
    <row r="452" spans="1:2" x14ac:dyDescent="0.3">
      <c r="A452" s="5"/>
      <c r="B452" s="6"/>
    </row>
    <row r="453" spans="1:2" x14ac:dyDescent="0.3">
      <c r="A453" s="5"/>
      <c r="B453" s="6"/>
    </row>
    <row r="454" spans="1:2" x14ac:dyDescent="0.3">
      <c r="A454" s="5"/>
      <c r="B454" s="6"/>
    </row>
    <row r="455" spans="1:2" x14ac:dyDescent="0.3">
      <c r="A455" s="5"/>
      <c r="B455" s="6"/>
    </row>
    <row r="456" spans="1:2" x14ac:dyDescent="0.3">
      <c r="A456" s="5"/>
      <c r="B456" s="6"/>
    </row>
    <row r="457" spans="1:2" x14ac:dyDescent="0.3">
      <c r="A457" s="5"/>
      <c r="B457" s="6"/>
    </row>
    <row r="458" spans="1:2" x14ac:dyDescent="0.3">
      <c r="A458" s="5"/>
      <c r="B458" s="6"/>
    </row>
    <row r="459" spans="1:2" x14ac:dyDescent="0.3">
      <c r="A459" s="5"/>
      <c r="B459" s="6"/>
    </row>
    <row r="460" spans="1:2" x14ac:dyDescent="0.3">
      <c r="A460" s="5"/>
      <c r="B460" s="6"/>
    </row>
    <row r="461" spans="1:2" x14ac:dyDescent="0.3">
      <c r="A461" s="5"/>
      <c r="B461" s="6"/>
    </row>
    <row r="462" spans="1:2" x14ac:dyDescent="0.3">
      <c r="A462" s="5"/>
      <c r="B462" s="6"/>
    </row>
    <row r="463" spans="1:2" x14ac:dyDescent="0.3">
      <c r="A463" s="5"/>
      <c r="B463" s="6"/>
    </row>
    <row r="464" spans="1:2" x14ac:dyDescent="0.3">
      <c r="A464" s="5"/>
      <c r="B464" s="6"/>
    </row>
    <row r="465" spans="1:2" x14ac:dyDescent="0.3">
      <c r="A465" s="5"/>
      <c r="B465" s="6"/>
    </row>
    <row r="466" spans="1:2" x14ac:dyDescent="0.3">
      <c r="A466" s="5"/>
      <c r="B466" s="6"/>
    </row>
    <row r="467" spans="1:2" x14ac:dyDescent="0.3">
      <c r="A467" s="5"/>
      <c r="B467" s="6"/>
    </row>
    <row r="468" spans="1:2" x14ac:dyDescent="0.3">
      <c r="A468" s="5"/>
      <c r="B468" s="6"/>
    </row>
    <row r="469" spans="1:2" x14ac:dyDescent="0.3">
      <c r="A469" s="5"/>
      <c r="B469" s="6"/>
    </row>
    <row r="470" spans="1:2" x14ac:dyDescent="0.3">
      <c r="A470" s="5"/>
      <c r="B470" s="6"/>
    </row>
    <row r="471" spans="1:2" x14ac:dyDescent="0.3">
      <c r="A471" s="5"/>
      <c r="B471" s="6"/>
    </row>
    <row r="472" spans="1:2" x14ac:dyDescent="0.3">
      <c r="A472" s="5"/>
      <c r="B472" s="6"/>
    </row>
    <row r="473" spans="1:2" x14ac:dyDescent="0.3">
      <c r="A473" s="5"/>
      <c r="B473" s="6"/>
    </row>
    <row r="474" spans="1:2" x14ac:dyDescent="0.3">
      <c r="A474" s="5"/>
      <c r="B474" s="6"/>
    </row>
    <row r="475" spans="1:2" x14ac:dyDescent="0.3">
      <c r="A475" s="5"/>
      <c r="B475" s="6"/>
    </row>
    <row r="476" spans="1:2" x14ac:dyDescent="0.3">
      <c r="A476" s="5"/>
      <c r="B476" s="6"/>
    </row>
    <row r="477" spans="1:2" x14ac:dyDescent="0.3">
      <c r="A477" s="5"/>
      <c r="B477" s="6"/>
    </row>
    <row r="478" spans="1:2" x14ac:dyDescent="0.3">
      <c r="A478" s="5"/>
      <c r="B478" s="6"/>
    </row>
    <row r="479" spans="1:2" x14ac:dyDescent="0.3">
      <c r="A479" s="5"/>
      <c r="B479" s="6"/>
    </row>
    <row r="480" spans="1:2" x14ac:dyDescent="0.3">
      <c r="A480" s="5"/>
      <c r="B480" s="6"/>
    </row>
    <row r="481" spans="1:2" x14ac:dyDescent="0.3">
      <c r="A481" s="5"/>
      <c r="B481" s="6"/>
    </row>
    <row r="482" spans="1:2" x14ac:dyDescent="0.3">
      <c r="A482" s="5"/>
      <c r="B482" s="6"/>
    </row>
    <row r="483" spans="1:2" x14ac:dyDescent="0.3">
      <c r="A483" s="5"/>
      <c r="B483" s="6"/>
    </row>
    <row r="484" spans="1:2" x14ac:dyDescent="0.3">
      <c r="A484" s="5"/>
      <c r="B484" s="6"/>
    </row>
    <row r="485" spans="1:2" x14ac:dyDescent="0.3">
      <c r="A485" s="5"/>
      <c r="B485" s="6"/>
    </row>
    <row r="486" spans="1:2" x14ac:dyDescent="0.3">
      <c r="A486" s="5"/>
      <c r="B486" s="6"/>
    </row>
    <row r="487" spans="1:2" x14ac:dyDescent="0.3">
      <c r="A487" s="5"/>
      <c r="B487" s="6"/>
    </row>
    <row r="488" spans="1:2" x14ac:dyDescent="0.3">
      <c r="A488" s="5"/>
      <c r="B488" s="6"/>
    </row>
    <row r="489" spans="1:2" x14ac:dyDescent="0.3">
      <c r="A489" s="5"/>
      <c r="B489" s="6"/>
    </row>
    <row r="490" spans="1:2" x14ac:dyDescent="0.3">
      <c r="A490" s="5"/>
      <c r="B490" s="6"/>
    </row>
    <row r="491" spans="1:2" x14ac:dyDescent="0.3">
      <c r="A491" s="5"/>
      <c r="B491" s="6"/>
    </row>
    <row r="492" spans="1:2" x14ac:dyDescent="0.3">
      <c r="A492" s="5"/>
      <c r="B492" s="6"/>
    </row>
    <row r="493" spans="1:2" x14ac:dyDescent="0.3">
      <c r="A493" s="5"/>
      <c r="B493" s="6"/>
    </row>
    <row r="494" spans="1:2" x14ac:dyDescent="0.3">
      <c r="A494" s="5"/>
      <c r="B494" s="6"/>
    </row>
    <row r="495" spans="1:2" x14ac:dyDescent="0.3">
      <c r="A495" s="5"/>
      <c r="B495" s="6"/>
    </row>
    <row r="496" spans="1:2" x14ac:dyDescent="0.3">
      <c r="A496" s="5"/>
      <c r="B496" s="6"/>
    </row>
    <row r="497" spans="1:2" x14ac:dyDescent="0.3">
      <c r="A497" s="5"/>
      <c r="B497" s="6"/>
    </row>
    <row r="498" spans="1:2" x14ac:dyDescent="0.3">
      <c r="A498" s="5"/>
      <c r="B498" s="6"/>
    </row>
    <row r="499" spans="1:2" x14ac:dyDescent="0.3">
      <c r="A499" s="5"/>
      <c r="B499" s="6"/>
    </row>
    <row r="500" spans="1:2" x14ac:dyDescent="0.3">
      <c r="A500" s="5"/>
      <c r="B500" s="6"/>
    </row>
    <row r="501" spans="1:2" x14ac:dyDescent="0.3">
      <c r="A501" s="5"/>
      <c r="B501" s="6"/>
    </row>
    <row r="502" spans="1:2" x14ac:dyDescent="0.3">
      <c r="A502" s="5"/>
      <c r="B502" s="6"/>
    </row>
    <row r="503" spans="1:2" x14ac:dyDescent="0.3">
      <c r="A503" s="5"/>
      <c r="B503" s="6"/>
    </row>
    <row r="504" spans="1:2" x14ac:dyDescent="0.3">
      <c r="A504" s="5"/>
      <c r="B504" s="6"/>
    </row>
    <row r="505" spans="1:2" x14ac:dyDescent="0.3">
      <c r="A505" s="5"/>
      <c r="B505" s="6"/>
    </row>
    <row r="506" spans="1:2" x14ac:dyDescent="0.3">
      <c r="A506" s="5"/>
      <c r="B506" s="6"/>
    </row>
    <row r="507" spans="1:2" x14ac:dyDescent="0.3">
      <c r="A507" s="5"/>
      <c r="B507" s="6"/>
    </row>
    <row r="508" spans="1:2" x14ac:dyDescent="0.3">
      <c r="A508" s="5"/>
      <c r="B508" s="6"/>
    </row>
    <row r="509" spans="1:2" x14ac:dyDescent="0.3">
      <c r="A509" s="5"/>
      <c r="B509" s="6"/>
    </row>
    <row r="510" spans="1:2" x14ac:dyDescent="0.3">
      <c r="A510" s="5"/>
      <c r="B510" s="6"/>
    </row>
    <row r="511" spans="1:2" x14ac:dyDescent="0.3">
      <c r="A511" s="5"/>
      <c r="B511" s="6"/>
    </row>
    <row r="512" spans="1:2" x14ac:dyDescent="0.3">
      <c r="A512" s="5"/>
      <c r="B512" s="6"/>
    </row>
    <row r="513" spans="1:2" x14ac:dyDescent="0.3">
      <c r="A513" s="5"/>
      <c r="B513" s="6"/>
    </row>
    <row r="514" spans="1:2" x14ac:dyDescent="0.3">
      <c r="A514" s="5"/>
      <c r="B514" s="6"/>
    </row>
    <row r="515" spans="1:2" x14ac:dyDescent="0.3">
      <c r="A515" s="5"/>
      <c r="B515" s="6"/>
    </row>
    <row r="516" spans="1:2" x14ac:dyDescent="0.3">
      <c r="A516" s="5"/>
      <c r="B516" s="6"/>
    </row>
    <row r="517" spans="1:2" x14ac:dyDescent="0.3">
      <c r="A517" s="5"/>
      <c r="B517" s="6"/>
    </row>
    <row r="518" spans="1:2" x14ac:dyDescent="0.3">
      <c r="A518" s="5"/>
      <c r="B518" s="6"/>
    </row>
    <row r="519" spans="1:2" x14ac:dyDescent="0.3">
      <c r="A519" s="5"/>
      <c r="B519" s="6"/>
    </row>
    <row r="520" spans="1:2" x14ac:dyDescent="0.3">
      <c r="A520" s="5"/>
      <c r="B520" s="6"/>
    </row>
    <row r="521" spans="1:2" x14ac:dyDescent="0.3">
      <c r="A521" s="5"/>
      <c r="B521" s="6"/>
    </row>
    <row r="522" spans="1:2" x14ac:dyDescent="0.3">
      <c r="A522" s="5"/>
      <c r="B522" s="6"/>
    </row>
    <row r="523" spans="1:2" x14ac:dyDescent="0.3">
      <c r="A523" s="5"/>
      <c r="B523" s="6"/>
    </row>
    <row r="524" spans="1:2" x14ac:dyDescent="0.3">
      <c r="A524" s="5"/>
      <c r="B524" s="6"/>
    </row>
    <row r="525" spans="1:2" x14ac:dyDescent="0.3">
      <c r="A525" s="5"/>
      <c r="B525" s="6"/>
    </row>
    <row r="526" spans="1:2" x14ac:dyDescent="0.3">
      <c r="A526" s="5"/>
      <c r="B526" s="6"/>
    </row>
    <row r="527" spans="1:2" x14ac:dyDescent="0.3">
      <c r="A527" s="5"/>
      <c r="B527" s="6"/>
    </row>
    <row r="528" spans="1:2" x14ac:dyDescent="0.3">
      <c r="A528" s="5"/>
      <c r="B528" s="6"/>
    </row>
    <row r="529" spans="1:2" x14ac:dyDescent="0.3">
      <c r="A529" s="5"/>
      <c r="B529" s="6"/>
    </row>
    <row r="530" spans="1:2" x14ac:dyDescent="0.3">
      <c r="A530" s="5"/>
      <c r="B530" s="6"/>
    </row>
    <row r="531" spans="1:2" x14ac:dyDescent="0.3">
      <c r="A531" s="5"/>
      <c r="B531" s="6"/>
    </row>
    <row r="532" spans="1:2" x14ac:dyDescent="0.3">
      <c r="A532" s="5"/>
      <c r="B532" s="6"/>
    </row>
    <row r="533" spans="1:2" x14ac:dyDescent="0.3">
      <c r="A533" s="5"/>
      <c r="B533" s="6"/>
    </row>
    <row r="534" spans="1:2" x14ac:dyDescent="0.3">
      <c r="A534" s="5"/>
      <c r="B534" s="6"/>
    </row>
    <row r="535" spans="1:2" x14ac:dyDescent="0.3">
      <c r="A535" s="5"/>
      <c r="B535" s="6"/>
    </row>
    <row r="536" spans="1:2" x14ac:dyDescent="0.3">
      <c r="A536" s="5"/>
      <c r="B536" s="6"/>
    </row>
    <row r="537" spans="1:2" x14ac:dyDescent="0.3">
      <c r="A537" s="5"/>
      <c r="B537" s="6"/>
    </row>
    <row r="538" spans="1:2" x14ac:dyDescent="0.3">
      <c r="A538" s="5"/>
      <c r="B538" s="6"/>
    </row>
    <row r="539" spans="1:2" x14ac:dyDescent="0.3">
      <c r="A539" s="5"/>
      <c r="B539" s="6"/>
    </row>
    <row r="540" spans="1:2" x14ac:dyDescent="0.3">
      <c r="A540" s="5"/>
      <c r="B540" s="6"/>
    </row>
    <row r="541" spans="1:2" x14ac:dyDescent="0.3">
      <c r="A541" s="5"/>
      <c r="B541" s="6"/>
    </row>
    <row r="542" spans="1:2" x14ac:dyDescent="0.3">
      <c r="A542" s="5"/>
      <c r="B542" s="6"/>
    </row>
    <row r="543" spans="1:2" x14ac:dyDescent="0.3">
      <c r="A543" s="5"/>
      <c r="B543" s="6"/>
    </row>
    <row r="544" spans="1:2" x14ac:dyDescent="0.3">
      <c r="A544" s="5"/>
      <c r="B544" s="6"/>
    </row>
    <row r="545" spans="1:2" x14ac:dyDescent="0.3">
      <c r="A545" s="5"/>
      <c r="B545" s="6"/>
    </row>
    <row r="546" spans="1:2" x14ac:dyDescent="0.3">
      <c r="A546" s="5"/>
      <c r="B546" s="6"/>
    </row>
    <row r="547" spans="1:2" x14ac:dyDescent="0.3">
      <c r="A547" s="5"/>
      <c r="B547" s="6"/>
    </row>
    <row r="548" spans="1:2" x14ac:dyDescent="0.3">
      <c r="A548" s="5"/>
      <c r="B548" s="6"/>
    </row>
    <row r="549" spans="1:2" x14ac:dyDescent="0.3">
      <c r="A549" s="5"/>
      <c r="B549" s="6"/>
    </row>
    <row r="550" spans="1:2" x14ac:dyDescent="0.3">
      <c r="A550" s="5"/>
      <c r="B550" s="6"/>
    </row>
    <row r="551" spans="1:2" x14ac:dyDescent="0.3">
      <c r="A551" s="5"/>
      <c r="B551" s="6"/>
    </row>
    <row r="552" spans="1:2" x14ac:dyDescent="0.3">
      <c r="A552" s="5"/>
      <c r="B552" s="6"/>
    </row>
    <row r="553" spans="1:2" x14ac:dyDescent="0.3">
      <c r="A553" s="5"/>
      <c r="B553" s="6"/>
    </row>
    <row r="554" spans="1:2" x14ac:dyDescent="0.3">
      <c r="A554" s="5"/>
      <c r="B554" s="6"/>
    </row>
    <row r="555" spans="1:2" x14ac:dyDescent="0.3">
      <c r="A555" s="5"/>
      <c r="B555" s="6"/>
    </row>
    <row r="556" spans="1:2" x14ac:dyDescent="0.3">
      <c r="A556" s="5"/>
      <c r="B556" s="6"/>
    </row>
    <row r="557" spans="1:2" x14ac:dyDescent="0.3">
      <c r="A557" s="5"/>
      <c r="B557" s="6"/>
    </row>
    <row r="558" spans="1:2" x14ac:dyDescent="0.3">
      <c r="A558" s="5"/>
      <c r="B558" s="6"/>
    </row>
    <row r="559" spans="1:2" x14ac:dyDescent="0.3">
      <c r="A559" s="5"/>
      <c r="B559" s="6"/>
    </row>
    <row r="560" spans="1:2" x14ac:dyDescent="0.3">
      <c r="A560" s="5"/>
      <c r="B560" s="6"/>
    </row>
    <row r="561" spans="1:2" x14ac:dyDescent="0.3">
      <c r="A561" s="5"/>
      <c r="B561" s="6"/>
    </row>
    <row r="562" spans="1:2" x14ac:dyDescent="0.3">
      <c r="A562" s="5"/>
      <c r="B562" s="6"/>
    </row>
    <row r="563" spans="1:2" x14ac:dyDescent="0.3">
      <c r="A563" s="5"/>
      <c r="B563" s="6"/>
    </row>
    <row r="564" spans="1:2" x14ac:dyDescent="0.3">
      <c r="A564" s="5"/>
      <c r="B564" s="6"/>
    </row>
    <row r="565" spans="1:2" x14ac:dyDescent="0.3">
      <c r="A565" s="5"/>
      <c r="B565" s="6"/>
    </row>
    <row r="566" spans="1:2" x14ac:dyDescent="0.3">
      <c r="A566" s="5"/>
      <c r="B566" s="6"/>
    </row>
    <row r="567" spans="1:2" x14ac:dyDescent="0.3">
      <c r="A567" s="5"/>
      <c r="B567" s="6"/>
    </row>
    <row r="568" spans="1:2" x14ac:dyDescent="0.3">
      <c r="A568" s="5"/>
      <c r="B568" s="6"/>
    </row>
    <row r="569" spans="1:2" x14ac:dyDescent="0.3">
      <c r="A569" s="5"/>
      <c r="B569" s="6"/>
    </row>
    <row r="570" spans="1:2" x14ac:dyDescent="0.3">
      <c r="A570" s="5"/>
      <c r="B570" s="6"/>
    </row>
    <row r="571" spans="1:2" x14ac:dyDescent="0.3">
      <c r="A571" s="5"/>
      <c r="B571" s="6"/>
    </row>
    <row r="572" spans="1:2" x14ac:dyDescent="0.3">
      <c r="A572" s="5"/>
      <c r="B572" s="6"/>
    </row>
    <row r="573" spans="1:2" x14ac:dyDescent="0.3">
      <c r="A573" s="5"/>
      <c r="B573" s="6"/>
    </row>
    <row r="574" spans="1:2" x14ac:dyDescent="0.3">
      <c r="A574" s="5"/>
      <c r="B574" s="6"/>
    </row>
    <row r="575" spans="1:2" x14ac:dyDescent="0.3">
      <c r="A575" s="5"/>
      <c r="B575" s="6"/>
    </row>
    <row r="576" spans="1:2" x14ac:dyDescent="0.3">
      <c r="A576" s="5"/>
      <c r="B576" s="6"/>
    </row>
    <row r="577" spans="1:2" x14ac:dyDescent="0.3">
      <c r="A577" s="5"/>
      <c r="B577" s="6"/>
    </row>
    <row r="578" spans="1:2" x14ac:dyDescent="0.3">
      <c r="A578" s="5"/>
      <c r="B578" s="6"/>
    </row>
    <row r="579" spans="1:2" x14ac:dyDescent="0.3">
      <c r="A579" s="5"/>
      <c r="B579" s="6"/>
    </row>
    <row r="580" spans="1:2" x14ac:dyDescent="0.3">
      <c r="A580" s="5"/>
      <c r="B580" s="6"/>
    </row>
    <row r="581" spans="1:2" x14ac:dyDescent="0.3">
      <c r="A581" s="5"/>
      <c r="B581" s="6"/>
    </row>
    <row r="582" spans="1:2" x14ac:dyDescent="0.3">
      <c r="A582" s="5"/>
      <c r="B582" s="6"/>
    </row>
    <row r="583" spans="1:2" x14ac:dyDescent="0.3">
      <c r="A583" s="5"/>
      <c r="B583" s="6"/>
    </row>
    <row r="584" spans="1:2" x14ac:dyDescent="0.3">
      <c r="A584" s="5"/>
      <c r="B584" s="6"/>
    </row>
    <row r="585" spans="1:2" x14ac:dyDescent="0.3">
      <c r="A585" s="5"/>
      <c r="B585" s="6"/>
    </row>
    <row r="586" spans="1:2" x14ac:dyDescent="0.3">
      <c r="A586" s="5"/>
      <c r="B586" s="6"/>
    </row>
    <row r="587" spans="1:2" x14ac:dyDescent="0.3">
      <c r="A587" s="5"/>
      <c r="B587" s="6"/>
    </row>
    <row r="588" spans="1:2" x14ac:dyDescent="0.3">
      <c r="A588" s="5"/>
      <c r="B588" s="6"/>
    </row>
    <row r="589" spans="1:2" x14ac:dyDescent="0.3">
      <c r="A589" s="5"/>
      <c r="B589" s="6"/>
    </row>
    <row r="590" spans="1:2" x14ac:dyDescent="0.3">
      <c r="A590" s="5"/>
      <c r="B590" s="6"/>
    </row>
    <row r="591" spans="1:2" x14ac:dyDescent="0.3">
      <c r="A591" s="5"/>
      <c r="B591" s="6"/>
    </row>
    <row r="592" spans="1:2" x14ac:dyDescent="0.3">
      <c r="A592" s="5"/>
      <c r="B592" s="6"/>
    </row>
    <row r="593" spans="1:2" x14ac:dyDescent="0.3">
      <c r="A593" s="5"/>
      <c r="B593" s="6"/>
    </row>
    <row r="594" spans="1:2" x14ac:dyDescent="0.3">
      <c r="A594" s="5"/>
      <c r="B594" s="6"/>
    </row>
    <row r="595" spans="1:2" x14ac:dyDescent="0.3">
      <c r="A595" s="5"/>
      <c r="B595" s="6"/>
    </row>
    <row r="596" spans="1:2" x14ac:dyDescent="0.3">
      <c r="A596" s="5"/>
      <c r="B596" s="6"/>
    </row>
    <row r="597" spans="1:2" x14ac:dyDescent="0.3">
      <c r="A597" s="5"/>
      <c r="B597" s="6"/>
    </row>
    <row r="598" spans="1:2" x14ac:dyDescent="0.3">
      <c r="A598" s="5"/>
      <c r="B598" s="6"/>
    </row>
    <row r="599" spans="1:2" x14ac:dyDescent="0.3">
      <c r="A599" s="5"/>
      <c r="B599" s="6"/>
    </row>
    <row r="600" spans="1:2" x14ac:dyDescent="0.3">
      <c r="A600" s="5"/>
      <c r="B600" s="6"/>
    </row>
    <row r="601" spans="1:2" x14ac:dyDescent="0.3">
      <c r="A601" s="5"/>
      <c r="B601" s="6"/>
    </row>
    <row r="602" spans="1:2" x14ac:dyDescent="0.3">
      <c r="A602" s="5"/>
      <c r="B602" s="6"/>
    </row>
    <row r="603" spans="1:2" x14ac:dyDescent="0.3">
      <c r="A603" s="5"/>
      <c r="B603" s="6"/>
    </row>
    <row r="604" spans="1:2" x14ac:dyDescent="0.3">
      <c r="A604" s="5"/>
      <c r="B604" s="6"/>
    </row>
    <row r="605" spans="1:2" x14ac:dyDescent="0.3">
      <c r="A605" s="5"/>
      <c r="B605" s="6"/>
    </row>
    <row r="606" spans="1:2" x14ac:dyDescent="0.3">
      <c r="A606" s="5"/>
      <c r="B606" s="6"/>
    </row>
    <row r="607" spans="1:2" x14ac:dyDescent="0.3">
      <c r="A607" s="5"/>
      <c r="B607" s="6"/>
    </row>
    <row r="608" spans="1:2" x14ac:dyDescent="0.3">
      <c r="A608" s="5"/>
      <c r="B608" s="6"/>
    </row>
    <row r="609" spans="1:2" x14ac:dyDescent="0.3">
      <c r="A609" s="5"/>
      <c r="B609" s="6"/>
    </row>
    <row r="610" spans="1:2" x14ac:dyDescent="0.3">
      <c r="A610" s="5"/>
      <c r="B610" s="6"/>
    </row>
    <row r="611" spans="1:2" x14ac:dyDescent="0.3">
      <c r="A611" s="5"/>
      <c r="B611" s="6"/>
    </row>
    <row r="612" spans="1:2" x14ac:dyDescent="0.3">
      <c r="A612" s="5"/>
      <c r="B612" s="6"/>
    </row>
    <row r="613" spans="1:2" x14ac:dyDescent="0.3">
      <c r="A613" s="5"/>
      <c r="B613" s="6"/>
    </row>
    <row r="614" spans="1:2" x14ac:dyDescent="0.3">
      <c r="A614" s="5"/>
      <c r="B614" s="6"/>
    </row>
    <row r="615" spans="1:2" x14ac:dyDescent="0.3">
      <c r="A615" s="5"/>
      <c r="B615" s="6"/>
    </row>
    <row r="616" spans="1:2" x14ac:dyDescent="0.3">
      <c r="A616" s="5"/>
      <c r="B616" s="6"/>
    </row>
    <row r="617" spans="1:2" x14ac:dyDescent="0.3">
      <c r="A617" s="5"/>
      <c r="B617" s="6"/>
    </row>
    <row r="618" spans="1:2" x14ac:dyDescent="0.3">
      <c r="A618" s="5"/>
      <c r="B618" s="6"/>
    </row>
    <row r="619" spans="1:2" x14ac:dyDescent="0.3">
      <c r="A619" s="5"/>
      <c r="B619" s="6"/>
    </row>
    <row r="620" spans="1:2" x14ac:dyDescent="0.3">
      <c r="A620" s="5"/>
      <c r="B620" s="6"/>
    </row>
    <row r="621" spans="1:2" x14ac:dyDescent="0.3">
      <c r="A621" s="5"/>
      <c r="B621" s="6"/>
    </row>
    <row r="622" spans="1:2" x14ac:dyDescent="0.3">
      <c r="A622" s="5"/>
      <c r="B622" s="6"/>
    </row>
    <row r="623" spans="1:2" x14ac:dyDescent="0.3">
      <c r="A623" s="5"/>
      <c r="B623" s="6"/>
    </row>
    <row r="624" spans="1:2" x14ac:dyDescent="0.3">
      <c r="A624" s="5"/>
      <c r="B624" s="6"/>
    </row>
    <row r="625" spans="1:2" x14ac:dyDescent="0.3">
      <c r="A625" s="5"/>
      <c r="B625" s="6"/>
    </row>
    <row r="626" spans="1:2" x14ac:dyDescent="0.3">
      <c r="A626" s="5"/>
      <c r="B626" s="6"/>
    </row>
    <row r="627" spans="1:2" x14ac:dyDescent="0.3">
      <c r="A627" s="5"/>
      <c r="B627" s="6"/>
    </row>
    <row r="628" spans="1:2" x14ac:dyDescent="0.3">
      <c r="A628" s="5"/>
      <c r="B628" s="6"/>
    </row>
    <row r="629" spans="1:2" x14ac:dyDescent="0.3">
      <c r="A629" s="5"/>
      <c r="B629" s="6"/>
    </row>
    <row r="630" spans="1:2" x14ac:dyDescent="0.3">
      <c r="A630" s="5"/>
      <c r="B630" s="6"/>
    </row>
    <row r="631" spans="1:2" x14ac:dyDescent="0.3">
      <c r="A631" s="5"/>
      <c r="B631" s="6"/>
    </row>
    <row r="632" spans="1:2" x14ac:dyDescent="0.3">
      <c r="A632" s="5"/>
      <c r="B632" s="6"/>
    </row>
    <row r="633" spans="1:2" x14ac:dyDescent="0.3">
      <c r="A633" s="5"/>
      <c r="B633" s="6"/>
    </row>
    <row r="634" spans="1:2" x14ac:dyDescent="0.3">
      <c r="A634" s="5"/>
      <c r="B634" s="6"/>
    </row>
    <row r="635" spans="1:2" x14ac:dyDescent="0.3">
      <c r="A635" s="5"/>
      <c r="B635" s="6"/>
    </row>
    <row r="636" spans="1:2" x14ac:dyDescent="0.3">
      <c r="A636" s="5"/>
      <c r="B636" s="6"/>
    </row>
    <row r="637" spans="1:2" x14ac:dyDescent="0.3">
      <c r="A637" s="5"/>
      <c r="B637" s="6"/>
    </row>
    <row r="638" spans="1:2" x14ac:dyDescent="0.3">
      <c r="A638" s="5"/>
      <c r="B638" s="6"/>
    </row>
    <row r="639" spans="1:2" x14ac:dyDescent="0.3">
      <c r="A639" s="5"/>
      <c r="B639" s="6"/>
    </row>
    <row r="640" spans="1:2" x14ac:dyDescent="0.3">
      <c r="A640" s="5"/>
      <c r="B640" s="6"/>
    </row>
    <row r="641" spans="1:2" x14ac:dyDescent="0.3">
      <c r="A641" s="5"/>
      <c r="B641" s="6"/>
    </row>
    <row r="642" spans="1:2" x14ac:dyDescent="0.3">
      <c r="A642" s="5"/>
      <c r="B642" s="6"/>
    </row>
    <row r="643" spans="1:2" x14ac:dyDescent="0.3">
      <c r="A643" s="5"/>
      <c r="B643" s="6"/>
    </row>
    <row r="644" spans="1:2" x14ac:dyDescent="0.3">
      <c r="A644" s="5"/>
      <c r="B644" s="6"/>
    </row>
    <row r="645" spans="1:2" x14ac:dyDescent="0.3">
      <c r="A645" s="5"/>
      <c r="B645" s="6"/>
    </row>
    <row r="646" spans="1:2" x14ac:dyDescent="0.3">
      <c r="A646" s="5"/>
      <c r="B646" s="6"/>
    </row>
    <row r="647" spans="1:2" x14ac:dyDescent="0.3">
      <c r="A647" s="5"/>
      <c r="B647" s="6"/>
    </row>
    <row r="648" spans="1:2" x14ac:dyDescent="0.3">
      <c r="A648" s="5"/>
      <c r="B648" s="6"/>
    </row>
    <row r="649" spans="1:2" x14ac:dyDescent="0.3">
      <c r="A649" s="5"/>
      <c r="B649" s="6"/>
    </row>
    <row r="650" spans="1:2" x14ac:dyDescent="0.3">
      <c r="A650" s="5"/>
      <c r="B650" s="6"/>
    </row>
    <row r="651" spans="1:2" x14ac:dyDescent="0.3">
      <c r="A651" s="5"/>
      <c r="B651" s="6"/>
    </row>
    <row r="652" spans="1:2" x14ac:dyDescent="0.3">
      <c r="A652" s="5"/>
      <c r="B652" s="6"/>
    </row>
    <row r="653" spans="1:2" x14ac:dyDescent="0.3">
      <c r="A653" s="5"/>
      <c r="B653" s="6"/>
    </row>
    <row r="654" spans="1:2" x14ac:dyDescent="0.3">
      <c r="A654" s="5"/>
      <c r="B654" s="6"/>
    </row>
    <row r="655" spans="1:2" x14ac:dyDescent="0.3">
      <c r="A655" s="5"/>
      <c r="B655" s="6"/>
    </row>
    <row r="656" spans="1:2" x14ac:dyDescent="0.3">
      <c r="A656" s="5"/>
      <c r="B656" s="6"/>
    </row>
    <row r="657" spans="1:2" x14ac:dyDescent="0.3">
      <c r="A657" s="5"/>
      <c r="B657" s="6"/>
    </row>
    <row r="658" spans="1:2" x14ac:dyDescent="0.3">
      <c r="A658" s="5"/>
      <c r="B658" s="6"/>
    </row>
    <row r="659" spans="1:2" x14ac:dyDescent="0.3">
      <c r="A659" s="5"/>
      <c r="B659" s="6"/>
    </row>
    <row r="660" spans="1:2" x14ac:dyDescent="0.3">
      <c r="A660" s="5"/>
      <c r="B660" s="6"/>
    </row>
    <row r="661" spans="1:2" x14ac:dyDescent="0.3">
      <c r="A661" s="5"/>
      <c r="B661" s="6"/>
    </row>
    <row r="662" spans="1:2" x14ac:dyDescent="0.3">
      <c r="A662" s="5"/>
      <c r="B662" s="6"/>
    </row>
    <row r="663" spans="1:2" x14ac:dyDescent="0.3">
      <c r="A663" s="5"/>
      <c r="B663" s="6"/>
    </row>
    <row r="664" spans="1:2" x14ac:dyDescent="0.3">
      <c r="A664" s="5"/>
      <c r="B664" s="6"/>
    </row>
    <row r="665" spans="1:2" x14ac:dyDescent="0.3">
      <c r="A665" s="5"/>
      <c r="B665" s="6"/>
    </row>
    <row r="666" spans="1:2" x14ac:dyDescent="0.3">
      <c r="A666" s="5"/>
      <c r="B666" s="6"/>
    </row>
    <row r="667" spans="1:2" x14ac:dyDescent="0.3">
      <c r="A667" s="5"/>
      <c r="B667" s="6"/>
    </row>
    <row r="668" spans="1:2" x14ac:dyDescent="0.3">
      <c r="A668" s="5"/>
      <c r="B668" s="6"/>
    </row>
    <row r="669" spans="1:2" x14ac:dyDescent="0.3">
      <c r="A669" s="5"/>
      <c r="B669" s="6"/>
    </row>
    <row r="670" spans="1:2" x14ac:dyDescent="0.3">
      <c r="A670" s="5"/>
      <c r="B670" s="6"/>
    </row>
    <row r="671" spans="1:2" x14ac:dyDescent="0.3">
      <c r="A671" s="5"/>
      <c r="B671" s="6"/>
    </row>
    <row r="672" spans="1:2" x14ac:dyDescent="0.3">
      <c r="A672" s="5"/>
      <c r="B672" s="6"/>
    </row>
    <row r="673" spans="1:2" x14ac:dyDescent="0.3">
      <c r="A673" s="5"/>
      <c r="B673" s="6"/>
    </row>
    <row r="674" spans="1:2" x14ac:dyDescent="0.3">
      <c r="A674" s="5"/>
      <c r="B674" s="6"/>
    </row>
    <row r="675" spans="1:2" x14ac:dyDescent="0.3">
      <c r="A675" s="5"/>
      <c r="B675" s="6"/>
    </row>
    <row r="676" spans="1:2" x14ac:dyDescent="0.3">
      <c r="A676" s="5"/>
      <c r="B676" s="6"/>
    </row>
    <row r="677" spans="1:2" x14ac:dyDescent="0.3">
      <c r="A677" s="5"/>
      <c r="B677" s="6"/>
    </row>
    <row r="678" spans="1:2" x14ac:dyDescent="0.3">
      <c r="A678" s="5"/>
      <c r="B678" s="6"/>
    </row>
    <row r="679" spans="1:2" x14ac:dyDescent="0.3">
      <c r="A679" s="5"/>
      <c r="B679" s="6"/>
    </row>
    <row r="680" spans="1:2" x14ac:dyDescent="0.3">
      <c r="A680" s="5"/>
      <c r="B680" s="6"/>
    </row>
    <row r="681" spans="1:2" x14ac:dyDescent="0.3">
      <c r="A681" s="5"/>
      <c r="B681" s="6"/>
    </row>
    <row r="682" spans="1:2" x14ac:dyDescent="0.3">
      <c r="A682" s="5"/>
      <c r="B682" s="6"/>
    </row>
    <row r="683" spans="1:2" x14ac:dyDescent="0.3">
      <c r="A683" s="5"/>
      <c r="B683" s="6"/>
    </row>
    <row r="684" spans="1:2" x14ac:dyDescent="0.3">
      <c r="A684" s="5"/>
      <c r="B684" s="6"/>
    </row>
    <row r="685" spans="1:2" x14ac:dyDescent="0.3">
      <c r="A685" s="5"/>
      <c r="B685" s="6"/>
    </row>
    <row r="686" spans="1:2" x14ac:dyDescent="0.3">
      <c r="A686" s="5"/>
      <c r="B686" s="6"/>
    </row>
    <row r="687" spans="1:2" x14ac:dyDescent="0.3">
      <c r="A687" s="5"/>
      <c r="B687" s="6"/>
    </row>
    <row r="688" spans="1:2" x14ac:dyDescent="0.3">
      <c r="A688" s="5"/>
      <c r="B688" s="6"/>
    </row>
    <row r="689" spans="1:2" x14ac:dyDescent="0.3">
      <c r="A689" s="5"/>
      <c r="B689" s="6"/>
    </row>
    <row r="690" spans="1:2" x14ac:dyDescent="0.3">
      <c r="A690" s="5"/>
      <c r="B690" s="6"/>
    </row>
    <row r="691" spans="1:2" x14ac:dyDescent="0.3">
      <c r="A691" s="5"/>
      <c r="B691" s="6"/>
    </row>
    <row r="692" spans="1:2" x14ac:dyDescent="0.3">
      <c r="A692" s="5"/>
      <c r="B692" s="6"/>
    </row>
    <row r="693" spans="1:2" x14ac:dyDescent="0.3">
      <c r="A693" s="5"/>
      <c r="B693" s="6"/>
    </row>
    <row r="694" spans="1:2" x14ac:dyDescent="0.3">
      <c r="A694" s="5"/>
      <c r="B694" s="6"/>
    </row>
    <row r="695" spans="1:2" x14ac:dyDescent="0.3">
      <c r="A695" s="5"/>
      <c r="B695" s="6"/>
    </row>
    <row r="696" spans="1:2" x14ac:dyDescent="0.3">
      <c r="A696" s="5"/>
      <c r="B696" s="6"/>
    </row>
    <row r="697" spans="1:2" x14ac:dyDescent="0.3">
      <c r="A697" s="5"/>
      <c r="B697" s="6"/>
    </row>
    <row r="698" spans="1:2" x14ac:dyDescent="0.3">
      <c r="A698" s="5"/>
      <c r="B698" s="6"/>
    </row>
    <row r="699" spans="1:2" x14ac:dyDescent="0.3">
      <c r="A699" s="5"/>
      <c r="B699" s="6"/>
    </row>
    <row r="700" spans="1:2" x14ac:dyDescent="0.3">
      <c r="A700" s="5"/>
      <c r="B700" s="6"/>
    </row>
    <row r="701" spans="1:2" x14ac:dyDescent="0.3">
      <c r="A701" s="5"/>
      <c r="B701" s="6"/>
    </row>
    <row r="702" spans="1:2" x14ac:dyDescent="0.3">
      <c r="A702" s="5"/>
      <c r="B702" s="6"/>
    </row>
    <row r="703" spans="1:2" x14ac:dyDescent="0.3">
      <c r="A703" s="5"/>
      <c r="B703" s="6"/>
    </row>
    <row r="704" spans="1:2" x14ac:dyDescent="0.3">
      <c r="A704" s="5"/>
      <c r="B704" s="6"/>
    </row>
    <row r="705" spans="1:2" x14ac:dyDescent="0.3">
      <c r="A705" s="5"/>
      <c r="B705" s="6"/>
    </row>
    <row r="706" spans="1:2" x14ac:dyDescent="0.3">
      <c r="A706" s="5"/>
      <c r="B706" s="6"/>
    </row>
    <row r="707" spans="1:2" x14ac:dyDescent="0.3">
      <c r="A707" s="5"/>
      <c r="B707" s="6"/>
    </row>
    <row r="708" spans="1:2" x14ac:dyDescent="0.3">
      <c r="A708" s="5"/>
      <c r="B708" s="6"/>
    </row>
    <row r="709" spans="1:2" x14ac:dyDescent="0.3">
      <c r="A709" s="5"/>
      <c r="B709" s="6"/>
    </row>
    <row r="710" spans="1:2" x14ac:dyDescent="0.3">
      <c r="A710" s="5"/>
      <c r="B710" s="6"/>
    </row>
    <row r="711" spans="1:2" x14ac:dyDescent="0.3">
      <c r="A711" s="5"/>
      <c r="B711" s="6"/>
    </row>
    <row r="712" spans="1:2" x14ac:dyDescent="0.3">
      <c r="A712" s="5"/>
      <c r="B712" s="6"/>
    </row>
    <row r="713" spans="1:2" x14ac:dyDescent="0.3">
      <c r="A713" s="5"/>
      <c r="B713" s="6"/>
    </row>
    <row r="714" spans="1:2" x14ac:dyDescent="0.3">
      <c r="A714" s="5"/>
      <c r="B714" s="6"/>
    </row>
    <row r="715" spans="1:2" x14ac:dyDescent="0.3">
      <c r="A715" s="5"/>
      <c r="B715" s="6"/>
    </row>
    <row r="716" spans="1:2" x14ac:dyDescent="0.3">
      <c r="A716" s="5"/>
      <c r="B716" s="6"/>
    </row>
    <row r="717" spans="1:2" x14ac:dyDescent="0.3">
      <c r="A717" s="5"/>
      <c r="B717" s="6"/>
    </row>
    <row r="718" spans="1:2" x14ac:dyDescent="0.3">
      <c r="A718" s="5"/>
      <c r="B718" s="6"/>
    </row>
    <row r="719" spans="1:2" x14ac:dyDescent="0.3">
      <c r="A719" s="5"/>
      <c r="B719" s="6"/>
    </row>
    <row r="720" spans="1:2" x14ac:dyDescent="0.3">
      <c r="A720" s="5"/>
      <c r="B720" s="6"/>
    </row>
    <row r="721" spans="1:2" x14ac:dyDescent="0.3">
      <c r="A721" s="5"/>
      <c r="B721" s="6"/>
    </row>
    <row r="722" spans="1:2" x14ac:dyDescent="0.3">
      <c r="A722" s="5"/>
      <c r="B722" s="6"/>
    </row>
    <row r="723" spans="1:2" x14ac:dyDescent="0.3">
      <c r="A723" s="5"/>
      <c r="B723" s="6"/>
    </row>
    <row r="724" spans="1:2" x14ac:dyDescent="0.3">
      <c r="A724" s="5"/>
      <c r="B724" s="6"/>
    </row>
    <row r="725" spans="1:2" x14ac:dyDescent="0.3">
      <c r="A725" s="5"/>
      <c r="B725" s="6"/>
    </row>
    <row r="726" spans="1:2" x14ac:dyDescent="0.3">
      <c r="A726" s="5"/>
      <c r="B726" s="6"/>
    </row>
    <row r="727" spans="1:2" x14ac:dyDescent="0.3">
      <c r="A727" s="5"/>
      <c r="B727" s="6"/>
    </row>
    <row r="728" spans="1:2" x14ac:dyDescent="0.3">
      <c r="A728" s="5"/>
      <c r="B728" s="6"/>
    </row>
    <row r="729" spans="1:2" x14ac:dyDescent="0.3">
      <c r="A729" s="5"/>
      <c r="B729" s="6"/>
    </row>
    <row r="730" spans="1:2" x14ac:dyDescent="0.3">
      <c r="A730" s="5"/>
      <c r="B730" s="6"/>
    </row>
    <row r="731" spans="1:2" x14ac:dyDescent="0.3">
      <c r="A731" s="5"/>
      <c r="B731" s="6"/>
    </row>
    <row r="732" spans="1:2" x14ac:dyDescent="0.3">
      <c r="A732" s="5"/>
      <c r="B732" s="6"/>
    </row>
    <row r="733" spans="1:2" x14ac:dyDescent="0.3">
      <c r="A733" s="5"/>
      <c r="B733" s="6"/>
    </row>
    <row r="734" spans="1:2" x14ac:dyDescent="0.3">
      <c r="A734" s="5"/>
      <c r="B734" s="6"/>
    </row>
    <row r="735" spans="1:2" x14ac:dyDescent="0.3">
      <c r="A735" s="5"/>
      <c r="B735" s="6"/>
    </row>
    <row r="736" spans="1:2" x14ac:dyDescent="0.3">
      <c r="A736" s="5"/>
      <c r="B736" s="6"/>
    </row>
    <row r="737" spans="1:2" x14ac:dyDescent="0.3">
      <c r="A737" s="5"/>
      <c r="B737" s="6"/>
    </row>
    <row r="738" spans="1:2" x14ac:dyDescent="0.3">
      <c r="A738" s="5"/>
      <c r="B738" s="6"/>
    </row>
    <row r="739" spans="1:2" x14ac:dyDescent="0.3">
      <c r="A739" s="5"/>
      <c r="B739" s="6"/>
    </row>
    <row r="740" spans="1:2" x14ac:dyDescent="0.3">
      <c r="A740" s="5"/>
      <c r="B740" s="6"/>
    </row>
    <row r="741" spans="1:2" x14ac:dyDescent="0.3">
      <c r="A741" s="5"/>
      <c r="B741" s="6"/>
    </row>
    <row r="742" spans="1:2" x14ac:dyDescent="0.3">
      <c r="A742" s="5"/>
      <c r="B742" s="6"/>
    </row>
    <row r="743" spans="1:2" x14ac:dyDescent="0.3">
      <c r="A743" s="5"/>
      <c r="B743" s="6"/>
    </row>
    <row r="744" spans="1:2" x14ac:dyDescent="0.3">
      <c r="A744" s="5"/>
      <c r="B744" s="6"/>
    </row>
    <row r="745" spans="1:2" x14ac:dyDescent="0.3">
      <c r="A745" s="5"/>
      <c r="B745" s="6"/>
    </row>
    <row r="746" spans="1:2" x14ac:dyDescent="0.3">
      <c r="A746" s="5"/>
      <c r="B746" s="6"/>
    </row>
    <row r="747" spans="1:2" x14ac:dyDescent="0.3">
      <c r="A747" s="5"/>
      <c r="B747" s="6"/>
    </row>
    <row r="748" spans="1:2" x14ac:dyDescent="0.3">
      <c r="A748" s="5"/>
      <c r="B748" s="6"/>
    </row>
    <row r="749" spans="1:2" x14ac:dyDescent="0.3">
      <c r="A749" s="5"/>
      <c r="B749" s="6"/>
    </row>
    <row r="750" spans="1:2" x14ac:dyDescent="0.3">
      <c r="A750" s="5"/>
      <c r="B750" s="6"/>
    </row>
    <row r="751" spans="1:2" x14ac:dyDescent="0.3">
      <c r="A751" s="5"/>
      <c r="B751" s="6"/>
    </row>
    <row r="752" spans="1:2" x14ac:dyDescent="0.3">
      <c r="A752" s="5"/>
      <c r="B752" s="6"/>
    </row>
    <row r="753" spans="1:2" x14ac:dyDescent="0.3">
      <c r="A753" s="5"/>
      <c r="B753" s="6"/>
    </row>
    <row r="754" spans="1:2" x14ac:dyDescent="0.3">
      <c r="A754" s="5"/>
      <c r="B754" s="6"/>
    </row>
    <row r="755" spans="1:2" x14ac:dyDescent="0.3">
      <c r="A755" s="5"/>
      <c r="B755" s="6"/>
    </row>
    <row r="756" spans="1:2" x14ac:dyDescent="0.3">
      <c r="A756" s="5"/>
      <c r="B756" s="6"/>
    </row>
    <row r="757" spans="1:2" x14ac:dyDescent="0.3">
      <c r="A757" s="5"/>
      <c r="B757" s="6"/>
    </row>
    <row r="758" spans="1:2" x14ac:dyDescent="0.3">
      <c r="A758" s="5"/>
      <c r="B758" s="6"/>
    </row>
    <row r="759" spans="1:2" x14ac:dyDescent="0.3">
      <c r="A759" s="5"/>
      <c r="B759" s="6"/>
    </row>
    <row r="760" spans="1:2" x14ac:dyDescent="0.3">
      <c r="A760" s="5"/>
      <c r="B760" s="6"/>
    </row>
    <row r="761" spans="1:2" x14ac:dyDescent="0.3">
      <c r="A761" s="5"/>
      <c r="B761" s="6"/>
    </row>
    <row r="762" spans="1:2" x14ac:dyDescent="0.3">
      <c r="A762" s="5"/>
      <c r="B762" s="6"/>
    </row>
    <row r="763" spans="1:2" x14ac:dyDescent="0.3">
      <c r="A763" s="5"/>
      <c r="B763" s="6"/>
    </row>
    <row r="764" spans="1:2" x14ac:dyDescent="0.3">
      <c r="A764" s="5"/>
      <c r="B764" s="6"/>
    </row>
    <row r="765" spans="1:2" x14ac:dyDescent="0.3">
      <c r="A765" s="5"/>
      <c r="B765" s="6"/>
    </row>
    <row r="766" spans="1:2" x14ac:dyDescent="0.3">
      <c r="A766" s="5"/>
      <c r="B766" s="6"/>
    </row>
    <row r="767" spans="1:2" x14ac:dyDescent="0.3">
      <c r="A767" s="5"/>
      <c r="B767" s="6"/>
    </row>
    <row r="768" spans="1:2" x14ac:dyDescent="0.3">
      <c r="A768" s="5"/>
      <c r="B768" s="6"/>
    </row>
    <row r="769" spans="1:2" x14ac:dyDescent="0.3">
      <c r="A769" s="5"/>
      <c r="B769" s="6"/>
    </row>
    <row r="770" spans="1:2" x14ac:dyDescent="0.3">
      <c r="A770" s="5"/>
      <c r="B770" s="6"/>
    </row>
    <row r="771" spans="1:2" x14ac:dyDescent="0.3">
      <c r="A771" s="5"/>
      <c r="B771" s="6"/>
    </row>
    <row r="772" spans="1:2" x14ac:dyDescent="0.3">
      <c r="A772" s="5"/>
      <c r="B772" s="6"/>
    </row>
    <row r="773" spans="1:2" x14ac:dyDescent="0.3">
      <c r="A773" s="5"/>
      <c r="B773" s="6"/>
    </row>
    <row r="774" spans="1:2" x14ac:dyDescent="0.3">
      <c r="A774" s="5"/>
      <c r="B774" s="6"/>
    </row>
    <row r="775" spans="1:2" x14ac:dyDescent="0.3">
      <c r="A775" s="5"/>
      <c r="B775" s="6"/>
    </row>
    <row r="776" spans="1:2" x14ac:dyDescent="0.3">
      <c r="A776" s="5"/>
      <c r="B776" s="6"/>
    </row>
    <row r="777" spans="1:2" x14ac:dyDescent="0.3">
      <c r="A777" s="5"/>
      <c r="B777" s="6"/>
    </row>
    <row r="778" spans="1:2" x14ac:dyDescent="0.3">
      <c r="A778" s="5"/>
      <c r="B778" s="6"/>
    </row>
    <row r="779" spans="1:2" x14ac:dyDescent="0.3">
      <c r="A779" s="5"/>
      <c r="B779" s="6"/>
    </row>
    <row r="780" spans="1:2" x14ac:dyDescent="0.3">
      <c r="A780" s="5"/>
      <c r="B780" s="6"/>
    </row>
    <row r="781" spans="1:2" x14ac:dyDescent="0.3">
      <c r="A781" s="5"/>
      <c r="B781" s="6"/>
    </row>
    <row r="782" spans="1:2" x14ac:dyDescent="0.3">
      <c r="A782" s="5"/>
      <c r="B782" s="6"/>
    </row>
    <row r="783" spans="1:2" x14ac:dyDescent="0.3">
      <c r="A783" s="5"/>
      <c r="B783" s="6"/>
    </row>
    <row r="784" spans="1:2" x14ac:dyDescent="0.3">
      <c r="A784" s="5"/>
      <c r="B784" s="6"/>
    </row>
    <row r="785" spans="1:2" x14ac:dyDescent="0.3">
      <c r="A785" s="5"/>
      <c r="B785" s="6"/>
    </row>
    <row r="786" spans="1:2" x14ac:dyDescent="0.3">
      <c r="A786" s="5"/>
      <c r="B786" s="6"/>
    </row>
    <row r="787" spans="1:2" x14ac:dyDescent="0.3">
      <c r="A787" s="5"/>
      <c r="B787" s="6"/>
    </row>
    <row r="788" spans="1:2" x14ac:dyDescent="0.3">
      <c r="A788" s="5"/>
      <c r="B788" s="6"/>
    </row>
    <row r="789" spans="1:2" x14ac:dyDescent="0.3">
      <c r="A789" s="5"/>
      <c r="B789" s="6"/>
    </row>
    <row r="790" spans="1:2" x14ac:dyDescent="0.3">
      <c r="A790" s="5"/>
      <c r="B790" s="6"/>
    </row>
    <row r="791" spans="1:2" x14ac:dyDescent="0.3">
      <c r="A791" s="5"/>
      <c r="B791" s="6"/>
    </row>
    <row r="792" spans="1:2" x14ac:dyDescent="0.3">
      <c r="A792" s="5"/>
      <c r="B792" s="6"/>
    </row>
    <row r="793" spans="1:2" x14ac:dyDescent="0.3">
      <c r="A793" s="5"/>
      <c r="B793" s="6"/>
    </row>
    <row r="794" spans="1:2" x14ac:dyDescent="0.3">
      <c r="A794" s="5"/>
      <c r="B794" s="6"/>
    </row>
    <row r="795" spans="1:2" x14ac:dyDescent="0.3">
      <c r="A795" s="5"/>
      <c r="B795" s="6"/>
    </row>
    <row r="796" spans="1:2" x14ac:dyDescent="0.3">
      <c r="A796" s="5"/>
      <c r="B796" s="6"/>
    </row>
    <row r="797" spans="1:2" x14ac:dyDescent="0.3">
      <c r="A797" s="5"/>
      <c r="B797" s="6"/>
    </row>
    <row r="798" spans="1:2" x14ac:dyDescent="0.3">
      <c r="A798" s="5"/>
      <c r="B798" s="6"/>
    </row>
    <row r="799" spans="1:2" x14ac:dyDescent="0.3">
      <c r="A799" s="5"/>
      <c r="B799" s="6"/>
    </row>
    <row r="800" spans="1:2" x14ac:dyDescent="0.3">
      <c r="A800" s="5"/>
      <c r="B800" s="6"/>
    </row>
    <row r="801" spans="1:2" x14ac:dyDescent="0.3">
      <c r="A801" s="5"/>
      <c r="B801" s="6"/>
    </row>
    <row r="802" spans="1:2" x14ac:dyDescent="0.3">
      <c r="A802" s="5"/>
      <c r="B802" s="6"/>
    </row>
    <row r="803" spans="1:2" x14ac:dyDescent="0.3">
      <c r="A803" s="5"/>
      <c r="B803" s="6"/>
    </row>
    <row r="804" spans="1:2" x14ac:dyDescent="0.3">
      <c r="A804" s="5"/>
      <c r="B804" s="6"/>
    </row>
    <row r="805" spans="1:2" x14ac:dyDescent="0.3">
      <c r="A805" s="5"/>
      <c r="B805" s="6"/>
    </row>
    <row r="806" spans="1:2" x14ac:dyDescent="0.3">
      <c r="A806" s="5"/>
      <c r="B806" s="6"/>
    </row>
    <row r="807" spans="1:2" x14ac:dyDescent="0.3">
      <c r="A807" s="5"/>
      <c r="B807" s="6"/>
    </row>
    <row r="808" spans="1:2" x14ac:dyDescent="0.3">
      <c r="A808" s="5"/>
      <c r="B808" s="6"/>
    </row>
    <row r="809" spans="1:2" x14ac:dyDescent="0.3">
      <c r="A809" s="5"/>
      <c r="B809" s="6"/>
    </row>
    <row r="810" spans="1:2" x14ac:dyDescent="0.3">
      <c r="A810" s="5"/>
      <c r="B810" s="6"/>
    </row>
    <row r="811" spans="1:2" x14ac:dyDescent="0.3">
      <c r="A811" s="5"/>
      <c r="B811" s="6"/>
    </row>
    <row r="812" spans="1:2" x14ac:dyDescent="0.3">
      <c r="A812" s="5"/>
      <c r="B812" s="6"/>
    </row>
    <row r="813" spans="1:2" x14ac:dyDescent="0.3">
      <c r="A813" s="5"/>
      <c r="B813" s="6"/>
    </row>
    <row r="814" spans="1:2" x14ac:dyDescent="0.3">
      <c r="A814" s="5"/>
      <c r="B814" s="6"/>
    </row>
    <row r="815" spans="1:2" x14ac:dyDescent="0.3">
      <c r="A815" s="5"/>
      <c r="B815" s="6"/>
    </row>
    <row r="816" spans="1:2" x14ac:dyDescent="0.3">
      <c r="A816" s="5"/>
      <c r="B816" s="6"/>
    </row>
    <row r="817" spans="1:2" x14ac:dyDescent="0.3">
      <c r="A817" s="5"/>
      <c r="B817" s="6"/>
    </row>
    <row r="818" spans="1:2" x14ac:dyDescent="0.3">
      <c r="A818" s="5"/>
      <c r="B818" s="6"/>
    </row>
    <row r="819" spans="1:2" x14ac:dyDescent="0.3">
      <c r="A819" s="5"/>
      <c r="B819" s="6"/>
    </row>
    <row r="820" spans="1:2" x14ac:dyDescent="0.3">
      <c r="A820" s="5"/>
      <c r="B820" s="6"/>
    </row>
    <row r="821" spans="1:2" x14ac:dyDescent="0.3">
      <c r="A821" s="5"/>
      <c r="B821" s="6"/>
    </row>
    <row r="822" spans="1:2" x14ac:dyDescent="0.3">
      <c r="A822" s="5"/>
      <c r="B822" s="6"/>
    </row>
    <row r="823" spans="1:2" x14ac:dyDescent="0.3">
      <c r="A823" s="5"/>
      <c r="B823" s="6"/>
    </row>
    <row r="824" spans="1:2" x14ac:dyDescent="0.3">
      <c r="A824" s="5"/>
      <c r="B824" s="6"/>
    </row>
    <row r="825" spans="1:2" x14ac:dyDescent="0.3">
      <c r="A825" s="5"/>
      <c r="B825" s="6"/>
    </row>
    <row r="826" spans="1:2" x14ac:dyDescent="0.3">
      <c r="A826" s="5"/>
      <c r="B826" s="6"/>
    </row>
    <row r="827" spans="1:2" x14ac:dyDescent="0.3">
      <c r="A827" s="5"/>
      <c r="B827" s="6"/>
    </row>
    <row r="828" spans="1:2" x14ac:dyDescent="0.3">
      <c r="A828" s="5"/>
      <c r="B828" s="6"/>
    </row>
    <row r="829" spans="1:2" x14ac:dyDescent="0.3">
      <c r="A829" s="5"/>
      <c r="B829" s="6"/>
    </row>
    <row r="830" spans="1:2" x14ac:dyDescent="0.3">
      <c r="A830" s="5"/>
      <c r="B830" s="6"/>
    </row>
    <row r="831" spans="1:2" x14ac:dyDescent="0.3">
      <c r="A831" s="5"/>
      <c r="B831" s="6"/>
    </row>
    <row r="832" spans="1:2" x14ac:dyDescent="0.3">
      <c r="A832" s="5"/>
      <c r="B832" s="6"/>
    </row>
    <row r="833" spans="1:2" x14ac:dyDescent="0.3">
      <c r="A833" s="5"/>
      <c r="B833" s="6"/>
    </row>
    <row r="834" spans="1:2" x14ac:dyDescent="0.3">
      <c r="A834" s="5"/>
      <c r="B834" s="6"/>
    </row>
    <row r="835" spans="1:2" x14ac:dyDescent="0.3">
      <c r="A835" s="5"/>
      <c r="B835" s="6"/>
    </row>
    <row r="836" spans="1:2" x14ac:dyDescent="0.3">
      <c r="A836" s="5"/>
      <c r="B836" s="6"/>
    </row>
    <row r="837" spans="1:2" x14ac:dyDescent="0.3">
      <c r="A837" s="5"/>
      <c r="B837" s="6"/>
    </row>
    <row r="838" spans="1:2" x14ac:dyDescent="0.3">
      <c r="A838" s="5"/>
      <c r="B838" s="6"/>
    </row>
    <row r="839" spans="1:2" x14ac:dyDescent="0.3">
      <c r="A839" s="5"/>
      <c r="B839" s="6"/>
    </row>
    <row r="840" spans="1:2" x14ac:dyDescent="0.3">
      <c r="A840" s="5"/>
      <c r="B840" s="6"/>
    </row>
    <row r="841" spans="1:2" x14ac:dyDescent="0.3">
      <c r="A841" s="5"/>
      <c r="B841" s="6"/>
    </row>
    <row r="842" spans="1:2" x14ac:dyDescent="0.3">
      <c r="A842" s="5"/>
      <c r="B842" s="6"/>
    </row>
    <row r="843" spans="1:2" x14ac:dyDescent="0.3">
      <c r="A843" s="5"/>
      <c r="B843" s="6"/>
    </row>
    <row r="844" spans="1:2" x14ac:dyDescent="0.3">
      <c r="A844" s="5"/>
      <c r="B844" s="6"/>
    </row>
    <row r="845" spans="1:2" x14ac:dyDescent="0.3">
      <c r="A845" s="5"/>
      <c r="B845" s="6"/>
    </row>
    <row r="846" spans="1:2" x14ac:dyDescent="0.3">
      <c r="A846" s="5"/>
      <c r="B846" s="6"/>
    </row>
    <row r="847" spans="1:2" x14ac:dyDescent="0.3">
      <c r="A847" s="5"/>
      <c r="B847" s="6"/>
    </row>
    <row r="848" spans="1:2" x14ac:dyDescent="0.3">
      <c r="A848" s="5"/>
      <c r="B848" s="6"/>
    </row>
    <row r="849" spans="1:2" x14ac:dyDescent="0.3">
      <c r="A849" s="5"/>
      <c r="B849" s="6"/>
    </row>
    <row r="850" spans="1:2" x14ac:dyDescent="0.3">
      <c r="A850" s="5"/>
      <c r="B850" s="6"/>
    </row>
    <row r="851" spans="1:2" x14ac:dyDescent="0.3">
      <c r="A851" s="5"/>
      <c r="B851" s="6"/>
    </row>
    <row r="852" spans="1:2" x14ac:dyDescent="0.3">
      <c r="A852" s="5"/>
      <c r="B852" s="6"/>
    </row>
    <row r="853" spans="1:2" x14ac:dyDescent="0.3">
      <c r="A853" s="5"/>
      <c r="B853" s="6"/>
    </row>
    <row r="854" spans="1:2" x14ac:dyDescent="0.3">
      <c r="A854" s="5"/>
      <c r="B854" s="6"/>
    </row>
    <row r="855" spans="1:2" x14ac:dyDescent="0.3">
      <c r="A855" s="5"/>
      <c r="B855" s="6"/>
    </row>
    <row r="856" spans="1:2" x14ac:dyDescent="0.3">
      <c r="A856" s="5"/>
      <c r="B856" s="6"/>
    </row>
    <row r="857" spans="1:2" x14ac:dyDescent="0.3">
      <c r="A857" s="5"/>
      <c r="B857" s="6"/>
    </row>
    <row r="858" spans="1:2" x14ac:dyDescent="0.3">
      <c r="A858" s="5"/>
      <c r="B858" s="6"/>
    </row>
    <row r="859" spans="1:2" x14ac:dyDescent="0.3">
      <c r="A859" s="5"/>
      <c r="B859" s="6"/>
    </row>
    <row r="860" spans="1:2" x14ac:dyDescent="0.3">
      <c r="A860" s="5"/>
      <c r="B860" s="6"/>
    </row>
    <row r="861" spans="1:2" x14ac:dyDescent="0.3">
      <c r="A861" s="5"/>
      <c r="B861" s="6"/>
    </row>
    <row r="862" spans="1:2" x14ac:dyDescent="0.3">
      <c r="A862" s="5"/>
      <c r="B862" s="6"/>
    </row>
    <row r="863" spans="1:2" x14ac:dyDescent="0.3">
      <c r="A863" s="5"/>
      <c r="B863" s="6"/>
    </row>
    <row r="864" spans="1:2" x14ac:dyDescent="0.3">
      <c r="A864" s="5"/>
      <c r="B864" s="6"/>
    </row>
    <row r="865" spans="1:2" x14ac:dyDescent="0.3">
      <c r="A865" s="5"/>
      <c r="B865" s="6"/>
    </row>
    <row r="866" spans="1:2" x14ac:dyDescent="0.3">
      <c r="A866" s="5"/>
      <c r="B866" s="6"/>
    </row>
    <row r="867" spans="1:2" x14ac:dyDescent="0.3">
      <c r="A867" s="5"/>
      <c r="B867" s="6"/>
    </row>
    <row r="868" spans="1:2" x14ac:dyDescent="0.3">
      <c r="A868" s="5"/>
      <c r="B868" s="6"/>
    </row>
    <row r="869" spans="1:2" x14ac:dyDescent="0.3">
      <c r="A869" s="5"/>
      <c r="B869" s="6"/>
    </row>
    <row r="870" spans="1:2" x14ac:dyDescent="0.3">
      <c r="A870" s="5"/>
      <c r="B870" s="6"/>
    </row>
    <row r="871" spans="1:2" x14ac:dyDescent="0.3">
      <c r="A871" s="5"/>
      <c r="B871" s="6"/>
    </row>
    <row r="872" spans="1:2" x14ac:dyDescent="0.3">
      <c r="A872" s="5"/>
      <c r="B872" s="6"/>
    </row>
    <row r="873" spans="1:2" x14ac:dyDescent="0.3">
      <c r="A873" s="5"/>
      <c r="B873" s="6"/>
    </row>
    <row r="874" spans="1:2" x14ac:dyDescent="0.3">
      <c r="A874" s="5"/>
      <c r="B874" s="6"/>
    </row>
    <row r="875" spans="1:2" x14ac:dyDescent="0.3">
      <c r="A875" s="5"/>
      <c r="B875" s="6"/>
    </row>
    <row r="876" spans="1:2" x14ac:dyDescent="0.3">
      <c r="A876" s="5"/>
      <c r="B876" s="6"/>
    </row>
    <row r="877" spans="1:2" x14ac:dyDescent="0.3">
      <c r="A877" s="5"/>
      <c r="B877" s="6"/>
    </row>
    <row r="878" spans="1:2" x14ac:dyDescent="0.3">
      <c r="A878" s="5"/>
      <c r="B878" s="6"/>
    </row>
    <row r="879" spans="1:2" x14ac:dyDescent="0.3">
      <c r="A879" s="5"/>
      <c r="B879" s="6"/>
    </row>
    <row r="880" spans="1:2" x14ac:dyDescent="0.3">
      <c r="A880" s="5"/>
      <c r="B880" s="6"/>
    </row>
    <row r="881" spans="1:2" x14ac:dyDescent="0.3">
      <c r="A881" s="5"/>
      <c r="B881" s="6"/>
    </row>
    <row r="882" spans="1:2" x14ac:dyDescent="0.3">
      <c r="A882" s="5"/>
      <c r="B882" s="6"/>
    </row>
    <row r="883" spans="1:2" x14ac:dyDescent="0.3">
      <c r="A883" s="5"/>
      <c r="B883" s="6"/>
    </row>
    <row r="884" spans="1:2" x14ac:dyDescent="0.3">
      <c r="A884" s="5"/>
      <c r="B884" s="6"/>
    </row>
    <row r="885" spans="1:2" x14ac:dyDescent="0.3">
      <c r="A885" s="5"/>
      <c r="B885" s="6"/>
    </row>
    <row r="886" spans="1:2" x14ac:dyDescent="0.3">
      <c r="A886" s="5"/>
      <c r="B886" s="6"/>
    </row>
    <row r="887" spans="1:2" x14ac:dyDescent="0.3">
      <c r="A887" s="5"/>
      <c r="B887" s="6"/>
    </row>
    <row r="888" spans="1:2" x14ac:dyDescent="0.3">
      <c r="A888" s="5"/>
      <c r="B888" s="6"/>
    </row>
  </sheetData>
  <mergeCells count="1">
    <mergeCell ref="A17:A18"/>
  </mergeCells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0F043-555E-495A-9D00-07B3497D7EAD}">
  <sheetPr>
    <tabColor rgb="FF92D050"/>
  </sheetPr>
  <dimension ref="A1:B5"/>
  <sheetViews>
    <sheetView workbookViewId="0">
      <selection activeCell="B2" sqref="B2"/>
    </sheetView>
  </sheetViews>
  <sheetFormatPr defaultRowHeight="16.5" x14ac:dyDescent="0.3"/>
  <cols>
    <col min="1" max="1" width="10.375" customWidth="1"/>
    <col min="2" max="2" width="11.375" customWidth="1"/>
  </cols>
  <sheetData>
    <row r="1" spans="1:2" x14ac:dyDescent="0.3">
      <c r="A1" t="s">
        <v>3</v>
      </c>
    </row>
    <row r="2" spans="1:2" x14ac:dyDescent="0.3">
      <c r="A2" t="s">
        <v>4</v>
      </c>
      <c r="B2" s="7">
        <v>40179</v>
      </c>
    </row>
    <row r="3" spans="1:2" x14ac:dyDescent="0.3">
      <c r="A3" t="s">
        <v>5</v>
      </c>
      <c r="B3" s="7">
        <v>43830</v>
      </c>
    </row>
    <row r="5" spans="1:2" x14ac:dyDescent="0.3">
      <c r="A5" t="s">
        <v>6</v>
      </c>
      <c r="B5" s="8">
        <f>AVERAGEIFS('Emp Pop Ratio'!B:B,'Emp Pop Ratio'!A:A,"&gt;="&amp;'Avg Emp-Pop Ratio'!B2,'Emp Pop Ratio'!A:A,"&lt;="&amp;'Avg Emp-Pop Ratio'!B3)/100</f>
        <v>0.60165833333333307</v>
      </c>
    </row>
  </sheetData>
  <phoneticPr fontId="18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D8DD8-FEA5-4D0F-A5C5-448514959D37}">
  <dimension ref="A1:AL12"/>
  <sheetViews>
    <sheetView showGridLines="0" topLeftCell="A2" workbookViewId="0">
      <selection activeCell="B18" sqref="B18"/>
    </sheetView>
  </sheetViews>
  <sheetFormatPr defaultColWidth="9.125" defaultRowHeight="12.75" x14ac:dyDescent="0.2"/>
  <cols>
    <col min="1" max="1" width="27.375" style="10" customWidth="1"/>
    <col min="2" max="2" width="2.375" style="10" customWidth="1"/>
    <col min="3" max="24" width="9.25" style="10" bestFit="1" customWidth="1"/>
    <col min="25" max="25" width="9.625" style="10" bestFit="1" customWidth="1"/>
    <col min="26" max="31" width="9.25" style="10" bestFit="1" customWidth="1"/>
    <col min="32" max="34" width="9.625" style="10" bestFit="1" customWidth="1"/>
    <col min="35" max="35" width="9.25" style="10" bestFit="1" customWidth="1"/>
    <col min="36" max="36" width="9.625" style="10" bestFit="1" customWidth="1"/>
    <col min="37" max="38" width="9.25" style="10" bestFit="1" customWidth="1"/>
    <col min="39" max="16384" width="9.125" style="10"/>
  </cols>
  <sheetData>
    <row r="1" spans="1:38" hidden="1" x14ac:dyDescent="0.2">
      <c r="A1" s="9" t="e">
        <f ca="1">DotStatQuery(B1)</f>
        <v>#NAME?</v>
      </c>
      <c r="B1" s="9" t="s">
        <v>11</v>
      </c>
    </row>
    <row r="2" spans="1:38" ht="23.25" x14ac:dyDescent="0.2">
      <c r="A2" s="11" t="s">
        <v>12</v>
      </c>
    </row>
    <row r="3" spans="1:38" x14ac:dyDescent="0.2">
      <c r="A3" s="27" t="s">
        <v>13</v>
      </c>
      <c r="B3" s="28"/>
      <c r="C3" s="34" t="s">
        <v>14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6"/>
    </row>
    <row r="4" spans="1:38" x14ac:dyDescent="0.2">
      <c r="A4" s="27" t="s">
        <v>15</v>
      </c>
      <c r="B4" s="28"/>
      <c r="C4" s="29" t="s">
        <v>16</v>
      </c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1"/>
    </row>
    <row r="5" spans="1:38" x14ac:dyDescent="0.2">
      <c r="A5" s="27" t="s">
        <v>17</v>
      </c>
      <c r="B5" s="28"/>
      <c r="C5" s="29" t="s">
        <v>18</v>
      </c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1"/>
    </row>
    <row r="6" spans="1:38" x14ac:dyDescent="0.2">
      <c r="A6" s="27" t="s">
        <v>19</v>
      </c>
      <c r="B6" s="28"/>
      <c r="C6" s="29" t="s">
        <v>20</v>
      </c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1"/>
    </row>
    <row r="7" spans="1:38" ht="105" x14ac:dyDescent="0.2">
      <c r="A7" s="32" t="s">
        <v>21</v>
      </c>
      <c r="B7" s="33"/>
      <c r="C7" s="12" t="s">
        <v>22</v>
      </c>
      <c r="D7" s="12" t="s">
        <v>23</v>
      </c>
      <c r="E7" s="12" t="s">
        <v>24</v>
      </c>
      <c r="F7" s="12" t="s">
        <v>25</v>
      </c>
      <c r="G7" s="12" t="s">
        <v>26</v>
      </c>
      <c r="H7" s="12" t="s">
        <v>27</v>
      </c>
      <c r="I7" s="12" t="s">
        <v>28</v>
      </c>
      <c r="J7" s="12" t="s">
        <v>29</v>
      </c>
      <c r="K7" s="12" t="s">
        <v>30</v>
      </c>
      <c r="L7" s="12" t="s">
        <v>31</v>
      </c>
      <c r="M7" s="12" t="s">
        <v>32</v>
      </c>
      <c r="N7" s="12" t="s">
        <v>33</v>
      </c>
      <c r="O7" s="12" t="s">
        <v>34</v>
      </c>
      <c r="P7" s="12" t="s">
        <v>35</v>
      </c>
      <c r="Q7" s="12" t="s">
        <v>36</v>
      </c>
      <c r="R7" s="12" t="s">
        <v>37</v>
      </c>
      <c r="S7" s="12" t="s">
        <v>38</v>
      </c>
      <c r="T7" s="12" t="s">
        <v>39</v>
      </c>
      <c r="U7" s="12" t="s">
        <v>40</v>
      </c>
      <c r="V7" s="12" t="s">
        <v>41</v>
      </c>
      <c r="W7" s="12" t="s">
        <v>42</v>
      </c>
      <c r="X7" s="12" t="s">
        <v>43</v>
      </c>
      <c r="Y7" s="12" t="s">
        <v>44</v>
      </c>
      <c r="Z7" s="12" t="s">
        <v>45</v>
      </c>
      <c r="AA7" s="12" t="s">
        <v>46</v>
      </c>
      <c r="AB7" s="12" t="s">
        <v>47</v>
      </c>
      <c r="AC7" s="12" t="s">
        <v>48</v>
      </c>
      <c r="AD7" s="12" t="s">
        <v>49</v>
      </c>
      <c r="AE7" s="12" t="s">
        <v>50</v>
      </c>
      <c r="AF7" s="12" t="s">
        <v>51</v>
      </c>
      <c r="AG7" s="12" t="s">
        <v>52</v>
      </c>
      <c r="AH7" s="12" t="s">
        <v>53</v>
      </c>
      <c r="AI7" s="12" t="s">
        <v>54</v>
      </c>
      <c r="AJ7" s="12" t="s">
        <v>55</v>
      </c>
      <c r="AK7" s="12" t="s">
        <v>56</v>
      </c>
      <c r="AL7" s="12" t="s">
        <v>57</v>
      </c>
    </row>
    <row r="8" spans="1:38" ht="13.5" x14ac:dyDescent="0.25">
      <c r="A8" s="13" t="s">
        <v>58</v>
      </c>
      <c r="B8" s="14" t="s">
        <v>59</v>
      </c>
      <c r="C8" s="14" t="s">
        <v>59</v>
      </c>
      <c r="D8" s="14" t="s">
        <v>59</v>
      </c>
      <c r="E8" s="14" t="s">
        <v>59</v>
      </c>
      <c r="F8" s="14" t="s">
        <v>59</v>
      </c>
      <c r="G8" s="14" t="s">
        <v>59</v>
      </c>
      <c r="H8" s="14" t="s">
        <v>59</v>
      </c>
      <c r="I8" s="14" t="s">
        <v>59</v>
      </c>
      <c r="J8" s="14" t="s">
        <v>59</v>
      </c>
      <c r="K8" s="14" t="s">
        <v>59</v>
      </c>
      <c r="L8" s="14" t="s">
        <v>59</v>
      </c>
      <c r="M8" s="14" t="s">
        <v>59</v>
      </c>
      <c r="N8" s="14" t="s">
        <v>59</v>
      </c>
      <c r="O8" s="14" t="s">
        <v>59</v>
      </c>
      <c r="P8" s="14" t="s">
        <v>59</v>
      </c>
      <c r="Q8" s="14" t="s">
        <v>59</v>
      </c>
      <c r="R8" s="14" t="s">
        <v>59</v>
      </c>
      <c r="S8" s="14" t="s">
        <v>59</v>
      </c>
      <c r="T8" s="14" t="s">
        <v>59</v>
      </c>
      <c r="U8" s="14" t="s">
        <v>59</v>
      </c>
      <c r="V8" s="14" t="s">
        <v>59</v>
      </c>
      <c r="W8" s="14" t="s">
        <v>59</v>
      </c>
      <c r="X8" s="14" t="s">
        <v>59</v>
      </c>
      <c r="Y8" s="14" t="s">
        <v>59</v>
      </c>
      <c r="Z8" s="14" t="s">
        <v>59</v>
      </c>
      <c r="AA8" s="14" t="s">
        <v>59</v>
      </c>
      <c r="AB8" s="14" t="s">
        <v>59</v>
      </c>
      <c r="AC8" s="14" t="s">
        <v>59</v>
      </c>
      <c r="AD8" s="14" t="s">
        <v>59</v>
      </c>
      <c r="AE8" s="14" t="s">
        <v>59</v>
      </c>
      <c r="AF8" s="14" t="s">
        <v>59</v>
      </c>
      <c r="AG8" s="14" t="s">
        <v>59</v>
      </c>
      <c r="AH8" s="14" t="s">
        <v>59</v>
      </c>
      <c r="AI8" s="14" t="s">
        <v>59</v>
      </c>
      <c r="AJ8" s="14" t="s">
        <v>59</v>
      </c>
      <c r="AK8" s="14" t="s">
        <v>59</v>
      </c>
      <c r="AL8" s="14" t="s">
        <v>59</v>
      </c>
    </row>
    <row r="9" spans="1:38" ht="13.5" x14ac:dyDescent="0.25">
      <c r="A9" s="15" t="s">
        <v>60</v>
      </c>
      <c r="B9" s="14" t="s">
        <v>59</v>
      </c>
      <c r="C9" s="40">
        <v>3941.7959999999998</v>
      </c>
      <c r="D9" s="40">
        <v>358.16399999999999</v>
      </c>
      <c r="E9" s="40">
        <v>487.61200000000002</v>
      </c>
      <c r="F9" s="40">
        <v>20.216000000000001</v>
      </c>
      <c r="G9" s="40">
        <v>8738.0519999999997</v>
      </c>
      <c r="H9" s="40">
        <v>9088.7360000000008</v>
      </c>
      <c r="I9" s="40">
        <v>1111.481</v>
      </c>
      <c r="J9" s="40">
        <v>4109.3509999999997</v>
      </c>
      <c r="K9" s="40">
        <v>1197.279</v>
      </c>
      <c r="L9" s="40">
        <v>10943.87</v>
      </c>
      <c r="M9" s="40">
        <v>11094.304</v>
      </c>
      <c r="N9" s="40">
        <v>3714.2429999999999</v>
      </c>
      <c r="O9" s="40">
        <v>9765.1919999999991</v>
      </c>
      <c r="P9" s="40">
        <v>15768.858</v>
      </c>
      <c r="Q9" s="40">
        <v>25452.727999999999</v>
      </c>
      <c r="R9" s="40">
        <v>10930.598</v>
      </c>
      <c r="S9" s="40">
        <v>18842.475999999999</v>
      </c>
      <c r="T9" s="40">
        <v>21089.246999999999</v>
      </c>
      <c r="U9" s="40">
        <v>10541.995000000001</v>
      </c>
      <c r="V9" s="40">
        <v>3535.1260000000002</v>
      </c>
      <c r="W9" s="40">
        <v>10755.867</v>
      </c>
      <c r="X9" s="40">
        <v>52109.947</v>
      </c>
      <c r="Y9" s="40">
        <v>40831.531000000003</v>
      </c>
      <c r="Z9" s="40">
        <v>27553.891</v>
      </c>
      <c r="AA9" s="40">
        <v>18542.383999999998</v>
      </c>
      <c r="AB9" s="40">
        <v>4676.9380000000001</v>
      </c>
      <c r="AC9" s="40">
        <v>3866.5059999999999</v>
      </c>
      <c r="AD9" s="40">
        <v>14280.075000000001</v>
      </c>
      <c r="AE9" s="40">
        <v>30508.38</v>
      </c>
      <c r="AF9" s="40">
        <v>8656.7459999999992</v>
      </c>
      <c r="AG9" s="40">
        <v>64938.642</v>
      </c>
      <c r="AH9" s="40">
        <v>56918.25</v>
      </c>
      <c r="AI9" s="40">
        <v>56466.362999999998</v>
      </c>
      <c r="AJ9" s="40">
        <v>41175.733999999997</v>
      </c>
      <c r="AK9" s="40">
        <v>15089.665000000001</v>
      </c>
      <c r="AL9" s="40">
        <v>1812.9</v>
      </c>
    </row>
    <row r="10" spans="1:38" ht="21" x14ac:dyDescent="0.25">
      <c r="A10" s="15" t="s">
        <v>61</v>
      </c>
      <c r="B10" s="14" t="s">
        <v>59</v>
      </c>
      <c r="C10" s="41">
        <v>1193.557</v>
      </c>
      <c r="D10" s="41">
        <v>7.3179999999999996</v>
      </c>
      <c r="E10" s="41">
        <v>16.634</v>
      </c>
      <c r="F10" s="41">
        <v>2.5099999999999998</v>
      </c>
      <c r="G10" s="41">
        <v>181.03200000000001</v>
      </c>
      <c r="H10" s="41">
        <v>123.002</v>
      </c>
      <c r="I10" s="41">
        <v>13.654999999999999</v>
      </c>
      <c r="J10" s="41">
        <v>50.731999999999999</v>
      </c>
      <c r="K10" s="41">
        <v>179.07599999999999</v>
      </c>
      <c r="L10" s="41">
        <v>310.90300000000002</v>
      </c>
      <c r="M10" s="41">
        <v>130.809</v>
      </c>
      <c r="N10" s="41">
        <v>67.192999999999998</v>
      </c>
      <c r="O10" s="41">
        <v>224.875</v>
      </c>
      <c r="P10" s="41">
        <v>164.06899999999999</v>
      </c>
      <c r="Q10" s="41">
        <v>508.05500000000001</v>
      </c>
      <c r="R10" s="41">
        <v>145.333</v>
      </c>
      <c r="S10" s="41">
        <v>205.55199999999999</v>
      </c>
      <c r="T10" s="41">
        <v>279.822</v>
      </c>
      <c r="U10" s="41">
        <v>142.72499999999999</v>
      </c>
      <c r="V10" s="41">
        <v>27.702999999999999</v>
      </c>
      <c r="W10" s="41">
        <v>317.51299999999998</v>
      </c>
      <c r="X10" s="41">
        <v>1123.1410000000001</v>
      </c>
      <c r="Y10" s="41">
        <v>1348.4369999999999</v>
      </c>
      <c r="Z10" s="41">
        <v>653.05700000000002</v>
      </c>
      <c r="AA10" s="41">
        <v>742.61500000000001</v>
      </c>
      <c r="AB10" s="41">
        <v>105.134</v>
      </c>
      <c r="AC10" s="41">
        <v>172.56200000000001</v>
      </c>
      <c r="AD10" s="41">
        <v>218.411</v>
      </c>
      <c r="AE10" s="41">
        <v>320.11099999999999</v>
      </c>
      <c r="AF10" s="41">
        <v>4310.0820000000003</v>
      </c>
      <c r="AG10" s="41">
        <v>535.00800000000004</v>
      </c>
      <c r="AH10" s="41">
        <v>2.9489999999999998</v>
      </c>
      <c r="AI10" s="41">
        <v>125.807</v>
      </c>
      <c r="AJ10" s="41">
        <v>189.02500000000001</v>
      </c>
      <c r="AK10" s="41">
        <v>1294.2190000000001</v>
      </c>
      <c r="AL10" s="41">
        <v>0</v>
      </c>
    </row>
    <row r="11" spans="1:38" ht="21" x14ac:dyDescent="0.25">
      <c r="A11" s="15" t="s">
        <v>62</v>
      </c>
      <c r="B11" s="14" t="s">
        <v>59</v>
      </c>
      <c r="C11" s="40">
        <v>23693.246999999999</v>
      </c>
      <c r="D11" s="40">
        <v>373.81799999999998</v>
      </c>
      <c r="E11" s="40">
        <v>1090.153</v>
      </c>
      <c r="F11" s="40">
        <v>19.974</v>
      </c>
      <c r="G11" s="40">
        <v>8593.1170000000002</v>
      </c>
      <c r="H11" s="40">
        <v>8578.9609999999993</v>
      </c>
      <c r="I11" s="40">
        <v>715.76400000000001</v>
      </c>
      <c r="J11" s="40">
        <v>4223.018</v>
      </c>
      <c r="K11" s="40">
        <v>6675.3450000000003</v>
      </c>
      <c r="L11" s="40">
        <v>23007.226999999999</v>
      </c>
      <c r="M11" s="40">
        <v>7876.8879999999999</v>
      </c>
      <c r="N11" s="40">
        <v>7009.0640000000003</v>
      </c>
      <c r="O11" s="40">
        <v>16491.233</v>
      </c>
      <c r="P11" s="40">
        <v>12836.473</v>
      </c>
      <c r="Q11" s="40">
        <v>55454.116999999998</v>
      </c>
      <c r="R11" s="40">
        <v>11630.269</v>
      </c>
      <c r="S11" s="40">
        <v>14470.071</v>
      </c>
      <c r="T11" s="40">
        <v>19966.830999999998</v>
      </c>
      <c r="U11" s="40">
        <v>5894.18</v>
      </c>
      <c r="V11" s="40">
        <v>2399.5709999999999</v>
      </c>
      <c r="W11" s="40">
        <v>28695.919999999998</v>
      </c>
      <c r="X11" s="40">
        <v>12643.012000000001</v>
      </c>
      <c r="Y11" s="40">
        <v>62280.332000000002</v>
      </c>
      <c r="Z11" s="40">
        <v>21432.651999999998</v>
      </c>
      <c r="AA11" s="40">
        <v>14476.701999999999</v>
      </c>
      <c r="AB11" s="40">
        <v>4080.1280000000002</v>
      </c>
      <c r="AC11" s="40">
        <v>11080.132</v>
      </c>
      <c r="AD11" s="40">
        <v>9482.3140000000003</v>
      </c>
      <c r="AE11" s="40">
        <v>38740.508999999998</v>
      </c>
      <c r="AF11" s="40">
        <v>84668.270999999993</v>
      </c>
      <c r="AG11" s="40">
        <v>32748.65</v>
      </c>
      <c r="AH11" s="40">
        <v>33994.800999999999</v>
      </c>
      <c r="AI11" s="40">
        <v>10800.129000000001</v>
      </c>
      <c r="AJ11" s="40">
        <v>13424.741</v>
      </c>
      <c r="AK11" s="40">
        <v>14679.816000000001</v>
      </c>
      <c r="AL11" s="40">
        <v>0</v>
      </c>
    </row>
    <row r="12" spans="1:38" x14ac:dyDescent="0.2">
      <c r="A12" s="16" t="s">
        <v>63</v>
      </c>
    </row>
  </sheetData>
  <mergeCells count="9">
    <mergeCell ref="A6:B6"/>
    <mergeCell ref="C6:AL6"/>
    <mergeCell ref="A7:B7"/>
    <mergeCell ref="A3:B3"/>
    <mergeCell ref="C3:AL3"/>
    <mergeCell ref="A4:B4"/>
    <mergeCell ref="C4:AL4"/>
    <mergeCell ref="A5:B5"/>
    <mergeCell ref="C5:AL5"/>
  </mergeCells>
  <phoneticPr fontId="18" type="noConversion"/>
  <hyperlinks>
    <hyperlink ref="A2" r:id="rId1" display="http://localhost/OECDStat_Metadata/ShowMetadata.ashx?Dataset=IOTSI4_2018&amp;ShowOnWeb=true&amp;Lang=en" xr:uid="{82B6A425-3D27-4435-9929-DBC04F8C40DA}"/>
    <hyperlink ref="C3" r:id="rId2" display="http://localhost/OECDStat_Metadata/ShowMetadata.ashx?Dataset=IOTSI4_2018&amp;Coords=[VAR].[VAL]&amp;ShowOnWeb=true&amp;Lang=en" xr:uid="{E1DB5FA9-F0C8-46EF-AF20-C37B335CBE8D}"/>
    <hyperlink ref="A12" r:id="rId3" display="https://stats-3.oecd.org/index.aspx?DatasetCode=IOTSI4_2018" xr:uid="{96E1BA7C-6BFD-4A05-B174-7EB62878F017}"/>
  </hyperlinks>
  <pageMargins left="0.75" right="0.75" top="1" bottom="1" header="0.5" footer="0.5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2B1D3-4198-45EA-9452-113DD1DEBC15}">
  <dimension ref="A1:F33"/>
  <sheetViews>
    <sheetView workbookViewId="0">
      <selection activeCell="E14" sqref="E14"/>
    </sheetView>
  </sheetViews>
  <sheetFormatPr defaultColWidth="9.125" defaultRowHeight="16.5" x14ac:dyDescent="0.3"/>
  <cols>
    <col min="1" max="1" width="25" style="20" customWidth="1"/>
    <col min="2" max="2" width="9" style="20" customWidth="1"/>
    <col min="3" max="3" width="5.5" style="20" bestFit="1" customWidth="1"/>
    <col min="4" max="4" width="26.5" style="20" customWidth="1"/>
    <col min="5" max="5" width="19.375" style="20" bestFit="1" customWidth="1"/>
    <col min="6" max="16384" width="9.125" style="20"/>
  </cols>
  <sheetData>
    <row r="1" spans="1:6" s="47" customFormat="1" x14ac:dyDescent="0.3">
      <c r="A1" s="3" t="s">
        <v>108</v>
      </c>
      <c r="B1" s="3" t="s">
        <v>263</v>
      </c>
    </row>
    <row r="2" spans="1:6" s="47" customFormat="1" x14ac:dyDescent="0.3">
      <c r="A2" s="3" t="s">
        <v>110</v>
      </c>
      <c r="B2" s="3" t="s">
        <v>260</v>
      </c>
    </row>
    <row r="3" spans="1:6" s="47" customFormat="1" x14ac:dyDescent="0.3">
      <c r="A3" s="3" t="s">
        <v>112</v>
      </c>
      <c r="B3" s="3" t="s">
        <v>269</v>
      </c>
    </row>
    <row r="4" spans="1:6" s="47" customFormat="1" x14ac:dyDescent="0.3">
      <c r="A4" s="3" t="s">
        <v>114</v>
      </c>
      <c r="B4" s="3" t="s">
        <v>264</v>
      </c>
    </row>
    <row r="5" spans="1:6" s="47" customFormat="1" x14ac:dyDescent="0.3">
      <c r="A5" s="3" t="s">
        <v>116</v>
      </c>
      <c r="B5" s="3" t="s">
        <v>265</v>
      </c>
    </row>
    <row r="6" spans="1:6" s="47" customFormat="1" x14ac:dyDescent="0.3">
      <c r="A6" s="3" t="s">
        <v>117</v>
      </c>
      <c r="B6" s="3" t="s">
        <v>266</v>
      </c>
    </row>
    <row r="7" spans="1:6" s="47" customFormat="1" x14ac:dyDescent="0.3">
      <c r="A7" s="3" t="s">
        <v>59</v>
      </c>
      <c r="B7" s="3" t="s">
        <v>119</v>
      </c>
    </row>
    <row r="8" spans="1:6" s="47" customFormat="1" x14ac:dyDescent="0.3">
      <c r="A8" s="3" t="s">
        <v>252</v>
      </c>
      <c r="B8" s="3" t="s">
        <v>267</v>
      </c>
    </row>
    <row r="9" spans="1:6" s="47" customFormat="1" x14ac:dyDescent="0.3">
      <c r="A9" s="3" t="s">
        <v>120</v>
      </c>
    </row>
    <row r="10" spans="1:6" s="47" customFormat="1" x14ac:dyDescent="0.3">
      <c r="A10" s="3" t="s">
        <v>121</v>
      </c>
      <c r="B10" s="3" t="s">
        <v>268</v>
      </c>
    </row>
    <row r="11" spans="1:6" x14ac:dyDescent="0.3">
      <c r="A11" s="21"/>
      <c r="B11" s="37"/>
      <c r="C11" s="38"/>
      <c r="D11" s="38"/>
      <c r="E11" s="38"/>
      <c r="F11" s="38"/>
    </row>
    <row r="12" spans="1:6" x14ac:dyDescent="0.3">
      <c r="A12" s="21"/>
      <c r="B12" s="39"/>
      <c r="C12" s="38"/>
      <c r="D12" s="38"/>
      <c r="E12" s="38"/>
      <c r="F12" s="38"/>
    </row>
    <row r="13" spans="1:6" ht="33" x14ac:dyDescent="0.3">
      <c r="A13" s="48" t="s">
        <v>270</v>
      </c>
      <c r="B13" s="48" t="s">
        <v>271</v>
      </c>
      <c r="C13" s="48" t="s">
        <v>131</v>
      </c>
      <c r="D13" s="49" t="s">
        <v>427</v>
      </c>
      <c r="E13" s="67" t="s">
        <v>429</v>
      </c>
    </row>
    <row r="14" spans="1:6" x14ac:dyDescent="0.3">
      <c r="A14" s="50" t="s">
        <v>272</v>
      </c>
      <c r="B14" s="50" t="s">
        <v>273</v>
      </c>
      <c r="C14" s="50" t="s">
        <v>274</v>
      </c>
      <c r="D14" s="57">
        <v>3057.5</v>
      </c>
      <c r="E14" s="20">
        <f>D14*1000/173.8</f>
        <v>17592.059838895282</v>
      </c>
    </row>
    <row r="15" spans="1:6" x14ac:dyDescent="0.3">
      <c r="A15" s="52" t="s">
        <v>59</v>
      </c>
      <c r="B15" s="52" t="s">
        <v>59</v>
      </c>
      <c r="C15" s="50" t="s">
        <v>275</v>
      </c>
      <c r="D15" s="57">
        <v>3221.1</v>
      </c>
      <c r="E15" s="20">
        <f t="shared" ref="E15:E33" si="0">D15*1000/173.8</f>
        <v>18533.371691599539</v>
      </c>
    </row>
    <row r="16" spans="1:6" x14ac:dyDescent="0.3">
      <c r="A16" s="52" t="s">
        <v>59</v>
      </c>
      <c r="B16" s="52" t="s">
        <v>59</v>
      </c>
      <c r="C16" s="50" t="s">
        <v>276</v>
      </c>
      <c r="D16" s="57">
        <v>3392.8</v>
      </c>
      <c r="E16" s="20">
        <f t="shared" si="0"/>
        <v>19521.288837744534</v>
      </c>
    </row>
    <row r="17" spans="1:5" x14ac:dyDescent="0.3">
      <c r="A17" s="53" t="s">
        <v>59</v>
      </c>
      <c r="B17" s="53" t="s">
        <v>59</v>
      </c>
      <c r="C17" s="54" t="s">
        <v>277</v>
      </c>
      <c r="D17" s="57">
        <v>3642.5</v>
      </c>
      <c r="E17" s="20">
        <f t="shared" si="0"/>
        <v>20957.997698504027</v>
      </c>
    </row>
    <row r="18" spans="1:5" x14ac:dyDescent="0.3">
      <c r="A18" s="50" t="s">
        <v>278</v>
      </c>
      <c r="B18" s="50" t="s">
        <v>235</v>
      </c>
      <c r="C18" s="50" t="s">
        <v>279</v>
      </c>
      <c r="D18" s="57">
        <v>3845.6</v>
      </c>
      <c r="E18" s="20">
        <f t="shared" si="0"/>
        <v>22126.582278481012</v>
      </c>
    </row>
    <row r="19" spans="1:5" x14ac:dyDescent="0.3">
      <c r="A19" s="52" t="s">
        <v>59</v>
      </c>
      <c r="B19" s="52" t="s">
        <v>59</v>
      </c>
      <c r="C19" s="50" t="s">
        <v>280</v>
      </c>
      <c r="D19" s="57">
        <v>3866</v>
      </c>
      <c r="E19" s="20">
        <f t="shared" si="0"/>
        <v>22243.958573072494</v>
      </c>
    </row>
    <row r="20" spans="1:5" x14ac:dyDescent="0.3">
      <c r="A20" s="52" t="s">
        <v>59</v>
      </c>
      <c r="B20" s="52" t="s">
        <v>59</v>
      </c>
      <c r="C20" s="50" t="s">
        <v>281</v>
      </c>
      <c r="D20" s="57">
        <v>4021.5</v>
      </c>
      <c r="E20" s="20">
        <f t="shared" si="0"/>
        <v>23138.665132336017</v>
      </c>
    </row>
    <row r="21" spans="1:5" x14ac:dyDescent="0.3">
      <c r="A21" s="52" t="s">
        <v>59</v>
      </c>
      <c r="B21" s="52" t="s">
        <v>59</v>
      </c>
      <c r="C21" s="50" t="s">
        <v>282</v>
      </c>
      <c r="D21" s="57">
        <v>4328.5</v>
      </c>
      <c r="E21" s="20">
        <f t="shared" si="0"/>
        <v>24905.063291139239</v>
      </c>
    </row>
    <row r="22" spans="1:5" x14ac:dyDescent="0.3">
      <c r="A22" s="52" t="s">
        <v>59</v>
      </c>
      <c r="B22" s="52" t="s">
        <v>59</v>
      </c>
      <c r="C22" s="50" t="s">
        <v>283</v>
      </c>
      <c r="D22" s="57">
        <v>4487.3</v>
      </c>
      <c r="E22" s="20">
        <f t="shared" si="0"/>
        <v>25818.757192174911</v>
      </c>
    </row>
    <row r="23" spans="1:5" x14ac:dyDescent="0.3">
      <c r="A23" s="52" t="s">
        <v>59</v>
      </c>
      <c r="B23" s="52" t="s">
        <v>59</v>
      </c>
      <c r="C23" s="50" t="s">
        <v>284</v>
      </c>
      <c r="D23" s="57">
        <v>4549.8</v>
      </c>
      <c r="E23" s="20">
        <f t="shared" si="0"/>
        <v>26178.365937859606</v>
      </c>
    </row>
    <row r="24" spans="1:5" x14ac:dyDescent="0.3">
      <c r="A24" s="52" t="s">
        <v>59</v>
      </c>
      <c r="B24" s="52" t="s">
        <v>59</v>
      </c>
      <c r="C24" s="50" t="s">
        <v>234</v>
      </c>
      <c r="D24" s="57">
        <v>4669.6000000000004</v>
      </c>
      <c r="E24" s="20">
        <f t="shared" si="0"/>
        <v>26867.66398158803</v>
      </c>
    </row>
    <row r="25" spans="1:5" x14ac:dyDescent="0.3">
      <c r="A25" s="52" t="s">
        <v>59</v>
      </c>
      <c r="B25" s="52" t="s">
        <v>59</v>
      </c>
      <c r="C25" s="50" t="s">
        <v>18</v>
      </c>
      <c r="D25" s="57">
        <v>4781.7</v>
      </c>
      <c r="E25" s="20">
        <f t="shared" si="0"/>
        <v>27512.6582278481</v>
      </c>
    </row>
    <row r="26" spans="1:5" x14ac:dyDescent="0.3">
      <c r="A26" s="52" t="s">
        <v>59</v>
      </c>
      <c r="B26" s="52" t="s">
        <v>59</v>
      </c>
      <c r="C26" s="50" t="s">
        <v>236</v>
      </c>
      <c r="D26" s="57">
        <v>4934.2</v>
      </c>
      <c r="E26" s="20">
        <f t="shared" si="0"/>
        <v>28390.103567318754</v>
      </c>
    </row>
    <row r="27" spans="1:5" x14ac:dyDescent="0.3">
      <c r="A27" s="52" t="s">
        <v>59</v>
      </c>
      <c r="B27" s="52" t="s">
        <v>59</v>
      </c>
      <c r="C27" s="50" t="s">
        <v>237</v>
      </c>
      <c r="D27" s="57">
        <v>5023.3999999999996</v>
      </c>
      <c r="E27" s="20">
        <f t="shared" si="0"/>
        <v>28903.337169159953</v>
      </c>
    </row>
    <row r="28" spans="1:5" x14ac:dyDescent="0.3">
      <c r="A28" s="53" t="s">
        <v>59</v>
      </c>
      <c r="B28" s="53" t="s">
        <v>59</v>
      </c>
      <c r="C28" s="54" t="s">
        <v>238</v>
      </c>
      <c r="D28" s="57">
        <v>5195.5</v>
      </c>
      <c r="E28" s="20">
        <f t="shared" si="0"/>
        <v>29893.555811277329</v>
      </c>
    </row>
    <row r="29" spans="1:5" x14ac:dyDescent="0.3">
      <c r="A29" s="50" t="s">
        <v>278</v>
      </c>
      <c r="B29" s="50" t="s">
        <v>235</v>
      </c>
      <c r="C29" s="50" t="s">
        <v>239</v>
      </c>
      <c r="D29" s="57">
        <v>5341.4</v>
      </c>
      <c r="E29" s="20">
        <f t="shared" si="0"/>
        <v>30733.026467203679</v>
      </c>
    </row>
    <row r="30" spans="1:5" x14ac:dyDescent="0.3">
      <c r="A30" s="52" t="s">
        <v>59</v>
      </c>
      <c r="B30" s="52" t="s">
        <v>59</v>
      </c>
      <c r="C30" s="50" t="s">
        <v>240</v>
      </c>
      <c r="D30" s="57">
        <v>5408.4</v>
      </c>
      <c r="E30" s="20">
        <f t="shared" si="0"/>
        <v>31118.527042577673</v>
      </c>
    </row>
    <row r="31" spans="1:5" x14ac:dyDescent="0.3">
      <c r="A31" s="52" t="s">
        <v>59</v>
      </c>
      <c r="B31" s="52" t="s">
        <v>59</v>
      </c>
      <c r="C31" s="50" t="s">
        <v>241</v>
      </c>
      <c r="D31" s="57">
        <v>5850.4</v>
      </c>
      <c r="E31" s="20">
        <f t="shared" si="0"/>
        <v>33661.68009205984</v>
      </c>
    </row>
    <row r="32" spans="1:5" x14ac:dyDescent="0.3">
      <c r="A32" s="52" t="s">
        <v>59</v>
      </c>
      <c r="B32" s="52" t="s">
        <v>59</v>
      </c>
      <c r="C32" s="50" t="s">
        <v>242</v>
      </c>
      <c r="D32" s="57">
        <v>6015.6</v>
      </c>
      <c r="E32" s="20">
        <f t="shared" si="0"/>
        <v>34612.197928653623</v>
      </c>
    </row>
    <row r="33" spans="1:5" x14ac:dyDescent="0.3">
      <c r="A33" s="53" t="s">
        <v>59</v>
      </c>
      <c r="B33" s="53" t="s">
        <v>59</v>
      </c>
      <c r="C33" s="54" t="s">
        <v>243</v>
      </c>
      <c r="D33" s="57">
        <v>6131.1</v>
      </c>
      <c r="E33" s="20">
        <f t="shared" si="0"/>
        <v>35276.754890678938</v>
      </c>
    </row>
  </sheetData>
  <mergeCells count="2">
    <mergeCell ref="B11:F11"/>
    <mergeCell ref="B12:F12"/>
  </mergeCells>
  <phoneticPr fontId="18" type="noConversion"/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July 11, 2020 (07:38:59 PM)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6D755-5DFC-4E47-A4E7-FD8B487B4280}">
  <dimension ref="A1:BD8"/>
  <sheetViews>
    <sheetView workbookViewId="0">
      <selection activeCell="AP27" sqref="AP27"/>
    </sheetView>
  </sheetViews>
  <sheetFormatPr defaultRowHeight="16.5" x14ac:dyDescent="0.3"/>
  <cols>
    <col min="3" max="36" width="9" hidden="1" customWidth="1"/>
    <col min="37" max="46" width="9" customWidth="1"/>
  </cols>
  <sheetData>
    <row r="1" spans="1:56" s="47" customFormat="1" x14ac:dyDescent="0.3">
      <c r="A1" s="63" t="s">
        <v>287</v>
      </c>
      <c r="B1" s="47" t="s">
        <v>288</v>
      </c>
    </row>
    <row r="2" spans="1:56" s="47" customFormat="1" x14ac:dyDescent="0.3">
      <c r="A2" s="63" t="s">
        <v>289</v>
      </c>
      <c r="B2" s="47" t="s">
        <v>290</v>
      </c>
    </row>
    <row r="3" spans="1:56" s="47" customFormat="1" x14ac:dyDescent="0.3">
      <c r="A3" s="64" t="s">
        <v>59</v>
      </c>
      <c r="B3" s="64"/>
      <c r="C3" s="65" t="s">
        <v>291</v>
      </c>
      <c r="D3" s="65" t="s">
        <v>292</v>
      </c>
      <c r="E3" s="65" t="s">
        <v>293</v>
      </c>
      <c r="F3" s="65" t="s">
        <v>294</v>
      </c>
      <c r="G3" s="65" t="s">
        <v>295</v>
      </c>
      <c r="H3" s="65" t="s">
        <v>296</v>
      </c>
      <c r="I3" s="65" t="s">
        <v>297</v>
      </c>
      <c r="J3" s="65" t="s">
        <v>298</v>
      </c>
      <c r="K3" s="65" t="s">
        <v>299</v>
      </c>
      <c r="L3" s="65" t="s">
        <v>300</v>
      </c>
      <c r="M3" s="65" t="s">
        <v>301</v>
      </c>
      <c r="N3" s="65" t="s">
        <v>302</v>
      </c>
      <c r="O3" s="65" t="s">
        <v>303</v>
      </c>
      <c r="P3" s="65" t="s">
        <v>304</v>
      </c>
      <c r="Q3" s="65" t="s">
        <v>305</v>
      </c>
      <c r="R3" s="65" t="s">
        <v>306</v>
      </c>
      <c r="S3" s="65" t="s">
        <v>307</v>
      </c>
      <c r="T3" s="65" t="s">
        <v>308</v>
      </c>
      <c r="U3" s="65" t="s">
        <v>309</v>
      </c>
      <c r="V3" s="65" t="s">
        <v>310</v>
      </c>
      <c r="W3" s="65" t="s">
        <v>311</v>
      </c>
      <c r="X3" s="65" t="s">
        <v>312</v>
      </c>
      <c r="Y3" s="65" t="s">
        <v>313</v>
      </c>
      <c r="Z3" s="65" t="s">
        <v>314</v>
      </c>
      <c r="AA3" s="65" t="s">
        <v>315</v>
      </c>
      <c r="AB3" s="65" t="s">
        <v>316</v>
      </c>
      <c r="AC3" s="65" t="s">
        <v>317</v>
      </c>
      <c r="AD3" s="65" t="s">
        <v>318</v>
      </c>
      <c r="AE3" s="65" t="s">
        <v>319</v>
      </c>
      <c r="AF3" s="65" t="s">
        <v>320</v>
      </c>
      <c r="AG3" s="65" t="s">
        <v>321</v>
      </c>
      <c r="AH3" s="65" t="s">
        <v>322</v>
      </c>
      <c r="AI3" s="65" t="s">
        <v>323</v>
      </c>
      <c r="AJ3" s="65" t="s">
        <v>324</v>
      </c>
      <c r="AK3" s="65" t="s">
        <v>274</v>
      </c>
      <c r="AL3" s="65" t="s">
        <v>275</v>
      </c>
      <c r="AM3" s="65" t="s">
        <v>276</v>
      </c>
      <c r="AN3" s="65" t="s">
        <v>277</v>
      </c>
      <c r="AO3" s="65" t="s">
        <v>279</v>
      </c>
      <c r="AP3" s="65" t="s">
        <v>280</v>
      </c>
      <c r="AQ3" s="65" t="s">
        <v>281</v>
      </c>
      <c r="AR3" s="65" t="s">
        <v>282</v>
      </c>
      <c r="AS3" s="65" t="s">
        <v>283</v>
      </c>
      <c r="AT3" s="65" t="s">
        <v>284</v>
      </c>
      <c r="AU3" s="65" t="s">
        <v>234</v>
      </c>
      <c r="AV3" s="65" t="s">
        <v>18</v>
      </c>
      <c r="AW3" s="65" t="s">
        <v>236</v>
      </c>
      <c r="AX3" s="65" t="s">
        <v>237</v>
      </c>
      <c r="AY3" s="65" t="s">
        <v>238</v>
      </c>
      <c r="AZ3" s="65" t="s">
        <v>239</v>
      </c>
      <c r="BA3" s="65" t="s">
        <v>240</v>
      </c>
      <c r="BB3" s="65" t="s">
        <v>241</v>
      </c>
      <c r="BC3" s="65" t="s">
        <v>242</v>
      </c>
      <c r="BD3" s="65" t="s">
        <v>243</v>
      </c>
    </row>
    <row r="4" spans="1:56" s="47" customFormat="1" x14ac:dyDescent="0.3">
      <c r="A4" s="64" t="s">
        <v>290</v>
      </c>
      <c r="B4" s="65" t="s">
        <v>288</v>
      </c>
      <c r="C4" s="66" t="s">
        <v>325</v>
      </c>
      <c r="D4" s="66" t="s">
        <v>326</v>
      </c>
      <c r="E4" s="66" t="s">
        <v>327</v>
      </c>
      <c r="F4" s="66" t="s">
        <v>328</v>
      </c>
      <c r="G4" s="66" t="s">
        <v>329</v>
      </c>
      <c r="H4" s="66" t="s">
        <v>329</v>
      </c>
      <c r="I4" s="66" t="s">
        <v>329</v>
      </c>
      <c r="J4" s="66" t="s">
        <v>329</v>
      </c>
      <c r="K4" s="66" t="s">
        <v>329</v>
      </c>
      <c r="L4" s="66" t="s">
        <v>329</v>
      </c>
      <c r="M4" s="66" t="s">
        <v>330</v>
      </c>
      <c r="N4" s="66" t="s">
        <v>331</v>
      </c>
      <c r="O4" s="66" t="s">
        <v>332</v>
      </c>
      <c r="P4" s="66" t="s">
        <v>333</v>
      </c>
      <c r="Q4" s="66" t="s">
        <v>334</v>
      </c>
      <c r="R4" s="66" t="s">
        <v>335</v>
      </c>
      <c r="S4" s="66" t="s">
        <v>336</v>
      </c>
      <c r="T4" s="66" t="s">
        <v>337</v>
      </c>
      <c r="U4" s="66" t="s">
        <v>338</v>
      </c>
      <c r="V4" s="66" t="s">
        <v>339</v>
      </c>
      <c r="W4" s="66" t="s">
        <v>340</v>
      </c>
      <c r="X4" s="66" t="s">
        <v>341</v>
      </c>
      <c r="Y4" s="66" t="s">
        <v>342</v>
      </c>
      <c r="Z4" s="66" t="s">
        <v>343</v>
      </c>
      <c r="AA4" s="66" t="s">
        <v>344</v>
      </c>
      <c r="AB4" s="66" t="s">
        <v>345</v>
      </c>
      <c r="AC4" s="66" t="s">
        <v>346</v>
      </c>
      <c r="AD4" s="66" t="s">
        <v>347</v>
      </c>
      <c r="AE4" s="66" t="s">
        <v>348</v>
      </c>
      <c r="AF4" s="66" t="s">
        <v>349</v>
      </c>
      <c r="AG4" s="66" t="s">
        <v>350</v>
      </c>
      <c r="AH4" s="66" t="s">
        <v>351</v>
      </c>
      <c r="AI4" s="66" t="s">
        <v>352</v>
      </c>
      <c r="AJ4" s="66" t="s">
        <v>353</v>
      </c>
      <c r="AK4" s="66" t="s">
        <v>354</v>
      </c>
      <c r="AL4" s="66" t="s">
        <v>355</v>
      </c>
      <c r="AM4" s="66" t="s">
        <v>356</v>
      </c>
      <c r="AN4" s="66" t="s">
        <v>357</v>
      </c>
      <c r="AO4" s="66" t="s">
        <v>358</v>
      </c>
      <c r="AP4" s="66" t="s">
        <v>359</v>
      </c>
      <c r="AQ4" s="66" t="s">
        <v>360</v>
      </c>
      <c r="AR4" s="66" t="s">
        <v>361</v>
      </c>
      <c r="AS4" s="66" t="s">
        <v>362</v>
      </c>
      <c r="AT4" s="66" t="s">
        <v>363</v>
      </c>
      <c r="AU4" s="66" t="s">
        <v>364</v>
      </c>
      <c r="AV4" s="66" t="s">
        <v>365</v>
      </c>
      <c r="AW4" s="66" t="s">
        <v>366</v>
      </c>
      <c r="AX4" s="66" t="s">
        <v>367</v>
      </c>
      <c r="AY4" s="66" t="s">
        <v>368</v>
      </c>
      <c r="AZ4" s="66" t="s">
        <v>369</v>
      </c>
      <c r="BA4" s="66" t="s">
        <v>370</v>
      </c>
      <c r="BB4" s="66" t="s">
        <v>371</v>
      </c>
      <c r="BC4" s="66" t="s">
        <v>350</v>
      </c>
      <c r="BD4" s="66" t="s">
        <v>372</v>
      </c>
    </row>
    <row r="5" spans="1:56" s="47" customFormat="1" x14ac:dyDescent="0.3">
      <c r="A5" s="64"/>
      <c r="B5" s="65" t="s">
        <v>373</v>
      </c>
      <c r="C5" s="66" t="s">
        <v>374</v>
      </c>
      <c r="D5" s="66" t="s">
        <v>375</v>
      </c>
      <c r="E5" s="66" t="s">
        <v>376</v>
      </c>
      <c r="F5" s="66" t="s">
        <v>377</v>
      </c>
      <c r="G5" s="66" t="s">
        <v>378</v>
      </c>
      <c r="H5" s="66" t="s">
        <v>379</v>
      </c>
      <c r="I5" s="66" t="s">
        <v>379</v>
      </c>
      <c r="J5" s="66" t="s">
        <v>379</v>
      </c>
      <c r="K5" s="66" t="s">
        <v>379</v>
      </c>
      <c r="L5" s="66" t="s">
        <v>379</v>
      </c>
      <c r="M5" s="66" t="s">
        <v>380</v>
      </c>
      <c r="N5" s="66" t="s">
        <v>381</v>
      </c>
      <c r="O5" s="66" t="s">
        <v>382</v>
      </c>
      <c r="P5" s="66" t="s">
        <v>383</v>
      </c>
      <c r="Q5" s="66" t="s">
        <v>374</v>
      </c>
      <c r="R5" s="66" t="s">
        <v>384</v>
      </c>
      <c r="S5" s="66" t="s">
        <v>385</v>
      </c>
      <c r="T5" s="66" t="s">
        <v>386</v>
      </c>
      <c r="U5" s="66" t="s">
        <v>387</v>
      </c>
      <c r="V5" s="66" t="s">
        <v>388</v>
      </c>
      <c r="W5" s="66" t="s">
        <v>389</v>
      </c>
      <c r="X5" s="66" t="s">
        <v>390</v>
      </c>
      <c r="Y5" s="66" t="s">
        <v>391</v>
      </c>
      <c r="Z5" s="66" t="s">
        <v>392</v>
      </c>
      <c r="AA5" s="66" t="s">
        <v>393</v>
      </c>
      <c r="AB5" s="66" t="s">
        <v>394</v>
      </c>
      <c r="AC5" s="66" t="s">
        <v>395</v>
      </c>
      <c r="AD5" s="66" t="s">
        <v>396</v>
      </c>
      <c r="AE5" s="66" t="s">
        <v>397</v>
      </c>
      <c r="AF5" s="66" t="s">
        <v>398</v>
      </c>
      <c r="AG5" s="66" t="s">
        <v>399</v>
      </c>
      <c r="AH5" s="66" t="s">
        <v>400</v>
      </c>
      <c r="AI5" s="66" t="s">
        <v>401</v>
      </c>
      <c r="AJ5" s="66" t="s">
        <v>402</v>
      </c>
      <c r="AK5" s="66" t="s">
        <v>403</v>
      </c>
      <c r="AL5" s="66" t="s">
        <v>404</v>
      </c>
      <c r="AM5" s="66" t="s">
        <v>405</v>
      </c>
      <c r="AN5" s="66" t="s">
        <v>406</v>
      </c>
      <c r="AO5" s="66" t="s">
        <v>407</v>
      </c>
      <c r="AP5" s="66" t="s">
        <v>408</v>
      </c>
      <c r="AQ5" s="66" t="s">
        <v>409</v>
      </c>
      <c r="AR5" s="66" t="s">
        <v>410</v>
      </c>
      <c r="AS5" s="66" t="s">
        <v>411</v>
      </c>
      <c r="AT5" s="66" t="s">
        <v>412</v>
      </c>
      <c r="AU5" s="66" t="s">
        <v>413</v>
      </c>
      <c r="AV5" s="66" t="s">
        <v>414</v>
      </c>
      <c r="AW5" s="66" t="s">
        <v>415</v>
      </c>
      <c r="AX5" s="66" t="s">
        <v>416</v>
      </c>
      <c r="AY5" s="66" t="s">
        <v>408</v>
      </c>
      <c r="AZ5" s="66" t="s">
        <v>417</v>
      </c>
      <c r="BA5" s="66" t="s">
        <v>418</v>
      </c>
      <c r="BB5" s="66" t="s">
        <v>419</v>
      </c>
      <c r="BC5" s="66" t="s">
        <v>420</v>
      </c>
      <c r="BD5" s="66" t="s">
        <v>421</v>
      </c>
    </row>
    <row r="6" spans="1:56" x14ac:dyDescent="0.3">
      <c r="A6" s="63" t="s">
        <v>422</v>
      </c>
      <c r="B6" s="47" t="s">
        <v>423</v>
      </c>
    </row>
    <row r="7" spans="1:56" x14ac:dyDescent="0.3">
      <c r="A7" s="63" t="s">
        <v>424</v>
      </c>
      <c r="B7" s="47" t="s">
        <v>425</v>
      </c>
    </row>
    <row r="8" spans="1:56" x14ac:dyDescent="0.3">
      <c r="A8" s="47"/>
      <c r="B8" s="47" t="s">
        <v>426</v>
      </c>
    </row>
  </sheetData>
  <mergeCells count="2">
    <mergeCell ref="A3:B3"/>
    <mergeCell ref="A4:A5"/>
  </mergeCells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C27DF-B76C-4128-BEDA-C952593F02B8}">
  <sheetPr>
    <tabColor rgb="FF92D050"/>
  </sheetPr>
  <dimension ref="A1:AK31"/>
  <sheetViews>
    <sheetView workbookViewId="0">
      <selection activeCell="A11" sqref="A11"/>
    </sheetView>
  </sheetViews>
  <sheetFormatPr defaultRowHeight="16.5" x14ac:dyDescent="0.3"/>
  <cols>
    <col min="1" max="1" width="41.25" customWidth="1"/>
    <col min="2" max="3" width="9.25" bestFit="1" customWidth="1"/>
    <col min="4" max="4" width="9.125" customWidth="1"/>
  </cols>
  <sheetData>
    <row r="1" spans="1:21" x14ac:dyDescent="0.3">
      <c r="A1" t="s">
        <v>64</v>
      </c>
    </row>
    <row r="2" spans="1:21" x14ac:dyDescent="0.3">
      <c r="A2" t="s">
        <v>65</v>
      </c>
    </row>
    <row r="3" spans="1:21" x14ac:dyDescent="0.3">
      <c r="A3" t="s">
        <v>66</v>
      </c>
    </row>
    <row r="4" spans="1:21" x14ac:dyDescent="0.3">
      <c r="A4" t="s">
        <v>67</v>
      </c>
    </row>
    <row r="6" spans="1:21" x14ac:dyDescent="0.3">
      <c r="A6" t="s">
        <v>68</v>
      </c>
    </row>
    <row r="7" spans="1:21" x14ac:dyDescent="0.3">
      <c r="A7" t="s">
        <v>69</v>
      </c>
    </row>
    <row r="9" spans="1:21" x14ac:dyDescent="0.3">
      <c r="A9" s="2" t="s">
        <v>70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</row>
    <row r="10" spans="1:21" x14ac:dyDescent="0.3">
      <c r="B10">
        <v>2004</v>
      </c>
      <c r="C10">
        <v>2005</v>
      </c>
      <c r="D10">
        <v>2006</v>
      </c>
      <c r="E10">
        <v>2007</v>
      </c>
      <c r="F10">
        <v>2008</v>
      </c>
      <c r="G10">
        <v>2009</v>
      </c>
      <c r="H10">
        <v>2010</v>
      </c>
      <c r="I10">
        <v>2011</v>
      </c>
      <c r="J10">
        <v>2012</v>
      </c>
      <c r="K10">
        <v>2013</v>
      </c>
      <c r="L10">
        <v>2014</v>
      </c>
      <c r="M10">
        <v>2015</v>
      </c>
      <c r="N10">
        <v>2016</v>
      </c>
      <c r="O10">
        <v>2017</v>
      </c>
      <c r="P10">
        <v>2018</v>
      </c>
      <c r="Q10">
        <v>2019</v>
      </c>
      <c r="R10">
        <v>2020</v>
      </c>
      <c r="S10">
        <v>2021</v>
      </c>
      <c r="T10">
        <v>2022</v>
      </c>
      <c r="U10">
        <v>2023</v>
      </c>
    </row>
    <row r="11" spans="1:21" x14ac:dyDescent="0.3">
      <c r="A11" t="s">
        <v>286</v>
      </c>
      <c r="B11" cm="1">
        <f t="array" ref="B11:U11">TRANSPOSE('BLS Comp per Hr Worked'!E14:E33)</f>
        <v>17592.059838895282</v>
      </c>
      <c r="C11">
        <v>18533.371691599539</v>
      </c>
      <c r="D11">
        <v>19521.288837744534</v>
      </c>
      <c r="E11">
        <v>20957.997698504027</v>
      </c>
      <c r="F11">
        <v>22126.582278481012</v>
      </c>
      <c r="G11">
        <v>22243.958573072494</v>
      </c>
      <c r="H11">
        <v>23138.665132336017</v>
      </c>
      <c r="I11">
        <v>24905.063291139239</v>
      </c>
      <c r="J11">
        <v>25818.757192174911</v>
      </c>
      <c r="K11">
        <v>26178.365937859606</v>
      </c>
      <c r="L11">
        <v>26867.66398158803</v>
      </c>
      <c r="M11">
        <v>27512.6582278481</v>
      </c>
      <c r="N11">
        <v>28390.103567318754</v>
      </c>
      <c r="O11">
        <v>28903.337169159953</v>
      </c>
      <c r="P11">
        <v>29893.555811277329</v>
      </c>
      <c r="Q11">
        <v>30733.026467203679</v>
      </c>
      <c r="R11">
        <v>31118.527042577673</v>
      </c>
      <c r="S11">
        <v>33661.68009205984</v>
      </c>
      <c r="T11">
        <v>34612.197928653623</v>
      </c>
      <c r="U11">
        <v>35276.754890678938</v>
      </c>
    </row>
    <row r="12" spans="1:21" x14ac:dyDescent="0.3">
      <c r="A12" t="s">
        <v>428</v>
      </c>
      <c r="B12" t="str">
        <f>'exchange rate'!AK4</f>
        <v>1,035.1</v>
      </c>
      <c r="C12" t="str">
        <f>'exchange rate'!AL4</f>
        <v>1,011.6</v>
      </c>
      <c r="D12" t="str">
        <f>'exchange rate'!AM4</f>
        <v>929.8</v>
      </c>
      <c r="E12" t="str">
        <f>'exchange rate'!AN4</f>
        <v>936.1</v>
      </c>
      <c r="F12" t="str">
        <f>'exchange rate'!AO4</f>
        <v>1,259.5</v>
      </c>
      <c r="G12" t="str">
        <f>'exchange rate'!AP4</f>
        <v>1,164.5</v>
      </c>
      <c r="H12" t="str">
        <f>'exchange rate'!AQ4</f>
        <v>1,134.8</v>
      </c>
      <c r="I12" t="str">
        <f>'exchange rate'!AR4</f>
        <v>1,151.8</v>
      </c>
      <c r="J12" t="str">
        <f>'exchange rate'!AS4</f>
        <v>1,070.6</v>
      </c>
      <c r="K12" t="str">
        <f>'exchange rate'!AT4</f>
        <v>1,055.4</v>
      </c>
      <c r="L12" t="str">
        <f>'exchange rate'!AU4</f>
        <v>1,099.3</v>
      </c>
      <c r="M12" t="str">
        <f>'exchange rate'!AV4</f>
        <v>1,172.5</v>
      </c>
      <c r="N12" t="str">
        <f>'exchange rate'!AW4</f>
        <v>1,207.7</v>
      </c>
      <c r="O12" t="str">
        <f>'exchange rate'!AX4</f>
        <v>1,070.5</v>
      </c>
      <c r="P12" t="str">
        <f>'exchange rate'!AY4</f>
        <v>1,115.7</v>
      </c>
      <c r="Q12" t="str">
        <f>'exchange rate'!AZ4</f>
        <v>1,156.4</v>
      </c>
      <c r="R12" t="str">
        <f>'exchange rate'!BA4</f>
        <v>1,086.3</v>
      </c>
      <c r="S12" t="str">
        <f>'exchange rate'!BB4</f>
        <v>1,188.8</v>
      </c>
      <c r="T12" t="str">
        <f>'exchange rate'!BC4</f>
        <v>1,264.5</v>
      </c>
      <c r="U12" t="str">
        <f>'exchange rate'!BD4</f>
        <v>1,288.0</v>
      </c>
    </row>
    <row r="13" spans="1:21" x14ac:dyDescent="0.3">
      <c r="A13" t="s">
        <v>285</v>
      </c>
      <c r="B13">
        <f>B11/B12</f>
        <v>16.995517185677986</v>
      </c>
      <c r="C13">
        <f t="shared" ref="C13:U13" si="0">C11/C12</f>
        <v>18.320849833530584</v>
      </c>
      <c r="D13">
        <f t="shared" si="0"/>
        <v>20.995148244509071</v>
      </c>
      <c r="E13">
        <f t="shared" si="0"/>
        <v>22.38863123438097</v>
      </c>
      <c r="F13">
        <f t="shared" si="0"/>
        <v>17.567750915824544</v>
      </c>
      <c r="G13">
        <f t="shared" si="0"/>
        <v>19.101724837331467</v>
      </c>
      <c r="H13">
        <f t="shared" si="0"/>
        <v>20.390082069383165</v>
      </c>
      <c r="I13">
        <f t="shared" si="0"/>
        <v>21.622732497950373</v>
      </c>
      <c r="J13">
        <f t="shared" si="0"/>
        <v>24.11615654042118</v>
      </c>
      <c r="K13">
        <f t="shared" si="0"/>
        <v>24.80421256192875</v>
      </c>
      <c r="L13">
        <f t="shared" si="0"/>
        <v>24.440702248328964</v>
      </c>
      <c r="M13">
        <f t="shared" si="0"/>
        <v>23.464953712450406</v>
      </c>
      <c r="N13">
        <f t="shared" si="0"/>
        <v>23.507579338675793</v>
      </c>
      <c r="O13">
        <f t="shared" si="0"/>
        <v>26.999847892722983</v>
      </c>
      <c r="P13">
        <f t="shared" si="0"/>
        <v>26.793542897980934</v>
      </c>
      <c r="Q13">
        <f t="shared" si="0"/>
        <v>26.576467024562156</v>
      </c>
      <c r="R13">
        <f t="shared" si="0"/>
        <v>28.646347272924306</v>
      </c>
      <c r="S13">
        <f t="shared" si="0"/>
        <v>28.315679754424497</v>
      </c>
      <c r="T13">
        <f t="shared" si="0"/>
        <v>27.372240354807136</v>
      </c>
      <c r="U13">
        <f t="shared" si="0"/>
        <v>27.388784853011597</v>
      </c>
    </row>
    <row r="14" spans="1:21" x14ac:dyDescent="0.3">
      <c r="A14" s="19" t="s">
        <v>72</v>
      </c>
      <c r="B14">
        <v>1.2154261514028599</v>
      </c>
      <c r="C14">
        <v>1.1755965181771633</v>
      </c>
      <c r="D14">
        <v>1.1388591269841271</v>
      </c>
      <c r="E14">
        <v>1.107320272786025</v>
      </c>
      <c r="F14">
        <v>1.0663762232760343</v>
      </c>
      <c r="G14">
        <v>1.0701836979169095</v>
      </c>
      <c r="H14">
        <v>1.0529130131709286</v>
      </c>
      <c r="I14">
        <v>1.0206944993976144</v>
      </c>
      <c r="J14">
        <v>1</v>
      </c>
      <c r="K14">
        <v>0.98556385942470071</v>
      </c>
      <c r="L14">
        <v>0.96983137334414704</v>
      </c>
      <c r="M14">
        <v>0.9686815713640794</v>
      </c>
      <c r="N14">
        <v>0.95661376543184151</v>
      </c>
      <c r="O14">
        <v>0.93665959530026111</v>
      </c>
      <c r="P14">
        <v>0.9143273584567535</v>
      </c>
      <c r="Q14">
        <v>0.89805481563188172</v>
      </c>
      <c r="R14">
        <v>0.88711067149387013</v>
      </c>
      <c r="S14">
        <v>0.84730412960844359</v>
      </c>
      <c r="T14">
        <v>0.78452102304761584</v>
      </c>
      <c r="U14">
        <v>0.75350342301658668</v>
      </c>
    </row>
    <row r="15" spans="1:21" x14ac:dyDescent="0.3">
      <c r="A15" t="s">
        <v>71</v>
      </c>
      <c r="B15">
        <f>B13*B14</f>
        <v>20.656796044089759</v>
      </c>
      <c r="C15">
        <f t="shared" ref="C15:U15" si="1">C13*C14</f>
        <v>21.537927274345215</v>
      </c>
      <c r="D15">
        <f t="shared" si="1"/>
        <v>23.910516200643929</v>
      </c>
      <c r="E15">
        <f t="shared" si="1"/>
        <v>24.791385245760456</v>
      </c>
      <c r="F15">
        <f t="shared" si="1"/>
        <v>18.733831873071068</v>
      </c>
      <c r="G15">
        <f t="shared" si="1"/>
        <v>20.442354523006667</v>
      </c>
      <c r="H15">
        <f t="shared" si="1"/>
        <v>21.468982750476751</v>
      </c>
      <c r="I15">
        <f t="shared" si="1"/>
        <v>22.070204122603982</v>
      </c>
      <c r="J15">
        <f t="shared" si="1"/>
        <v>24.11615654042118</v>
      </c>
      <c r="K15">
        <f t="shared" si="1"/>
        <v>24.446135462525142</v>
      </c>
      <c r="L15">
        <f t="shared" si="1"/>
        <v>23.703359826992262</v>
      </c>
      <c r="M15">
        <f t="shared" si="1"/>
        <v>22.730068234161848</v>
      </c>
      <c r="N15">
        <f t="shared" si="1"/>
        <v>22.487673987358409</v>
      </c>
      <c r="O15">
        <f t="shared" si="1"/>
        <v>25.289666600366516</v>
      </c>
      <c r="P15">
        <f t="shared" si="1"/>
        <v>24.498069301608616</v>
      </c>
      <c r="Q15">
        <f t="shared" si="1"/>
        <v>23.86712419388995</v>
      </c>
      <c r="R15">
        <f t="shared" si="1"/>
        <v>25.412480365130477</v>
      </c>
      <c r="S15">
        <f t="shared" si="1"/>
        <v>23.991992388594078</v>
      </c>
      <c r="T15">
        <f t="shared" si="1"/>
        <v>21.474098006258529</v>
      </c>
      <c r="U15">
        <f t="shared" si="1"/>
        <v>20.637543139009079</v>
      </c>
    </row>
    <row r="16" spans="1:21" x14ac:dyDescent="0.3">
      <c r="A16" t="s">
        <v>82</v>
      </c>
      <c r="C16" s="23">
        <f>(C15-B15)/B15</f>
        <v>4.265575495709855E-2</v>
      </c>
      <c r="D16" s="23">
        <f t="shared" ref="D16:Q16" si="2">(D15-C15)/C15</f>
        <v>0.11015864693371916</v>
      </c>
      <c r="E16" s="23">
        <f t="shared" si="2"/>
        <v>3.6840235389514663E-2</v>
      </c>
      <c r="F16" s="23">
        <f t="shared" si="2"/>
        <v>-0.24434106092257521</v>
      </c>
      <c r="G16" s="23">
        <f t="shared" si="2"/>
        <v>9.1199849636288965E-2</v>
      </c>
      <c r="H16" s="23">
        <f t="shared" si="2"/>
        <v>5.0220644902458499E-2</v>
      </c>
      <c r="I16" s="23">
        <f t="shared" si="2"/>
        <v>2.8004185345664782E-2</v>
      </c>
      <c r="J16" s="23">
        <f t="shared" si="2"/>
        <v>9.2702016096070566E-2</v>
      </c>
      <c r="K16" s="23">
        <f t="shared" si="2"/>
        <v>1.3682898497979263E-2</v>
      </c>
      <c r="L16" s="23">
        <f t="shared" si="2"/>
        <v>-3.0384174082301155E-2</v>
      </c>
      <c r="M16" s="23">
        <f t="shared" si="2"/>
        <v>-4.1061334761584113E-2</v>
      </c>
      <c r="N16" s="23">
        <f t="shared" si="2"/>
        <v>-1.0664035158466258E-2</v>
      </c>
      <c r="O16" s="23">
        <f t="shared" si="2"/>
        <v>0.12460126443416357</v>
      </c>
      <c r="P16" s="23">
        <f t="shared" si="2"/>
        <v>-3.1301215285551735E-2</v>
      </c>
      <c r="Q16" s="23">
        <f t="shared" si="2"/>
        <v>-2.5754891128389322E-2</v>
      </c>
      <c r="R16" s="23">
        <f t="shared" ref="R16" si="3">(R15-Q15)/Q15</f>
        <v>6.474831901348814E-2</v>
      </c>
      <c r="S16" s="23">
        <f t="shared" ref="S16" si="4">(S15-R15)/R15</f>
        <v>-5.5897258202529124E-2</v>
      </c>
      <c r="T16" s="23">
        <f t="shared" ref="T16" si="5">(T15-S15)/S15</f>
        <v>-0.10494728164104324</v>
      </c>
      <c r="U16" s="23">
        <f t="shared" ref="U16" si="6">(U15-T15)/T15</f>
        <v>-3.8956461268158521E-2</v>
      </c>
    </row>
    <row r="17" spans="1:37" x14ac:dyDescent="0.3">
      <c r="A17" s="1" t="s">
        <v>83</v>
      </c>
      <c r="B17" s="25">
        <f>AVERAGE(C16:U16)</f>
        <v>3.7634790924130274E-3</v>
      </c>
    </row>
    <row r="18" spans="1:37" x14ac:dyDescent="0.3">
      <c r="J18" s="61"/>
    </row>
    <row r="23" spans="1:37" x14ac:dyDescent="0.3">
      <c r="A23" s="2" t="s">
        <v>73</v>
      </c>
      <c r="B23" s="17"/>
    </row>
    <row r="24" spans="1:37" x14ac:dyDescent="0.3">
      <c r="A24" s="18">
        <f>SUM('OECD VAL'!C9:AL9)*10^6</f>
        <v>618915143000</v>
      </c>
      <c r="B24" t="s">
        <v>74</v>
      </c>
    </row>
    <row r="25" spans="1:37" x14ac:dyDescent="0.3">
      <c r="A25" s="18">
        <f>A24*$M$14</f>
        <v>599531693262.26392</v>
      </c>
      <c r="B25" t="s">
        <v>75</v>
      </c>
    </row>
    <row r="27" spans="1:37" x14ac:dyDescent="0.3">
      <c r="A27" s="1" t="s">
        <v>79</v>
      </c>
    </row>
    <row r="28" spans="1:37" x14ac:dyDescent="0.3">
      <c r="B28">
        <v>2015</v>
      </c>
      <c r="C28">
        <v>2016</v>
      </c>
      <c r="D28">
        <v>2017</v>
      </c>
      <c r="E28">
        <v>2018</v>
      </c>
      <c r="F28">
        <v>2019</v>
      </c>
      <c r="G28">
        <v>2020</v>
      </c>
      <c r="H28">
        <v>2021</v>
      </c>
      <c r="I28">
        <v>2022</v>
      </c>
      <c r="J28">
        <v>2023</v>
      </c>
      <c r="K28">
        <v>2024</v>
      </c>
      <c r="L28">
        <v>2025</v>
      </c>
      <c r="M28">
        <v>2026</v>
      </c>
      <c r="N28">
        <v>2027</v>
      </c>
      <c r="O28">
        <v>2028</v>
      </c>
      <c r="P28">
        <v>2029</v>
      </c>
      <c r="Q28">
        <v>2030</v>
      </c>
      <c r="R28">
        <v>2031</v>
      </c>
      <c r="S28">
        <v>2032</v>
      </c>
      <c r="T28">
        <v>2033</v>
      </c>
      <c r="U28">
        <v>2034</v>
      </c>
      <c r="V28">
        <v>2035</v>
      </c>
      <c r="W28">
        <v>2036</v>
      </c>
      <c r="X28">
        <v>2037</v>
      </c>
      <c r="Y28">
        <v>2038</v>
      </c>
      <c r="Z28">
        <v>2039</v>
      </c>
      <c r="AA28">
        <v>2040</v>
      </c>
      <c r="AB28">
        <v>2041</v>
      </c>
      <c r="AC28">
        <v>2042</v>
      </c>
      <c r="AD28">
        <v>2043</v>
      </c>
      <c r="AE28">
        <v>2044</v>
      </c>
      <c r="AF28">
        <v>2045</v>
      </c>
      <c r="AG28">
        <v>2046</v>
      </c>
      <c r="AH28">
        <v>2047</v>
      </c>
      <c r="AI28">
        <v>2048</v>
      </c>
      <c r="AJ28">
        <v>2049</v>
      </c>
      <c r="AK28">
        <v>2050</v>
      </c>
    </row>
    <row r="29" spans="1:37" x14ac:dyDescent="0.3">
      <c r="A29" t="s">
        <v>80</v>
      </c>
      <c r="B29" s="22">
        <f>VLOOKUP(B$28,'Census Pop Projection'!$B:$C,2,FALSE)/'Census Pop Projection'!$C$3-1</f>
        <v>0</v>
      </c>
      <c r="C29" s="22">
        <f>VLOOKUP(C$28,'Census Pop Projection'!$B:$C,2,FALSE)/'Census Pop Projection'!$C$3-1</f>
        <v>3.9764032294300478E-3</v>
      </c>
      <c r="D29" s="22">
        <f>VLOOKUP(D$28,'Census Pop Projection'!$B:$C,2,FALSE)/'Census Pop Projection'!$C$3-1</f>
        <v>6.8012223946836148E-3</v>
      </c>
      <c r="E29" s="22">
        <f>VLOOKUP(E$28,'Census Pop Projection'!$B:$C,2,FALSE)/'Census Pop Projection'!$C$3-1</f>
        <v>1.1175371798386902E-2</v>
      </c>
      <c r="F29" s="22">
        <f>VLOOKUP(F$28,'Census Pop Projection'!$B:$C,2,FALSE)/'Census Pop Projection'!$C$3-1</f>
        <v>1.4699123376527234E-2</v>
      </c>
      <c r="G29" s="22">
        <f>VLOOKUP(G$28,'Census Pop Projection'!$B:$C,2,FALSE)/'Census Pop Projection'!$C$3-1</f>
        <v>1.6099046422610286E-2</v>
      </c>
      <c r="H29" s="22">
        <f>VLOOKUP(H$28,'Census Pop Projection'!$B:$C,2,FALSE)/'Census Pop Projection'!$C$3-1</f>
        <v>1.4791586473666296E-2</v>
      </c>
      <c r="I29" s="22">
        <f>VLOOKUP(I$28,'Census Pop Projection'!$B:$C,2,FALSE)/'Census Pop Projection'!$C$3-1</f>
        <v>1.2890771012660229E-2</v>
      </c>
      <c r="J29" s="22">
        <f>VLOOKUP(J$28,'Census Pop Projection'!$B:$C,2,FALSE)/'Census Pop Projection'!$C$3-1</f>
        <v>1.3675835044972162E-2</v>
      </c>
      <c r="K29" s="22">
        <f>VLOOKUP(K$28,'Census Pop Projection'!$B:$C,2,FALSE)/'Census Pop Projection'!$C$3-1</f>
        <v>1.4429457311795346E-2</v>
      </c>
      <c r="L29" s="22">
        <f>VLOOKUP(L$28,'Census Pop Projection'!$B:$C,2,FALSE)/'Census Pop Projection'!$C$3-1</f>
        <v>1.3125898180390116E-2</v>
      </c>
      <c r="M29" s="22">
        <f>VLOOKUP(M$28,'Census Pop Projection'!$B:$C,2,FALSE)/'Census Pop Projection'!$C$3-1</f>
        <v>1.164705708701419E-2</v>
      </c>
      <c r="N29" s="22">
        <f>VLOOKUP(N$28,'Census Pop Projection'!$B:$C,2,FALSE)/'Census Pop Projection'!$C$3-1</f>
        <v>1.0185328625353707E-2</v>
      </c>
      <c r="O29" s="22">
        <f>VLOOKUP(O$28,'Census Pop Projection'!$B:$C,2,FALSE)/'Census Pop Projection'!$C$3-1</f>
        <v>8.7215615454818707E-3</v>
      </c>
      <c r="P29" s="22">
        <f>VLOOKUP(P$28,'Census Pop Projection'!$B:$C,2,FALSE)/'Census Pop Projection'!$C$3-1</f>
        <v>7.235232450599316E-3</v>
      </c>
      <c r="Q29" s="22">
        <f>VLOOKUP(Q$28,'Census Pop Projection'!$B:$C,2,FALSE)/'Census Pop Projection'!$C$3-1</f>
        <v>5.6996236808792844E-3</v>
      </c>
      <c r="R29" s="22">
        <f>VLOOKUP(R$28,'Census Pop Projection'!$B:$C,2,FALSE)/'Census Pop Projection'!$C$3-1</f>
        <v>4.0835482981096405E-3</v>
      </c>
      <c r="S29" s="22">
        <f>VLOOKUP(S$28,'Census Pop Projection'!$B:$C,2,FALSE)/'Census Pop Projection'!$C$3-1</f>
        <v>2.3584852494309416E-3</v>
      </c>
      <c r="T29" s="22">
        <f>VLOOKUP(T$28,'Census Pop Projection'!$B:$C,2,FALSE)/'Census Pop Projection'!$C$3-1</f>
        <v>5.0347989188348485E-4</v>
      </c>
      <c r="U29" s="22">
        <f>VLOOKUP(U$28,'Census Pop Projection'!$B:$C,2,FALSE)/'Census Pop Projection'!$C$3-1</f>
        <v>-1.5136936239490417E-3</v>
      </c>
      <c r="V29" s="22">
        <f>VLOOKUP(V$28,'Census Pop Projection'!$B:$C,2,FALSE)/'Census Pop Projection'!$C$3-1</f>
        <v>-3.7259472209193456E-3</v>
      </c>
      <c r="W29" s="22">
        <f>VLOOKUP(W$28,'Census Pop Projection'!$B:$C,2,FALSE)/'Census Pop Projection'!$C$3-1</f>
        <v>-6.1463947027132759E-3</v>
      </c>
      <c r="X29" s="22">
        <f>VLOOKUP(X$28,'Census Pop Projection'!$B:$C,2,FALSE)/'Census Pop Projection'!$C$3-1</f>
        <v>-8.7795837561097656E-3</v>
      </c>
      <c r="Y29" s="22">
        <f>VLOOKUP(Y$28,'Census Pop Projection'!$B:$C,2,FALSE)/'Census Pop Projection'!$C$3-1</f>
        <v>-1.171774225306943E-2</v>
      </c>
      <c r="Z29" s="22">
        <f>VLOOKUP(Z$28,'Census Pop Projection'!$B:$C,2,FALSE)/'Census Pop Projection'!$C$3-1</f>
        <v>-1.5040493916420261E-2</v>
      </c>
      <c r="AA29" s="22">
        <f>VLOOKUP(AA$28,'Census Pop Projection'!$B:$C,2,FALSE)/'Census Pop Projection'!$C$3-1</f>
        <v>-1.8734293696316073E-2</v>
      </c>
      <c r="AB29" s="22">
        <f>VLOOKUP(AB$28,'Census Pop Projection'!$B:$C,2,FALSE)/'Census Pop Projection'!$C$3-1</f>
        <v>-2.2803316839670518E-2</v>
      </c>
      <c r="AC29" s="22">
        <f>VLOOKUP(AC$28,'Census Pop Projection'!$B:$C,2,FALSE)/'Census Pop Projection'!$C$3-1</f>
        <v>-2.7237742695292777E-2</v>
      </c>
      <c r="AD29" s="22">
        <f>VLOOKUP(AD$28,'Census Pop Projection'!$B:$C,2,FALSE)/'Census Pop Projection'!$C$3-1</f>
        <v>-3.2033376414171366E-2</v>
      </c>
      <c r="AE29" s="22">
        <f>VLOOKUP(AE$28,'Census Pop Projection'!$B:$C,2,FALSE)/'Census Pop Projection'!$C$3-1</f>
        <v>-3.7195275337637779E-2</v>
      </c>
      <c r="AF29" s="22">
        <f>VLOOKUP(AF$28,'Census Pop Projection'!$B:$C,2,FALSE)/'Census Pop Projection'!$C$3-1</f>
        <v>-4.2730927467198976E-2</v>
      </c>
      <c r="AG29" s="22">
        <f>VLOOKUP(AG$28,'Census Pop Projection'!$B:$C,2,FALSE)/'Census Pop Projection'!$C$3-1</f>
        <v>-4.8666442797637322E-2</v>
      </c>
      <c r="AH29" s="22">
        <f>VLOOKUP(AH$28,'Census Pop Projection'!$B:$C,2,FALSE)/'Census Pop Projection'!$C$3-1</f>
        <v>-5.5014719509558607E-2</v>
      </c>
      <c r="AI29" s="22">
        <f>VLOOKUP(AI$28,'Census Pop Projection'!$B:$C,2,FALSE)/'Census Pop Projection'!$C$3-1</f>
        <v>-6.1783382819156851E-2</v>
      </c>
      <c r="AJ29" s="22">
        <f>VLOOKUP(AJ$28,'Census Pop Projection'!$B:$C,2,FALSE)/'Census Pop Projection'!$C$3-1</f>
        <v>-6.8980430382491575E-2</v>
      </c>
      <c r="AK29" s="22">
        <f>VLOOKUP(AK$28,'Census Pop Projection'!$B:$C,2,FALSE)/'Census Pop Projection'!$C$3-1</f>
        <v>-7.6604744879966269E-2</v>
      </c>
    </row>
    <row r="30" spans="1:37" x14ac:dyDescent="0.3">
      <c r="A30" t="s">
        <v>81</v>
      </c>
      <c r="B30">
        <v>0</v>
      </c>
      <c r="C30" s="23">
        <f>B30*(1+$B$17)+$B$17</f>
        <v>3.7634790924130274E-3</v>
      </c>
      <c r="D30" s="23">
        <f>C30*(1+$B$17)+$B$17</f>
        <v>7.541121959705085E-3</v>
      </c>
      <c r="E30" s="23">
        <f t="shared" ref="E30:AK30" si="7">D30*(1+$B$17)+$B$17</f>
        <v>1.13329819069468E-2</v>
      </c>
      <c r="F30" s="23">
        <f t="shared" si="7"/>
        <v>1.5139112439821316E-2</v>
      </c>
      <c r="G30" s="23">
        <f t="shared" si="7"/>
        <v>1.8959567265379302E-2</v>
      </c>
      <c r="H30" s="23">
        <f t="shared" si="7"/>
        <v>2.2794400292796783E-2</v>
      </c>
      <c r="I30" s="23">
        <f t="shared" si="7"/>
        <v>2.6643665634135845E-2</v>
      </c>
      <c r="J30" s="23">
        <f t="shared" si="7"/>
        <v>3.0507417605108188E-2</v>
      </c>
      <c r="K30" s="23">
        <f t="shared" si="7"/>
        <v>3.4385710725841553E-2</v>
      </c>
      <c r="L30" s="23">
        <f t="shared" si="7"/>
        <v>3.827859972164905E-2</v>
      </c>
      <c r="M30" s="23">
        <f t="shared" si="7"/>
        <v>4.2186139523801354E-2</v>
      </c>
      <c r="N30" s="23">
        <f t="shared" si="7"/>
        <v>4.6108385270301831E-2</v>
      </c>
      <c r="O30" s="23">
        <f t="shared" si="7"/>
        <v>5.0045392306664563E-2</v>
      </c>
      <c r="P30" s="23">
        <f t="shared" si="7"/>
        <v>5.3997216186695333E-2</v>
      </c>
      <c r="Q30" s="23">
        <f t="shared" si="7"/>
        <v>5.7963912673275497E-2</v>
      </c>
      <c r="R30" s="23">
        <f t="shared" si="7"/>
        <v>6.1945537739148855E-2</v>
      </c>
      <c r="S30" s="23">
        <f t="shared" si="7"/>
        <v>6.5942147567711454E-2</v>
      </c>
      <c r="T30" s="23">
        <f t="shared" si="7"/>
        <v>6.9953798553804375E-2</v>
      </c>
      <c r="U30" s="23">
        <f t="shared" si="7"/>
        <v>7.3980547304509509E-2</v>
      </c>
      <c r="V30" s="23">
        <f t="shared" si="7"/>
        <v>7.8022450639948324E-2</v>
      </c>
      <c r="W30" s="23">
        <f t="shared" si="7"/>
        <v>8.2079565594083623E-2</v>
      </c>
      <c r="X30" s="23">
        <f t="shared" si="7"/>
        <v>8.6151949415524329E-2</v>
      </c>
      <c r="Y30" s="23">
        <f t="shared" si="7"/>
        <v>9.0239659568333297E-2</v>
      </c>
      <c r="Z30" s="23">
        <f t="shared" si="7"/>
        <v>9.4342753732838208E-2</v>
      </c>
      <c r="AA30" s="23">
        <f t="shared" si="7"/>
        <v>9.8461289806445432E-2</v>
      </c>
      <c r="AB30" s="23">
        <f t="shared" si="7"/>
        <v>0.10259532590445704</v>
      </c>
      <c r="AC30" s="23">
        <f t="shared" si="7"/>
        <v>0.10674492036089078</v>
      </c>
      <c r="AD30" s="23">
        <f t="shared" si="7"/>
        <v>0.11091013172930331</v>
      </c>
      <c r="AE30" s="23">
        <f t="shared" si="7"/>
        <v>0.11509101878361634</v>
      </c>
      <c r="AF30" s="23">
        <f t="shared" si="7"/>
        <v>0.11928764051894603</v>
      </c>
      <c r="AG30" s="23">
        <f t="shared" si="7"/>
        <v>0.12350005615243538</v>
      </c>
      <c r="AH30" s="23">
        <f t="shared" si="7"/>
        <v>0.12772832512408994</v>
      </c>
      <c r="AI30" s="23">
        <f t="shared" si="7"/>
        <v>0.13197250709761643</v>
      </c>
      <c r="AJ30" s="23">
        <f t="shared" si="7"/>
        <v>0.13623266196126468</v>
      </c>
      <c r="AK30" s="23">
        <f t="shared" si="7"/>
        <v>0.14050884982867271</v>
      </c>
    </row>
    <row r="31" spans="1:37" x14ac:dyDescent="0.3">
      <c r="A31" t="s">
        <v>76</v>
      </c>
      <c r="B31" s="26">
        <f>A25</f>
        <v>599531693262.26392</v>
      </c>
      <c r="C31" s="26">
        <f>$B31*(1+C29)*(1+C30)</f>
        <v>604180970074.31738</v>
      </c>
      <c r="D31" s="26">
        <f t="shared" ref="D31:AK31" si="8">$B31*(1+D29)*(1+D30)</f>
        <v>608161132548.02014</v>
      </c>
      <c r="E31" s="26">
        <f t="shared" si="8"/>
        <v>613102095532.42273</v>
      </c>
      <c r="F31" s="26">
        <f t="shared" si="8"/>
        <v>617554076101.05066</v>
      </c>
      <c r="G31" s="26">
        <f t="shared" si="8"/>
        <v>620733438920.47461</v>
      </c>
      <c r="H31" s="26">
        <f t="shared" si="8"/>
        <v>622267824860.32056</v>
      </c>
      <c r="I31" s="26">
        <f t="shared" si="8"/>
        <v>623439754599.45264</v>
      </c>
      <c r="J31" s="26">
        <f t="shared" si="8"/>
        <v>626271086799.57068</v>
      </c>
      <c r="K31" s="26">
        <f t="shared" si="8"/>
        <v>629095401541.36584</v>
      </c>
      <c r="L31" s="26">
        <f t="shared" si="8"/>
        <v>630651548235.72375</v>
      </c>
      <c r="M31" s="26">
        <f t="shared" si="8"/>
        <v>632100977305.37378</v>
      </c>
      <c r="N31" s="26">
        <f t="shared" si="8"/>
        <v>633563116377.51392</v>
      </c>
      <c r="O31" s="26">
        <f t="shared" si="8"/>
        <v>635026024590.84827</v>
      </c>
      <c r="P31" s="26">
        <f t="shared" si="8"/>
        <v>636476713363.64807</v>
      </c>
      <c r="Q31" s="26">
        <f t="shared" si="8"/>
        <v>637898069789.65674</v>
      </c>
      <c r="R31" s="26">
        <f t="shared" si="8"/>
        <v>639269879114.12122</v>
      </c>
      <c r="S31" s="26">
        <f t="shared" si="8"/>
        <v>640573328622.68054</v>
      </c>
      <c r="T31" s="26">
        <f t="shared" si="8"/>
        <v>641794180416.09924</v>
      </c>
      <c r="U31" s="26">
        <f t="shared" si="8"/>
        <v>642910730867.91516</v>
      </c>
      <c r="V31" s="26">
        <f t="shared" si="8"/>
        <v>643900513380.95764</v>
      </c>
      <c r="W31" s="26">
        <f t="shared" si="8"/>
        <v>644753575994.90063</v>
      </c>
      <c r="X31" s="26">
        <f t="shared" si="8"/>
        <v>645465405921.40576</v>
      </c>
      <c r="Y31" s="26">
        <f t="shared" si="8"/>
        <v>645974123455.30725</v>
      </c>
      <c r="Z31" s="26">
        <f t="shared" si="8"/>
        <v>646225198910.66309</v>
      </c>
      <c r="AA31" s="26">
        <f t="shared" si="8"/>
        <v>646224656446.19507</v>
      </c>
      <c r="AB31" s="26">
        <f t="shared" si="8"/>
        <v>645966918941.99158</v>
      </c>
      <c r="AC31" s="26">
        <f t="shared" si="8"/>
        <v>645455633307.20483</v>
      </c>
      <c r="AD31" s="26">
        <f t="shared" si="8"/>
        <v>644690776149.03296</v>
      </c>
      <c r="AE31" s="26">
        <f t="shared" si="8"/>
        <v>643666159696.04065</v>
      </c>
      <c r="AF31" s="26">
        <f t="shared" si="8"/>
        <v>642373893246.51648</v>
      </c>
      <c r="AG31" s="26">
        <f t="shared" si="8"/>
        <v>640793445806.77917</v>
      </c>
      <c r="AH31" s="26">
        <f t="shared" si="8"/>
        <v>638912932333.87354</v>
      </c>
      <c r="AI31" s="26">
        <f t="shared" si="8"/>
        <v>636723891469.31482</v>
      </c>
      <c r="AJ31" s="26">
        <f t="shared" si="8"/>
        <v>634217505803.76282</v>
      </c>
      <c r="AK31" s="26">
        <f t="shared" si="8"/>
        <v>631391083439.15564</v>
      </c>
    </row>
  </sheetData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2B7A6-B7E4-4B42-ADE9-1C2AC0869798}">
  <dimension ref="A1:BH2"/>
  <sheetViews>
    <sheetView workbookViewId="0">
      <selection activeCell="F20" sqref="F20"/>
    </sheetView>
  </sheetViews>
  <sheetFormatPr defaultRowHeight="16.5" x14ac:dyDescent="0.3"/>
  <cols>
    <col min="1" max="1" width="22.125" customWidth="1"/>
    <col min="2" max="33" width="10" bestFit="1" customWidth="1"/>
  </cols>
  <sheetData>
    <row r="1" spans="1:60" x14ac:dyDescent="0.3">
      <c r="A1" s="24" t="s">
        <v>8</v>
      </c>
      <c r="B1" cm="1">
        <f t="array" ref="B1:BH2">TRANSPOSE('Census Pop Projection'!B2:C60)</f>
        <v>2014</v>
      </c>
      <c r="C1">
        <v>2015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  <c r="N1">
        <v>2026</v>
      </c>
      <c r="O1">
        <v>2027</v>
      </c>
      <c r="P1">
        <v>2028</v>
      </c>
      <c r="Q1">
        <v>2029</v>
      </c>
      <c r="R1">
        <v>2030</v>
      </c>
      <c r="S1">
        <v>2031</v>
      </c>
      <c r="T1">
        <v>2032</v>
      </c>
      <c r="U1">
        <v>2033</v>
      </c>
      <c r="V1">
        <v>2034</v>
      </c>
      <c r="W1">
        <v>2035</v>
      </c>
      <c r="X1">
        <v>2036</v>
      </c>
      <c r="Y1">
        <v>2037</v>
      </c>
      <c r="Z1">
        <v>2038</v>
      </c>
      <c r="AA1">
        <v>2039</v>
      </c>
      <c r="AB1">
        <v>2040</v>
      </c>
      <c r="AC1">
        <v>2041</v>
      </c>
      <c r="AD1">
        <v>2042</v>
      </c>
      <c r="AE1">
        <v>2043</v>
      </c>
      <c r="AF1">
        <v>2044</v>
      </c>
      <c r="AG1">
        <v>2045</v>
      </c>
      <c r="AH1">
        <v>2046</v>
      </c>
      <c r="AI1">
        <v>2047</v>
      </c>
      <c r="AJ1">
        <v>2048</v>
      </c>
      <c r="AK1">
        <v>2049</v>
      </c>
      <c r="AL1">
        <v>2050</v>
      </c>
      <c r="AM1">
        <v>2051</v>
      </c>
      <c r="AN1">
        <v>2052</v>
      </c>
      <c r="AO1">
        <v>2053</v>
      </c>
      <c r="AP1">
        <v>2054</v>
      </c>
      <c r="AQ1">
        <v>2055</v>
      </c>
      <c r="AR1">
        <v>2056</v>
      </c>
      <c r="AS1">
        <v>2057</v>
      </c>
      <c r="AT1">
        <v>2058</v>
      </c>
      <c r="AU1">
        <v>2059</v>
      </c>
      <c r="AV1">
        <v>2060</v>
      </c>
      <c r="AW1">
        <v>2061</v>
      </c>
      <c r="AX1">
        <v>2062</v>
      </c>
      <c r="AY1">
        <v>2063</v>
      </c>
      <c r="AZ1">
        <v>2064</v>
      </c>
      <c r="BA1">
        <v>2065</v>
      </c>
      <c r="BB1">
        <v>2066</v>
      </c>
      <c r="BC1">
        <v>2067</v>
      </c>
      <c r="BD1">
        <v>2068</v>
      </c>
      <c r="BE1">
        <v>2069</v>
      </c>
      <c r="BF1">
        <v>2070</v>
      </c>
      <c r="BG1">
        <v>2071</v>
      </c>
      <c r="BH1">
        <v>2072</v>
      </c>
    </row>
    <row r="2" spans="1:60" x14ac:dyDescent="0.3">
      <c r="A2" t="s">
        <v>7</v>
      </c>
      <c r="B2">
        <v>50746659</v>
      </c>
      <c r="C2">
        <v>51014947</v>
      </c>
      <c r="D2">
        <v>51217803</v>
      </c>
      <c r="E2">
        <v>51361911</v>
      </c>
      <c r="F2">
        <v>51585058</v>
      </c>
      <c r="G2">
        <v>51764822</v>
      </c>
      <c r="H2">
        <v>51836239</v>
      </c>
      <c r="I2">
        <v>51769539</v>
      </c>
      <c r="J2">
        <v>51672569</v>
      </c>
      <c r="K2">
        <v>51712619</v>
      </c>
      <c r="L2">
        <v>51751065</v>
      </c>
      <c r="M2">
        <v>51684564</v>
      </c>
      <c r="N2">
        <v>51609121</v>
      </c>
      <c r="O2">
        <v>51534551</v>
      </c>
      <c r="P2">
        <v>51459877</v>
      </c>
      <c r="Q2">
        <v>51384052</v>
      </c>
      <c r="R2">
        <v>51305713</v>
      </c>
      <c r="S2">
        <v>51223269</v>
      </c>
      <c r="T2">
        <v>51135265</v>
      </c>
      <c r="U2">
        <v>51040632</v>
      </c>
      <c r="V2">
        <v>50937726</v>
      </c>
      <c r="W2">
        <v>50824868</v>
      </c>
      <c r="X2">
        <v>50701389</v>
      </c>
      <c r="Y2">
        <v>50567057</v>
      </c>
      <c r="Z2">
        <v>50417167</v>
      </c>
      <c r="AA2">
        <v>50247657</v>
      </c>
      <c r="AB2">
        <v>50059218</v>
      </c>
      <c r="AC2">
        <v>49851637</v>
      </c>
      <c r="AD2">
        <v>49625415</v>
      </c>
      <c r="AE2">
        <v>49380766</v>
      </c>
      <c r="AF2">
        <v>49117432</v>
      </c>
      <c r="AG2">
        <v>48835031</v>
      </c>
      <c r="AH2">
        <v>48532231</v>
      </c>
      <c r="AI2">
        <v>48208374</v>
      </c>
      <c r="AJ2">
        <v>47863071</v>
      </c>
      <c r="AK2">
        <v>47495914</v>
      </c>
      <c r="AL2">
        <v>47106960</v>
      </c>
      <c r="AM2">
        <v>46697391</v>
      </c>
      <c r="AN2">
        <v>46267614</v>
      </c>
      <c r="AO2">
        <v>45818111</v>
      </c>
      <c r="AP2">
        <v>45350648</v>
      </c>
      <c r="AQ2">
        <v>44867534</v>
      </c>
      <c r="AR2">
        <v>44371641</v>
      </c>
      <c r="AS2">
        <v>43864958</v>
      </c>
      <c r="AT2">
        <v>43349217</v>
      </c>
      <c r="AU2">
        <v>42827316</v>
      </c>
      <c r="AV2">
        <v>42302086</v>
      </c>
      <c r="AW2">
        <v>41775305</v>
      </c>
      <c r="AX2">
        <v>41248542</v>
      </c>
      <c r="AY2">
        <v>40723791</v>
      </c>
      <c r="AZ2">
        <v>40202384</v>
      </c>
      <c r="BA2">
        <v>39685210</v>
      </c>
      <c r="BB2">
        <v>39172974</v>
      </c>
      <c r="BC2">
        <v>38666431</v>
      </c>
      <c r="BD2">
        <v>38165892</v>
      </c>
      <c r="BE2">
        <v>37670942</v>
      </c>
      <c r="BF2">
        <v>37181774</v>
      </c>
      <c r="BG2">
        <v>36698961</v>
      </c>
      <c r="BH2">
        <v>36222293</v>
      </c>
    </row>
  </sheetData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93FD9-0E1F-491A-A9F5-EE1CCFCBCFA0}">
  <sheetPr>
    <tabColor theme="4" tint="-0.249977111117893"/>
  </sheetPr>
  <dimension ref="A1:AG2"/>
  <sheetViews>
    <sheetView workbookViewId="0">
      <selection activeCell="L32" sqref="L32"/>
    </sheetView>
  </sheetViews>
  <sheetFormatPr defaultRowHeight="16.5" x14ac:dyDescent="0.3"/>
  <cols>
    <col min="1" max="1" width="22.125" customWidth="1"/>
    <col min="2" max="33" width="10" bestFit="1" customWidth="1"/>
  </cols>
  <sheetData>
    <row r="1" spans="1:33" x14ac:dyDescent="0.3">
      <c r="A1" s="24" t="s">
        <v>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3">
      <c r="A2" t="s">
        <v>9</v>
      </c>
      <c r="B2">
        <f>population!G2*'Avg Emp-Pop Ratio'!$B$5</f>
        <v>31144736.529816654</v>
      </c>
      <c r="C2">
        <f>population!H2*'Avg Emp-Pop Ratio'!$B$5</f>
        <v>31187705.163008321</v>
      </c>
      <c r="D2">
        <f>population!I2*'Avg Emp-Pop Ratio'!$B$5</f>
        <v>31147574.552174985</v>
      </c>
      <c r="E2">
        <f>population!J2*'Avg Emp-Pop Ratio'!$B$5</f>
        <v>31089231.743591655</v>
      </c>
      <c r="F2">
        <f>population!K2*'Avg Emp-Pop Ratio'!$B$5</f>
        <v>31113328.159841653</v>
      </c>
      <c r="G2">
        <f>population!L2*'Avg Emp-Pop Ratio'!$B$5</f>
        <v>31136459.516124986</v>
      </c>
      <c r="H2">
        <f>population!M2*'Avg Emp-Pop Ratio'!$B$5</f>
        <v>31096448.635299988</v>
      </c>
      <c r="I2">
        <f>population!N2*'Avg Emp-Pop Ratio'!$B$5</f>
        <v>31051057.72565832</v>
      </c>
      <c r="J2">
        <f>population!O2*'Avg Emp-Pop Ratio'!$B$5</f>
        <v>31006192.063741654</v>
      </c>
      <c r="K2">
        <f>population!P2*'Avg Emp-Pop Ratio'!$B$5</f>
        <v>30961263.829358321</v>
      </c>
      <c r="L2">
        <f>population!Q2*'Avg Emp-Pop Ratio'!$B$5</f>
        <v>30915643.086233322</v>
      </c>
      <c r="M2">
        <f>population!R2*'Avg Emp-Pop Ratio'!$B$5</f>
        <v>30868509.77405832</v>
      </c>
      <c r="N2">
        <f>population!S2*'Avg Emp-Pop Ratio'!$B$5</f>
        <v>30818906.654424988</v>
      </c>
      <c r="O2">
        <f>population!T2*'Avg Emp-Pop Ratio'!$B$5</f>
        <v>30765958.314458322</v>
      </c>
      <c r="P2">
        <f>population!U2*'Avg Emp-Pop Ratio'!$B$5</f>
        <v>30709021.581399988</v>
      </c>
      <c r="Q2">
        <f>population!V2*'Avg Emp-Pop Ratio'!$B$5</f>
        <v>30647107.328949988</v>
      </c>
      <c r="R2">
        <f>population!W2*'Avg Emp-Pop Ratio'!$B$5</f>
        <v>30579205.372766655</v>
      </c>
      <c r="S2">
        <f>population!X2*'Avg Emp-Pop Ratio'!$B$5</f>
        <v>30504913.203424986</v>
      </c>
      <c r="T2">
        <f>population!Y2*'Avg Emp-Pop Ratio'!$B$5</f>
        <v>30424091.236191653</v>
      </c>
      <c r="U2">
        <f>population!Z2*'Avg Emp-Pop Ratio'!$B$5</f>
        <v>30333908.668608319</v>
      </c>
      <c r="V2">
        <f>population!AA2*'Avg Emp-Pop Ratio'!$B$5</f>
        <v>30231921.564524986</v>
      </c>
      <c r="W2">
        <f>population!AB2*'Avg Emp-Pop Ratio'!$B$5</f>
        <v>30118545.669849988</v>
      </c>
      <c r="X2">
        <f>population!AC2*'Avg Emp-Pop Ratio'!$B$5</f>
        <v>29993652.831358321</v>
      </c>
      <c r="Y2">
        <f>population!AD2*'Avg Emp-Pop Ratio'!$B$5</f>
        <v>29857544.479874987</v>
      </c>
      <c r="Z2">
        <f>population!AE2*'Avg Emp-Pop Ratio'!$B$5</f>
        <v>29710349.370283321</v>
      </c>
      <c r="AA2">
        <f>population!AF2*'Avg Emp-Pop Ratio'!$B$5</f>
        <v>29551912.27473332</v>
      </c>
      <c r="AB2">
        <f>population!AG2*'Avg Emp-Pop Ratio'!$B$5</f>
        <v>29382003.359741654</v>
      </c>
      <c r="AC2">
        <f>population!AH2*'Avg Emp-Pop Ratio'!$B$5</f>
        <v>29199821.21640832</v>
      </c>
      <c r="AD2">
        <f>population!AI2*'Avg Emp-Pop Ratio'!$B$5</f>
        <v>29004969.953549989</v>
      </c>
      <c r="AE2">
        <f>population!AJ2*'Avg Emp-Pop Ratio'!$B$5</f>
        <v>28797215.526074987</v>
      </c>
      <c r="AF2">
        <f>population!AK2*'Avg Emp-Pop Ratio'!$B$5</f>
        <v>28576312.45738332</v>
      </c>
      <c r="AG2">
        <f>population!AL2*'Avg Emp-Pop Ratio'!$B$5</f>
        <v>28342295.041999988</v>
      </c>
    </row>
  </sheetData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E7CEA-1BC2-4D8B-AD93-998F1C33A4B5}">
  <sheetPr>
    <tabColor theme="4" tint="-0.249977111117893"/>
  </sheetPr>
  <dimension ref="A1:AH2"/>
  <sheetViews>
    <sheetView workbookViewId="0">
      <selection activeCell="B2" sqref="B2"/>
    </sheetView>
  </sheetViews>
  <sheetFormatPr defaultRowHeight="16.5" x14ac:dyDescent="0.3"/>
  <cols>
    <col min="1" max="1" width="22.125" customWidth="1"/>
    <col min="2" max="33" width="10" bestFit="1" customWidth="1"/>
  </cols>
  <sheetData>
    <row r="1" spans="1:34" x14ac:dyDescent="0.3">
      <c r="A1" s="24" t="s">
        <v>78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4" x14ac:dyDescent="0.3">
      <c r="A2" t="s">
        <v>77</v>
      </c>
      <c r="B2" s="18">
        <f>'EE Comp Projection'!F31</f>
        <v>617554076101.05066</v>
      </c>
      <c r="C2" s="18">
        <f>'EE Comp Projection'!G31</f>
        <v>620733438920.47461</v>
      </c>
      <c r="D2" s="18">
        <f>'EE Comp Projection'!H31</f>
        <v>622267824860.32056</v>
      </c>
      <c r="E2" s="18">
        <f>'EE Comp Projection'!I31</f>
        <v>623439754599.45264</v>
      </c>
      <c r="F2" s="18">
        <f>'EE Comp Projection'!J31</f>
        <v>626271086799.57068</v>
      </c>
      <c r="G2" s="18">
        <f>'EE Comp Projection'!K31</f>
        <v>629095401541.36584</v>
      </c>
      <c r="H2" s="18">
        <f>'EE Comp Projection'!L31</f>
        <v>630651548235.72375</v>
      </c>
      <c r="I2" s="18">
        <f>'EE Comp Projection'!M31</f>
        <v>632100977305.37378</v>
      </c>
      <c r="J2" s="18">
        <f>'EE Comp Projection'!N31</f>
        <v>633563116377.51392</v>
      </c>
      <c r="K2" s="18">
        <f>'EE Comp Projection'!O31</f>
        <v>635026024590.84827</v>
      </c>
      <c r="L2" s="18">
        <f>'EE Comp Projection'!P31</f>
        <v>636476713363.64807</v>
      </c>
      <c r="M2" s="18">
        <f>'EE Comp Projection'!Q31</f>
        <v>637898069789.65674</v>
      </c>
      <c r="N2" s="18">
        <f>'EE Comp Projection'!R31</f>
        <v>639269879114.12122</v>
      </c>
      <c r="O2" s="18">
        <f>'EE Comp Projection'!S31</f>
        <v>640573328622.68054</v>
      </c>
      <c r="P2" s="18">
        <f>'EE Comp Projection'!T31</f>
        <v>641794180416.09924</v>
      </c>
      <c r="Q2" s="18">
        <f>'EE Comp Projection'!U31</f>
        <v>642910730867.91516</v>
      </c>
      <c r="R2" s="18">
        <f>'EE Comp Projection'!V31</f>
        <v>643900513380.95764</v>
      </c>
      <c r="S2" s="18">
        <f>'EE Comp Projection'!W31</f>
        <v>644753575994.90063</v>
      </c>
      <c r="T2" s="18">
        <f>'EE Comp Projection'!X31</f>
        <v>645465405921.40576</v>
      </c>
      <c r="U2" s="18">
        <f>'EE Comp Projection'!Y31</f>
        <v>645974123455.30725</v>
      </c>
      <c r="V2" s="18">
        <f>'EE Comp Projection'!Z31</f>
        <v>646225198910.66309</v>
      </c>
      <c r="W2" s="18">
        <f>'EE Comp Projection'!AA31</f>
        <v>646224656446.19507</v>
      </c>
      <c r="X2" s="18">
        <f>'EE Comp Projection'!AB31</f>
        <v>645966918941.99158</v>
      </c>
      <c r="Y2" s="18">
        <f>'EE Comp Projection'!AC31</f>
        <v>645455633307.20483</v>
      </c>
      <c r="Z2" s="18">
        <f>'EE Comp Projection'!AD31</f>
        <v>644690776149.03296</v>
      </c>
      <c r="AA2" s="18">
        <f>'EE Comp Projection'!AE31</f>
        <v>643666159696.04065</v>
      </c>
      <c r="AB2" s="18">
        <f>'EE Comp Projection'!AF31</f>
        <v>642373893246.51648</v>
      </c>
      <c r="AC2" s="18">
        <f>'EE Comp Projection'!AG31</f>
        <v>640793445806.77917</v>
      </c>
      <c r="AD2" s="18">
        <f>'EE Comp Projection'!AH31</f>
        <v>638912932333.87354</v>
      </c>
      <c r="AE2" s="18">
        <f>'EE Comp Projection'!AI31</f>
        <v>636723891469.31482</v>
      </c>
      <c r="AF2" s="18">
        <f>'EE Comp Projection'!AJ31</f>
        <v>634217505803.76282</v>
      </c>
      <c r="AG2" s="18">
        <f>'EE Comp Projection'!AK31</f>
        <v>631391083439.15564</v>
      </c>
      <c r="AH2" s="18"/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A662749-5934-4929-8EEA-BAE795F6E5D3}"/>
</file>

<file path=customXml/itemProps2.xml><?xml version="1.0" encoding="utf-8"?>
<ds:datastoreItem xmlns:ds="http://schemas.openxmlformats.org/officeDocument/2006/customXml" ds:itemID="{D9D0C3E8-EE43-42FD-AFDC-017358CDA2A7}"/>
</file>

<file path=customXml/itemProps3.xml><?xml version="1.0" encoding="utf-8"?>
<ds:datastoreItem xmlns:ds="http://schemas.openxmlformats.org/officeDocument/2006/customXml" ds:itemID="{69B3519D-0F75-4B7E-9AF8-7DC570D19B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About</vt:lpstr>
      <vt:lpstr>Census Pop Projection</vt:lpstr>
      <vt:lpstr>Emp Pop Ratio</vt:lpstr>
      <vt:lpstr>Avg Emp-Pop Ratio</vt:lpstr>
      <vt:lpstr>OECD VAL</vt:lpstr>
      <vt:lpstr>BLS Comp per Hr Worked</vt:lpstr>
      <vt:lpstr>exchange rate</vt:lpstr>
      <vt:lpstr>EE Comp Projection</vt:lpstr>
      <vt:lpstr>population</vt:lpstr>
      <vt:lpstr>BEaCP-employedpop</vt:lpstr>
      <vt:lpstr>BEaCP-employeecomp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공용계정2</cp:lastModifiedBy>
  <dcterms:created xsi:type="dcterms:W3CDTF">2020-07-11T20:54:19Z</dcterms:created>
  <dcterms:modified xsi:type="dcterms:W3CDTF">2025-02-27T00:13:46Z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