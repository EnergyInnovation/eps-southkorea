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dminister\Dropbox\NEXT Group\20. 프로젝트 관리\2025 에너지 수요전망 모형 구축\EPS 모형\eps-southkorea-3.3.1\InputData\io-model\BEbIC\"/>
    </mc:Choice>
  </mc:AlternateContent>
  <xr:revisionPtr revIDLastSave="0" documentId="13_ncr:1_{07E14F26-4D16-4006-87D7-F8B7B2E688DA}" xr6:coauthVersionLast="47" xr6:coauthVersionMax="47" xr10:uidLastSave="{00000000-0000-0000-0000-000000000000}"/>
  <bookViews>
    <workbookView xWindow="-120" yWindow="-120" windowWidth="29040" windowHeight="15720" tabRatio="798" xr2:uid="{DBFFF124-989E-4B46-9EB7-DA12DCEDCE72}"/>
  </bookViews>
  <sheets>
    <sheet name="About" sheetId="1" r:id="rId1"/>
    <sheet name="OECD EMPN" sheetId="5" r:id="rId2"/>
    <sheet name="Filtered OECD Data" sheetId="6" r:id="rId3"/>
    <sheet name="Emp Compensation Split" sheetId="11" r:id="rId4"/>
    <sheet name="OECD Chem Pharma Split" sheetId="10" r:id="rId5"/>
    <sheet name="Table" sheetId="15" r:id="rId6"/>
    <sheet name="Summary ISIC Splits" sheetId="9" r:id="rId7"/>
    <sheet name="Gross Output by Industry" sheetId="13" r:id="rId8"/>
    <sheet name="ComponentsofVA" sheetId="14" r:id="rId9"/>
    <sheet name="BEbIC" sheetId="2" r:id="rId10"/>
  </sheets>
  <definedNames>
    <definedName name="CAP_CT">#REF!</definedName>
    <definedName name="CAP_GFCF">#REF!</definedName>
    <definedName name="CAP_IT">#REF!</definedName>
    <definedName name="CAP_OCon">#REF!</definedName>
    <definedName name="CAP_OMach">#REF!</definedName>
    <definedName name="CAP_Other">#REF!</definedName>
    <definedName name="CAP_QI">#REF!</definedName>
    <definedName name="CAP_RStruc">#REF!</definedName>
    <definedName name="CAP_Soft">#REF!</definedName>
    <definedName name="CAP_TraEq">#REF!</definedName>
    <definedName name="CAPIT">#REF!</definedName>
    <definedName name="CAPIT_QI">#REF!</definedName>
    <definedName name="capit_qph">#REF!</definedName>
    <definedName name="CAPNIT">#REF!</definedName>
    <definedName name="CAPNIT_QI">#REF!</definedName>
    <definedName name="capnit_qph">#REF!</definedName>
    <definedName name="FLAPPIE">#REF!</definedName>
    <definedName name="VACon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9" i="10" l="1"/>
  <c r="C19" i="10"/>
  <c r="E18" i="10"/>
  <c r="J18" i="10"/>
  <c r="P7" i="15"/>
  <c r="O7" i="15"/>
  <c r="M7" i="15"/>
  <c r="L7" i="15"/>
  <c r="H19" i="15"/>
  <c r="G19" i="15"/>
  <c r="F19" i="15"/>
  <c r="E19" i="15"/>
  <c r="D17" i="9"/>
  <c r="P28" i="9"/>
  <c r="M28" i="9"/>
  <c r="J28" i="9"/>
  <c r="D28" i="9"/>
  <c r="P17" i="9"/>
  <c r="M17" i="9"/>
  <c r="J17" i="9"/>
  <c r="G17" i="9"/>
  <c r="H29" i="9"/>
  <c r="G29" i="9"/>
  <c r="H28" i="9"/>
  <c r="G28" i="9"/>
  <c r="B2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62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63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64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AK64" i="6"/>
  <c r="A65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66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67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68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69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70" i="6"/>
  <c r="B70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71" i="6"/>
  <c r="B71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72" i="6"/>
  <c r="B72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I16" i="10"/>
  <c r="H16" i="10"/>
  <c r="H17" i="10" s="1"/>
  <c r="C16" i="10"/>
  <c r="N22" i="9" l="1"/>
  <c r="N24" i="9" s="1"/>
  <c r="D16" i="10"/>
  <c r="C17" i="10" s="1"/>
  <c r="I17" i="10" l="1"/>
  <c r="D17" i="10"/>
  <c r="P22" i="9"/>
  <c r="D15" i="9" l="1"/>
  <c r="E15" i="9"/>
  <c r="H15" i="9"/>
  <c r="Q22" i="9" l="1"/>
  <c r="R22" i="9"/>
  <c r="R24" i="9" s="1"/>
  <c r="M22" i="9" l="1"/>
  <c r="K22" i="9"/>
  <c r="J22" i="9"/>
  <c r="J24" i="9" s="1"/>
  <c r="E22" i="9"/>
  <c r="E24" i="9" s="1"/>
  <c r="D22" i="9"/>
  <c r="D24" i="9" s="1"/>
  <c r="Q24" i="9" l="1"/>
  <c r="P24" i="9"/>
  <c r="M24" i="9"/>
  <c r="K24" i="9"/>
  <c r="E16" i="9"/>
  <c r="R15" i="9"/>
  <c r="Q15" i="9"/>
  <c r="P15" i="9"/>
  <c r="J15" i="9"/>
  <c r="D16" i="9"/>
  <c r="R16" i="9" l="1"/>
  <c r="D18" i="9"/>
  <c r="R18" i="9"/>
  <c r="E18" i="9"/>
  <c r="P16" i="9"/>
  <c r="P18" i="9" s="1"/>
  <c r="Q16" i="9"/>
  <c r="Q18" i="9" s="1"/>
  <c r="A1" i="10"/>
  <c r="C10" i="9" l="1"/>
  <c r="C11" i="9"/>
  <c r="C12" i="9"/>
  <c r="C9" i="9"/>
  <c r="S12" i="9"/>
  <c r="S11" i="9"/>
  <c r="S10" i="9"/>
  <c r="S9" i="9"/>
  <c r="O12" i="9"/>
  <c r="O11" i="9"/>
  <c r="O10" i="9"/>
  <c r="O9" i="9"/>
  <c r="L12" i="9"/>
  <c r="L11" i="9"/>
  <c r="L10" i="9"/>
  <c r="L9" i="9"/>
  <c r="E12" i="9"/>
  <c r="E11" i="9"/>
  <c r="E10" i="9"/>
  <c r="E19" i="9" s="1"/>
  <c r="E20" i="9" s="1"/>
  <c r="E25" i="9" s="1"/>
  <c r="E9" i="9"/>
  <c r="F12" i="9"/>
  <c r="F11" i="9"/>
  <c r="F10" i="9"/>
  <c r="F9" i="9"/>
  <c r="I12" i="9"/>
  <c r="I11" i="9"/>
  <c r="I10" i="9"/>
  <c r="I9" i="9"/>
  <c r="R7" i="9"/>
  <c r="Q7" i="9"/>
  <c r="P7" i="9"/>
  <c r="H7" i="9"/>
  <c r="G7" i="9"/>
  <c r="E7" i="9"/>
  <c r="D7" i="9"/>
  <c r="M7" i="9"/>
  <c r="N7" i="9"/>
  <c r="K7" i="9"/>
  <c r="J7" i="9"/>
  <c r="G6" i="9"/>
  <c r="G15" i="9" s="1"/>
  <c r="N6" i="9"/>
  <c r="N15" i="9" s="1"/>
  <c r="M6" i="9"/>
  <c r="M15" i="9" s="1"/>
  <c r="K6" i="9"/>
  <c r="K15" i="9" s="1"/>
  <c r="N16" i="9" l="1"/>
  <c r="N18" i="9" s="1"/>
  <c r="K16" i="9"/>
  <c r="K18" i="9" s="1"/>
  <c r="J16" i="9"/>
  <c r="J18" i="9" s="1"/>
  <c r="M16" i="9"/>
  <c r="M18" i="9" s="1"/>
  <c r="H16" i="9"/>
  <c r="H18" i="9" s="1"/>
  <c r="G16" i="9"/>
  <c r="G18" i="9" s="1"/>
  <c r="P9" i="9"/>
  <c r="G10" i="9"/>
  <c r="G19" i="9" s="1"/>
  <c r="N10" i="9"/>
  <c r="N19" i="9" s="1"/>
  <c r="J9" i="9"/>
  <c r="Q10" i="9"/>
  <c r="Q19" i="9" s="1"/>
  <c r="Q20" i="9" s="1"/>
  <c r="Q25" i="9" s="1"/>
  <c r="J10" i="9"/>
  <c r="J19" i="9" s="1"/>
  <c r="R10" i="9"/>
  <c r="R19" i="9" s="1"/>
  <c r="R20" i="9" s="1"/>
  <c r="R25" i="9" s="1"/>
  <c r="P11" i="9"/>
  <c r="H9" i="9"/>
  <c r="M9" i="9"/>
  <c r="H10" i="9"/>
  <c r="H19" i="9" s="1"/>
  <c r="M10" i="9"/>
  <c r="M19" i="9" s="1"/>
  <c r="M11" i="9"/>
  <c r="K12" i="9"/>
  <c r="M12" i="9"/>
  <c r="J11" i="9"/>
  <c r="R11" i="9"/>
  <c r="H11" i="9"/>
  <c r="K11" i="9"/>
  <c r="Q9" i="9"/>
  <c r="H12" i="9"/>
  <c r="K10" i="9"/>
  <c r="K19" i="9" s="1"/>
  <c r="R9" i="9"/>
  <c r="P10" i="9"/>
  <c r="P19" i="9" s="1"/>
  <c r="P20" i="9" s="1"/>
  <c r="P25" i="9" s="1"/>
  <c r="K9" i="9"/>
  <c r="R12" i="9"/>
  <c r="G9" i="9"/>
  <c r="Q12" i="9"/>
  <c r="J12" i="9"/>
  <c r="N9" i="9"/>
  <c r="G12" i="9"/>
  <c r="N12" i="9"/>
  <c r="P12" i="9"/>
  <c r="G11" i="9"/>
  <c r="Q11" i="9"/>
  <c r="N11" i="9"/>
  <c r="D10" i="9"/>
  <c r="D19" i="9" s="1"/>
  <c r="D20" i="9" s="1"/>
  <c r="D25" i="9" s="1"/>
  <c r="D26" i="9" s="1"/>
  <c r="D29" i="9" s="1"/>
  <c r="C2" i="2" s="1"/>
  <c r="D11" i="9"/>
  <c r="D12" i="9"/>
  <c r="D9" i="9"/>
  <c r="N20" i="9" l="1"/>
  <c r="N25" i="9" s="1"/>
  <c r="G20" i="9"/>
  <c r="P26" i="9"/>
  <c r="P29" i="9" s="1"/>
  <c r="Z2" i="2" s="1"/>
  <c r="H20" i="9"/>
  <c r="J20" i="9"/>
  <c r="J25" i="9" s="1"/>
  <c r="R26" i="9"/>
  <c r="R29" i="9" s="1"/>
  <c r="AB2" i="2" s="1"/>
  <c r="Q26" i="9"/>
  <c r="Q29" i="9" s="1"/>
  <c r="AA2" i="2" s="1"/>
  <c r="M20" i="9"/>
  <c r="M25" i="9" s="1"/>
  <c r="M26" i="9" s="1"/>
  <c r="M29" i="9" s="1"/>
  <c r="Q2" i="2" s="1"/>
  <c r="K20" i="9"/>
  <c r="K25" i="9" s="1"/>
  <c r="E26" i="9"/>
  <c r="E29" i="9" s="1"/>
  <c r="D2" i="2" s="1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B22" i="6"/>
  <c r="B2" i="2" s="1"/>
  <c r="C22" i="6"/>
  <c r="D22" i="6"/>
  <c r="E2" i="2" s="1"/>
  <c r="E22" i="6"/>
  <c r="F2" i="2" s="1"/>
  <c r="F22" i="6"/>
  <c r="G2" i="2" s="1"/>
  <c r="G22" i="6"/>
  <c r="H2" i="2" s="1"/>
  <c r="H22" i="6"/>
  <c r="I2" i="2" s="1"/>
  <c r="I22" i="6"/>
  <c r="J2" i="2" s="1"/>
  <c r="J22" i="6"/>
  <c r="K2" i="2" s="1"/>
  <c r="K22" i="6"/>
  <c r="L22" i="6"/>
  <c r="N2" i="2" s="1"/>
  <c r="M22" i="6"/>
  <c r="N22" i="6"/>
  <c r="O22" i="6"/>
  <c r="S2" i="2" s="1"/>
  <c r="P22" i="6"/>
  <c r="T2" i="2" s="1"/>
  <c r="Q22" i="6"/>
  <c r="U2" i="2" s="1"/>
  <c r="R22" i="6"/>
  <c r="V2" i="2" s="1"/>
  <c r="S22" i="6"/>
  <c r="W2" i="2" s="1"/>
  <c r="T22" i="6"/>
  <c r="X2" i="2" s="1"/>
  <c r="U22" i="6"/>
  <c r="Y2" i="2" s="1"/>
  <c r="V22" i="6"/>
  <c r="W22" i="6"/>
  <c r="AC2" i="2" s="1"/>
  <c r="X22" i="6"/>
  <c r="AD2" i="2" s="1"/>
  <c r="Y22" i="6"/>
  <c r="AE2" i="2" s="1"/>
  <c r="Z22" i="6"/>
  <c r="AF2" i="2" s="1"/>
  <c r="AA22" i="6"/>
  <c r="AG2" i="2" s="1"/>
  <c r="AB22" i="6"/>
  <c r="AH2" i="2" s="1"/>
  <c r="AC22" i="6"/>
  <c r="AI2" i="2" s="1"/>
  <c r="AD22" i="6"/>
  <c r="AJ2" i="2" s="1"/>
  <c r="AE22" i="6"/>
  <c r="AK2" i="2" s="1"/>
  <c r="AF22" i="6"/>
  <c r="AL2" i="2" s="1"/>
  <c r="AG22" i="6"/>
  <c r="AM2" i="2" s="1"/>
  <c r="AH22" i="6"/>
  <c r="AN2" i="2" s="1"/>
  <c r="AI22" i="6"/>
  <c r="AO2" i="2" s="1"/>
  <c r="AJ22" i="6"/>
  <c r="AP2" i="2" s="1"/>
  <c r="AK22" i="6"/>
  <c r="AQ2" i="2" s="1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K3" i="6"/>
  <c r="AJ3" i="6"/>
  <c r="AH3" i="6"/>
  <c r="AI3" i="6"/>
  <c r="AG3" i="6"/>
  <c r="AD3" i="6"/>
  <c r="AE3" i="6"/>
  <c r="AF3" i="6"/>
  <c r="AC3" i="6"/>
  <c r="AB3" i="6"/>
  <c r="AA3" i="6"/>
  <c r="Z3" i="6"/>
  <c r="Y3" i="6"/>
  <c r="X3" i="6"/>
  <c r="V3" i="6"/>
  <c r="W3" i="6"/>
  <c r="U3" i="6"/>
  <c r="T3" i="6"/>
  <c r="S3" i="6"/>
  <c r="R3" i="6"/>
  <c r="Q3" i="6"/>
  <c r="P3" i="6"/>
  <c r="O3" i="6"/>
  <c r="N3" i="6"/>
  <c r="K3" i="6"/>
  <c r="L3" i="6"/>
  <c r="M3" i="6"/>
  <c r="J3" i="6"/>
  <c r="I3" i="6"/>
  <c r="H3" i="6"/>
  <c r="G3" i="6"/>
  <c r="F3" i="6"/>
  <c r="E3" i="6"/>
  <c r="D3" i="6"/>
  <c r="C3" i="6"/>
  <c r="B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3" i="6"/>
  <c r="A1" i="5"/>
  <c r="K26" i="9" l="1"/>
  <c r="K29" i="9" s="1"/>
  <c r="P2" i="2" s="1"/>
  <c r="H19" i="10"/>
  <c r="M2" i="2"/>
  <c r="L2" i="2"/>
  <c r="J26" i="9"/>
  <c r="J29" i="9" s="1"/>
  <c r="O2" i="2" s="1"/>
  <c r="N26" i="9"/>
  <c r="N29" i="9" s="1"/>
  <c r="R2" i="2" s="1"/>
  <c r="I19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MyOECD</author>
  </authors>
  <commentList>
    <comment ref="C7" authorId="0" shapeId="0" xr:uid="{DE13A923-F694-4E6C-9B1C-70273B28A75C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D7" authorId="0" shapeId="0" xr:uid="{4B8808A2-72DA-468D-806C-3FF39B6B9F83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E7" authorId="0" shapeId="0" xr:uid="{B66A9080-F8BC-40DA-BE00-60C076E59DD1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F7" authorId="0" shapeId="0" xr:uid="{58CEB396-05A0-4665-98B3-9C3B494E65F6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G7" authorId="0" shapeId="0" xr:uid="{54CF67FD-292A-4EFE-90AA-A37D961D7228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H7" authorId="0" shapeId="0" xr:uid="{2F4ECBF4-D240-4EBA-8982-11286F7593BD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I7" authorId="0" shapeId="0" xr:uid="{7065B9DA-6E77-4C45-8FE3-86E35C756973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J7" authorId="0" shapeId="0" xr:uid="{146CBF1F-0DD2-4820-9A2A-D1DA8D9E480A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K7" authorId="0" shapeId="0" xr:uid="{B395615C-C0CE-44A9-8E91-41CC4EE90BF9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L7" authorId="0" shapeId="0" xr:uid="{403897D6-C1CD-4A12-A048-798742B0F39F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M7" authorId="0" shapeId="0" xr:uid="{FA112A45-C6C7-48D3-A089-F6AF7C65B0A9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N7" authorId="0" shapeId="0" xr:uid="{03448E26-755F-4739-933A-4D486B83F81A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M8" authorId="0" shapeId="0" xr:uid="{D8042E5F-08E5-4AC4-BB19-38A32AC423B1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N8" authorId="0" shapeId="0" xr:uid="{CC5B02F8-1A41-4215-8AF7-BEAA615856A3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E7" authorId="0" shapeId="0" xr:uid="{6D504BE9-D090-4795-9C36-A4F20A6DBAD6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F7" authorId="0" shapeId="0" xr:uid="{AD8EE4DD-D288-4EDC-95BA-69109C7CC9BC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G7" authorId="0" shapeId="0" xr:uid="{F78D733B-F2DC-4C1B-B557-9155E9C67CAF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H7" authorId="0" shapeId="0" xr:uid="{C46A27B3-0C11-4E47-837A-6DBB9C29FC64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I7" authorId="0" shapeId="0" xr:uid="{B9107AC2-062D-470F-8424-E4F57944E162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J7" authorId="0" shapeId="0" xr:uid="{957B369F-A2A4-48A6-8B8E-7F3D928E12C4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E8" authorId="0" shapeId="0" xr:uid="{98AD60AA-466A-4456-9ED2-98301737A03C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F8" authorId="0" shapeId="0" xr:uid="{3FD8F5A2-49DF-4981-AC25-FBE4BB0BE348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G8" authorId="0" shapeId="0" xr:uid="{CEB20071-1D99-4CB3-BAAB-C7E3FCB15B28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H8" authorId="0" shapeId="0" xr:uid="{5F019859-EBEB-486A-809D-BEBE5F535D34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I8" authorId="0" shapeId="0" xr:uid="{74DA41D8-E948-444D-A707-9926AA0F06F2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J8" authorId="0" shapeId="0" xr:uid="{38367BF2-C83C-4BBC-A108-500700BFDF41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E10" authorId="0" shapeId="0" xr:uid="{859731A8-7F2B-41DC-9E2C-BBD77B2F169C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F10" authorId="0" shapeId="0" xr:uid="{C61D86A4-6D18-469A-A5A0-74D1CA175BB6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G10" authorId="0" shapeId="0" xr:uid="{86B934C7-4750-440B-93F6-3C4C27A8F906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H10" authorId="0" shapeId="0" xr:uid="{AE8CC068-AFA3-4F0A-B051-0B0618E17CE2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I10" authorId="0" shapeId="0" xr:uid="{DA1C6EE8-95B1-459A-BD0C-72CD888B892D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J10" authorId="0" shapeId="0" xr:uid="{89AA13D4-C0F5-4A0A-9DCC-039FD35350DC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E11" authorId="0" shapeId="0" xr:uid="{8413F1DE-32BD-4B34-B43A-C64A02CD5763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F11" authorId="0" shapeId="0" xr:uid="{F37FB699-9708-4AE7-A4E7-9BFBA08DFB76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G11" authorId="0" shapeId="0" xr:uid="{17FAC05C-E6FD-4070-A516-DA4EF040B6A7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H11" authorId="0" shapeId="0" xr:uid="{89E4F339-F83B-49D3-85B4-BAD576004EDD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I11" authorId="0" shapeId="0" xr:uid="{8F7B7DE6-9B18-4CE1-8C1F-465A3AA20CD7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J11" authorId="0" shapeId="0" xr:uid="{D6DC7A60-344C-4848-97E0-375C3EB08C53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E23" authorId="0" shapeId="0" xr:uid="{D9C844D9-1E76-4C8E-951D-4DE125105F14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national Supply and Use Tables (SUTs) or Input-Output Tables (IOTs).</t>
        </r>
      </text>
    </comment>
    <comment ref="F23" authorId="0" shapeId="0" xr:uid="{7B7EBC20-09E9-4770-ACAE-41386B04E35B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national Supply and Use Tables (SUTs) or Input-Output Tables (IOTs).</t>
        </r>
      </text>
    </comment>
    <comment ref="G23" authorId="0" shapeId="0" xr:uid="{6AA2309D-2E74-48F2-B91E-8F27E5A79B7D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national Supply and Use Tables (SUTs) or Input-Output Tables (IOTs).</t>
        </r>
      </text>
    </comment>
    <comment ref="H23" authorId="0" shapeId="0" xr:uid="{1AAA1433-DE24-491E-AC45-66A27EC4C7E4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national Supply and Use Tables (SUTs) or Input-Output Tables (IOTs).</t>
        </r>
      </text>
    </comment>
    <comment ref="E24" authorId="0" shapeId="0" xr:uid="{E3B0F487-602F-470E-B016-64C07ABD7F81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national Supply and Use Tables (SUTs) or Input-Output Tables (IOTs).</t>
        </r>
      </text>
    </comment>
    <comment ref="F24" authorId="0" shapeId="0" xr:uid="{E99D97AA-63F9-4176-9AC3-CEF154CD224A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national Supply and Use Tables (SUTs) or Input-Output Tables (IOTs).</t>
        </r>
      </text>
    </comment>
    <comment ref="G24" authorId="0" shapeId="0" xr:uid="{6B2E2C1B-F148-4444-8324-96C457C12111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national Supply and Use Tables (SUTs) or Input-Output Tables (IOTs).</t>
        </r>
      </text>
    </comment>
    <comment ref="H24" authorId="0" shapeId="0" xr:uid="{3069672A-2079-49C3-85C9-8F605DCEB72C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national Supply and Use Tables (SUTs) or Input-Output Tables (IOTs).</t>
        </r>
      </text>
    </comment>
    <comment ref="E26" authorId="0" shapeId="0" xr:uid="{92501253-33BE-4AF1-A53F-0D2F81D5096B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F26" authorId="0" shapeId="0" xr:uid="{F8DC4978-464D-447A-ACE0-DA27A518112E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G26" authorId="0" shapeId="0" xr:uid="{2DA3D8C8-E2A4-4090-88DA-F21FE0CF7113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H26" authorId="0" shapeId="0" xr:uid="{1402215E-5989-4C75-9B36-BAB3375FFE1D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E27" authorId="0" shapeId="0" xr:uid="{A4D9A985-19DE-4053-A48F-BBC925843A2B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F27" authorId="0" shapeId="0" xr:uid="{EEADDFB2-3ADE-4882-8659-B3DCFCEAD7DE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G27" authorId="0" shapeId="0" xr:uid="{5EA4BFF2-95C2-45A9-BAD7-631200CCF1EB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  <comment ref="H27" authorId="0" shapeId="0" xr:uid="{591444D7-BFC4-4814-AF73-83F440B56446}">
      <text>
        <r>
          <rPr>
            <sz val="11"/>
            <color theme="1"/>
            <rFont val="맑은 고딕"/>
            <family val="2"/>
            <scheme val="minor"/>
          </rPr>
          <t>Observation status: Estimated value
Estimation methodology: Estimates based on Structural Business Statistics (SBS) or industry census.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tc={D80243A6-3930-4AC0-8359-01251F3F0E86}</author>
    <author>tc={4F0C5E44-1DA2-47FC-98F9-E0E75F68A0F9}</author>
    <author>tc={24EFFDF1-1B50-4A47-AECC-56B1A4400491}</author>
    <author>tc={2FE7DA14-8EC3-41C3-8DFF-81F2DDD5E78D}</author>
    <author>tc={5A320218-3C8C-4E45-B39B-45D9BCD35A8F}</author>
  </authors>
  <commentList>
    <comment ref="C18" authorId="0" shapeId="0" xr:uid="{D80243A6-3930-4AC0-8359-01251F3F0E8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Apportions OECD ISIC 5T6 data on empoyment using ratio of employment between 5/6 from U.S. specific sources</t>
      </text>
    </comment>
    <comment ref="C20" authorId="1" shapeId="0" xr:uid="{4F0C5E44-1DA2-47FC-98F9-E0E75F68A0F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Note that the compensation for both sets of employees seem way inflated (perhaps executive compensation is skewing it up); however, these values on matter in relation to each other for the purposes of this calculation</t>
      </text>
    </comment>
    <comment ref="R20" authorId="2" shapeId="0" xr:uid="{24EFFDF1-1B50-4A47-AECC-56B1A440049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This value feels suspicious relative to the others</t>
      </text>
    </comment>
    <comment ref="C22" authorId="3" shapeId="0" xr:uid="{2FE7DA14-8EC3-41C3-8DFF-81F2DDD5E78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EXIOBASE data on compensation; we use US compensation ratios to help convert this to number of employees</t>
      </text>
    </comment>
    <comment ref="C23" authorId="4" shapeId="0" xr:uid="{5A320218-3C8C-4E45-B39B-45D9BCD35A8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Exchange rate doesn't matter for these calculations; only provided for clarity</t>
      </text>
    </comment>
  </commentList>
</comments>
</file>

<file path=xl/sharedStrings.xml><?xml version="1.0" encoding="utf-8"?>
<sst xmlns="http://schemas.openxmlformats.org/spreadsheetml/2006/main" count="3822" uniqueCount="1419">
  <si>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</si>
  <si>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</si>
  <si>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</si>
  <si>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</si>
  <si>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</si>
  <si>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Time</t>
  </si>
  <si>
    <t>2015</t>
  </si>
  <si>
    <t/>
  </si>
  <si>
    <t>ISIC 01T03</t>
  </si>
  <si>
    <t>ISIC 05T06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</si>
  <si>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</si>
  <si>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</si>
  <si>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</si>
  <si>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</si>
  <si>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</si>
  <si>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</si>
  <si>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</si>
  <si>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20T21</t>
  </si>
  <si>
    <t>ISIC 22</t>
  </si>
  <si>
    <t>ISIC 23</t>
  </si>
  <si>
    <t>ISIC 24</t>
  </si>
  <si>
    <t>ISIC 25</t>
  </si>
  <si>
    <t>ISIC 26</t>
  </si>
  <si>
    <t>ISIC 27</t>
  </si>
  <si>
    <t>ISIC 28</t>
  </si>
  <si>
    <t>ISIC 29</t>
  </si>
  <si>
    <t>ISIC 30</t>
  </si>
  <si>
    <t>ISIC 31T33</t>
  </si>
  <si>
    <t>ISIC 35T39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</si>
  <si>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</si>
  <si>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</si>
  <si>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</si>
  <si>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</si>
  <si>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</si>
  <si>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</si>
  <si>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</si>
  <si>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</si>
  <si>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</si>
  <si>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</si>
  <si>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</si>
  <si>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</si>
  <si>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</si>
  <si>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</si>
  <si>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</si>
  <si>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 xml:space="preserve">      D97T98: Private households with employed persons</t>
  </si>
  <si>
    <t xml:space="preserve">      D90T96: Arts, entertainment, recreation and other service activities</t>
  </si>
  <si>
    <t xml:space="preserve">      D86T88: Human health and social work</t>
  </si>
  <si>
    <t xml:space="preserve">      D85: Education</t>
  </si>
  <si>
    <t xml:space="preserve">      D84: Public admin. and defence; compulsory social security</t>
  </si>
  <si>
    <t xml:space="preserve">      D62T63: IT and other information services</t>
  </si>
  <si>
    <t xml:space="preserve">      D61: Telecommunications</t>
  </si>
  <si>
    <t xml:space="preserve">      D58T60: Publishing, audiovisual and broadcasting activities</t>
  </si>
  <si>
    <t xml:space="preserve">      D55T56: Accommodation and food services</t>
  </si>
  <si>
    <t xml:space="preserve">      D49T53: Transportation and storage</t>
  </si>
  <si>
    <t xml:space="preserve">      D45T47: Wholesale and retail trade; repair of motor vehicles</t>
  </si>
  <si>
    <t xml:space="preserve">      D30: Other transport equipment</t>
  </si>
  <si>
    <t xml:space="preserve">      D29: Motor vehicles, trailers and semi-trailers</t>
  </si>
  <si>
    <t xml:space="preserve">      D27: Electrical equipment</t>
  </si>
  <si>
    <t xml:space="preserve">      D26: Computer, electronic and optical products</t>
  </si>
  <si>
    <t xml:space="preserve">      D25: Fabricated metal products</t>
  </si>
  <si>
    <t xml:space="preserve">      D24: Basic metals</t>
  </si>
  <si>
    <t xml:space="preserve">      D23: Other non-metallic mineral products</t>
  </si>
  <si>
    <t xml:space="preserve">      D22: Rubber and plastic products</t>
  </si>
  <si>
    <t xml:space="preserve">      D20T21: Chemicals and pharmaceutical products</t>
  </si>
  <si>
    <t xml:space="preserve">      D19: Coke and refined petroleum products</t>
  </si>
  <si>
    <t xml:space="preserve">      D17T18: Paper products and printing</t>
  </si>
  <si>
    <t xml:space="preserve">      D16: Wood and products of wood and cork</t>
  </si>
  <si>
    <t xml:space="preserve">    D90T98: Other social and personal services</t>
  </si>
  <si>
    <t xml:space="preserve">    D84T88: Public admin, defence; education and health</t>
  </si>
  <si>
    <t xml:space="preserve">    D69T82: Other business sector services</t>
  </si>
  <si>
    <t xml:space="preserve">    D68: Real estate activities</t>
  </si>
  <si>
    <t xml:space="preserve">    D64T66: Financial and insurance activities</t>
  </si>
  <si>
    <t xml:space="preserve">    D58T63: Information and communication</t>
  </si>
  <si>
    <t xml:space="preserve">    D45T56: Distributive trade, transport, accommodation and food services</t>
  </si>
  <si>
    <t xml:space="preserve">    D31T33: Other manufacturing; repair and installation of machinery and equipment</t>
  </si>
  <si>
    <t xml:space="preserve">    D29T30: Transport equipment</t>
  </si>
  <si>
    <t xml:space="preserve">    D28: Machinery and equipment, nec</t>
  </si>
  <si>
    <t xml:space="preserve">    D26T27: Computers, electronic and electrical equipment</t>
  </si>
  <si>
    <t xml:space="preserve">    D24T25: Basic metals and fabricated metal products</t>
  </si>
  <si>
    <t xml:space="preserve">    D19T23: Chemicals and non-metallic mineral products</t>
  </si>
  <si>
    <t xml:space="preserve">    D16T18: Wood and paper products; printing</t>
  </si>
  <si>
    <t xml:space="preserve">    D13T15: Textiles, wearing apparel, leather and related products</t>
  </si>
  <si>
    <t xml:space="preserve">    D10T12: Food products, beverages and tobacco</t>
  </si>
  <si>
    <t xml:space="preserve">    D09: Mining support service activities</t>
  </si>
  <si>
    <t xml:space="preserve">    D07T08: Mining and quarrying of non-energy producing products</t>
  </si>
  <si>
    <t xml:space="preserve">    D05T06: Mining and extraction of energy producing products</t>
  </si>
  <si>
    <t xml:space="preserve">  DINFO: Information industries</t>
  </si>
  <si>
    <t xml:space="preserve">  D41T98: Total services (incl. construction)</t>
  </si>
  <si>
    <t xml:space="preserve">  D58T82: Information, finance, real estate and other business services</t>
  </si>
  <si>
    <t xml:space="preserve">  D45T98: Total services</t>
  </si>
  <si>
    <t xml:space="preserve">  D05T39: Industry (mining, manufactures and utilities)</t>
  </si>
  <si>
    <t xml:space="preserve">  D84T98: Public admin, education and health; social and personal services</t>
  </si>
  <si>
    <t xml:space="preserve">  D45T82: Total business sector services</t>
  </si>
  <si>
    <t xml:space="preserve">  D41T43: Construction</t>
  </si>
  <si>
    <t xml:space="preserve">  D35T39: Electricity, gas, water supply, sewerage, waste and remediation services</t>
  </si>
  <si>
    <t xml:space="preserve">  D10T33: Manufacturing</t>
  </si>
  <si>
    <t xml:space="preserve">  D05T09: Mining and quarrying</t>
  </si>
  <si>
    <t xml:space="preserve">  D01T03: Agriculture, forestry and fishing</t>
  </si>
  <si>
    <t>DTOTAL: TOTAL</t>
  </si>
  <si>
    <t>Industry</t>
  </si>
  <si>
    <t>Unit: jobs</t>
  </si>
  <si>
    <t>The OECD chart includes various subtotals that we must exclude to avoid double-counting.</t>
  </si>
  <si>
    <t>The "Filtered OECD Data" tab removes columns for total and subtotals, leaving the columns</t>
  </si>
  <si>
    <t>that match the ISIC categories used in OECD input-output tables.</t>
  </si>
  <si>
    <t>BEbIC BAU Employment by ISIC Code</t>
  </si>
  <si>
    <t>ISIC 20</t>
  </si>
  <si>
    <t>ISIC 21</t>
  </si>
  <si>
    <t>https://stats.oecd.org/Index.aspx?DataSetCode=STANI4_2020</t>
  </si>
  <si>
    <t>Most Industries</t>
  </si>
  <si>
    <t>Oil and gas extraction</t>
  </si>
  <si>
    <t>211</t>
  </si>
  <si>
    <t>U.S. Bureau of Labor Statistics</t>
  </si>
  <si>
    <t>ISIC 05</t>
  </si>
  <si>
    <t>ISIC 06</t>
  </si>
  <si>
    <t>Coal Mining</t>
  </si>
  <si>
    <t>NAICS Code</t>
  </si>
  <si>
    <t>ISIC Code</t>
  </si>
  <si>
    <t>06</t>
  </si>
  <si>
    <t>05</t>
  </si>
  <si>
    <t>2121</t>
  </si>
  <si>
    <t>Data for Year 2015</t>
  </si>
  <si>
    <t>https://www.bls.gov/ces/data/employment-and-earnings/2015/table1a_201512.pdf</t>
  </si>
  <si>
    <t>Current Employment Statistics (Dec 2015 release)</t>
  </si>
  <si>
    <t>Employment (EEs)</t>
  </si>
  <si>
    <t>BEA</t>
  </si>
  <si>
    <t>Value Added</t>
  </si>
  <si>
    <t>Compensation of employees</t>
  </si>
  <si>
    <t>Gross operating surplus</t>
  </si>
  <si>
    <t>Gross Output</t>
  </si>
  <si>
    <t>https://apps.bea.gov/industry/Release/XLS/UGdpxInd/GrossOutput.xlsx</t>
  </si>
  <si>
    <t>Industry File Download</t>
  </si>
  <si>
    <t>https://apps.bea.gov/iTable/iTable.cfm?isuri=1&amp;reqid=151&amp;step=1</t>
  </si>
  <si>
    <t>Underlying Detail: Gross Output by Industry</t>
  </si>
  <si>
    <t>https://apps.bea.gov/industry/Release/XLS/CompByInd/ComponentsOfVa.xlsx</t>
  </si>
  <si>
    <t>Components of Value Added</t>
  </si>
  <si>
    <t>https://apps.bea.gov/industry/Release/XLS/GDPxInd/GrossOutput.xlsx</t>
  </si>
  <si>
    <t>Gross Output by Industry</t>
  </si>
  <si>
    <t>Table B-1a</t>
  </si>
  <si>
    <t>05 + 07T08</t>
  </si>
  <si>
    <t>Calculated values are italicized.  Non-italicized values come directly from source documents.</t>
  </si>
  <si>
    <t>Glass</t>
  </si>
  <si>
    <t>Cement and Other Nometallic Minerals</t>
  </si>
  <si>
    <t>327 excl. 3272</t>
  </si>
  <si>
    <t>Other metals</t>
  </si>
  <si>
    <t>Iron and steel</t>
  </si>
  <si>
    <t>Electricity generation and distribution</t>
  </si>
  <si>
    <t>Energy pipelines and gas processing</t>
  </si>
  <si>
    <t>Water and waste</t>
  </si>
  <si>
    <t>352T353</t>
  </si>
  <si>
    <t>36T39</t>
  </si>
  <si>
    <t>Source table</t>
  </si>
  <si>
    <t>U.Gross Output by Industry - Detail Level</t>
  </si>
  <si>
    <t>B-1a</t>
  </si>
  <si>
    <t>Source URL</t>
  </si>
  <si>
    <t>All Nonmetallic Minerals</t>
  </si>
  <si>
    <t>All primary metals</t>
  </si>
  <si>
    <t>Gross Output (detail level)</t>
  </si>
  <si>
    <t>All Utilities</t>
  </si>
  <si>
    <t>Metric</t>
  </si>
  <si>
    <t>Chemicals</t>
  </si>
  <si>
    <t>Chemicals and Pharmaceuticals</t>
  </si>
  <si>
    <t>Pharmaceuticals</t>
  </si>
  <si>
    <t>35T39</t>
  </si>
  <si>
    <t>20T21</t>
  </si>
  <si>
    <t>3251-3253, 3255-3259</t>
  </si>
  <si>
    <t>[Millions of dollars]</t>
  </si>
  <si>
    <t>Annual data from 1997 to 2019</t>
  </si>
  <si>
    <t>Bureau of Economic Analysis</t>
  </si>
  <si>
    <t>Data published September 30, 2020</t>
  </si>
  <si>
    <t>File created Dec  8 2020  3:42PM</t>
  </si>
  <si>
    <t>Line</t>
  </si>
  <si>
    <t>1</t>
  </si>
  <si>
    <t>Oilseed farming</t>
  </si>
  <si>
    <t>2</t>
  </si>
  <si>
    <t>Grain farming</t>
  </si>
  <si>
    <t>3</t>
  </si>
  <si>
    <t>Vegetable and melon farming</t>
  </si>
  <si>
    <t>4</t>
  </si>
  <si>
    <t>Fruit and tree nut farming</t>
  </si>
  <si>
    <t>5</t>
  </si>
  <si>
    <t>Greenhouse, nursery, and floriculture production</t>
  </si>
  <si>
    <t>6</t>
  </si>
  <si>
    <t>Other crop farming</t>
  </si>
  <si>
    <t>7</t>
  </si>
  <si>
    <t>Dairy cattle and milk production</t>
  </si>
  <si>
    <t>8</t>
  </si>
  <si>
    <t>Beef cattle ranching and farming, including feedlots and dual-purpose ranching and farming</t>
  </si>
  <si>
    <t>9</t>
  </si>
  <si>
    <t>Poultry and egg production</t>
  </si>
  <si>
    <t>10</t>
  </si>
  <si>
    <t>Animal production, except cattle and poultry and eggs</t>
  </si>
  <si>
    <t>11</t>
  </si>
  <si>
    <t>Forestry and logging</t>
  </si>
  <si>
    <t>12</t>
  </si>
  <si>
    <t>Fishing, hunting and trapping</t>
  </si>
  <si>
    <t>13</t>
  </si>
  <si>
    <t>Support activities for agriculture and forestry</t>
  </si>
  <si>
    <t>14</t>
  </si>
  <si>
    <t>15</t>
  </si>
  <si>
    <t>Coal mining</t>
  </si>
  <si>
    <t>16</t>
  </si>
  <si>
    <t>Copper, nickel, lead, and zinc mining</t>
  </si>
  <si>
    <t>17</t>
  </si>
  <si>
    <t>Iron, gold, silver, and other metal ore mining</t>
  </si>
  <si>
    <t>18</t>
  </si>
  <si>
    <t>Stone mining and quarrying</t>
  </si>
  <si>
    <t>19</t>
  </si>
  <si>
    <t>Other nonmetallic mineral mining and quarrying</t>
  </si>
  <si>
    <t>20</t>
  </si>
  <si>
    <t>Drilling oil and gas wells</t>
  </si>
  <si>
    <t>21</t>
  </si>
  <si>
    <t>Other support activities for mining</t>
  </si>
  <si>
    <t>22</t>
  </si>
  <si>
    <t>Hydroelectric power generation</t>
  </si>
  <si>
    <t>23</t>
  </si>
  <si>
    <t>Fossil fuel electric power generation</t>
  </si>
  <si>
    <t>24</t>
  </si>
  <si>
    <t>Nuclear electric power generation</t>
  </si>
  <si>
    <t>25</t>
  </si>
  <si>
    <t>Solar electric power generation</t>
  </si>
  <si>
    <t>26</t>
  </si>
  <si>
    <t>Wind electric power generation</t>
  </si>
  <si>
    <t>27</t>
  </si>
  <si>
    <t>Geothermal electric power generation</t>
  </si>
  <si>
    <t>28</t>
  </si>
  <si>
    <t>Biomass electric power generation</t>
  </si>
  <si>
    <t>29</t>
  </si>
  <si>
    <t>Other electric power generation</t>
  </si>
  <si>
    <t>30</t>
  </si>
  <si>
    <t>Electric bulk power transmission and control</t>
  </si>
  <si>
    <t>31</t>
  </si>
  <si>
    <t>Electric power distribution</t>
  </si>
  <si>
    <t>32</t>
  </si>
  <si>
    <t>Natural gas distribution</t>
  </si>
  <si>
    <t>33</t>
  </si>
  <si>
    <t>Water, sewage and other systems</t>
  </si>
  <si>
    <t>34</t>
  </si>
  <si>
    <t>Health care structures</t>
  </si>
  <si>
    <t>35</t>
  </si>
  <si>
    <t>Educational and vocational structures</t>
  </si>
  <si>
    <t>36</t>
  </si>
  <si>
    <t>Nonresidential maintenance and repair</t>
  </si>
  <si>
    <t>37</t>
  </si>
  <si>
    <t>Residential maintenance and repair</t>
  </si>
  <si>
    <t>38</t>
  </si>
  <si>
    <t>Office and commercial structures</t>
  </si>
  <si>
    <t>39</t>
  </si>
  <si>
    <t>Multifamily residential structures</t>
  </si>
  <si>
    <t>40</t>
  </si>
  <si>
    <t>Other residential structures</t>
  </si>
  <si>
    <t>41</t>
  </si>
  <si>
    <t>Manufacturing structures</t>
  </si>
  <si>
    <t>42</t>
  </si>
  <si>
    <t>Other nonresidential structures</t>
  </si>
  <si>
    <t>43</t>
  </si>
  <si>
    <t>Power and communication structures</t>
  </si>
  <si>
    <t>44</t>
  </si>
  <si>
    <t>Single-family residential structures</t>
  </si>
  <si>
    <t>45</t>
  </si>
  <si>
    <t>Transportation structures and highways and streets</t>
  </si>
  <si>
    <t>46</t>
  </si>
  <si>
    <t>Sawmills and wood preservation</t>
  </si>
  <si>
    <t>47</t>
  </si>
  <si>
    <t>Veneer, plywood, and engineered wood product manufacturing</t>
  </si>
  <si>
    <t>48</t>
  </si>
  <si>
    <t>Millwork</t>
  </si>
  <si>
    <t>49</t>
  </si>
  <si>
    <t>All other wood product manufacturing</t>
  </si>
  <si>
    <t>50</t>
  </si>
  <si>
    <t>Clay product and refractory manufacturing</t>
  </si>
  <si>
    <t>51</t>
  </si>
  <si>
    <t>Glass and glass product manufacturing</t>
  </si>
  <si>
    <t>52</t>
  </si>
  <si>
    <t>Cement manufacturing</t>
  </si>
  <si>
    <t>53</t>
  </si>
  <si>
    <t>Ready-mix concrete manufacturing</t>
  </si>
  <si>
    <t>54</t>
  </si>
  <si>
    <t>Concrete pipe, brick, and block manufacturing</t>
  </si>
  <si>
    <t>55</t>
  </si>
  <si>
    <t>Other concrete product manufacturing</t>
  </si>
  <si>
    <t>56</t>
  </si>
  <si>
    <t>Lime and gypsum product manufacturing</t>
  </si>
  <si>
    <t>57</t>
  </si>
  <si>
    <t>Abrasive product manufacturing</t>
  </si>
  <si>
    <t>58</t>
  </si>
  <si>
    <t>Cut stone and stone product manufacturing</t>
  </si>
  <si>
    <t>59</t>
  </si>
  <si>
    <t>Ground or treated mineral and earth manufacturing</t>
  </si>
  <si>
    <t>60</t>
  </si>
  <si>
    <t>Mineral wool manufacturing</t>
  </si>
  <si>
    <t>61</t>
  </si>
  <si>
    <t>Miscellaneous nonmetallic mineral products</t>
  </si>
  <si>
    <t>62</t>
  </si>
  <si>
    <t>Iron and steel mills and ferroalloy manufacturing</t>
  </si>
  <si>
    <t>63</t>
  </si>
  <si>
    <t>Steel product manufacturing from purchased steel</t>
  </si>
  <si>
    <t>64</t>
  </si>
  <si>
    <t>Secondary smelting and alloying of aluminum</t>
  </si>
  <si>
    <t>65</t>
  </si>
  <si>
    <t>Alumina refining and primary aluminum production</t>
  </si>
  <si>
    <t>66</t>
  </si>
  <si>
    <t>Aluminum product manufacturing from purchased aluminum</t>
  </si>
  <si>
    <t>67</t>
  </si>
  <si>
    <t>Nonferrous Metal (except Aluminum) Smelting and Refining</t>
  </si>
  <si>
    <t>68</t>
  </si>
  <si>
    <t>Copper rolling, drawing, extruding and alloying</t>
  </si>
  <si>
    <t>69</t>
  </si>
  <si>
    <t>Nonferrous metal (except copper and aluminum) rolling, drawing, extruding and alloying</t>
  </si>
  <si>
    <t>70</t>
  </si>
  <si>
    <t>Ferrous metal foundries</t>
  </si>
  <si>
    <t>71</t>
  </si>
  <si>
    <t>Nonferrous metal foundries</t>
  </si>
  <si>
    <t>72</t>
  </si>
  <si>
    <t>Custom roll forming</t>
  </si>
  <si>
    <t>73</t>
  </si>
  <si>
    <t>All other forging, stamping, and sintering</t>
  </si>
  <si>
    <t>74</t>
  </si>
  <si>
    <t>Metal crown, closure, and other metal stamping (except automotive)</t>
  </si>
  <si>
    <t>75</t>
  </si>
  <si>
    <t>Cutlery and handtool manufacturing</t>
  </si>
  <si>
    <t>76</t>
  </si>
  <si>
    <t>Plate work and fabricated structural product manufacturing</t>
  </si>
  <si>
    <t>77</t>
  </si>
  <si>
    <t>Ornamental and architectural metal products manufacturing</t>
  </si>
  <si>
    <t>78</t>
  </si>
  <si>
    <t>Power boiler and heat exchanger manufacturing</t>
  </si>
  <si>
    <t>79</t>
  </si>
  <si>
    <t>Metal tank (heavy gauge) manufacturing</t>
  </si>
  <si>
    <t>80</t>
  </si>
  <si>
    <t>Metal can, box, and other metal container (light gauge) manufacturing</t>
  </si>
  <si>
    <t>81</t>
  </si>
  <si>
    <t>Hardware manufacturing</t>
  </si>
  <si>
    <t>82</t>
  </si>
  <si>
    <t>Spring and wire product manufacturing</t>
  </si>
  <si>
    <t>83</t>
  </si>
  <si>
    <t>Machine shops</t>
  </si>
  <si>
    <t>84</t>
  </si>
  <si>
    <t>Turned product and screw, nut, and bolt manufacturing</t>
  </si>
  <si>
    <t>85</t>
  </si>
  <si>
    <t>Coating, engraving, heat treating and allied activities</t>
  </si>
  <si>
    <t>86</t>
  </si>
  <si>
    <t>Plumbing fixture fitting and trim manufacturing</t>
  </si>
  <si>
    <t>87</t>
  </si>
  <si>
    <t>Valve and fittings other than plumbing</t>
  </si>
  <si>
    <t>88</t>
  </si>
  <si>
    <t>Ball and roller bearing manufacturing</t>
  </si>
  <si>
    <t>89</t>
  </si>
  <si>
    <t>Fabricated pipe and pipe fitting manufacturing</t>
  </si>
  <si>
    <t>90</t>
  </si>
  <si>
    <t>Ammunition, arms, ordnance, and accessories manufacturing</t>
  </si>
  <si>
    <t>91</t>
  </si>
  <si>
    <t>Other fabricated metal manufacturing</t>
  </si>
  <si>
    <t>92</t>
  </si>
  <si>
    <t>Farm machinery and equipment manufacturing</t>
  </si>
  <si>
    <t>93</t>
  </si>
  <si>
    <t>Lawn and garden equipment manufacturing</t>
  </si>
  <si>
    <t>94</t>
  </si>
  <si>
    <t>Construction machinery manufacturing</t>
  </si>
  <si>
    <t>95</t>
  </si>
  <si>
    <t>Mining and oil and gas field machinery manufacturing</t>
  </si>
  <si>
    <t>96</t>
  </si>
  <si>
    <t>Semiconductor machinery manufacturing</t>
  </si>
  <si>
    <t>97</t>
  </si>
  <si>
    <t>Other industrial machinery manufacturing</t>
  </si>
  <si>
    <t>98</t>
  </si>
  <si>
    <t>Optical instrument and lens manufacturing</t>
  </si>
  <si>
    <t>99</t>
  </si>
  <si>
    <t>Photographic and photocopying equipment manufacturing</t>
  </si>
  <si>
    <t>100</t>
  </si>
  <si>
    <t>Other commercial and service industry machinery manufacturing</t>
  </si>
  <si>
    <t>101</t>
  </si>
  <si>
    <t>Heating equipment (except warm air furnaces) manufacturing</t>
  </si>
  <si>
    <t>102</t>
  </si>
  <si>
    <t>Air conditioning, refrigeration, and warm air heating equipment manufacturing</t>
  </si>
  <si>
    <t>103</t>
  </si>
  <si>
    <t>Industrial and commercial fan and blower and air purification equipment manufacturing</t>
  </si>
  <si>
    <t>104</t>
  </si>
  <si>
    <t>Industrial mold manufacturing</t>
  </si>
  <si>
    <t>105</t>
  </si>
  <si>
    <t>Special tool, die, jig, and fixture manufacturing</t>
  </si>
  <si>
    <t>106</t>
  </si>
  <si>
    <t>Machine tool manufacturing</t>
  </si>
  <si>
    <t>107</t>
  </si>
  <si>
    <t>Cutting and machine tool accessory, rolling mill, and other metalworking machinery manufacturing</t>
  </si>
  <si>
    <t>108</t>
  </si>
  <si>
    <t>Turbine and turbine generator set units manufacturing</t>
  </si>
  <si>
    <t>109</t>
  </si>
  <si>
    <t>Speed changer, industrial high-speed drive, and gear manufacturing</t>
  </si>
  <si>
    <t>110</t>
  </si>
  <si>
    <t>Mechanical power transmission equipment manufacturing</t>
  </si>
  <si>
    <t>111</t>
  </si>
  <si>
    <t>Other engine equipment manufacturing</t>
  </si>
  <si>
    <t>112</t>
  </si>
  <si>
    <t>Air and gas compressor manufacturing</t>
  </si>
  <si>
    <t>113</t>
  </si>
  <si>
    <t>Pump and pumping equipment manufacturing</t>
  </si>
  <si>
    <t>114</t>
  </si>
  <si>
    <t>Material handling equipment manufacturing</t>
  </si>
  <si>
    <t>115</t>
  </si>
  <si>
    <t>Power-driven handtool manufacturing</t>
  </si>
  <si>
    <t>116</t>
  </si>
  <si>
    <t>Packaging machinery manufacturing</t>
  </si>
  <si>
    <t>117</t>
  </si>
  <si>
    <t>Industrial process furnace and oven manufacturing</t>
  </si>
  <si>
    <t>118</t>
  </si>
  <si>
    <t>Other general purpose machinery manufacturing</t>
  </si>
  <si>
    <t>119</t>
  </si>
  <si>
    <t>Fluid power process machinery</t>
  </si>
  <si>
    <t>120</t>
  </si>
  <si>
    <t>Electronic computer manufacturing</t>
  </si>
  <si>
    <t>121</t>
  </si>
  <si>
    <t>Computer storage device manufacturing</t>
  </si>
  <si>
    <t>122</t>
  </si>
  <si>
    <t>Computer terminals and other computer peripheral equipment manufacturing</t>
  </si>
  <si>
    <t>123</t>
  </si>
  <si>
    <t>Telephone apparatus manufacturing</t>
  </si>
  <si>
    <t>124</t>
  </si>
  <si>
    <t>Broadcast and wireless communications equipment</t>
  </si>
  <si>
    <t>125</t>
  </si>
  <si>
    <t>Other communications equipment manufacturing</t>
  </si>
  <si>
    <t>126</t>
  </si>
  <si>
    <t>Semiconductor and related device manufacturing</t>
  </si>
  <si>
    <t>127</t>
  </si>
  <si>
    <t>Printed circuit assembly (electronic assembly) manufacturing</t>
  </si>
  <si>
    <t>128</t>
  </si>
  <si>
    <t>Other electronic component manufacturing</t>
  </si>
  <si>
    <t>129</t>
  </si>
  <si>
    <t>Electromedical and electrotherapeutic apparatus manufacturing</t>
  </si>
  <si>
    <t>130</t>
  </si>
  <si>
    <t>Search, detection, and navigation instruments manufacturing</t>
  </si>
  <si>
    <t>131</t>
  </si>
  <si>
    <t>Automatic environmental control manufacturing</t>
  </si>
  <si>
    <t>132</t>
  </si>
  <si>
    <t>Industrial process variable instruments manufacturing</t>
  </si>
  <si>
    <t>133</t>
  </si>
  <si>
    <t>Totalizing fluid meter and counting device manufacturing</t>
  </si>
  <si>
    <t>134</t>
  </si>
  <si>
    <t>Electricity and signal testing instruments manufacturing</t>
  </si>
  <si>
    <t>135</t>
  </si>
  <si>
    <t>Analytical laboratory instrument manufacturing</t>
  </si>
  <si>
    <t>136</t>
  </si>
  <si>
    <t>Irradiation apparatus manufacturing</t>
  </si>
  <si>
    <t>137</t>
  </si>
  <si>
    <t>Watch, clock, and other measuring and controlling device manufacturing</t>
  </si>
  <si>
    <t>138</t>
  </si>
  <si>
    <t>Audio and video equipment manufacturing</t>
  </si>
  <si>
    <t>139</t>
  </si>
  <si>
    <t>Manufacturing and reproducing magnetic and optical media</t>
  </si>
  <si>
    <t>140</t>
  </si>
  <si>
    <t>Electric lamp bulb and part manufacturing</t>
  </si>
  <si>
    <t>141</t>
  </si>
  <si>
    <t>Lighting fixture manufacturing</t>
  </si>
  <si>
    <t>142</t>
  </si>
  <si>
    <t>Small electrical appliance manufacturing</t>
  </si>
  <si>
    <t>143</t>
  </si>
  <si>
    <t>Household cooking appliance manufacturing</t>
  </si>
  <si>
    <t>144</t>
  </si>
  <si>
    <t>Household refrigerator and home freezer manufacturing</t>
  </si>
  <si>
    <t>145</t>
  </si>
  <si>
    <t>Household laundry equipment manufacturing</t>
  </si>
  <si>
    <t>146</t>
  </si>
  <si>
    <t>Other major household appliance manufacturing</t>
  </si>
  <si>
    <t>147</t>
  </si>
  <si>
    <t>Power, distribution, and specialty transformer manufacturing</t>
  </si>
  <si>
    <t>148</t>
  </si>
  <si>
    <t>Motor and generator manufacturing</t>
  </si>
  <si>
    <t>149</t>
  </si>
  <si>
    <t>Switchgear and switchboard apparatus manufacturing</t>
  </si>
  <si>
    <t>150</t>
  </si>
  <si>
    <t>Relay and industrial control manufacturing</t>
  </si>
  <si>
    <t>151</t>
  </si>
  <si>
    <t>Storage battery manufacturing</t>
  </si>
  <si>
    <t>152</t>
  </si>
  <si>
    <t>Primary battery manufacturing</t>
  </si>
  <si>
    <t>153</t>
  </si>
  <si>
    <t>Communication and energy wire and cable manufacturing</t>
  </si>
  <si>
    <t>154</t>
  </si>
  <si>
    <t>Wiring device manufacturing</t>
  </si>
  <si>
    <t>155</t>
  </si>
  <si>
    <t>Carbon and graphite product manufacturing</t>
  </si>
  <si>
    <t>156</t>
  </si>
  <si>
    <t>All other miscellaneous electrical equipment and component manufacturing</t>
  </si>
  <si>
    <t>157</t>
  </si>
  <si>
    <t>Automobile manufacturing</t>
  </si>
  <si>
    <t>158</t>
  </si>
  <si>
    <t>Light truck and utility vehicle manufacturing</t>
  </si>
  <si>
    <t>159</t>
  </si>
  <si>
    <t>Heavy duty truck manufacturing</t>
  </si>
  <si>
    <t>160</t>
  </si>
  <si>
    <t>Motor vehicle body manufacturing</t>
  </si>
  <si>
    <t>161</t>
  </si>
  <si>
    <t>Truck trailer manufacturing</t>
  </si>
  <si>
    <t>162</t>
  </si>
  <si>
    <t>Motor home manufacturing</t>
  </si>
  <si>
    <t>163</t>
  </si>
  <si>
    <t>Travel trailer and camper manufacturing</t>
  </si>
  <si>
    <t>164</t>
  </si>
  <si>
    <t>Motor vehicle gasoline engine and engine parts manufacturing</t>
  </si>
  <si>
    <t>165</t>
  </si>
  <si>
    <t>Motor vehicle electrical and electronic equipment manufacturing</t>
  </si>
  <si>
    <t>166</t>
  </si>
  <si>
    <t>Motor vehicle transmission and power train parts manufacturing</t>
  </si>
  <si>
    <t>167</t>
  </si>
  <si>
    <t>Motor vehicle seating and interior trim manufacturing</t>
  </si>
  <si>
    <t>168</t>
  </si>
  <si>
    <t>Motor vehicle metal stamping</t>
  </si>
  <si>
    <t>169</t>
  </si>
  <si>
    <t>Other Motor Vehicle Parts Manufacturing</t>
  </si>
  <si>
    <t>170</t>
  </si>
  <si>
    <t>Motor vehicle steering, suspension component (except spring), and brake systems manufacturing</t>
  </si>
  <si>
    <t>171</t>
  </si>
  <si>
    <t>Aircraft manufacturing</t>
  </si>
  <si>
    <t>172</t>
  </si>
  <si>
    <t>Aircraft engine and engine parts manufacturing</t>
  </si>
  <si>
    <t>173</t>
  </si>
  <si>
    <t>Other aircraft parts and auxiliary equipment manufacturing</t>
  </si>
  <si>
    <t>174</t>
  </si>
  <si>
    <t>Guided missile and space vehicle manufacturing</t>
  </si>
  <si>
    <t>175</t>
  </si>
  <si>
    <t>Propulsion units and parts for space vehicles and guided missiles</t>
  </si>
  <si>
    <t>176</t>
  </si>
  <si>
    <t>Railroad rolling stock manufacturing</t>
  </si>
  <si>
    <t>177</t>
  </si>
  <si>
    <t>Ship building and repairing</t>
  </si>
  <si>
    <t>178</t>
  </si>
  <si>
    <t>Boat building</t>
  </si>
  <si>
    <t>179</t>
  </si>
  <si>
    <t>Motorcycle, bicycle, and parts manufacturing</t>
  </si>
  <si>
    <t>180</t>
  </si>
  <si>
    <t>Military armored vehicle, tank, and tank component manufacturing</t>
  </si>
  <si>
    <t>181</t>
  </si>
  <si>
    <t>All other transportation equipment manufacturing</t>
  </si>
  <si>
    <t>182</t>
  </si>
  <si>
    <t>Wood kitchen cabinet and countertop manufacturing</t>
  </si>
  <si>
    <t>183</t>
  </si>
  <si>
    <t>Upholstered household furniture manufacturing</t>
  </si>
  <si>
    <t>184</t>
  </si>
  <si>
    <t>Nonupholstered wood household furniture manufacturing</t>
  </si>
  <si>
    <t>185</t>
  </si>
  <si>
    <t>Institutional furniture manufacturing</t>
  </si>
  <si>
    <t>186</t>
  </si>
  <si>
    <t>Other household nonupholstered furniture</t>
  </si>
  <si>
    <t>187</t>
  </si>
  <si>
    <t>Showcase, partition, shelving, and locker manufacturing</t>
  </si>
  <si>
    <t>188</t>
  </si>
  <si>
    <t>Office furniture and custom architectural woodwork and millwork manufacturing</t>
  </si>
  <si>
    <t>189</t>
  </si>
  <si>
    <t>Other furniture related product manufacturing</t>
  </si>
  <si>
    <t>190</t>
  </si>
  <si>
    <t>Surgical and medical instrument manufacturing</t>
  </si>
  <si>
    <t>191</t>
  </si>
  <si>
    <t>Surgical appliance and supplies manufacturing</t>
  </si>
  <si>
    <t>192</t>
  </si>
  <si>
    <t>Dental equipment and supplies manufacturing</t>
  </si>
  <si>
    <t>193</t>
  </si>
  <si>
    <t>Ophthalmic goods manufacturing</t>
  </si>
  <si>
    <t>194</t>
  </si>
  <si>
    <t>Dental laboratories</t>
  </si>
  <si>
    <t>195</t>
  </si>
  <si>
    <t>Jewelry and silverware manufacturing</t>
  </si>
  <si>
    <t>196</t>
  </si>
  <si>
    <t>Sporting and athletic goods manufacturing</t>
  </si>
  <si>
    <t>197</t>
  </si>
  <si>
    <t>Doll, toy, and game manufacturing</t>
  </si>
  <si>
    <t>198</t>
  </si>
  <si>
    <t>Office supplies (except paper) manufacturing</t>
  </si>
  <si>
    <t>199</t>
  </si>
  <si>
    <t>Sign manufacturing</t>
  </si>
  <si>
    <t>200</t>
  </si>
  <si>
    <t>All other miscellaneous manufacturing</t>
  </si>
  <si>
    <t>201</t>
  </si>
  <si>
    <t>Dog and cat food manufacturing</t>
  </si>
  <si>
    <t>202</t>
  </si>
  <si>
    <t>Other animal food manufacturing</t>
  </si>
  <si>
    <t>203</t>
  </si>
  <si>
    <t>Flour milling and malt manufacturing</t>
  </si>
  <si>
    <t>204</t>
  </si>
  <si>
    <t>Wet corn milling</t>
  </si>
  <si>
    <t>205</t>
  </si>
  <si>
    <t>Fats and oils refining and blending</t>
  </si>
  <si>
    <t>206</t>
  </si>
  <si>
    <t>Soybean and other oilseed processing</t>
  </si>
  <si>
    <t>207</t>
  </si>
  <si>
    <t>Breakfast cereal manufacturing</t>
  </si>
  <si>
    <t>208</t>
  </si>
  <si>
    <t>Sugar and confectionery product manufacturing</t>
  </si>
  <si>
    <t>209</t>
  </si>
  <si>
    <t>Frozen food manufacturing</t>
  </si>
  <si>
    <t>210</t>
  </si>
  <si>
    <t>Fruit and vegetable canning, pickling, and drying</t>
  </si>
  <si>
    <t>Cheese manufacturing</t>
  </si>
  <si>
    <t>212</t>
  </si>
  <si>
    <t>Dry, condensed, and evaporated dairy product manufacturing</t>
  </si>
  <si>
    <t>213</t>
  </si>
  <si>
    <t>Fluid milk and butter manufacturing</t>
  </si>
  <si>
    <t>214</t>
  </si>
  <si>
    <t>Ice cream and frozen dessert manufacturing</t>
  </si>
  <si>
    <t>215</t>
  </si>
  <si>
    <t>Poultry processing</t>
  </si>
  <si>
    <t>216</t>
  </si>
  <si>
    <t>Animal (except poultry) slaughtering, rendering, and processing</t>
  </si>
  <si>
    <t>217</t>
  </si>
  <si>
    <t>Seafood product preparation and packaging</t>
  </si>
  <si>
    <t>218</t>
  </si>
  <si>
    <t>Bread and bakery product manufacturing</t>
  </si>
  <si>
    <t>219</t>
  </si>
  <si>
    <t>Cookie, cracker, pasta, and tortilla manufacturing</t>
  </si>
  <si>
    <t>220</t>
  </si>
  <si>
    <t>Snack food manufacturing</t>
  </si>
  <si>
    <t>221</t>
  </si>
  <si>
    <t>Coffee and tea manufacturing</t>
  </si>
  <si>
    <t>222</t>
  </si>
  <si>
    <t>Flavoring syrup and concentrate manufacturing</t>
  </si>
  <si>
    <t>223</t>
  </si>
  <si>
    <t>Seasoning and dressing manufacturing</t>
  </si>
  <si>
    <t>224</t>
  </si>
  <si>
    <t>All other food manufacturing</t>
  </si>
  <si>
    <t>225</t>
  </si>
  <si>
    <t>Soft drink and ice manufacturing</t>
  </si>
  <si>
    <t>226</t>
  </si>
  <si>
    <t>Breweries</t>
  </si>
  <si>
    <t>227</t>
  </si>
  <si>
    <t>Wineries</t>
  </si>
  <si>
    <t>228</t>
  </si>
  <si>
    <t>Distilleries</t>
  </si>
  <si>
    <t>229</t>
  </si>
  <si>
    <t>Tobacco product manufacturing</t>
  </si>
  <si>
    <t>230</t>
  </si>
  <si>
    <t>Fiber, yarn, and thread mills</t>
  </si>
  <si>
    <t>231</t>
  </si>
  <si>
    <t>Fabric mills</t>
  </si>
  <si>
    <t>232</t>
  </si>
  <si>
    <t>Textile and fabric finishing and fabric coating mills</t>
  </si>
  <si>
    <t>233</t>
  </si>
  <si>
    <t>Carpet and rug mills</t>
  </si>
  <si>
    <t>234</t>
  </si>
  <si>
    <t>Curtain and linen mills</t>
  </si>
  <si>
    <t>235</t>
  </si>
  <si>
    <t>Other textile product mills</t>
  </si>
  <si>
    <t>236</t>
  </si>
  <si>
    <t>Apparel manufacturing</t>
  </si>
  <si>
    <t>237</t>
  </si>
  <si>
    <t>Leather and allied product manufacturing</t>
  </si>
  <si>
    <t>238</t>
  </si>
  <si>
    <t>Pulp mills</t>
  </si>
  <si>
    <t>239</t>
  </si>
  <si>
    <t>Paper mills</t>
  </si>
  <si>
    <t>240</t>
  </si>
  <si>
    <t>Paperboard mills</t>
  </si>
  <si>
    <t>241</t>
  </si>
  <si>
    <t>Paperboard container manufacturing</t>
  </si>
  <si>
    <t>242</t>
  </si>
  <si>
    <t>Paper Bag and Coated and Treated Paper Manufacturing</t>
  </si>
  <si>
    <t>243</t>
  </si>
  <si>
    <t>Stationery product manufacturing</t>
  </si>
  <si>
    <t>244</t>
  </si>
  <si>
    <t>Sanitary paper product manufacturing</t>
  </si>
  <si>
    <t>245</t>
  </si>
  <si>
    <t>All other converted paper product manufacturing</t>
  </si>
  <si>
    <t>246</t>
  </si>
  <si>
    <t>Printing</t>
  </si>
  <si>
    <t>247</t>
  </si>
  <si>
    <t>Support activities for printing</t>
  </si>
  <si>
    <t>248</t>
  </si>
  <si>
    <t>Petroleum refineries</t>
  </si>
  <si>
    <t>249</t>
  </si>
  <si>
    <t>Asphalt paving mixture and block manufacturing</t>
  </si>
  <si>
    <t>250</t>
  </si>
  <si>
    <t>Asphalt shingle and coating materials manufacturing</t>
  </si>
  <si>
    <t>251</t>
  </si>
  <si>
    <t>Other petroleum and coal products manufacturing</t>
  </si>
  <si>
    <t>252</t>
  </si>
  <si>
    <t>Petrochemical manufacturing</t>
  </si>
  <si>
    <t>253</t>
  </si>
  <si>
    <t>Industrial gas manufacturing</t>
  </si>
  <si>
    <t>254</t>
  </si>
  <si>
    <t>Synthetic dye and pigment manufacturing</t>
  </si>
  <si>
    <t>255</t>
  </si>
  <si>
    <t>Other Basic Inorganic Chemical Manufacturing</t>
  </si>
  <si>
    <t>256</t>
  </si>
  <si>
    <t>Other basic organic chemical manufacturing</t>
  </si>
  <si>
    <t>257</t>
  </si>
  <si>
    <t>Plastics material and resin manufacturing</t>
  </si>
  <si>
    <t>258</t>
  </si>
  <si>
    <t>Synthetic rubber and artificial and synthetic fibers and filaments manufacturing</t>
  </si>
  <si>
    <t>259</t>
  </si>
  <si>
    <t>Medicinal and botanical manufacturing</t>
  </si>
  <si>
    <t>260</t>
  </si>
  <si>
    <t>Pharmaceutical preparation manufacturing</t>
  </si>
  <si>
    <t>261</t>
  </si>
  <si>
    <t>In-vitro diagnostic substance manufacturing</t>
  </si>
  <si>
    <t>262</t>
  </si>
  <si>
    <t>Biological product (except diagnostic) manufacturing</t>
  </si>
  <si>
    <t>263</t>
  </si>
  <si>
    <t>Fertilizer manufacturing</t>
  </si>
  <si>
    <t>264</t>
  </si>
  <si>
    <t>Pesticide and other agricultural chemical manufacturing</t>
  </si>
  <si>
    <t>265</t>
  </si>
  <si>
    <t>Paint and coating manufacturing</t>
  </si>
  <si>
    <t>266</t>
  </si>
  <si>
    <t>Adhesive manufacturing</t>
  </si>
  <si>
    <t>267</t>
  </si>
  <si>
    <t>Soap and cleaning compound manufacturing</t>
  </si>
  <si>
    <t>268</t>
  </si>
  <si>
    <t>Toilet preparation manufacturing</t>
  </si>
  <si>
    <t>269</t>
  </si>
  <si>
    <t>Printing ink manufacturing</t>
  </si>
  <si>
    <t>270</t>
  </si>
  <si>
    <t>All other chemical product and preparation manufacturing</t>
  </si>
  <si>
    <t>271</t>
  </si>
  <si>
    <t>Plastics packaging materials and unlaminated film and sheet manufacturing</t>
  </si>
  <si>
    <t>272</t>
  </si>
  <si>
    <t>Plastics pipe, pipe fitting, and unlaminated profile shape manufacturing</t>
  </si>
  <si>
    <t>273</t>
  </si>
  <si>
    <t>Laminated plastics plate, sheet (except packaging), and shape manufacturing</t>
  </si>
  <si>
    <t>274</t>
  </si>
  <si>
    <t>Polystyrene foam product manufacturing</t>
  </si>
  <si>
    <t>275</t>
  </si>
  <si>
    <t>Urethane and other foam product (except polystyrene) manufacturing</t>
  </si>
  <si>
    <t>276</t>
  </si>
  <si>
    <t>Plastics bottle manufacturing</t>
  </si>
  <si>
    <t>277</t>
  </si>
  <si>
    <t>Other plastics product manufacturing</t>
  </si>
  <si>
    <t>278</t>
  </si>
  <si>
    <t>Tire manufacturing</t>
  </si>
  <si>
    <t>279</t>
  </si>
  <si>
    <t>Rubber and plastics hoses and belting manufacturing</t>
  </si>
  <si>
    <t>280</t>
  </si>
  <si>
    <t>Other rubber product manufacturing</t>
  </si>
  <si>
    <t>281</t>
  </si>
  <si>
    <t>Motor vehicle and motor vehicle parts and supplies</t>
  </si>
  <si>
    <t>282</t>
  </si>
  <si>
    <t>Professional and commercial equipment and supplies</t>
  </si>
  <si>
    <t>283</t>
  </si>
  <si>
    <t>Household appliances and electrical and electronic goods</t>
  </si>
  <si>
    <t>284</t>
  </si>
  <si>
    <t>Machinery, equipment, and supplies</t>
  </si>
  <si>
    <t>285</t>
  </si>
  <si>
    <t>Other durable goods merchant wholesalers</t>
  </si>
  <si>
    <t>286</t>
  </si>
  <si>
    <t>Drugs and druggists' sundries</t>
  </si>
  <si>
    <t>287</t>
  </si>
  <si>
    <t>Grocery and related product wholesalers</t>
  </si>
  <si>
    <t>288</t>
  </si>
  <si>
    <t>Petroleum and petroleum products</t>
  </si>
  <si>
    <t>289</t>
  </si>
  <si>
    <t>Other nondurable goods merchant wholesalers</t>
  </si>
  <si>
    <t>290</t>
  </si>
  <si>
    <t>Wholesale electronic markets and agents and brokers</t>
  </si>
  <si>
    <t>291</t>
  </si>
  <si>
    <t>Customs duties</t>
  </si>
  <si>
    <t>292</t>
  </si>
  <si>
    <t>Motor vehicle and parts dealers</t>
  </si>
  <si>
    <t>293</t>
  </si>
  <si>
    <t>Food and beverage stores</t>
  </si>
  <si>
    <t>294</t>
  </si>
  <si>
    <t>General merchandise stores</t>
  </si>
  <si>
    <t>295</t>
  </si>
  <si>
    <t>Building material and garden equipment and supplies dealers</t>
  </si>
  <si>
    <t>296</t>
  </si>
  <si>
    <t>Health and personal care stores</t>
  </si>
  <si>
    <t>297</t>
  </si>
  <si>
    <t>Gasoline stations</t>
  </si>
  <si>
    <t>298</t>
  </si>
  <si>
    <t>Clothing and clothing accessories stores</t>
  </si>
  <si>
    <t>299</t>
  </si>
  <si>
    <t>Nonstore retailers</t>
  </si>
  <si>
    <t>300</t>
  </si>
  <si>
    <t>Furniture and home furnishings stores</t>
  </si>
  <si>
    <t>301</t>
  </si>
  <si>
    <t>Electronics and appliance stores</t>
  </si>
  <si>
    <t>302</t>
  </si>
  <si>
    <t>Sporting goods, hobby, book, and music stores</t>
  </si>
  <si>
    <t>303</t>
  </si>
  <si>
    <t>Miscellaneous store retailers</t>
  </si>
  <si>
    <t>304</t>
  </si>
  <si>
    <t>Air transportation</t>
  </si>
  <si>
    <t>305</t>
  </si>
  <si>
    <t>Rail transportation</t>
  </si>
  <si>
    <t>306</t>
  </si>
  <si>
    <t>Water transportation</t>
  </si>
  <si>
    <t>307</t>
  </si>
  <si>
    <t>Truck transportation</t>
  </si>
  <si>
    <t>308</t>
  </si>
  <si>
    <t>Transit and ground passenger transportation</t>
  </si>
  <si>
    <t>309</t>
  </si>
  <si>
    <t>Pipeline transportation</t>
  </si>
  <si>
    <t>310</t>
  </si>
  <si>
    <t>Scenic and sightseeing transportation and support activities for transportation</t>
  </si>
  <si>
    <t>311</t>
  </si>
  <si>
    <t>Couriers and messengers</t>
  </si>
  <si>
    <t>312</t>
  </si>
  <si>
    <t>Warehousing and storage</t>
  </si>
  <si>
    <t>313</t>
  </si>
  <si>
    <t>Newspaper publishers</t>
  </si>
  <si>
    <t>314</t>
  </si>
  <si>
    <t>Periodical Publishers</t>
  </si>
  <si>
    <t>315</t>
  </si>
  <si>
    <t>Book publishers</t>
  </si>
  <si>
    <t>316</t>
  </si>
  <si>
    <t>Directory, mailing list, and other publishers</t>
  </si>
  <si>
    <t>317</t>
  </si>
  <si>
    <t>Software publishers</t>
  </si>
  <si>
    <t>318</t>
  </si>
  <si>
    <t>Motion picture and video industries</t>
  </si>
  <si>
    <t>319</t>
  </si>
  <si>
    <t>Sound recording industries</t>
  </si>
  <si>
    <t>320</t>
  </si>
  <si>
    <t>Radio and television broadcasting</t>
  </si>
  <si>
    <t>321</t>
  </si>
  <si>
    <t>Cable and other subscription programming</t>
  </si>
  <si>
    <t>322</t>
  </si>
  <si>
    <t>Wired telecommunications carriers</t>
  </si>
  <si>
    <t>323</t>
  </si>
  <si>
    <t>Wireless telecommunications carriers (except satellite)</t>
  </si>
  <si>
    <t>324</t>
  </si>
  <si>
    <t>Satellite, telecommunications resellers, and all other telecommunications</t>
  </si>
  <si>
    <t>325</t>
  </si>
  <si>
    <t>Data processing, hosting, and related services</t>
  </si>
  <si>
    <t>326</t>
  </si>
  <si>
    <t>Internet publishing and broadcasting and Web search portals</t>
  </si>
  <si>
    <t>327</t>
  </si>
  <si>
    <t>News syndicates, libraries, archives and all other information services</t>
  </si>
  <si>
    <t>328</t>
  </si>
  <si>
    <t>Nondepository credit intermediation and related activities</t>
  </si>
  <si>
    <t>329</t>
  </si>
  <si>
    <t>Monetary authorities and depository credit intermediation</t>
  </si>
  <si>
    <t>330</t>
  </si>
  <si>
    <t>Other financial investment activities</t>
  </si>
  <si>
    <t>331</t>
  </si>
  <si>
    <t>Securities and commodity contracts intermediation and brokerage</t>
  </si>
  <si>
    <t>332</t>
  </si>
  <si>
    <t>Direct life insurance carriers</t>
  </si>
  <si>
    <t>333</t>
  </si>
  <si>
    <t>Insurance carriers, except direct life insurance</t>
  </si>
  <si>
    <t>334</t>
  </si>
  <si>
    <t>Insurance agencies, brokerages, and related activities</t>
  </si>
  <si>
    <t>335</t>
  </si>
  <si>
    <t>Funds, trusts, and other financial vehicles</t>
  </si>
  <si>
    <t>336</t>
  </si>
  <si>
    <t>Owner-occupied housing</t>
  </si>
  <si>
    <t>337</t>
  </si>
  <si>
    <t>Tenant-occupied housing</t>
  </si>
  <si>
    <t>338</t>
  </si>
  <si>
    <t>Other real estate</t>
  </si>
  <si>
    <t>339</t>
  </si>
  <si>
    <t>Automotive equipment rental and leasing</t>
  </si>
  <si>
    <t>340</t>
  </si>
  <si>
    <t>Commercial and industrial machinery and equipment rental and leasing</t>
  </si>
  <si>
    <t>341</t>
  </si>
  <si>
    <t>General and consumer goods rental</t>
  </si>
  <si>
    <t>342</t>
  </si>
  <si>
    <t>Lessors of nonfinancial intangible assets</t>
  </si>
  <si>
    <t>343</t>
  </si>
  <si>
    <t>Legal services</t>
  </si>
  <si>
    <t>344</t>
  </si>
  <si>
    <t>Custom computer programming services</t>
  </si>
  <si>
    <t>345</t>
  </si>
  <si>
    <t>Computer systems design services</t>
  </si>
  <si>
    <t>346</t>
  </si>
  <si>
    <t>Other computer related services, including facilities management</t>
  </si>
  <si>
    <t>347</t>
  </si>
  <si>
    <t>Accounting, tax preparation, bookkeeping, and payroll services</t>
  </si>
  <si>
    <t>348</t>
  </si>
  <si>
    <t>Architectural, engineering, and related services</t>
  </si>
  <si>
    <t>349</t>
  </si>
  <si>
    <t>Management consulting services</t>
  </si>
  <si>
    <t>350</t>
  </si>
  <si>
    <t>Environmental and other technical consulting services</t>
  </si>
  <si>
    <t>351</t>
  </si>
  <si>
    <t>Scientific research and development services</t>
  </si>
  <si>
    <t>352</t>
  </si>
  <si>
    <t>Advertising, public relations, and related services</t>
  </si>
  <si>
    <t>353</t>
  </si>
  <si>
    <t>Specialized design services</t>
  </si>
  <si>
    <t>354</t>
  </si>
  <si>
    <t>Photographic services</t>
  </si>
  <si>
    <t>355</t>
  </si>
  <si>
    <t>Veterinary services</t>
  </si>
  <si>
    <t>356</t>
  </si>
  <si>
    <t>All other miscellaneous professional, scientific, and technical services</t>
  </si>
  <si>
    <t>357</t>
  </si>
  <si>
    <t>Management of companies and enterprises</t>
  </si>
  <si>
    <t>358</t>
  </si>
  <si>
    <t>Employment services</t>
  </si>
  <si>
    <t>359</t>
  </si>
  <si>
    <t>Services to buildings and dwellings</t>
  </si>
  <si>
    <t>360</t>
  </si>
  <si>
    <t>Office administrative services</t>
  </si>
  <si>
    <t>361</t>
  </si>
  <si>
    <t>Facilities support services</t>
  </si>
  <si>
    <t>362</t>
  </si>
  <si>
    <t>Business support services</t>
  </si>
  <si>
    <t>363</t>
  </si>
  <si>
    <t>Travel arrangement and reservation services</t>
  </si>
  <si>
    <t>364</t>
  </si>
  <si>
    <t>Investigation and security services</t>
  </si>
  <si>
    <t>365</t>
  </si>
  <si>
    <t>Other support services</t>
  </si>
  <si>
    <t>366</t>
  </si>
  <si>
    <t>Waste management and remediation services</t>
  </si>
  <si>
    <t>367</t>
  </si>
  <si>
    <t>Elementary and secondary schools</t>
  </si>
  <si>
    <t>368</t>
  </si>
  <si>
    <t>Junior colleges, colleges, universities, and professional schools</t>
  </si>
  <si>
    <t>369</t>
  </si>
  <si>
    <t>Other educational services</t>
  </si>
  <si>
    <t>370</t>
  </si>
  <si>
    <t>Offices of physicians</t>
  </si>
  <si>
    <t>371</t>
  </si>
  <si>
    <t>Offices of dentists</t>
  </si>
  <si>
    <t>372</t>
  </si>
  <si>
    <t>Offices of other health practitioners</t>
  </si>
  <si>
    <t>373</t>
  </si>
  <si>
    <t>Outpatient care centers</t>
  </si>
  <si>
    <t>374</t>
  </si>
  <si>
    <t>Medical and diagnostic laboratories</t>
  </si>
  <si>
    <t>375</t>
  </si>
  <si>
    <t>Home health care services</t>
  </si>
  <si>
    <t>376</t>
  </si>
  <si>
    <t>Other ambulatory health care services</t>
  </si>
  <si>
    <t>377</t>
  </si>
  <si>
    <t>Hospitals</t>
  </si>
  <si>
    <t>378</t>
  </si>
  <si>
    <t>Nursing and community care facilities</t>
  </si>
  <si>
    <t>379</t>
  </si>
  <si>
    <t>Residential mental health, substance abuse, and other residential care facilities</t>
  </si>
  <si>
    <t>380</t>
  </si>
  <si>
    <t>Individual and family services</t>
  </si>
  <si>
    <t>381</t>
  </si>
  <si>
    <t>Child day care services</t>
  </si>
  <si>
    <t>382</t>
  </si>
  <si>
    <t>Community food, housing, and other relief services, including rehabilitation services</t>
  </si>
  <si>
    <t>383</t>
  </si>
  <si>
    <t>Performing arts companies</t>
  </si>
  <si>
    <t>384</t>
  </si>
  <si>
    <t>Spectator sports</t>
  </si>
  <si>
    <t>385</t>
  </si>
  <si>
    <t>Independent artists, writers, and performers</t>
  </si>
  <si>
    <t>386</t>
  </si>
  <si>
    <t>Promoters of performing arts and sports and agents for public figures</t>
  </si>
  <si>
    <t>387</t>
  </si>
  <si>
    <t>Museums, historical sites, zoos, and parks</t>
  </si>
  <si>
    <t>388</t>
  </si>
  <si>
    <t>Amusement parks and arcades</t>
  </si>
  <si>
    <t>389</t>
  </si>
  <si>
    <t>Gambling industries (except casino hotels)</t>
  </si>
  <si>
    <t>390</t>
  </si>
  <si>
    <t>Other amusement and recreation industries</t>
  </si>
  <si>
    <t>391</t>
  </si>
  <si>
    <t>Accommodation</t>
  </si>
  <si>
    <t>392</t>
  </si>
  <si>
    <t>Full-service restaurants</t>
  </si>
  <si>
    <t>393</t>
  </si>
  <si>
    <t>Limited-service restaurants</t>
  </si>
  <si>
    <t>394</t>
  </si>
  <si>
    <t>All other food and drinking places</t>
  </si>
  <si>
    <t>395</t>
  </si>
  <si>
    <t>Automotive repair and maintenance</t>
  </si>
  <si>
    <t>396</t>
  </si>
  <si>
    <t>Electronic and precision equipment repair and maintenance</t>
  </si>
  <si>
    <t>397</t>
  </si>
  <si>
    <t>Commercial and industrial machinery and equipment repair and maintenance</t>
  </si>
  <si>
    <t>398</t>
  </si>
  <si>
    <t>Personal and household goods repair and maintenance</t>
  </si>
  <si>
    <t>399</t>
  </si>
  <si>
    <t>Personal care services</t>
  </si>
  <si>
    <t>400</t>
  </si>
  <si>
    <t>Death care services</t>
  </si>
  <si>
    <t>401</t>
  </si>
  <si>
    <t>Dry-cleaning and laundry services</t>
  </si>
  <si>
    <t>402</t>
  </si>
  <si>
    <t>Other personal services</t>
  </si>
  <si>
    <t>403</t>
  </si>
  <si>
    <t>Religious organizations</t>
  </si>
  <si>
    <t>404</t>
  </si>
  <si>
    <t>Grantmaking, giving, and social advocacy organizations</t>
  </si>
  <si>
    <t>405</t>
  </si>
  <si>
    <t>Civic, social, professional, and similar organizations</t>
  </si>
  <si>
    <t>406</t>
  </si>
  <si>
    <t>Private households</t>
  </si>
  <si>
    <t>407</t>
  </si>
  <si>
    <t>Federal general government (defense)</t>
  </si>
  <si>
    <t>408</t>
  </si>
  <si>
    <t>Federal general government (nondefense)</t>
  </si>
  <si>
    <t>409</t>
  </si>
  <si>
    <t>Postal service</t>
  </si>
  <si>
    <t>410</t>
  </si>
  <si>
    <t>Federal electric utilities</t>
  </si>
  <si>
    <t>411</t>
  </si>
  <si>
    <t>Other federal government enterprises</t>
  </si>
  <si>
    <t>412</t>
  </si>
  <si>
    <t>State and local government educational services</t>
  </si>
  <si>
    <t>413</t>
  </si>
  <si>
    <t>State and local government hospitals and health services</t>
  </si>
  <si>
    <t>414</t>
  </si>
  <si>
    <t>State and local government other services</t>
  </si>
  <si>
    <t>415</t>
  </si>
  <si>
    <t>State and local government passenger transit</t>
  </si>
  <si>
    <t>416</t>
  </si>
  <si>
    <t>State and local government electric utilities</t>
  </si>
  <si>
    <t>417</t>
  </si>
  <si>
    <t>Other state and local government enterprises</t>
  </si>
  <si>
    <t>All Mining other than Oil and Gas (inc. Coal)</t>
  </si>
  <si>
    <t>other non-metallic minerals</t>
  </si>
  <si>
    <t>glass</t>
  </si>
  <si>
    <t>iron and steel</t>
  </si>
  <si>
    <t>other metals</t>
  </si>
  <si>
    <t>EPS Industry Category</t>
  </si>
  <si>
    <t>oil and gas extraction</t>
  </si>
  <si>
    <t>coal mining</t>
  </si>
  <si>
    <t>electricity generation and distribution</t>
  </si>
  <si>
    <t>energy pipelines and gas processing</t>
  </si>
  <si>
    <t>water and waste</t>
  </si>
  <si>
    <t>All industries</t>
  </si>
  <si>
    <t xml:space="preserve">  Private industries</t>
  </si>
  <si>
    <t xml:space="preserve">    Agriculture, forestry, fishing, and hunting</t>
  </si>
  <si>
    <t xml:space="preserve">        Farms</t>
  </si>
  <si>
    <t xml:space="preserve">        Forestry, fishing, and related activities</t>
  </si>
  <si>
    <t xml:space="preserve">    Mining</t>
  </si>
  <si>
    <t xml:space="preserve">        Oil and gas extraction</t>
  </si>
  <si>
    <t xml:space="preserve">        Mining, except oil and gas</t>
  </si>
  <si>
    <t xml:space="preserve">        Support activities for mining</t>
  </si>
  <si>
    <t xml:space="preserve">    Utilities</t>
  </si>
  <si>
    <t xml:space="preserve">    Construction</t>
  </si>
  <si>
    <t xml:space="preserve">    Manufacturing</t>
  </si>
  <si>
    <t xml:space="preserve">      Durable goods</t>
  </si>
  <si>
    <t xml:space="preserve">        Wood products</t>
  </si>
  <si>
    <t xml:space="preserve">        Nonmetallic mineral products</t>
  </si>
  <si>
    <t xml:space="preserve">        Primary metals</t>
  </si>
  <si>
    <t xml:space="preserve">        Fabricated metal products</t>
  </si>
  <si>
    <t xml:space="preserve">        Machinery</t>
  </si>
  <si>
    <t xml:space="preserve">        Computer and electronic products</t>
  </si>
  <si>
    <t xml:space="preserve">        Electrical equipment, appliances, and components</t>
  </si>
  <si>
    <t xml:space="preserve">        Motor vehicles, bodies and trailers, and parts</t>
  </si>
  <si>
    <t xml:space="preserve">        Other transportation equipment</t>
  </si>
  <si>
    <t xml:space="preserve">        Furniture and related products</t>
  </si>
  <si>
    <t xml:space="preserve">        Miscellaneous manufacturing</t>
  </si>
  <si>
    <t xml:space="preserve">      Nondurable goods</t>
  </si>
  <si>
    <t xml:space="preserve">        Food and beverage and tobacco products</t>
  </si>
  <si>
    <t xml:space="preserve">        Textile mills and textile product mills</t>
  </si>
  <si>
    <t xml:space="preserve">        Apparel and leather and allied products</t>
  </si>
  <si>
    <t xml:space="preserve">        Paper products</t>
  </si>
  <si>
    <t xml:space="preserve">        Printing and related support activities</t>
  </si>
  <si>
    <t xml:space="preserve">        Petroleum and coal products</t>
  </si>
  <si>
    <t xml:space="preserve">        Chemical products</t>
  </si>
  <si>
    <t xml:space="preserve">        Plastics and rubber products</t>
  </si>
  <si>
    <t xml:space="preserve">    Wholesale trade</t>
  </si>
  <si>
    <t xml:space="preserve">    Retail trade</t>
  </si>
  <si>
    <t xml:space="preserve">    Transportation and warehousing</t>
  </si>
  <si>
    <t xml:space="preserve">      Air transportation</t>
  </si>
  <si>
    <t xml:space="preserve">      Rail transportation</t>
  </si>
  <si>
    <t xml:space="preserve">      Water transportation</t>
  </si>
  <si>
    <t xml:space="preserve">      Truck transportation</t>
  </si>
  <si>
    <t xml:space="preserve">      Transit and ground passenger transportation</t>
  </si>
  <si>
    <t xml:space="preserve">      Pipeline transportation</t>
  </si>
  <si>
    <t xml:space="preserve">      Other transportation and support activities</t>
  </si>
  <si>
    <t xml:space="preserve">      Warehousing and storage</t>
  </si>
  <si>
    <t xml:space="preserve">    Information</t>
  </si>
  <si>
    <t xml:space="preserve">      Publishing industries, except internet (includes software)</t>
  </si>
  <si>
    <t xml:space="preserve">      Motion picture and sound recording industries</t>
  </si>
  <si>
    <t xml:space="preserve">      Broadcasting and telecommunications</t>
  </si>
  <si>
    <t xml:space="preserve">      Data processing, internet publishing, and other information services</t>
  </si>
  <si>
    <t xml:space="preserve">    Finance, insurance, real estate, rental, and leasing</t>
  </si>
  <si>
    <t xml:space="preserve">      Finance and insurance</t>
  </si>
  <si>
    <t xml:space="preserve">        Federal Reserve banks, credit intermediation, and related activities</t>
  </si>
  <si>
    <t xml:space="preserve">        Securities, commodity contracts, and investments</t>
  </si>
  <si>
    <t xml:space="preserve">        Insurance carriers and related activities</t>
  </si>
  <si>
    <t xml:space="preserve">        Funds, trusts, and other financial vehicles</t>
  </si>
  <si>
    <t xml:space="preserve">      Real estate and rental and leasing</t>
  </si>
  <si>
    <t xml:space="preserve">        Real estate</t>
  </si>
  <si>
    <t xml:space="preserve">        Rental and leasing services and lessors of intangible assets</t>
  </si>
  <si>
    <t xml:space="preserve">    Professional and business services</t>
  </si>
  <si>
    <t xml:space="preserve">      Professional, scientific, and technical services</t>
  </si>
  <si>
    <t xml:space="preserve">        Legal services</t>
  </si>
  <si>
    <t xml:space="preserve">        Computer systems design and related services</t>
  </si>
  <si>
    <t xml:space="preserve">        Miscellaneous professional, scientific, and technical services</t>
  </si>
  <si>
    <t xml:space="preserve">      Management of companies and enterprises</t>
  </si>
  <si>
    <t xml:space="preserve">      Administrative and waste management services</t>
  </si>
  <si>
    <t xml:space="preserve">        Administrative and support services</t>
  </si>
  <si>
    <t xml:space="preserve">        Waste management and remediation services</t>
  </si>
  <si>
    <t xml:space="preserve">    Educational services, health care, and social assistance</t>
  </si>
  <si>
    <t xml:space="preserve">      Educational services</t>
  </si>
  <si>
    <t xml:space="preserve">      Health care and social assistance</t>
  </si>
  <si>
    <t xml:space="preserve">        Ambulatory health care services</t>
  </si>
  <si>
    <t xml:space="preserve">        Hospitals and nursing and residential care facilities</t>
  </si>
  <si>
    <t xml:space="preserve">        Social assistance</t>
  </si>
  <si>
    <t xml:space="preserve">    Arts, entertainment, recreation, accommodation, and food services</t>
  </si>
  <si>
    <t xml:space="preserve">      Arts, entertainment, and recreation</t>
  </si>
  <si>
    <t xml:space="preserve">        Performing arts, spectator sports, museums, and related activities</t>
  </si>
  <si>
    <t xml:space="preserve">        Amusements, gambling, and recreation industries</t>
  </si>
  <si>
    <t xml:space="preserve">      Accommodation and food services</t>
  </si>
  <si>
    <t xml:space="preserve">        Accommodation</t>
  </si>
  <si>
    <t xml:space="preserve">        Food services and drinking places</t>
  </si>
  <si>
    <t xml:space="preserve">    Other services, except government</t>
  </si>
  <si>
    <t xml:space="preserve">  Government</t>
  </si>
  <si>
    <t xml:space="preserve">      Federal</t>
  </si>
  <si>
    <t xml:space="preserve">        Federal general government</t>
  </si>
  <si>
    <t xml:space="preserve">        Federal government enterprises</t>
  </si>
  <si>
    <t xml:space="preserve">      State and local</t>
  </si>
  <si>
    <t xml:space="preserve">        State and local general government</t>
  </si>
  <si>
    <t xml:space="preserve">        State and local government enterprises</t>
  </si>
  <si>
    <t>Addenda:</t>
  </si>
  <si>
    <t xml:space="preserve">  Private goods-producing industries\1\</t>
  </si>
  <si>
    <t xml:space="preserve">  Private services-producing industries\2\</t>
  </si>
  <si>
    <t>2015 Data:</t>
  </si>
  <si>
    <t>Compensation of EEs</t>
  </si>
  <si>
    <t>.....</t>
  </si>
  <si>
    <t>Taxes on production and imports, less subsidies</t>
  </si>
  <si>
    <t>ISIC Code Splits</t>
  </si>
  <si>
    <t>We divide up various ISIC codes that need to be disaggregated in the EPS using data</t>
  </si>
  <si>
    <t>from BLS and BEA publications for the U.S.  Data for various other countries that can</t>
  </si>
  <si>
    <t>can be found in the OECD's "STAN Database for Structural Analysis," variable EMPN, at:</t>
  </si>
  <si>
    <t>ISIC 231</t>
  </si>
  <si>
    <t>ISIC 239</t>
  </si>
  <si>
    <t>ISIC 241</t>
  </si>
  <si>
    <t>ISIC 242</t>
  </si>
  <si>
    <t>ISIC 351</t>
  </si>
  <si>
    <t>ISIC 352T353</t>
  </si>
  <si>
    <t>ISIC 36T39</t>
  </si>
  <si>
    <t>help with some of these splits, such as chemicals (ISIC 20) and pharmaceuticals (ISIC 21),</t>
  </si>
  <si>
    <t>United States</t>
  </si>
  <si>
    <t>United Kingdom</t>
  </si>
  <si>
    <t>Switzerland</t>
  </si>
  <si>
    <t>Spain</t>
  </si>
  <si>
    <t>Slovenia</t>
  </si>
  <si>
    <t>Slovak Republic</t>
  </si>
  <si>
    <t>Portugal</t>
  </si>
  <si>
    <t>Poland</t>
  </si>
  <si>
    <t>Norway</t>
  </si>
  <si>
    <t>New Zealand</t>
  </si>
  <si>
    <t>Netherlands</t>
  </si>
  <si>
    <t>Mexico</t>
  </si>
  <si>
    <t>Luxembourg</t>
  </si>
  <si>
    <t>Lithuania</t>
  </si>
  <si>
    <t>Latvia</t>
  </si>
  <si>
    <t>Korea</t>
  </si>
  <si>
    <t>Japan</t>
  </si>
  <si>
    <t>Italy</t>
  </si>
  <si>
    <t>Israel</t>
  </si>
  <si>
    <t>Hungary</t>
  </si>
  <si>
    <t>Germany</t>
  </si>
  <si>
    <t>France</t>
  </si>
  <si>
    <t>Finland</t>
  </si>
  <si>
    <t>Estonia</t>
  </si>
  <si>
    <t>Denmark</t>
  </si>
  <si>
    <t>Chile</t>
  </si>
  <si>
    <t>Belgium</t>
  </si>
  <si>
    <t>Austria</t>
  </si>
  <si>
    <t>Australia</t>
  </si>
  <si>
    <t>D21: Basic pharmaceutical products and pharmaceutical preparations [CF]</t>
  </si>
  <si>
    <t>D20: Chemicals and chemical products [CE]</t>
  </si>
  <si>
    <t>EMPN: Number of persons engaged (total employment)</t>
  </si>
  <si>
    <t>OTXS: Other taxes less subsidies on production</t>
  </si>
  <si>
    <t>GOPS: Gross operating surplus and mixed income</t>
  </si>
  <si>
    <t>LABR: Labour costs (compensation of employees)</t>
  </si>
  <si>
    <t>VALU: Value added, current prices</t>
  </si>
  <si>
    <t>PROD: Production (gross output), current prices</t>
  </si>
  <si>
    <t>Variable</t>
  </si>
  <si>
    <t>US compensation split</t>
  </si>
  <si>
    <t>US compensation per employee</t>
  </si>
  <si>
    <t>Euros to dollars</t>
  </si>
  <si>
    <t>Employees by industry</t>
  </si>
  <si>
    <t>US split in employment (BLS)</t>
  </si>
  <si>
    <t>Ratio of split in employment (BLS)</t>
  </si>
  <si>
    <t>US employment (OECD)</t>
  </si>
  <si>
    <t>US split in employment</t>
  </si>
  <si>
    <t>Estimated employees (calculated)</t>
  </si>
  <si>
    <t>Ratio of employees (calculated)</t>
  </si>
  <si>
    <t>Source: EXIOBASE</t>
  </si>
  <si>
    <t>Unit: M Euro</t>
  </si>
  <si>
    <t>Source/ notes</t>
  </si>
  <si>
    <t>US # persons employed</t>
  </si>
  <si>
    <t>OECD (STAN Industrial 2020)</t>
  </si>
  <si>
    <t>US emp ratio</t>
  </si>
  <si>
    <t>Calculated</t>
  </si>
  <si>
    <t>US OECD # persons employed</t>
  </si>
  <si>
    <t>OECD (I-O 2018)</t>
  </si>
  <si>
    <t>Exiobase</t>
  </si>
  <si>
    <t>Exiobase 3rx, 2016</t>
  </si>
  <si>
    <t>https://zenodo.org/record/2654460#.YEFjHmhKg2w</t>
  </si>
  <si>
    <t>We divide up most ISIC splits using EXIOBASE and BLS figures to estimate % of employees within each subsector</t>
  </si>
  <si>
    <t>This ratio is then used to apportion non-split OECD data</t>
  </si>
  <si>
    <t>BLS's total includes mining for non-energy products, which OECD breaks out. We split chemicals (ISIC 20)</t>
  </si>
  <si>
    <t>Employee compensation</t>
  </si>
  <si>
    <t>and pharmaceuticals (ISIC 21) industries using data from the OECD database.</t>
  </si>
  <si>
    <t>&lt;?xml version="1.0" encoding="utf-16"?&gt;&lt;WebTableParameter xmlns:xsd="http://www.w3.org/2001/XMLSchema" xmlns:xsi="http://www.w3.org/2001/XMLSchema-instance" xmlns="http://stats.oecd.org/OECDStatWS/2004/03/01/"&gt;&lt;DataTable Code="STANI4_2020" HasMetadata="true"&gt;&lt;Name LocaleIsoCode="en"&gt;STAN Industrial Analysis (2020 ed.)&lt;/Name&gt;&lt;Name LocaleIsoCode="fr"&gt;STAN pour l'Analyse Structurelle (éd. 2020)&lt;/Name&gt;&lt;Dimension Code="LOCATION" HasMetadata="false" CommonCode="LOCATION" Display="labels"&gt;&lt;Name LocaleIsoCode="en"&gt;Country&lt;/Name&gt;&lt;Name LocaleIsoCode="fr"&gt;Pays&lt;/Name&gt;&lt;Member Code="AUS" HasMetadata="true" HasOnlyUnitMetadata="false" HasChild="0"&gt;&lt;Name LocaleIsoCode="en"&gt;Australia&lt;/Name&gt;&lt;Name LocaleIsoCode="fr"&gt;Australie&lt;/Name&gt;&lt;/Member&gt;&lt;Member Code="AUT" HasMetadata="true" HasOnlyUnitMetadata="false" HasChild="0"&gt;&lt;Name LocaleIsoCode="en"&gt;Austria&lt;/Name&gt;&lt;Name LocaleIsoCode="fr"&gt;Autriche&lt;/Name&gt;&lt;/Member&gt;&lt;Member Code="BEL" HasMetadata="true" HasOnlyUnitMetadata="false" HasChild="0"&gt;&lt;Name LocaleIsoCode="en"&gt;Belgium&lt;/Name&gt;&lt;Name LocaleIsoCode="fr"&gt;Belgique&lt;/Name&gt;&lt;/Member&gt;&lt;Member Code="CHL" HasMetadata="true" HasOnlyUnitMetadata="false" HasChild="0"&gt;&lt;Name LocaleIsoCode="en"&gt;Chile&lt;/Name&gt;&lt;Name LocaleIsoCode="fr"&gt;Chili&lt;/Name&gt;&lt;/Member&gt;&lt;Member Code="CZE" HasMetadata="true" HasOnlyUnitMetadata="false" HasChild="0"&gt;&lt;Name LocaleIsoCode="en"&gt;Czech Republic&lt;/Name&gt;&lt;Name LocaleIsoCode="fr"&gt;République tchèque&lt;/Name&gt;&lt;/Member&gt;&lt;Member Code="DNK" HasMetadata="true" HasOnlyUnitMetadata="false" HasChild="0"&gt;&lt;Name LocaleIsoCode="en"&gt;Denmark&lt;/Name&gt;&lt;Name LocaleIsoCode="fr"&gt;Danemark&lt;/Name&gt;&lt;/Member&gt;&lt;Member Code="EST" HasMetadata="true" HasOnlyUnitMetadata="false" HasChild="0"&gt;&lt;Name LocaleIsoCode="en"&gt;Estonia&lt;/Name&gt;&lt;Name LocaleIsoCode="fr"&gt;Estonie&lt;/Name&gt;&lt;/Member&gt;&lt;Member Code="FIN" HasMetadata="true" HasOnlyUnitMetadata="false" HasChild="0"&gt;&lt;Name LocaleIsoCode="en"&gt;Finland&lt;/Name&gt;&lt;Name LocaleIsoCode="fr"&gt;Finlande&lt;/Name&gt;&lt;/Member&gt;&lt;Member Code="FRA" HasMetadata="true"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Code="HUN" HasMetadata="true" HasOnlyUnitMetadata="false" HasChild="0"&gt;&lt;Name LocaleIsoCode="en"&gt;Hungary&lt;/Name&gt;&lt;Name LocaleIsoCode="fr"&gt;Hongrie&lt;/Name&gt;&lt;/Member&gt;&lt;Member Code="ITA" HasMetadata="true" HasOnlyUnitMetadata="false" HasChild="0"&gt;&lt;Name LocaleIsoCode="en"&gt;Italy&lt;/Name&gt;&lt;Name LocaleIsoCode="fr"&gt;Italie&lt;/Name&gt;&lt;/Member&gt;&lt;Member Code="JPN" HasMetadata="true" HasOnlyUnitMetadata="false" HasChild="0"&gt;&lt;Name LocaleIsoCode="en"&gt;Japan&lt;/Name&gt;&lt;Name LocaleIsoCode="fr"&gt;Japon&lt;/Name&gt;&lt;/Member&gt;&lt;Member Code="KOR" HasMetadata="true" HasOnlyUnitMetadata="false" HasChild="0"&gt;&lt;Name LocaleIsoCode="en"&gt;Korea&lt;/Name&gt;&lt;Name LocaleIsoCode="fr"&gt;Corée&lt;/Name&gt;&lt;/Member&gt;&lt;Member Code="LVA" HasMetadata="true"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Code="KOR" HasMetadata="true" HasOnlyUnitMetadata="false" HasChild="0"&gt;&lt;Name LocaleIsoCode="en"&gt;KORico&lt;/Name&gt;&lt;Name LocaleIsoCode="fr"&gt;KORique&lt;/Name&gt;&lt;/Member&gt;&lt;Member Code="NLD" HasMetadata="true" HasOnlyUnitMetadata="false" HasChild="0"&gt;&lt;Name LocaleIsoCode="en"&gt;Netherlands&lt;/Name&gt;&lt;Name LocaleIsoCode="fr"&gt;Pays-Bas&lt;/Name&gt;&lt;/Member&gt;&lt;Member Code="NOR" HasMetadata="true" HasOnlyUnitMetadata="false" HasChild="0"&gt;&lt;Name LocaleIsoCode="en"&gt;Norway&lt;/Name&gt;&lt;Name LocaleIsoCode="fr"&gt;Norvège&lt;/Name&gt;&lt;/Member&gt;&lt;Member Code="PRT" HasMetadata="true" HasOnlyUnitMetadata="false" HasChild="0"&gt;&lt;Name LocaleIsoCode="en"&gt;Portugal&lt;/Name&gt;&lt;Name LocaleIsoCode="fr"&gt;Portugal&lt;/Name&gt;&lt;/Member&gt;&lt;Member Code="SVK" HasMetadata="true" HasOnlyUnitMetadata="false" HasChild="0"&gt;&lt;Name LocaleIsoCode="en"&gt;Slovak Republic&lt;/Name&gt;&lt;Name LocaleIsoCode="fr"&gt;République slovaque&lt;/Name&gt;&lt;/Member&gt;&lt;Member Code="ESP" HasMetadata="true" HasOnlyUnitMetadata="false" HasChild="0"&gt;&lt;Name LocaleIsoCode="en"&gt;Spain&lt;/Name&gt;&lt;Name LocaleIsoCode="fr"&gt;Espagne&lt;/Name&gt;&lt;/Member&gt;&lt;Member Code="CHE" HasMetadata="true" HasOnlyUnitMetadata="false" HasChild="0"&gt;&lt;Name LocaleIsoCode="en"&gt;Switzerland&lt;/Name&gt;&lt;Name LocaleIsoCode="fr"&gt;Suisse&lt;/Name&gt;&lt;/Member&gt;&lt;Member Code="GBR" HasMetadata="true" HasOnlyUnitMetadata="false" HasChild="0"&gt;&lt;Name LocaleIsoCode="en"&gt;United Kingdom&lt;/Name&gt;&lt;Name LocaleIsoCode="fr"&gt;Royaume-Uni&lt;/Name&gt;&lt;/Member&gt;&lt;Member Code="USA" HasMetadata="true" HasOnlyUnitMetadata="false" HasChild="0"&gt;&lt;Name LocaleIsoCode="en"&gt;United States&lt;/Name&gt;&lt;Name LocaleIsoCode="fr"&gt;États-Unis&lt;/Name&gt;&lt;/Member&gt;&lt;/Dimension&gt;&lt;Dimension Code="VAR" HasMetadata="false" Display="codesandlabels"&gt;&lt;Name LocaleIsoCode="en"&gt;Variable&lt;/Name&gt;&lt;Name LocaleIsoCode="fr"&gt;Variable&lt;/Name&gt;&lt;Member Code="PROD" HasMetadata="true" HasOnlyUnitMetadata="true" HasChild="0"&gt;&lt;Name LocaleIsoCode="en"&gt;Production (gross output), current prices&lt;/Name&gt;&lt;Name LocaleIsoCode="fr"&gt;Production (brute), prix courants&lt;/Name&gt;&lt;/Member&gt;&lt;Member Code="VALU" HasMetadata="true" HasOnlyUnitMetadata="false" HasChild="0"&gt;&lt;Name LocaleIsoCode="en"&gt;Value added, current prices&lt;/Name&gt;&lt;Name LocaleIsoCode="fr"&gt;Valeur ajoutée, prix courants&lt;/Name&gt;&lt;/Member&gt;&lt;Member Code="LABR" HasMetadata="true" HasOnlyUnitMetadata="false" HasChild="0"&gt;&lt;Name LocaleIsoCode="en"&gt;Labour costs (compensation of employees)&lt;/Name&gt;&lt;Name LocaleIsoCode="fr"&gt;Coût de la main-d'oeuvre (rémunération)&lt;/Name&gt;&lt;/Member&gt;&lt;Member Code="GOPS" HasMetadata="true" HasOnlyUnitMetadata="true" HasChild="0"&gt;&lt;Name LocaleIsoCode="en"&gt;Gross operating surplus and mixed income&lt;/Name&gt;&lt;Name LocaleIsoCode="fr"&gt;Excédent brut d'exploitation et revenu mixte&lt;/Name&gt;&lt;/Member&gt;&lt;Member Code="OTXS" HasMetadata="true" HasOnlyUnitMetadata="true" HasChild="0"&gt;&lt;Name LocaleIsoCode="en"&gt;Other taxes less subsidies on production&lt;/Name&gt;&lt;Name LocaleIsoCode="fr"&gt;Autres impôts moins subventions sur la production&lt;/Name&gt;&lt;/Member&gt;&lt;Member Code="EMPN" HasMetadata="true" HasOnlyUnitMetadata="true" HasChild="0"&gt;&lt;Name LocaleIsoCode="en"&gt;Number of persons engaged (total employment)&lt;/Name&gt;&lt;Name LocaleIsoCode="fr"&gt;Actifs occupés - emploi total&lt;/Name&gt;&lt;/Member&gt;&lt;/Dimension&gt;&lt;Dimension Code="IND" HasMetadata="false" Display="codesandlabels"&gt;&lt;Name LocaleIsoCode="en"&gt;Industry&lt;/Name&gt;&lt;Name LocaleIsoCode="fr"&gt;Activité&lt;/Name&gt;&lt;Member Code="D20" HasMetadata="false" HasOnlyUnitMetadata="false" HasChild="0"&gt;&lt;Name LocaleIsoCode="en"&gt; Chemicals and chemical products [CE]&lt;/Name&gt;&lt;Name LocaleIsoCode="fr"&gt;Produits chimiques [CE]&lt;/Name&gt;&lt;/Member&gt;&lt;Member Code="D21" HasMetadata="false" HasOnlyUnitMetadata="false" HasChild="0"&gt;&lt;Name LocaleIsoCode="en"&gt; Basic pharmaceutical products and pharmaceutical preparations [CF]&lt;/Name&gt;&lt;Name LocaleIsoCode="fr"&gt;Produits et préparations pharmaceutiques [CF]&lt;/Name&gt;&lt;/Member&gt;&lt;/Dimension&gt;&lt;Dimension Code="TIME" HasMetadata="false" CommonCode="TIME" Display="labels"&gt;&lt;Name LocaleIsoCode="en"&gt;Time&lt;/Name&gt;&lt;Name LocaleIsoCode="fr"&gt;Temps&lt;/Name&gt;&lt;Member Code="2015" HasMetadata="false"&gt;&lt;Name LocaleIsoCode="en"&gt;2015&lt;/Name&gt;&lt;Name LocaleIsoCode="fr"&gt;2015&lt;/Name&gt;&lt;/Member&gt;&lt;/Dimension&gt;&lt;WBOSInformations&gt;&lt;TimeDimension WebTreeWasUsed="false"&gt;&lt;StartCodes Annual="2015" /&gt;&lt;EndCodes Annual="2015" /&gt;&lt;/TimeDimension&gt;&lt;/WBOSInformations&gt;&lt;Tabulation Axis="horizontal"&gt;&lt;Dimension Code="VAR" /&gt;&lt;Dimension Code="IND" /&gt;&lt;/Tabulation&gt;&lt;Tabulation Axis="vertical"&gt;&lt;Dimension Code="LOCATION" /&gt;&lt;/Tabulation&gt;&lt;Tabulation Axis="page"&gt;&lt;Dimension Code="TIME" /&gt;&lt;/Tabulation&gt;&lt;Formatting&gt;&lt;Labels LocaleIsoCode="en" /&gt;&lt;Power&gt;0&lt;/Power&gt;&lt;Decimals&gt;1&lt;/Decimals&gt;&lt;SkipEmptyLines&gt;true&lt;/SkipEmptyLines&gt;&lt;SkipEmptyCols&gt;false&lt;/SkipEmptyCols&gt;&lt;SkipLineHierarchy&gt;tru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</si>
  <si>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KOR # persons employed</t>
  </si>
  <si>
    <t>KOR emp ratio</t>
  </si>
  <si>
    <t>KOR OECD # persons employed</t>
  </si>
  <si>
    <t>Total compensation, KOR</t>
  </si>
  <si>
    <t>https://www.bls.gov/ces/data/employment-and-earnings/2015/home.htm</t>
    <phoneticPr fontId="19" type="noConversion"/>
  </si>
  <si>
    <t>https://www.oecd.org/en/data/datasets/trade-in-employment.html</t>
    <phoneticPr fontId="19" type="noConversion"/>
  </si>
  <si>
    <t>Trade in employment (TiM) 2023 edition</t>
  </si>
  <si>
    <t>Dataset: Trade in employment (TiM): 2023 edition</t>
  </si>
  <si>
    <t>Measure: Employment</t>
  </si>
  <si>
    <t>Counterpart area: World</t>
  </si>
  <si>
    <t>Time period: 2020</t>
  </si>
  <si>
    <t>Combined unit of measure: Persons, Thousands</t>
  </si>
  <si>
    <t>Counterpart activity: 70 items</t>
    <phoneticPr fontId="19" type="noConversion"/>
  </si>
  <si>
    <t>~</t>
    <phoneticPr fontId="19" type="noConversion"/>
  </si>
  <si>
    <t>2023</t>
  </si>
  <si>
    <t>Nonferrous metal (except aluminum) smelting and refining</t>
  </si>
  <si>
    <t>Measuring, dispensing, and other pumping equipment manufacturing</t>
  </si>
  <si>
    <t>Major household appliance manufacturing</t>
  </si>
  <si>
    <t>Other motor vehicle parts manufacturing</t>
  </si>
  <si>
    <t>Tobacco manufacturing</t>
  </si>
  <si>
    <t>Paper bag and coated and treated paper manufacturing</t>
  </si>
  <si>
    <t>Other basic inorganic chemical manufacturing</t>
  </si>
  <si>
    <t>State and local government (educational services)</t>
  </si>
  <si>
    <t>State and local government (hospitals and health services)</t>
  </si>
  <si>
    <t>State and local government (other services)</t>
  </si>
  <si>
    <t>2023DATA</t>
    <phoneticPr fontId="19" type="noConversion"/>
  </si>
  <si>
    <t>Annual data from 1998 to 2023</t>
  </si>
  <si>
    <t>Data published September 26, 2024</t>
  </si>
  <si>
    <t>File created Sep 24 2024  5:12PM</t>
  </si>
  <si>
    <t>ComponentsOfVa- Value Added</t>
    <phoneticPr fontId="19" type="noConversion"/>
  </si>
  <si>
    <t>Annual data from 1997 to 2023</t>
  </si>
  <si>
    <t>File created Sep 24 2024  5:10PM</t>
  </si>
  <si>
    <t>ACTIVITY</t>
  </si>
  <si>
    <t>_T</t>
  </si>
  <si>
    <t>A</t>
  </si>
  <si>
    <t>B</t>
  </si>
  <si>
    <t>B05_06</t>
  </si>
  <si>
    <t>B07_08</t>
  </si>
  <si>
    <t>B09</t>
  </si>
  <si>
    <t>C</t>
  </si>
  <si>
    <t>C10T12</t>
  </si>
  <si>
    <t>C13T15</t>
  </si>
  <si>
    <t>C16T18</t>
  </si>
  <si>
    <t>C16</t>
  </si>
  <si>
    <t>C17_18</t>
  </si>
  <si>
    <t>C19T23</t>
  </si>
  <si>
    <t>C19</t>
  </si>
  <si>
    <t>C20_21</t>
  </si>
  <si>
    <t>C22</t>
  </si>
  <si>
    <t>C23</t>
  </si>
  <si>
    <t>C24_25</t>
  </si>
  <si>
    <t>C24</t>
  </si>
  <si>
    <t>C25</t>
  </si>
  <si>
    <t>C26_27</t>
  </si>
  <si>
    <t>C26</t>
  </si>
  <si>
    <t>C27</t>
  </si>
  <si>
    <t>C28</t>
  </si>
  <si>
    <t>C29_30</t>
  </si>
  <si>
    <t>C29</t>
  </si>
  <si>
    <t>C30</t>
  </si>
  <si>
    <t>C31T33</t>
  </si>
  <si>
    <t>D_E</t>
  </si>
  <si>
    <t>F</t>
  </si>
  <si>
    <t>GTN</t>
  </si>
  <si>
    <t>GTI</t>
  </si>
  <si>
    <t>G</t>
  </si>
  <si>
    <t>H</t>
  </si>
  <si>
    <t>I</t>
  </si>
  <si>
    <t>J</t>
  </si>
  <si>
    <t>J58T60</t>
  </si>
  <si>
    <t>J61</t>
  </si>
  <si>
    <t>J62_63</t>
  </si>
  <si>
    <t>K</t>
  </si>
  <si>
    <t>L</t>
  </si>
  <si>
    <t>M_N</t>
  </si>
  <si>
    <t>OTT</t>
  </si>
  <si>
    <t>OTQ</t>
  </si>
  <si>
    <t>O</t>
  </si>
  <si>
    <t>P</t>
  </si>
  <si>
    <t>Q</t>
  </si>
  <si>
    <t>RTT</t>
  </si>
  <si>
    <t>R_S</t>
  </si>
  <si>
    <t>T</t>
  </si>
  <si>
    <t>BTE</t>
  </si>
  <si>
    <t>GTT</t>
  </si>
  <si>
    <t>JTN</t>
  </si>
  <si>
    <t>FTT</t>
  </si>
  <si>
    <t>INFO</t>
  </si>
  <si>
    <t>REF_AREA</t>
  </si>
  <si>
    <t>Reference area</t>
  </si>
  <si>
    <t>AUS</t>
  </si>
  <si>
    <t>AUT</t>
  </si>
  <si>
    <t>BEL</t>
  </si>
  <si>
    <t>CAN</t>
  </si>
  <si>
    <t>Canada</t>
  </si>
  <si>
    <t>CHL</t>
  </si>
  <si>
    <t>COL</t>
  </si>
  <si>
    <t>Colombia</t>
  </si>
  <si>
    <t>CRI</t>
  </si>
  <si>
    <t>Costa Rica</t>
  </si>
  <si>
    <t>CZE</t>
  </si>
  <si>
    <t>Czechia</t>
  </si>
  <si>
    <t>DNK</t>
  </si>
  <si>
    <t>EST</t>
  </si>
  <si>
    <t>FIN</t>
  </si>
  <si>
    <t>FRA</t>
  </si>
  <si>
    <t>DEU</t>
  </si>
  <si>
    <t>GRC</t>
  </si>
  <si>
    <t>Greece</t>
  </si>
  <si>
    <t>HUN</t>
  </si>
  <si>
    <t>ISL</t>
  </si>
  <si>
    <t>Iceland</t>
  </si>
  <si>
    <t>IRL</t>
  </si>
  <si>
    <t>Ireland</t>
  </si>
  <si>
    <t>ISR</t>
  </si>
  <si>
    <t>ITA</t>
  </si>
  <si>
    <t>JPN</t>
  </si>
  <si>
    <t>KOR</t>
  </si>
  <si>
    <t>LVA</t>
  </si>
  <si>
    <t>LTU</t>
  </si>
  <si>
    <t>LUX</t>
  </si>
  <si>
    <t>MEX</t>
  </si>
  <si>
    <t>NLD</t>
  </si>
  <si>
    <t>NZL</t>
  </si>
  <si>
    <t>NOR</t>
  </si>
  <si>
    <t>POL</t>
  </si>
  <si>
    <t>PRT</t>
  </si>
  <si>
    <t>SVK</t>
  </si>
  <si>
    <t>SVN</t>
  </si>
  <si>
    <t>ESP</t>
  </si>
  <si>
    <t>SWE</t>
  </si>
  <si>
    <t>Sweden</t>
  </si>
  <si>
    <t>CHE</t>
  </si>
  <si>
    <t>TUR</t>
  </si>
  <si>
    <t>Türkiye</t>
  </si>
  <si>
    <t>GBR</t>
  </si>
  <si>
    <t>USA</t>
  </si>
  <si>
    <t>ARG</t>
  </si>
  <si>
    <t>Argentina</t>
  </si>
  <si>
    <t>BRA</t>
  </si>
  <si>
    <t>Brazil</t>
  </si>
  <si>
    <t>BGR</t>
  </si>
  <si>
    <t>Bulgaria</t>
  </si>
  <si>
    <t>CHN</t>
  </si>
  <si>
    <t>China (People’s Republic of)</t>
  </si>
  <si>
    <t>HRV</t>
  </si>
  <si>
    <t>Croatia</t>
  </si>
  <si>
    <t>CYP</t>
  </si>
  <si>
    <t>Cyprus</t>
  </si>
  <si>
    <t>EGY</t>
  </si>
  <si>
    <t>Egypt</t>
  </si>
  <si>
    <t>IND</t>
  </si>
  <si>
    <t>India</t>
  </si>
  <si>
    <t>IDN</t>
  </si>
  <si>
    <t>Indonesia</t>
  </si>
  <si>
    <t>KAZ</t>
  </si>
  <si>
    <t>Kazakhstan</t>
  </si>
  <si>
    <t>MYS</t>
  </si>
  <si>
    <t>Malaysia</t>
  </si>
  <si>
    <t>MLT</t>
  </si>
  <si>
    <t>Malta</t>
  </si>
  <si>
    <t>PER</t>
  </si>
  <si>
    <t>Peru</t>
  </si>
  <si>
    <t>PHL</t>
  </si>
  <si>
    <t>Philippines</t>
  </si>
  <si>
    <t>ROU</t>
  </si>
  <si>
    <t>Romania</t>
  </si>
  <si>
    <t>RUS</t>
  </si>
  <si>
    <t>Russia</t>
  </si>
  <si>
    <t>SAU</t>
  </si>
  <si>
    <t>Saudi Arabia</t>
  </si>
  <si>
    <t>SGP</t>
  </si>
  <si>
    <t>Singapore</t>
  </si>
  <si>
    <t>ZAF</t>
  </si>
  <si>
    <t>South Africa</t>
  </si>
  <si>
    <t>TWN</t>
  </si>
  <si>
    <t>Chinese Taipei</t>
  </si>
  <si>
    <t>THA</t>
  </si>
  <si>
    <t>Thailand</t>
  </si>
  <si>
    <t>UKR</t>
  </si>
  <si>
    <t>Ukraine</t>
  </si>
  <si>
    <t>VNM</t>
  </si>
  <si>
    <t>Viet Nam</t>
  </si>
  <si>
    <t>EU27_2020</t>
  </si>
  <si>
    <t>European Union (27 countries from 01/02/2020)</t>
  </si>
  <si>
    <t>EU28</t>
  </si>
  <si>
    <t>European Union (28 countries)</t>
  </si>
  <si>
    <t>EU15</t>
  </si>
  <si>
    <t>European Union (15 countries)</t>
  </si>
  <si>
    <t>EU28XEU15</t>
  </si>
  <si>
    <t>European Union 28 excluding European Union 15 countries</t>
  </si>
  <si>
    <t>EA19</t>
  </si>
  <si>
    <t>Euro area (19 countries)</t>
  </si>
  <si>
    <t>G20</t>
  </si>
  <si>
    <t>E</t>
  </si>
  <si>
    <t>Europe</t>
  </si>
  <si>
    <t>NAFTA</t>
  </si>
  <si>
    <t>CODE</t>
    <phoneticPr fontId="19" type="noConversion"/>
  </si>
  <si>
    <t>MEASURE: EMPN</t>
  </si>
  <si>
    <t>COUNTERPART_AREA: W</t>
  </si>
  <si>
    <t>TIME_PERIOD: 2020</t>
  </si>
  <si>
    <t>COMBINED_UNIT_MEASURE: PS, 3</t>
  </si>
  <si>
    <t>old_code</t>
    <phoneticPr fontId="19" type="noConversion"/>
  </si>
  <si>
    <t>new_code</t>
    <phoneticPr fontId="19" type="noConversion"/>
  </si>
  <si>
    <t>KOR number of employees (OECD data)</t>
    <phoneticPr fontId="19" type="noConversion"/>
  </si>
  <si>
    <t>Estimated KOR employee compensation (M Euro)</t>
    <phoneticPr fontId="19" type="noConversion"/>
  </si>
  <si>
    <t>Estimated KOR employee compensation ($)</t>
    <phoneticPr fontId="19" type="noConversion"/>
  </si>
  <si>
    <t>업데이트는 못하고, 기존에 잘못 참조 되어있던 데이터 수정</t>
    <phoneticPr fontId="19" type="noConversion"/>
  </si>
  <si>
    <t>STAN Database for Structural Analysis, 2025 edition</t>
  </si>
  <si>
    <t>Reference area: Korea</t>
  </si>
  <si>
    <t>Time period</t>
  </si>
  <si>
    <t>2016</t>
  </si>
  <si>
    <t>2017</t>
  </si>
  <si>
    <t>2018</t>
  </si>
  <si>
    <t>2019</t>
  </si>
  <si>
    <t>2020</t>
  </si>
  <si>
    <t>Measure</t>
  </si>
  <si>
    <t>Economic activity</t>
  </si>
  <si>
    <t>Combined unit of measure: Current prices, National currency</t>
  </si>
  <si>
    <t>Manufacture of chemicals and chemical products</t>
  </si>
  <si>
    <t>Manufacture of basic pharmaceutical products and pharmaceutical preparations</t>
  </si>
  <si>
    <t>Combined unit of measure: Persons</t>
  </si>
  <si>
    <t>Total employment</t>
  </si>
  <si>
    <t xml:space="preserve">© Terms &amp; conditions </t>
  </si>
  <si>
    <t>STAN Database for Structural Analysis</t>
  </si>
  <si>
    <t>Approach used for KOR(2020)</t>
    <phoneticPr fontId="19" type="noConversion"/>
  </si>
  <si>
    <t>Approach used for USA(2015)</t>
    <phoneticPr fontId="19" type="noConversion"/>
  </si>
  <si>
    <t>korea(2020)/ USA(2015)</t>
    <phoneticPr fontId="19" type="noConversion"/>
  </si>
  <si>
    <t>STAN Database for Structural Analysis,2025 edition</t>
  </si>
  <si>
    <t>KOR: Korea</t>
  </si>
  <si>
    <t>*한국의 파랑색 값은 2019년도 값임</t>
    <phoneticPr fontId="19" type="noConversion"/>
  </si>
  <si>
    <t>OECD STAN Database for SA, 2025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</si>
</sst>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#,##0.0_ ;\-#,##0.0\ "/>
    <numFmt numFmtId="178" formatCode="0.0000E+00"/>
    <numFmt numFmtId="179" formatCode="_(* #,##0_);_(* \(#,##0\);_(* &quot;-&quot;??_);_(@_)"/>
    <numFmt numFmtId="180" formatCode="_(&quot;$&quot;* #,##0_);_(&quot;$&quot;* \(#,##0\);_(&quot;$&quot;* &quot;-&quot;??_);_(@_)"/>
    <numFmt numFmtId="181" formatCode="#,##0.0"/>
    <numFmt numFmtId="182" formatCode="_-* #,##0.0_-;\-* #,##0.0_-;_-* &quot;-&quot;_-;_-@_-"/>
  </numFmts>
  <fonts count="40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9"/>
      <color indexed="81"/>
      <name val="Tahoma"/>
      <family val="2"/>
    </font>
    <font>
      <sz val="11"/>
      <color theme="1"/>
      <name val="맑은 고딕"/>
      <family val="2"/>
      <scheme val="minor"/>
    </font>
    <font>
      <sz val="11"/>
      <color theme="5"/>
      <name val="맑은 고딕"/>
      <family val="2"/>
      <scheme val="minor"/>
    </font>
    <font>
      <b/>
      <i/>
      <sz val="11"/>
      <color theme="1"/>
      <name val="맑은 고딕"/>
      <family val="2"/>
      <scheme val="minor"/>
    </font>
    <font>
      <sz val="1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rgb="FFFF0000"/>
      <name val="맑은 고딕"/>
      <family val="2"/>
      <scheme val="minor"/>
    </font>
    <font>
      <sz val="1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sz val="14"/>
      <color rgb="FFFF0000"/>
      <name val="Times New Roman"/>
      <family val="1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sz val="8"/>
      <color rgb="FFFF0000"/>
      <name val="Arial"/>
      <family val="2"/>
    </font>
    <font>
      <sz val="8"/>
      <color rgb="FF00B0F0"/>
      <name val="Arial"/>
      <family val="2"/>
    </font>
    <font>
      <sz val="9"/>
      <color rgb="FF00B0F0"/>
      <name val="맑은 고딕"/>
      <family val="2"/>
      <scheme val="minor"/>
    </font>
    <font>
      <b/>
      <sz val="11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549AB"/>
      </patternFill>
    </fill>
    <fill>
      <patternFill patternType="solid">
        <fgColor rgb="FFE2F2FB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1F1F1"/>
      </patternFill>
    </fill>
    <fill>
      <patternFill patternType="solid">
        <fgColor rgb="FFB7DEF6"/>
      </patternFill>
    </fill>
    <fill>
      <patternFill patternType="solid">
        <fgColor theme="0"/>
        <bgColor indexed="64"/>
      </patternFill>
    </fill>
    <fill>
      <patternFill patternType="mediumGray">
        <fgColor rgb="FFC0C0C0"/>
        <bgColor theme="0"/>
      </patternFill>
    </fill>
  </fills>
  <borders count="5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thin">
        <color rgb="FFC0C0C0"/>
      </bottom>
      <diagonal/>
    </border>
    <border>
      <left/>
      <right style="medium">
        <color rgb="FFFF0000"/>
      </right>
      <top style="medium">
        <color rgb="FFFF0000"/>
      </top>
      <bottom style="thin">
        <color rgb="FFC0C0C0"/>
      </bottom>
      <diagonal/>
    </border>
    <border>
      <left style="medium">
        <color rgb="FFFF0000"/>
      </left>
      <right/>
      <top style="thin">
        <color rgb="FFC0C0C0"/>
      </top>
      <bottom style="thin">
        <color rgb="FFC0C0C0"/>
      </bottom>
      <diagonal/>
    </border>
    <border>
      <left/>
      <right style="medium">
        <color rgb="FFFF000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rgb="FFFF0000"/>
      </right>
      <top style="thin">
        <color rgb="FFC0C0C0"/>
      </top>
      <bottom style="thin">
        <color rgb="FFC0C0C0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rgb="FFFF0000"/>
      </right>
      <top style="thin">
        <color rgb="FFC0C0C0"/>
      </top>
      <bottom style="medium">
        <color rgb="FFFF0000"/>
      </bottom>
      <diagonal/>
    </border>
    <border>
      <left/>
      <right/>
      <top style="thin">
        <color rgb="FFC0C0C0"/>
      </top>
      <bottom/>
      <diagonal/>
    </border>
    <border>
      <left style="medium">
        <color rgb="FFFF0000"/>
      </left>
      <right/>
      <top style="thin">
        <color rgb="FFC0C0C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3" fillId="0" borderId="0"/>
    <xf numFmtId="176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</cellStyleXfs>
  <cellXfs count="26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7" fillId="3" borderId="1" xfId="2" applyFont="1" applyFill="1" applyBorder="1" applyAlignment="1">
      <alignment horizontal="center" vertical="top" wrapText="1"/>
    </xf>
    <xf numFmtId="177" fontId="4" fillId="0" borderId="1" xfId="2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0" fillId="6" borderId="0" xfId="0" applyFill="1"/>
    <xf numFmtId="0" fontId="1" fillId="7" borderId="0" xfId="0" applyFont="1" applyFill="1"/>
    <xf numFmtId="0" fontId="12" fillId="0" borderId="0" xfId="0" applyFont="1"/>
    <xf numFmtId="0" fontId="0" fillId="0" borderId="0" xfId="0" applyAlignment="1">
      <alignment wrapText="1"/>
    </xf>
    <xf numFmtId="0" fontId="0" fillId="0" borderId="14" xfId="0" quotePrefix="1" applyBorder="1" applyAlignment="1">
      <alignment horizontal="right"/>
    </xf>
    <xf numFmtId="0" fontId="0" fillId="0" borderId="14" xfId="0" applyBorder="1"/>
    <xf numFmtId="11" fontId="0" fillId="0" borderId="14" xfId="0" applyNumberForma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0" xfId="0" quotePrefix="1" applyAlignment="1">
      <alignment horizontal="right"/>
    </xf>
    <xf numFmtId="1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8" borderId="0" xfId="0" applyFill="1"/>
    <xf numFmtId="0" fontId="0" fillId="9" borderId="0" xfId="0" applyFill="1"/>
    <xf numFmtId="0" fontId="0" fillId="7" borderId="0" xfId="0" applyFill="1"/>
    <xf numFmtId="0" fontId="1" fillId="7" borderId="0" xfId="0" applyFont="1" applyFill="1" applyAlignment="1">
      <alignment horizontal="right"/>
    </xf>
    <xf numFmtId="0" fontId="0" fillId="10" borderId="0" xfId="0" applyFill="1"/>
    <xf numFmtId="0" fontId="0" fillId="11" borderId="0" xfId="0" applyFill="1"/>
    <xf numFmtId="178" fontId="0" fillId="0" borderId="0" xfId="0" applyNumberFormat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" fillId="7" borderId="0" xfId="0" applyFont="1" applyFill="1" applyAlignment="1">
      <alignment horizontal="right" wrapText="1"/>
    </xf>
    <xf numFmtId="0" fontId="1" fillId="7" borderId="0" xfId="0" applyFont="1" applyFill="1" applyAlignment="1">
      <alignment horizontal="right" wrapText="1" indent="2"/>
    </xf>
    <xf numFmtId="11" fontId="12" fillId="0" borderId="0" xfId="0" applyNumberFormat="1" applyFont="1" applyAlignment="1">
      <alignment horizontal="right"/>
    </xf>
    <xf numFmtId="11" fontId="0" fillId="0" borderId="14" xfId="0" applyNumberFormat="1" applyBorder="1"/>
    <xf numFmtId="11" fontId="0" fillId="0" borderId="0" xfId="0" applyNumberFormat="1"/>
    <xf numFmtId="0" fontId="0" fillId="6" borderId="15" xfId="0" applyFill="1" applyBorder="1" applyAlignment="1">
      <alignment horizontal="right"/>
    </xf>
    <xf numFmtId="0" fontId="0" fillId="6" borderId="16" xfId="0" applyFill="1" applyBorder="1" applyAlignment="1">
      <alignment horizontal="right"/>
    </xf>
    <xf numFmtId="0" fontId="0" fillId="6" borderId="19" xfId="0" applyFill="1" applyBorder="1" applyAlignment="1">
      <alignment horizontal="righ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5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wrapText="1"/>
    </xf>
    <xf numFmtId="0" fontId="7" fillId="3" borderId="2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horizontal="left" indent="2"/>
    </xf>
    <xf numFmtId="176" fontId="0" fillId="0" borderId="0" xfId="0" applyNumberFormat="1"/>
    <xf numFmtId="0" fontId="1" fillId="0" borderId="0" xfId="0" applyFont="1" applyAlignment="1">
      <alignment horizontal="left"/>
    </xf>
    <xf numFmtId="176" fontId="0" fillId="0" borderId="0" xfId="4" applyFont="1" applyFill="1"/>
    <xf numFmtId="0" fontId="17" fillId="0" borderId="0" xfId="0" applyFont="1"/>
    <xf numFmtId="179" fontId="17" fillId="0" borderId="0" xfId="0" applyNumberFormat="1" applyFont="1"/>
    <xf numFmtId="0" fontId="0" fillId="0" borderId="0" xfId="0" applyAlignment="1">
      <alignment horizontal="left" indent="1"/>
    </xf>
    <xf numFmtId="0" fontId="2" fillId="0" borderId="0" xfId="1" applyFill="1"/>
    <xf numFmtId="0" fontId="1" fillId="0" borderId="0" xfId="0" applyFont="1" applyAlignment="1">
      <alignment horizontal="right" wrapText="1"/>
    </xf>
    <xf numFmtId="0" fontId="0" fillId="0" borderId="15" xfId="0" applyBorder="1"/>
    <xf numFmtId="0" fontId="0" fillId="0" borderId="21" xfId="0" applyBorder="1"/>
    <xf numFmtId="179" fontId="12" fillId="0" borderId="0" xfId="0" applyNumberFormat="1" applyFont="1"/>
    <xf numFmtId="0" fontId="0" fillId="0" borderId="22" xfId="0" applyBorder="1"/>
    <xf numFmtId="0" fontId="12" fillId="0" borderId="21" xfId="0" applyFont="1" applyBorder="1"/>
    <xf numFmtId="0" fontId="16" fillId="0" borderId="0" xfId="0" applyFont="1"/>
    <xf numFmtId="9" fontId="15" fillId="0" borderId="0" xfId="5" applyFont="1" applyFill="1" applyBorder="1"/>
    <xf numFmtId="0" fontId="0" fillId="0" borderId="19" xfId="0" applyBorder="1"/>
    <xf numFmtId="0" fontId="0" fillId="0" borderId="16" xfId="0" applyBorder="1"/>
    <xf numFmtId="0" fontId="16" fillId="0" borderId="22" xfId="0" applyFont="1" applyBorder="1"/>
    <xf numFmtId="179" fontId="0" fillId="0" borderId="17" xfId="0" applyNumberFormat="1" applyBorder="1"/>
    <xf numFmtId="179" fontId="0" fillId="0" borderId="20" xfId="0" applyNumberFormat="1" applyBorder="1"/>
    <xf numFmtId="179" fontId="0" fillId="0" borderId="18" xfId="0" applyNumberFormat="1" applyBorder="1"/>
    <xf numFmtId="0" fontId="0" fillId="6" borderId="15" xfId="0" applyFill="1" applyBorder="1" applyAlignment="1">
      <alignment horizontal="left" indent="1"/>
    </xf>
    <xf numFmtId="0" fontId="0" fillId="6" borderId="19" xfId="0" applyFill="1" applyBorder="1" applyAlignment="1">
      <alignment horizontal="left" indent="1"/>
    </xf>
    <xf numFmtId="0" fontId="0" fillId="6" borderId="16" xfId="0" applyFill="1" applyBorder="1" applyAlignment="1">
      <alignment horizontal="left" indent="1"/>
    </xf>
    <xf numFmtId="179" fontId="0" fillId="0" borderId="0" xfId="0" applyNumberFormat="1" applyAlignment="1">
      <alignment horizontal="right"/>
    </xf>
    <xf numFmtId="0" fontId="1" fillId="0" borderId="23" xfId="0" applyFont="1" applyBorder="1"/>
    <xf numFmtId="0" fontId="0" fillId="0" borderId="24" xfId="0" applyBorder="1"/>
    <xf numFmtId="0" fontId="0" fillId="0" borderId="25" xfId="0" applyBorder="1"/>
    <xf numFmtId="0" fontId="1" fillId="0" borderId="19" xfId="0" applyFont="1" applyBorder="1"/>
    <xf numFmtId="0" fontId="1" fillId="0" borderId="16" xfId="0" applyFont="1" applyBorder="1"/>
    <xf numFmtId="0" fontId="1" fillId="0" borderId="21" xfId="0" applyFont="1" applyBorder="1"/>
    <xf numFmtId="177" fontId="0" fillId="0" borderId="0" xfId="0" applyNumberFormat="1"/>
    <xf numFmtId="0" fontId="0" fillId="0" borderId="0" xfId="0" quotePrefix="1"/>
    <xf numFmtId="0" fontId="1" fillId="0" borderId="17" xfId="0" applyFont="1" applyBorder="1"/>
    <xf numFmtId="0" fontId="0" fillId="0" borderId="20" xfId="0" applyBorder="1"/>
    <xf numFmtId="176" fontId="0" fillId="0" borderId="20" xfId="4" applyFont="1" applyFill="1" applyBorder="1"/>
    <xf numFmtId="0" fontId="0" fillId="0" borderId="18" xfId="0" applyBorder="1"/>
    <xf numFmtId="9" fontId="12" fillId="0" borderId="0" xfId="0" applyNumberFormat="1" applyFont="1"/>
    <xf numFmtId="179" fontId="16" fillId="0" borderId="0" xfId="4" applyNumberFormat="1" applyFont="1" applyFill="1" applyBorder="1"/>
    <xf numFmtId="1" fontId="16" fillId="0" borderId="0" xfId="0" applyNumberFormat="1" applyFont="1"/>
    <xf numFmtId="179" fontId="1" fillId="0" borderId="0" xfId="0" applyNumberFormat="1" applyFont="1"/>
    <xf numFmtId="0" fontId="0" fillId="0" borderId="26" xfId="0" applyBorder="1"/>
    <xf numFmtId="0" fontId="0" fillId="0" borderId="27" xfId="0" applyBorder="1"/>
    <xf numFmtId="0" fontId="0" fillId="0" borderId="19" xfId="0" quotePrefix="1" applyBorder="1" applyAlignment="1">
      <alignment horizontal="right"/>
    </xf>
    <xf numFmtId="0" fontId="0" fillId="0" borderId="27" xfId="0" quotePrefix="1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7" xfId="0" applyBorder="1" applyAlignment="1">
      <alignment horizontal="right"/>
    </xf>
    <xf numFmtId="0" fontId="0" fillId="0" borderId="28" xfId="0" applyBorder="1"/>
    <xf numFmtId="0" fontId="0" fillId="0" borderId="22" xfId="0" applyBorder="1" applyAlignment="1">
      <alignment horizontal="right"/>
    </xf>
    <xf numFmtId="0" fontId="2" fillId="0" borderId="0" xfId="1" applyBorder="1"/>
    <xf numFmtId="0" fontId="0" fillId="0" borderId="28" xfId="0" applyBorder="1" applyAlignment="1">
      <alignment horizontal="left"/>
    </xf>
    <xf numFmtId="11" fontId="0" fillId="0" borderId="22" xfId="0" applyNumberFormat="1" applyBorder="1"/>
    <xf numFmtId="11" fontId="12" fillId="0" borderId="0" xfId="0" applyNumberFormat="1" applyFont="1"/>
    <xf numFmtId="0" fontId="0" fillId="0" borderId="28" xfId="0" applyBorder="1" applyAlignment="1">
      <alignment horizontal="left" indent="2"/>
    </xf>
    <xf numFmtId="0" fontId="0" fillId="0" borderId="29" xfId="0" applyBorder="1" applyAlignment="1">
      <alignment horizontal="left" indent="2"/>
    </xf>
    <xf numFmtId="11" fontId="12" fillId="0" borderId="20" xfId="0" applyNumberFormat="1" applyFont="1" applyBorder="1"/>
    <xf numFmtId="11" fontId="0" fillId="0" borderId="20" xfId="0" applyNumberFormat="1" applyBorder="1" applyAlignment="1">
      <alignment horizontal="right"/>
    </xf>
    <xf numFmtId="11" fontId="0" fillId="0" borderId="30" xfId="0" applyNumberFormat="1" applyBorder="1" applyAlignment="1">
      <alignment horizontal="right"/>
    </xf>
    <xf numFmtId="11" fontId="12" fillId="0" borderId="20" xfId="0" applyNumberFormat="1" applyFont="1" applyBorder="1" applyAlignment="1">
      <alignment horizontal="right"/>
    </xf>
    <xf numFmtId="11" fontId="0" fillId="0" borderId="30" xfId="0" applyNumberFormat="1" applyBorder="1"/>
    <xf numFmtId="11" fontId="0" fillId="0" borderId="18" xfId="0" applyNumberFormat="1" applyBorder="1"/>
    <xf numFmtId="0" fontId="1" fillId="7" borderId="26" xfId="0" applyFont="1" applyFill="1" applyBorder="1" applyAlignment="1">
      <alignment wrapText="1"/>
    </xf>
    <xf numFmtId="0" fontId="1" fillId="7" borderId="19" xfId="0" applyFont="1" applyFill="1" applyBorder="1" applyAlignment="1">
      <alignment wrapText="1"/>
    </xf>
    <xf numFmtId="0" fontId="1" fillId="7" borderId="27" xfId="0" applyFont="1" applyFill="1" applyBorder="1" applyAlignment="1">
      <alignment wrapText="1"/>
    </xf>
    <xf numFmtId="0" fontId="1" fillId="7" borderId="19" xfId="0" applyFont="1" applyFill="1" applyBorder="1" applyAlignment="1">
      <alignment horizontal="right" wrapText="1"/>
    </xf>
    <xf numFmtId="0" fontId="1" fillId="7" borderId="27" xfId="0" applyFont="1" applyFill="1" applyBorder="1" applyAlignment="1">
      <alignment horizontal="right" wrapText="1"/>
    </xf>
    <xf numFmtId="0" fontId="1" fillId="7" borderId="16" xfId="0" applyFont="1" applyFill="1" applyBorder="1" applyAlignment="1">
      <alignment horizontal="right" wrapText="1"/>
    </xf>
    <xf numFmtId="11" fontId="12" fillId="0" borderId="19" xfId="0" applyNumberFormat="1" applyFont="1" applyBorder="1"/>
    <xf numFmtId="11" fontId="0" fillId="0" borderId="19" xfId="0" applyNumberFormat="1" applyBorder="1" applyAlignment="1">
      <alignment horizontal="right"/>
    </xf>
    <xf numFmtId="11" fontId="12" fillId="0" borderId="19" xfId="0" applyNumberFormat="1" applyFont="1" applyBorder="1" applyAlignment="1">
      <alignment horizontal="right"/>
    </xf>
    <xf numFmtId="11" fontId="0" fillId="0" borderId="19" xfId="0" applyNumberFormat="1" applyBorder="1"/>
    <xf numFmtId="11" fontId="0" fillId="0" borderId="16" xfId="0" applyNumberFormat="1" applyBorder="1"/>
    <xf numFmtId="0" fontId="12" fillId="0" borderId="22" xfId="0" applyFont="1" applyBorder="1"/>
    <xf numFmtId="9" fontId="12" fillId="0" borderId="0" xfId="5" applyFont="1" applyBorder="1"/>
    <xf numFmtId="176" fontId="16" fillId="0" borderId="0" xfId="4" applyFont="1" applyBorder="1"/>
    <xf numFmtId="180" fontId="12" fillId="0" borderId="0" xfId="0" applyNumberFormat="1" applyFont="1"/>
    <xf numFmtId="1" fontId="18" fillId="0" borderId="0" xfId="0" applyNumberFormat="1" applyFont="1"/>
    <xf numFmtId="179" fontId="16" fillId="0" borderId="20" xfId="0" applyNumberFormat="1" applyFont="1" applyBorder="1"/>
    <xf numFmtId="0" fontId="16" fillId="0" borderId="20" xfId="0" applyFont="1" applyBorder="1"/>
    <xf numFmtId="0" fontId="16" fillId="0" borderId="18" xfId="0" applyFont="1" applyBorder="1"/>
    <xf numFmtId="11" fontId="12" fillId="0" borderId="15" xfId="0" applyNumberFormat="1" applyFont="1" applyBorder="1" applyAlignment="1">
      <alignment horizontal="right"/>
    </xf>
    <xf numFmtId="9" fontId="12" fillId="0" borderId="21" xfId="5" applyFont="1" applyBorder="1"/>
    <xf numFmtId="176" fontId="16" fillId="0" borderId="21" xfId="4" applyFont="1" applyBorder="1"/>
    <xf numFmtId="179" fontId="12" fillId="0" borderId="21" xfId="0" applyNumberFormat="1" applyFont="1" applyBorder="1"/>
    <xf numFmtId="11" fontId="12" fillId="0" borderId="21" xfId="0" applyNumberFormat="1" applyFont="1" applyBorder="1"/>
    <xf numFmtId="180" fontId="12" fillId="0" borderId="21" xfId="0" applyNumberFormat="1" applyFont="1" applyBorder="1"/>
    <xf numFmtId="1" fontId="16" fillId="0" borderId="21" xfId="0" applyNumberFormat="1" applyFont="1" applyBorder="1"/>
    <xf numFmtId="9" fontId="12" fillId="0" borderId="21" xfId="0" applyNumberFormat="1" applyFont="1" applyBorder="1"/>
    <xf numFmtId="179" fontId="16" fillId="0" borderId="17" xfId="0" applyNumberFormat="1" applyFont="1" applyBorder="1"/>
    <xf numFmtId="11" fontId="0" fillId="0" borderId="16" xfId="0" applyNumberFormat="1" applyBorder="1" applyAlignment="1">
      <alignment horizontal="right"/>
    </xf>
    <xf numFmtId="9" fontId="1" fillId="0" borderId="17" xfId="5" applyFont="1" applyFill="1" applyBorder="1"/>
    <xf numFmtId="176" fontId="0" fillId="0" borderId="21" xfId="4" applyFont="1" applyFill="1" applyBorder="1"/>
    <xf numFmtId="176" fontId="0" fillId="0" borderId="21" xfId="0" applyNumberFormat="1" applyBorder="1"/>
    <xf numFmtId="176" fontId="0" fillId="0" borderId="17" xfId="0" applyNumberFormat="1" applyBorder="1"/>
    <xf numFmtId="0" fontId="0" fillId="6" borderId="17" xfId="0" applyFill="1" applyBorder="1"/>
    <xf numFmtId="0" fontId="0" fillId="6" borderId="18" xfId="0" applyFill="1" applyBorder="1"/>
    <xf numFmtId="0" fontId="0" fillId="6" borderId="20" xfId="0" applyFill="1" applyBorder="1"/>
    <xf numFmtId="0" fontId="20" fillId="0" borderId="0" xfId="1" applyFont="1"/>
    <xf numFmtId="0" fontId="2" fillId="0" borderId="1" xfId="1" applyBorder="1" applyAlignment="1">
      <alignment horizontal="left" wrapText="1"/>
    </xf>
    <xf numFmtId="0" fontId="21" fillId="0" borderId="0" xfId="0" applyFont="1" applyAlignment="1">
      <alignment horizontal="left" readingOrder="1"/>
    </xf>
    <xf numFmtId="0" fontId="22" fillId="0" borderId="0" xfId="0" applyFont="1"/>
    <xf numFmtId="0" fontId="22" fillId="0" borderId="0" xfId="0" applyFont="1" applyAlignment="1">
      <alignment horizontal="left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left" readingOrder="1"/>
    </xf>
    <xf numFmtId="3" fontId="22" fillId="0" borderId="0" xfId="0" applyNumberFormat="1" applyFont="1" applyAlignment="1">
      <alignment horizontal="right"/>
    </xf>
    <xf numFmtId="0" fontId="25" fillId="7" borderId="0" xfId="0" applyFont="1" applyFill="1" applyAlignment="1">
      <alignment horizontal="right"/>
    </xf>
    <xf numFmtId="3" fontId="26" fillId="0" borderId="0" xfId="0" applyNumberFormat="1" applyFont="1" applyAlignment="1">
      <alignment horizontal="right"/>
    </xf>
    <xf numFmtId="0" fontId="27" fillId="0" borderId="0" xfId="0" applyFont="1"/>
    <xf numFmtId="0" fontId="28" fillId="0" borderId="0" xfId="0" applyFont="1"/>
    <xf numFmtId="0" fontId="25" fillId="0" borderId="0" xfId="0" applyFont="1"/>
    <xf numFmtId="0" fontId="26" fillId="0" borderId="0" xfId="0" applyFont="1"/>
    <xf numFmtId="0" fontId="30" fillId="15" borderId="31" xfId="0" applyFont="1" applyFill="1" applyBorder="1" applyAlignment="1">
      <alignment horizontal="center" vertical="top" wrapText="1" readingOrder="1"/>
    </xf>
    <xf numFmtId="0" fontId="31" fillId="16" borderId="31" xfId="0" applyFont="1" applyFill="1" applyBorder="1" applyAlignment="1">
      <alignment horizontal="left" vertical="top" wrapText="1" readingOrder="1"/>
    </xf>
    <xf numFmtId="0" fontId="31" fillId="17" borderId="31" xfId="0" applyFont="1" applyFill="1" applyBorder="1" applyAlignment="1">
      <alignment horizontal="left" vertical="top" wrapText="1" readingOrder="1"/>
    </xf>
    <xf numFmtId="0" fontId="21" fillId="18" borderId="31" xfId="0" applyFont="1" applyFill="1" applyBorder="1" applyAlignment="1">
      <alignment horizontal="left" vertical="top" wrapText="1" readingOrder="1"/>
    </xf>
    <xf numFmtId="0" fontId="32" fillId="16" borderId="31" xfId="0" applyFont="1" applyFill="1" applyBorder="1" applyAlignment="1">
      <alignment horizontal="left" vertical="top" wrapText="1" readingOrder="1"/>
    </xf>
    <xf numFmtId="0" fontId="32" fillId="17" borderId="31" xfId="0" applyFont="1" applyFill="1" applyBorder="1" applyAlignment="1">
      <alignment horizontal="left" vertical="top" wrapText="1" readingOrder="1"/>
    </xf>
    <xf numFmtId="181" fontId="21" fillId="0" borderId="31" xfId="0" applyNumberFormat="1" applyFont="1" applyBorder="1" applyAlignment="1">
      <alignment horizontal="right" wrapText="1" readingOrder="1"/>
    </xf>
    <xf numFmtId="3" fontId="21" fillId="0" borderId="31" xfId="0" applyNumberFormat="1" applyFont="1" applyBorder="1" applyAlignment="1">
      <alignment horizontal="right" wrapText="1" readingOrder="1"/>
    </xf>
    <xf numFmtId="0" fontId="32" fillId="6" borderId="31" xfId="0" applyFont="1" applyFill="1" applyBorder="1" applyAlignment="1">
      <alignment horizontal="left" vertical="top" wrapText="1" readingOrder="1"/>
    </xf>
    <xf numFmtId="0" fontId="29" fillId="15" borderId="31" xfId="0" applyFont="1" applyFill="1" applyBorder="1" applyAlignment="1">
      <alignment vertical="top" wrapText="1" readingOrder="1"/>
    </xf>
    <xf numFmtId="0" fontId="8" fillId="0" borderId="3" xfId="2" applyFont="1" applyBorder="1" applyAlignment="1">
      <alignment vertical="top" wrapText="1"/>
    </xf>
    <xf numFmtId="0" fontId="11" fillId="0" borderId="2" xfId="2" applyFont="1" applyBorder="1" applyAlignment="1">
      <alignment vertical="top" wrapText="1"/>
    </xf>
    <xf numFmtId="0" fontId="11" fillId="0" borderId="4" xfId="2" applyFont="1" applyBorder="1" applyAlignment="1">
      <alignment vertical="top" wrapText="1"/>
    </xf>
    <xf numFmtId="0" fontId="11" fillId="0" borderId="3" xfId="2" applyFont="1" applyBorder="1" applyAlignment="1">
      <alignment vertical="top" wrapText="1"/>
    </xf>
    <xf numFmtId="0" fontId="10" fillId="0" borderId="2" xfId="2" applyFont="1" applyBorder="1" applyAlignment="1">
      <alignment vertical="top" wrapText="1"/>
    </xf>
    <xf numFmtId="0" fontId="10" fillId="0" borderId="4" xfId="2" applyFont="1" applyBorder="1" applyAlignment="1">
      <alignment vertical="top" wrapText="1"/>
    </xf>
    <xf numFmtId="0" fontId="10" fillId="0" borderId="3" xfId="2" applyFont="1" applyBorder="1" applyAlignment="1">
      <alignment vertical="top" wrapText="1"/>
    </xf>
    <xf numFmtId="0" fontId="26" fillId="0" borderId="0" xfId="0" applyFont="1" applyAlignment="1">
      <alignment horizontal="left"/>
    </xf>
    <xf numFmtId="0" fontId="30" fillId="0" borderId="31" xfId="0" applyFont="1" applyBorder="1" applyAlignment="1">
      <alignment horizontal="center" vertical="top" wrapText="1" readingOrder="1"/>
    </xf>
    <xf numFmtId="177" fontId="4" fillId="0" borderId="2" xfId="2" applyNumberFormat="1" applyFont="1" applyBorder="1" applyAlignment="1">
      <alignment horizontal="right"/>
    </xf>
    <xf numFmtId="0" fontId="7" fillId="2" borderId="33" xfId="0" applyFont="1" applyFill="1" applyBorder="1" applyAlignment="1">
      <alignment vertical="top" wrapText="1"/>
    </xf>
    <xf numFmtId="0" fontId="7" fillId="2" borderId="34" xfId="0" applyFont="1" applyFill="1" applyBorder="1" applyAlignment="1">
      <alignment vertical="top" wrapText="1"/>
    </xf>
    <xf numFmtId="0" fontId="7" fillId="3" borderId="35" xfId="0" applyFont="1" applyFill="1" applyBorder="1" applyAlignment="1">
      <alignment vertical="top" wrapText="1"/>
    </xf>
    <xf numFmtId="0" fontId="7" fillId="3" borderId="37" xfId="0" applyFont="1" applyFill="1" applyBorder="1" applyAlignment="1">
      <alignment vertical="top" wrapText="1"/>
    </xf>
    <xf numFmtId="0" fontId="0" fillId="0" borderId="38" xfId="0" applyBorder="1"/>
    <xf numFmtId="0" fontId="0" fillId="0" borderId="39" xfId="0" applyBorder="1"/>
    <xf numFmtId="177" fontId="4" fillId="0" borderId="32" xfId="2" applyNumberFormat="1" applyFont="1" applyBorder="1" applyAlignment="1">
      <alignment horizontal="right"/>
    </xf>
    <xf numFmtId="0" fontId="7" fillId="3" borderId="4" xfId="0" applyFont="1" applyFill="1" applyBorder="1" applyAlignment="1">
      <alignment vertical="top" wrapText="1"/>
    </xf>
    <xf numFmtId="0" fontId="7" fillId="2" borderId="42" xfId="0" applyFont="1" applyFill="1" applyBorder="1" applyAlignment="1">
      <alignment vertical="top" wrapText="1"/>
    </xf>
    <xf numFmtId="0" fontId="7" fillId="3" borderId="43" xfId="0" applyFont="1" applyFill="1" applyBorder="1" applyAlignment="1">
      <alignment vertical="top" wrapText="1"/>
    </xf>
    <xf numFmtId="0" fontId="7" fillId="3" borderId="41" xfId="0" applyFont="1" applyFill="1" applyBorder="1" applyAlignment="1">
      <alignment vertical="top" wrapText="1"/>
    </xf>
    <xf numFmtId="0" fontId="0" fillId="8" borderId="0" xfId="0" applyFill="1" applyAlignment="1">
      <alignment horizontal="right"/>
    </xf>
    <xf numFmtId="181" fontId="21" fillId="6" borderId="31" xfId="0" applyNumberFormat="1" applyFont="1" applyFill="1" applyBorder="1" applyAlignment="1">
      <alignment horizontal="right" wrapText="1" readingOrder="1"/>
    </xf>
    <xf numFmtId="3" fontId="21" fillId="6" borderId="31" xfId="0" applyNumberFormat="1" applyFont="1" applyFill="1" applyBorder="1" applyAlignment="1">
      <alignment horizontal="right" wrapText="1" readingOrder="1"/>
    </xf>
    <xf numFmtId="0" fontId="3" fillId="6" borderId="0" xfId="2" applyFill="1"/>
    <xf numFmtId="9" fontId="25" fillId="0" borderId="44" xfId="5" applyFont="1" applyFill="1" applyBorder="1"/>
    <xf numFmtId="9" fontId="25" fillId="0" borderId="45" xfId="5" applyFont="1" applyFill="1" applyBorder="1"/>
    <xf numFmtId="179" fontId="1" fillId="0" borderId="46" xfId="4" applyNumberFormat="1" applyFont="1" applyFill="1" applyBorder="1"/>
    <xf numFmtId="179" fontId="1" fillId="0" borderId="47" xfId="4" applyNumberFormat="1" applyFont="1" applyFill="1" applyBorder="1"/>
    <xf numFmtId="2" fontId="16" fillId="0" borderId="0" xfId="0" applyNumberFormat="1" applyFont="1"/>
    <xf numFmtId="0" fontId="33" fillId="0" borderId="0" xfId="0" applyFont="1" applyAlignment="1">
      <alignment horizontal="left" readingOrder="1"/>
    </xf>
    <xf numFmtId="0" fontId="32" fillId="19" borderId="49" xfId="0" applyFont="1" applyFill="1" applyBorder="1" applyAlignment="1">
      <alignment horizontal="right" vertical="top" wrapText="1" readingOrder="1"/>
    </xf>
    <xf numFmtId="0" fontId="21" fillId="18" borderId="31" xfId="0" applyFont="1" applyFill="1" applyBorder="1" applyAlignment="1">
      <alignment horizontal="right" vertical="top" wrapText="1" readingOrder="1"/>
    </xf>
    <xf numFmtId="41" fontId="21" fillId="0" borderId="31" xfId="6" applyFont="1" applyFill="1" applyBorder="1" applyAlignment="1">
      <alignment horizontal="right" wrapText="1" readingOrder="1"/>
    </xf>
    <xf numFmtId="0" fontId="21" fillId="0" borderId="31" xfId="0" applyFont="1" applyBorder="1" applyAlignment="1">
      <alignment horizontal="right" wrapText="1" readingOrder="1"/>
    </xf>
    <xf numFmtId="0" fontId="34" fillId="0" borderId="0" xfId="0" applyFont="1" applyAlignment="1">
      <alignment readingOrder="1"/>
    </xf>
    <xf numFmtId="0" fontId="34" fillId="0" borderId="0" xfId="0" applyFont="1"/>
    <xf numFmtId="43" fontId="0" fillId="0" borderId="0" xfId="0" applyNumberFormat="1"/>
    <xf numFmtId="41" fontId="21" fillId="0" borderId="31" xfId="6" applyFont="1" applyBorder="1" applyAlignment="1">
      <alignment horizontal="right" wrapText="1" readingOrder="1"/>
    </xf>
    <xf numFmtId="182" fontId="21" fillId="0" borderId="31" xfId="6" applyNumberFormat="1" applyFont="1" applyBorder="1" applyAlignment="1">
      <alignment horizontal="right" wrapText="1" readingOrder="1"/>
    </xf>
    <xf numFmtId="41" fontId="0" fillId="0" borderId="0" xfId="0" applyNumberFormat="1"/>
    <xf numFmtId="182" fontId="0" fillId="0" borderId="0" xfId="0" applyNumberFormat="1"/>
    <xf numFmtId="0" fontId="2" fillId="0" borderId="1" xfId="1" applyBorder="1" applyAlignment="1">
      <alignment horizontal="left"/>
    </xf>
    <xf numFmtId="0" fontId="0" fillId="0" borderId="0" xfId="0" applyAlignment="1">
      <alignment vertical="center"/>
    </xf>
    <xf numFmtId="9" fontId="0" fillId="0" borderId="0" xfId="5" applyFont="1"/>
    <xf numFmtId="0" fontId="25" fillId="0" borderId="23" xfId="0" applyFont="1" applyBorder="1"/>
    <xf numFmtId="0" fontId="26" fillId="0" borderId="24" xfId="0" applyFont="1" applyBorder="1"/>
    <xf numFmtId="0" fontId="26" fillId="0" borderId="25" xfId="0" applyFont="1" applyBorder="1"/>
    <xf numFmtId="0" fontId="26" fillId="0" borderId="15" xfId="0" applyFont="1" applyBorder="1"/>
    <xf numFmtId="0" fontId="28" fillId="0" borderId="19" xfId="0" applyFont="1" applyBorder="1"/>
    <xf numFmtId="0" fontId="26" fillId="0" borderId="16" xfId="0" applyFont="1" applyBorder="1"/>
    <xf numFmtId="0" fontId="28" fillId="0" borderId="21" xfId="0" applyFont="1" applyBorder="1"/>
    <xf numFmtId="177" fontId="26" fillId="0" borderId="0" xfId="0" applyNumberFormat="1" applyFont="1"/>
    <xf numFmtId="0" fontId="26" fillId="0" borderId="22" xfId="0" applyFont="1" applyBorder="1"/>
    <xf numFmtId="9" fontId="26" fillId="0" borderId="0" xfId="5" applyFont="1" applyFill="1" applyBorder="1"/>
    <xf numFmtId="0" fontId="28" fillId="0" borderId="17" xfId="0" applyFont="1" applyBorder="1"/>
    <xf numFmtId="179" fontId="26" fillId="0" borderId="20" xfId="4" applyNumberFormat="1" applyFont="1" applyFill="1" applyBorder="1"/>
    <xf numFmtId="0" fontId="26" fillId="0" borderId="18" xfId="0" applyFont="1" applyBorder="1"/>
    <xf numFmtId="0" fontId="11" fillId="20" borderId="1" xfId="0" applyFont="1" applyFill="1" applyBorder="1" applyAlignment="1">
      <alignment vertical="top" wrapText="1"/>
    </xf>
    <xf numFmtId="0" fontId="9" fillId="21" borderId="1" xfId="0" applyFont="1" applyFill="1" applyBorder="1" applyAlignment="1">
      <alignment horizontal="center"/>
    </xf>
    <xf numFmtId="177" fontId="4" fillId="20" borderId="1" xfId="2" applyNumberFormat="1" applyFont="1" applyFill="1" applyBorder="1" applyAlignment="1">
      <alignment horizontal="right"/>
    </xf>
    <xf numFmtId="177" fontId="4" fillId="20" borderId="2" xfId="2" applyNumberFormat="1" applyFont="1" applyFill="1" applyBorder="1" applyAlignment="1">
      <alignment horizontal="right"/>
    </xf>
    <xf numFmtId="177" fontId="35" fillId="20" borderId="32" xfId="2" applyNumberFormat="1" applyFont="1" applyFill="1" applyBorder="1" applyAlignment="1">
      <alignment horizontal="right"/>
    </xf>
    <xf numFmtId="177" fontId="35" fillId="20" borderId="40" xfId="2" applyNumberFormat="1" applyFont="1" applyFill="1" applyBorder="1" applyAlignment="1">
      <alignment horizontal="right"/>
    </xf>
    <xf numFmtId="177" fontId="35" fillId="20" borderId="37" xfId="2" applyNumberFormat="1" applyFont="1" applyFill="1" applyBorder="1" applyAlignment="1">
      <alignment horizontal="right"/>
    </xf>
    <xf numFmtId="0" fontId="0" fillId="20" borderId="0" xfId="0" applyFill="1"/>
    <xf numFmtId="177" fontId="36" fillId="20" borderId="3" xfId="2" applyNumberFormat="1" applyFont="1" applyFill="1" applyBorder="1" applyAlignment="1">
      <alignment horizontal="right"/>
    </xf>
    <xf numFmtId="177" fontId="36" fillId="20" borderId="1" xfId="2" applyNumberFormat="1" applyFont="1" applyFill="1" applyBorder="1" applyAlignment="1">
      <alignment horizontal="right"/>
    </xf>
    <xf numFmtId="177" fontId="36" fillId="20" borderId="2" xfId="2" applyNumberFormat="1" applyFont="1" applyFill="1" applyBorder="1" applyAlignment="1">
      <alignment horizontal="right"/>
    </xf>
    <xf numFmtId="0" fontId="37" fillId="0" borderId="0" xfId="0" applyFont="1"/>
    <xf numFmtId="0" fontId="38" fillId="0" borderId="0" xfId="0" applyFont="1" applyAlignment="1">
      <alignment horizontal="left" readingOrder="1"/>
    </xf>
    <xf numFmtId="0" fontId="39" fillId="0" borderId="0" xfId="1" applyFont="1"/>
    <xf numFmtId="0" fontId="7" fillId="3" borderId="2" xfId="2" applyFont="1" applyFill="1" applyBorder="1" applyAlignment="1">
      <alignment horizontal="center" vertical="top" wrapText="1"/>
    </xf>
    <xf numFmtId="0" fontId="7" fillId="3" borderId="3" xfId="2" applyFont="1" applyFill="1" applyBorder="1" applyAlignment="1">
      <alignment horizontal="center" vertical="top" wrapText="1"/>
    </xf>
    <xf numFmtId="0" fontId="7" fillId="3" borderId="9" xfId="2" applyFont="1" applyFill="1" applyBorder="1" applyAlignment="1">
      <alignment horizontal="center" vertical="top" wrapText="1"/>
    </xf>
    <xf numFmtId="0" fontId="7" fillId="3" borderId="5" xfId="2" applyFont="1" applyFill="1" applyBorder="1" applyAlignment="1">
      <alignment horizontal="center" vertical="top" wrapText="1"/>
    </xf>
    <xf numFmtId="0" fontId="7" fillId="3" borderId="8" xfId="2" applyFont="1" applyFill="1" applyBorder="1" applyAlignment="1">
      <alignment horizontal="center" vertical="top" wrapText="1"/>
    </xf>
    <xf numFmtId="0" fontId="7" fillId="3" borderId="4" xfId="2" applyFont="1" applyFill="1" applyBorder="1" applyAlignment="1">
      <alignment horizontal="center" vertical="top" wrapText="1"/>
    </xf>
    <xf numFmtId="0" fontId="5" fillId="3" borderId="13" xfId="2" applyFont="1" applyFill="1" applyBorder="1" applyAlignment="1">
      <alignment horizontal="right" vertical="center" wrapText="1"/>
    </xf>
    <xf numFmtId="0" fontId="5" fillId="3" borderId="12" xfId="2" applyFont="1" applyFill="1" applyBorder="1" applyAlignment="1">
      <alignment horizontal="right" vertical="center" wrapText="1"/>
    </xf>
    <xf numFmtId="0" fontId="5" fillId="3" borderId="11" xfId="2" applyFont="1" applyFill="1" applyBorder="1" applyAlignment="1">
      <alignment horizontal="right" vertical="center" wrapText="1"/>
    </xf>
    <xf numFmtId="0" fontId="5" fillId="3" borderId="10" xfId="2" applyFont="1" applyFill="1" applyBorder="1" applyAlignment="1">
      <alignment horizontal="right" vertical="center" wrapText="1"/>
    </xf>
    <xf numFmtId="0" fontId="5" fillId="3" borderId="7" xfId="2" applyFont="1" applyFill="1" applyBorder="1" applyAlignment="1">
      <alignment horizontal="right" vertical="center" wrapText="1"/>
    </xf>
    <xf numFmtId="0" fontId="5" fillId="3" borderId="6" xfId="2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0" fontId="6" fillId="3" borderId="35" xfId="0" applyFont="1" applyFill="1" applyBorder="1" applyAlignment="1">
      <alignment horizontal="center" vertical="top" wrapText="1"/>
    </xf>
    <xf numFmtId="0" fontId="6" fillId="3" borderId="36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right" vertical="center" wrapText="1"/>
    </xf>
    <xf numFmtId="0" fontId="5" fillId="3" borderId="3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top" wrapText="1"/>
    </xf>
    <xf numFmtId="0" fontId="5" fillId="2" borderId="3" xfId="0" applyFont="1" applyFill="1" applyBorder="1" applyAlignment="1">
      <alignment horizontal="right" vertical="top" wrapText="1"/>
    </xf>
    <xf numFmtId="0" fontId="6" fillId="3" borderId="3" xfId="0" applyFont="1" applyFill="1" applyBorder="1" applyAlignment="1">
      <alignment horizontal="center" vertical="top" wrapText="1"/>
    </xf>
    <xf numFmtId="0" fontId="6" fillId="3" borderId="33" xfId="0" applyFont="1" applyFill="1" applyBorder="1" applyAlignment="1">
      <alignment horizontal="center" vertical="top" wrapText="1"/>
    </xf>
    <xf numFmtId="0" fontId="6" fillId="3" borderId="34" xfId="0" applyFont="1" applyFill="1" applyBorder="1" applyAlignment="1">
      <alignment horizontal="center" vertical="top" wrapText="1"/>
    </xf>
    <xf numFmtId="0" fontId="32" fillId="19" borderId="48" xfId="0" applyFont="1" applyFill="1" applyBorder="1" applyAlignment="1">
      <alignment horizontal="left" vertical="top" wrapText="1" readingOrder="1"/>
    </xf>
    <xf numFmtId="0" fontId="32" fillId="19" borderId="0" xfId="0" applyFont="1" applyFill="1" applyAlignment="1">
      <alignment horizontal="left" vertical="top" wrapText="1" readingOrder="1"/>
    </xf>
    <xf numFmtId="0" fontId="29" fillId="15" borderId="31" xfId="0" applyFont="1" applyFill="1" applyBorder="1" applyAlignment="1">
      <alignment horizontal="left" vertical="top" wrapText="1" readingOrder="1"/>
    </xf>
  </cellXfs>
  <cellStyles count="7">
    <cellStyle name="Normal 2" xfId="2" xr:uid="{3ADF3FF5-E4D2-4BC8-9960-7408DCCB591E}"/>
    <cellStyle name="Normal 3" xfId="3" xr:uid="{0C79E43D-D088-43AF-AD66-AC2EF134DE21}"/>
    <cellStyle name="백분율" xfId="5" builtinId="5"/>
    <cellStyle name="쉼표" xfId="4" builtinId="3"/>
    <cellStyle name="쉼표 [0]" xfId="6" builtinId="6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 Dolginow" id="{58597749-2773-41D5-86B2-5C237E99A8CA}" userId="18e338412308b3c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8" dT="2021-03-11T22:17:32.15" personId="{58597749-2773-41D5-86B2-5C237E99A8CA}" id="{D80243A6-3930-4AC0-8359-01251F3F0E86}">
    <text>Apportions OECD ISIC 5T6 data on empoyment using ratio of employment between 5/6 from U.S. specific sources</text>
  </threadedComment>
  <threadedComment ref="C20" dT="2021-03-11T22:17:39.61" personId="{58597749-2773-41D5-86B2-5C237E99A8CA}" id="{4F0C5E44-1DA2-47FC-98F9-E0E75F68A0F9}">
    <text>Note that the compensation for both sets of employees seem way inflated (perhaps executive compensation is skewing it up); however, these values on matter in relation to each other for the purposes of this calculation</text>
  </threadedComment>
  <threadedComment ref="R20" dT="2021-03-11T21:13:49.40" personId="{58597749-2773-41D5-86B2-5C237E99A8CA}" id="{24EFFDF1-1B50-4A47-AECC-56B1A4400491}">
    <text>This value feels suspicious relative to the others</text>
  </threadedComment>
  <threadedComment ref="C22" dT="2021-03-11T22:17:47.08" personId="{58597749-2773-41D5-86B2-5C237E99A8CA}" id="{2FE7DA14-8EC3-41C3-8DFF-81F2DDD5E78D}">
    <text>EXIOBASE data on compensation; we use US compensation ratios to help convert this to number of employees</text>
  </threadedComment>
  <threadedComment ref="C23" dT="2021-03-11T22:17:53.43" personId="{58597749-2773-41D5-86B2-5C237E99A8CA}" id="{5A320218-3C8C-4E45-B39B-45D9BCD35A8F}">
    <text>Exchange rate doesn't matter for these calculations; only provided for clarity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.oecd.org/Index.aspx?DataSetCode=STANI4_202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apps.bea.gov/iTable/iTable.cfm?isuri=1&amp;reqid=151&amp;step=1" TargetMode="External"/><Relationship Id="rId1" Type="http://schemas.openxmlformats.org/officeDocument/2006/relationships/hyperlink" Target="https://www.oecd.org/en/data/datasets/trade-in-employment.html" TargetMode="External"/><Relationship Id="rId6" Type="http://schemas.openxmlformats.org/officeDocument/2006/relationships/hyperlink" Target="Domestic%20Taxes%20on%20Prod%20as%20Shr%20of%20Val%20Added%20by%20ISIC%20Code.xlsx" TargetMode="External"/><Relationship Id="rId5" Type="http://schemas.openxmlformats.org/officeDocument/2006/relationships/hyperlink" Target="https://www.bls.gov/ces/data/employment-and-earnings/2015/home.htm" TargetMode="External"/><Relationship Id="rId4" Type="http://schemas.openxmlformats.org/officeDocument/2006/relationships/hyperlink" Target="https://zenodo.org/record/265446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-explorer.oecd.org/vis?lc=en&amp;tm=Trade%20in%20employment&amp;pg=0&amp;snb=163&amp;df%5bds%5d=dsDisseminateFinalDMZ&amp;df%5bid%5d=DSD_TIM_2023%40DF_TIM_2023&amp;df%5bag%5d=OECD.STI.PIE&amp;df%5bvs%5d=1.0&amp;dq=EMPN..A%2BA01_02%2BA03%2BB%2BB05_06%2BB07_08%2BB09%2BC%2BC10T12%2BC13T15%2BC16T18%2BC16%2BC17_18%2BC19T23%2BC19%2BC20_21%2BC20%2BC21%2BC22%2BC23%2BC24_25%2BC24%2BC25%2BC26_27%2BC26%2BC27%2BC28%2BC29_30%2BC29%2BC30%2BC31T33%2BD_E%2BD%2BE%2BF%2BGTN%2BGTI%2BG%2BH%2BH49%2BH50%2BH51%2BH52%2BH53%2BI%2BJ%2BJ58T60%2BJ61%2BJ62_63%2BK%2BL%2BM_N%2BM%2BN%2BOTT%2BOTQ%2BO%2BP%2BQ%2BRTT%2BR_S%2BR%2BS%2BT%2BBTE%2BFTT%2BGTT%2BJTN%2BINFO%2B_T.W.PS.A&amp;pd=2020%2C2020&amp;to%5bTIME_PERIOD%5d=false&amp;ly%5bcl%5d=ACTIVITY&amp;ly%5brw%5d=REF_AREA&amp;vw=t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/OECDStat_Metadata/ShowMetadata.ashx?Dataset=STANI4_2020&amp;Coords=%5bLOCATION%5d.%5bUSA%5d&amp;ShowOnWeb=true&amp;Lang=en" TargetMode="External"/><Relationship Id="rId3" Type="http://schemas.openxmlformats.org/officeDocument/2006/relationships/hyperlink" Target="http://localhost/OECDStat_Metadata/ShowMetadata.ashx?Dataset=STANI4_2020&amp;Coords=%5bVAR%5d.%5bLABR%5d&amp;ShowOnWeb=true&amp;Lang=en" TargetMode="External"/><Relationship Id="rId7" Type="http://schemas.openxmlformats.org/officeDocument/2006/relationships/hyperlink" Target="http://localhost/OECDStat_Metadata/ShowMetadata.ashx?Dataset=STANI4_2020&amp;Coords=%5bLOCATION%5d.%5bKOR%5d&amp;ShowOnWeb=true&amp;Lang=en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://localhost/OECDStat_Metadata/ShowMetadata.ashx?Dataset=STANI4_2020&amp;Coords=%5bVAR%5d.%5bVALU%5d&amp;ShowOnWeb=true&amp;Lang=en" TargetMode="External"/><Relationship Id="rId1" Type="http://schemas.openxmlformats.org/officeDocument/2006/relationships/hyperlink" Target="http://localhost/OECDStat_Metadata/ShowMetadata.ashx?Dataset=STANI4_2020&amp;Coords=%5bVAR%5d.%5bPROD%5d&amp;ShowOnWeb=true&amp;Lang=en" TargetMode="External"/><Relationship Id="rId6" Type="http://schemas.openxmlformats.org/officeDocument/2006/relationships/hyperlink" Target="http://localhost/OECDStat_Metadata/ShowMetadata.ashx?Dataset=STANI4_2020&amp;Coords=%5bVAR%5d.%5bEMPN%5d&amp;ShowOnWeb=true&amp;Lang=en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://localhost/OECDStat_Metadata/ShowMetadata.ashx?Dataset=STANI4_2020&amp;Coords=%5bVAR%5d.%5bOTXS%5d&amp;ShowOnWeb=true&amp;Lang=en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://localhost/OECDStat_Metadata/ShowMetadata.ashx?Dataset=STANI4_2020&amp;Coords=%5bVAR%5d.%5bGOPS%5d&amp;ShowOnWeb=true&amp;Lang=en" TargetMode="External"/><Relationship Id="rId9" Type="http://schemas.openxmlformats.org/officeDocument/2006/relationships/hyperlink" Target="https://data-explorer.oecd.org/vis?tm=stan&amp;pg=0&amp;snb=2&amp;vw=ov&amp;df%5bds%5d=dsDisseminateFinalDMZ&amp;df%5bid%5d=DSD_STAN%40DF_STAN_2025&amp;df%5bag%5d=OECD.STI.PIE&amp;df%5bvs%5d=1.0&amp;dq=A.KOR.C20%2BC21.EMP%2BD1..XDC%2BPS&amp;pd=2015%2C2020&amp;to%5bTIME_PERIOD%5d=fals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/OECDStat_Metadata/ShowMetadata.ashx?Dataset=STANI4_2020&amp;Coords=%5bVAR%5d.%5bLABR%5d&amp;ShowOnWeb=true&amp;Lang=en" TargetMode="External"/><Relationship Id="rId2" Type="http://schemas.openxmlformats.org/officeDocument/2006/relationships/hyperlink" Target="https://www.oecd.org/en/about/terms-conditions.html" TargetMode="External"/><Relationship Id="rId1" Type="http://schemas.openxmlformats.org/officeDocument/2006/relationships/hyperlink" Target="https://www.oecd.org/en/about/terms-conditions.html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hyperlink" Target="http://localhost/OECDStat_Metadata/ShowMetadata.ashx?Dataset=STANI4_2020&amp;Coords=%5bVAR%5d.%5bEMPN%5d&amp;ShowOnWeb=true&amp;Lang=en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apps.bea.gov/industry/Release/XLS/UGdpxInd/GrossOutput.xlsx" TargetMode="External"/><Relationship Id="rId7" Type="http://schemas.openxmlformats.org/officeDocument/2006/relationships/comments" Target="../comments3.xml"/><Relationship Id="rId2" Type="http://schemas.openxmlformats.org/officeDocument/2006/relationships/hyperlink" Target="https://apps.bea.gov/industry/Release/XLS/CompByInd/ComponentsOfVa.xlsx" TargetMode="External"/><Relationship Id="rId1" Type="http://schemas.openxmlformats.org/officeDocument/2006/relationships/hyperlink" Target="https://www.bls.gov/ces/data/employment-and-earnings/2015/table1a_201512.pdf" TargetMode="External"/><Relationship Id="rId6" Type="http://schemas.openxmlformats.org/officeDocument/2006/relationships/vmlDrawing" Target="../drawings/vmlDrawing3.vm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apps.bea.gov/industry/Release/XLS/GDPxInd/GrossOutput.xlsx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C33" sqref="C33"/>
    </sheetView>
  </sheetViews>
  <sheetFormatPr defaultRowHeight="16.5"/>
  <cols>
    <col min="2" max="2" width="77.625" customWidth="1"/>
    <col min="3" max="3" width="8.75" customWidth="1"/>
    <col min="4" max="4" width="64.25" customWidth="1"/>
  </cols>
  <sheetData>
    <row r="1" spans="1:2">
      <c r="A1" s="1" t="s">
        <v>104</v>
      </c>
    </row>
    <row r="3" spans="1:2">
      <c r="A3" s="1" t="s">
        <v>0</v>
      </c>
      <c r="B3" s="11" t="s">
        <v>108</v>
      </c>
    </row>
    <row r="4" spans="1:2">
      <c r="B4" s="150" t="s">
        <v>1</v>
      </c>
    </row>
    <row r="5" spans="1:2">
      <c r="B5" s="151">
        <v>2020</v>
      </c>
    </row>
    <row r="6" spans="1:2" ht="18.75">
      <c r="B6" s="152" t="s">
        <v>1193</v>
      </c>
    </row>
    <row r="7" spans="1:2">
      <c r="B7" s="147" t="s">
        <v>1192</v>
      </c>
    </row>
    <row r="8" spans="1:2">
      <c r="B8" s="153" t="s">
        <v>1195</v>
      </c>
    </row>
    <row r="9" spans="1:2">
      <c r="B9" s="153" t="s">
        <v>1196</v>
      </c>
    </row>
    <row r="10" spans="1:2">
      <c r="B10" s="153" t="s">
        <v>1199</v>
      </c>
    </row>
    <row r="11" spans="1:2">
      <c r="B11" s="153" t="s">
        <v>1197</v>
      </c>
    </row>
    <row r="12" spans="1:2">
      <c r="B12" s="153" t="s">
        <v>1198</v>
      </c>
    </row>
    <row r="15" spans="1:2">
      <c r="B15" s="241" t="s">
        <v>1395</v>
      </c>
    </row>
    <row r="16" spans="1:2">
      <c r="B16" s="153" t="s">
        <v>1396</v>
      </c>
    </row>
    <row r="17" spans="2:4">
      <c r="B17" s="178">
        <v>2020</v>
      </c>
    </row>
    <row r="18" spans="2:4">
      <c r="B18" s="242" t="s">
        <v>1418</v>
      </c>
      <c r="C18" s="3"/>
    </row>
    <row r="20" spans="2:4">
      <c r="B20" s="11" t="s">
        <v>1109</v>
      </c>
    </row>
    <row r="21" spans="2:4">
      <c r="B21" t="s">
        <v>1178</v>
      </c>
    </row>
    <row r="22" spans="2:4">
      <c r="B22" s="2">
        <v>2019</v>
      </c>
    </row>
    <row r="23" spans="2:4">
      <c r="B23" t="s">
        <v>1179</v>
      </c>
    </row>
    <row r="24" spans="2:4">
      <c r="B24" s="3" t="s">
        <v>1180</v>
      </c>
    </row>
    <row r="25" spans="2:4">
      <c r="B25" t="s">
        <v>1190</v>
      </c>
    </row>
    <row r="26" spans="2:4">
      <c r="B26" s="2"/>
    </row>
    <row r="27" spans="2:4">
      <c r="B27" t="s">
        <v>111</v>
      </c>
    </row>
    <row r="28" spans="2:4">
      <c r="B28" s="2">
        <v>2015</v>
      </c>
    </row>
    <row r="29" spans="2:4">
      <c r="B29" t="s">
        <v>122</v>
      </c>
      <c r="D29" s="13"/>
    </row>
    <row r="30" spans="2:4">
      <c r="B30" s="3" t="s">
        <v>1191</v>
      </c>
    </row>
    <row r="31" spans="2:4">
      <c r="B31" t="s">
        <v>137</v>
      </c>
    </row>
    <row r="33" spans="1:2">
      <c r="B33" s="160" t="s">
        <v>124</v>
      </c>
    </row>
    <row r="34" spans="1:2">
      <c r="B34" s="178">
        <v>2023</v>
      </c>
    </row>
    <row r="35" spans="1:2">
      <c r="B35" s="160" t="s">
        <v>130</v>
      </c>
    </row>
    <row r="36" spans="1:2">
      <c r="B36" s="3" t="s">
        <v>131</v>
      </c>
    </row>
    <row r="37" spans="1:2">
      <c r="B37" s="55" t="s">
        <v>136</v>
      </c>
    </row>
    <row r="38" spans="1:2">
      <c r="B38" s="55" t="s">
        <v>132</v>
      </c>
    </row>
    <row r="39" spans="1:2">
      <c r="B39" s="55" t="s">
        <v>134</v>
      </c>
    </row>
    <row r="43" spans="1:2">
      <c r="A43" s="1" t="s">
        <v>2</v>
      </c>
    </row>
    <row r="44" spans="1:2">
      <c r="A44" t="s">
        <v>101</v>
      </c>
    </row>
    <row r="45" spans="1:2">
      <c r="A45" t="s">
        <v>102</v>
      </c>
    </row>
    <row r="46" spans="1:2">
      <c r="A46" t="s">
        <v>103</v>
      </c>
    </row>
    <row r="48" spans="1:2">
      <c r="A48" t="s">
        <v>1110</v>
      </c>
    </row>
    <row r="49" spans="1:6">
      <c r="A49" t="s">
        <v>1111</v>
      </c>
    </row>
    <row r="50" spans="1:6">
      <c r="A50" t="s">
        <v>1120</v>
      </c>
    </row>
    <row r="51" spans="1:6">
      <c r="A51" t="s">
        <v>1112</v>
      </c>
    </row>
    <row r="52" spans="1:6">
      <c r="A52" s="3" t="s">
        <v>107</v>
      </c>
    </row>
    <row r="54" spans="1:6">
      <c r="A54" t="s">
        <v>1181</v>
      </c>
    </row>
    <row r="55" spans="1:6">
      <c r="A55" t="s">
        <v>1182</v>
      </c>
      <c r="D55" s="57"/>
      <c r="E55" s="57"/>
      <c r="F55" s="57"/>
    </row>
    <row r="56" spans="1:6">
      <c r="A56" t="s">
        <v>1183</v>
      </c>
    </row>
    <row r="57" spans="1:6">
      <c r="A57" t="s">
        <v>1185</v>
      </c>
      <c r="D57" s="4"/>
      <c r="E57" s="4"/>
      <c r="F57" s="4"/>
    </row>
  </sheetData>
  <phoneticPr fontId="19" type="noConversion"/>
  <hyperlinks>
    <hyperlink ref="B7" r:id="rId1" xr:uid="{3E9A0CFB-5982-4A27-8743-AE62D11D1756}"/>
    <hyperlink ref="B36" r:id="rId2" xr:uid="{66C0F19E-99A9-4082-B7D6-0DD5602946E1}"/>
    <hyperlink ref="A52" r:id="rId3" xr:uid="{FB38B9C4-ECA3-43C1-BE94-CBB972B4DABC}"/>
    <hyperlink ref="B24" r:id="rId4" location=".YEFjHmhKg2w" xr:uid="{7D57D4A3-1DC7-4870-B9B7-F9F3585D8909}"/>
    <hyperlink ref="B30" r:id="rId5" xr:uid="{CD7CC97E-CBD4-4353-95E2-B0FAB7FCF8C2}"/>
    <hyperlink ref="B18" r:id="rId6" xr:uid="{E5890F61-23C2-4C53-9973-06DD5B1B85AA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C0E5-825F-4023-A65B-FD98CE5167C8}">
  <sheetPr>
    <tabColor rgb="FFFF0000"/>
  </sheetPr>
  <dimension ref="A1:BE82"/>
  <sheetViews>
    <sheetView workbookViewId="0"/>
  </sheetViews>
  <sheetFormatPr defaultColWidth="9.125" defaultRowHeight="20.25" customHeight="1"/>
  <cols>
    <col min="1" max="1" width="8.75" style="6" customWidth="1"/>
    <col min="2" max="2" width="4.125" style="6" customWidth="1"/>
    <col min="3" max="3" width="9.625" style="6" bestFit="1" customWidth="1"/>
    <col min="4" max="53" width="9.25" style="6" bestFit="1" customWidth="1"/>
    <col min="54" max="54" width="9.625" style="6" bestFit="1" customWidth="1"/>
    <col min="55" max="55" width="9.25" style="6" bestFit="1" customWidth="1"/>
    <col min="56" max="56" width="9.625" style="6" bestFit="1" customWidth="1"/>
    <col min="57" max="57" width="9.25" style="6" bestFit="1" customWidth="1"/>
    <col min="58" max="16384" width="9.125" style="6"/>
  </cols>
  <sheetData>
    <row r="1" spans="1:57" ht="20.25" customHeight="1">
      <c r="A1" s="5" t="e">
        <f ca="1">DotStatQuery(B1)</f>
        <v>#NAME?</v>
      </c>
      <c r="B1" s="5" t="s">
        <v>3</v>
      </c>
    </row>
    <row r="2" spans="1:57" ht="20.25" customHeight="1">
      <c r="A2" s="148" t="s">
        <v>1194</v>
      </c>
    </row>
    <row r="3" spans="1:57" ht="20.25" customHeight="1">
      <c r="A3" s="149" t="s">
        <v>1385</v>
      </c>
      <c r="B3" s="171"/>
      <c r="C3" s="172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3"/>
      <c r="AS3" s="173"/>
      <c r="AT3" s="173"/>
      <c r="AU3" s="173"/>
      <c r="AV3" s="173"/>
      <c r="AW3" s="173"/>
      <c r="AX3" s="173"/>
      <c r="AY3" s="173"/>
      <c r="AZ3" s="173"/>
      <c r="BA3" s="173"/>
      <c r="BB3" s="173"/>
      <c r="BC3" s="173"/>
      <c r="BD3" s="173"/>
      <c r="BE3" s="174"/>
    </row>
    <row r="4" spans="1:57" ht="20.25" customHeight="1">
      <c r="A4" s="149" t="s">
        <v>1386</v>
      </c>
      <c r="B4" s="171"/>
      <c r="C4" s="175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</row>
    <row r="5" spans="1:57" ht="20.25" customHeight="1">
      <c r="A5" s="149" t="s">
        <v>1387</v>
      </c>
      <c r="B5" s="171"/>
      <c r="C5" s="175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7"/>
    </row>
    <row r="6" spans="1:57" ht="20.25" customHeight="1">
      <c r="A6" s="149" t="s">
        <v>1388</v>
      </c>
      <c r="B6" s="171"/>
      <c r="C6" s="175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7"/>
    </row>
    <row r="7" spans="1:57" ht="20.25" customHeight="1">
      <c r="A7" s="249" t="s">
        <v>99</v>
      </c>
      <c r="B7" s="250"/>
      <c r="C7" s="245" t="s">
        <v>98</v>
      </c>
      <c r="D7" s="243" t="s">
        <v>98</v>
      </c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8"/>
      <c r="AH7" s="248"/>
      <c r="AI7" s="248"/>
      <c r="AJ7" s="248"/>
      <c r="AK7" s="248"/>
      <c r="AL7" s="248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4"/>
    </row>
    <row r="8" spans="1:57" ht="20.25" customHeight="1">
      <c r="A8" s="251"/>
      <c r="B8" s="252"/>
      <c r="C8" s="247"/>
      <c r="D8" s="245" t="s">
        <v>97</v>
      </c>
      <c r="E8" s="245" t="s">
        <v>96</v>
      </c>
      <c r="F8" s="243" t="s">
        <v>96</v>
      </c>
      <c r="G8" s="248"/>
      <c r="H8" s="244"/>
      <c r="I8" s="245" t="s">
        <v>95</v>
      </c>
      <c r="J8" s="243" t="s">
        <v>95</v>
      </c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4"/>
      <c r="AE8" s="245" t="s">
        <v>94</v>
      </c>
      <c r="AF8" s="245" t="s">
        <v>93</v>
      </c>
      <c r="AG8" s="245" t="s">
        <v>92</v>
      </c>
      <c r="AH8" s="243" t="s">
        <v>92</v>
      </c>
      <c r="AI8" s="248"/>
      <c r="AJ8" s="248"/>
      <c r="AK8" s="248"/>
      <c r="AL8" s="248"/>
      <c r="AM8" s="248"/>
      <c r="AN8" s="248"/>
      <c r="AO8" s="248"/>
      <c r="AP8" s="248"/>
      <c r="AQ8" s="248"/>
      <c r="AR8" s="244"/>
      <c r="AS8" s="245" t="s">
        <v>91</v>
      </c>
      <c r="AT8" s="243" t="s">
        <v>91</v>
      </c>
      <c r="AU8" s="248"/>
      <c r="AV8" s="248"/>
      <c r="AW8" s="248"/>
      <c r="AX8" s="248"/>
      <c r="AY8" s="248"/>
      <c r="AZ8" s="244"/>
      <c r="BA8" s="245" t="s">
        <v>90</v>
      </c>
      <c r="BB8" s="245" t="s">
        <v>89</v>
      </c>
      <c r="BC8" s="245" t="s">
        <v>88</v>
      </c>
      <c r="BD8" s="245" t="s">
        <v>87</v>
      </c>
      <c r="BE8" s="245" t="s">
        <v>86</v>
      </c>
    </row>
    <row r="9" spans="1:57" ht="20.25" customHeight="1">
      <c r="A9" s="251"/>
      <c r="B9" s="252"/>
      <c r="C9" s="247"/>
      <c r="D9" s="247"/>
      <c r="E9" s="247"/>
      <c r="F9" s="245" t="s">
        <v>85</v>
      </c>
      <c r="G9" s="245" t="s">
        <v>84</v>
      </c>
      <c r="H9" s="245" t="s">
        <v>83</v>
      </c>
      <c r="I9" s="247"/>
      <c r="J9" s="245" t="s">
        <v>82</v>
      </c>
      <c r="K9" s="245" t="s">
        <v>81</v>
      </c>
      <c r="L9" s="245" t="s">
        <v>80</v>
      </c>
      <c r="M9" s="243" t="s">
        <v>80</v>
      </c>
      <c r="N9" s="244"/>
      <c r="O9" s="245" t="s">
        <v>79</v>
      </c>
      <c r="P9" s="243" t="s">
        <v>79</v>
      </c>
      <c r="Q9" s="248"/>
      <c r="R9" s="248"/>
      <c r="S9" s="244"/>
      <c r="T9" s="245" t="s">
        <v>78</v>
      </c>
      <c r="U9" s="243" t="s">
        <v>78</v>
      </c>
      <c r="V9" s="244"/>
      <c r="W9" s="245" t="s">
        <v>77</v>
      </c>
      <c r="X9" s="243" t="s">
        <v>77</v>
      </c>
      <c r="Y9" s="244"/>
      <c r="Z9" s="245" t="s">
        <v>76</v>
      </c>
      <c r="AA9" s="245" t="s">
        <v>75</v>
      </c>
      <c r="AB9" s="243" t="s">
        <v>75</v>
      </c>
      <c r="AC9" s="244"/>
      <c r="AD9" s="245" t="s">
        <v>74</v>
      </c>
      <c r="AE9" s="247"/>
      <c r="AF9" s="247"/>
      <c r="AG9" s="247"/>
      <c r="AH9" s="245" t="s">
        <v>73</v>
      </c>
      <c r="AI9" s="243" t="s">
        <v>73</v>
      </c>
      <c r="AJ9" s="248"/>
      <c r="AK9" s="244"/>
      <c r="AL9" s="245" t="s">
        <v>72</v>
      </c>
      <c r="AM9" s="243" t="s">
        <v>72</v>
      </c>
      <c r="AN9" s="248"/>
      <c r="AO9" s="244"/>
      <c r="AP9" s="245" t="s">
        <v>71</v>
      </c>
      <c r="AQ9" s="245" t="s">
        <v>70</v>
      </c>
      <c r="AR9" s="245" t="s">
        <v>69</v>
      </c>
      <c r="AS9" s="247"/>
      <c r="AT9" s="245" t="s">
        <v>68</v>
      </c>
      <c r="AU9" s="243" t="s">
        <v>68</v>
      </c>
      <c r="AV9" s="248"/>
      <c r="AW9" s="244"/>
      <c r="AX9" s="245" t="s">
        <v>67</v>
      </c>
      <c r="AY9" s="243" t="s">
        <v>67</v>
      </c>
      <c r="AZ9" s="244"/>
      <c r="BA9" s="247"/>
      <c r="BB9" s="247"/>
      <c r="BC9" s="247"/>
      <c r="BD9" s="247"/>
      <c r="BE9" s="247"/>
    </row>
    <row r="10" spans="1:57" ht="26.25" customHeight="1">
      <c r="A10" s="253"/>
      <c r="B10" s="254"/>
      <c r="C10" s="246"/>
      <c r="D10" s="246"/>
      <c r="E10" s="246"/>
      <c r="F10" s="246"/>
      <c r="G10" s="246"/>
      <c r="H10" s="246"/>
      <c r="I10" s="246"/>
      <c r="J10" s="246"/>
      <c r="K10" s="246"/>
      <c r="L10" s="246"/>
      <c r="M10" s="7" t="s">
        <v>66</v>
      </c>
      <c r="N10" s="7" t="s">
        <v>65</v>
      </c>
      <c r="O10" s="246"/>
      <c r="P10" s="7" t="s">
        <v>64</v>
      </c>
      <c r="Q10" s="7" t="s">
        <v>63</v>
      </c>
      <c r="R10" s="7" t="s">
        <v>62</v>
      </c>
      <c r="S10" s="7" t="s">
        <v>61</v>
      </c>
      <c r="T10" s="246"/>
      <c r="U10" s="7" t="s">
        <v>60</v>
      </c>
      <c r="V10" s="7" t="s">
        <v>59</v>
      </c>
      <c r="W10" s="246"/>
      <c r="X10" s="7" t="s">
        <v>58</v>
      </c>
      <c r="Y10" s="7" t="s">
        <v>57</v>
      </c>
      <c r="Z10" s="246"/>
      <c r="AA10" s="246"/>
      <c r="AB10" s="7" t="s">
        <v>56</v>
      </c>
      <c r="AC10" s="7" t="s">
        <v>55</v>
      </c>
      <c r="AD10" s="246"/>
      <c r="AE10" s="246"/>
      <c r="AF10" s="246"/>
      <c r="AG10" s="246"/>
      <c r="AH10" s="246"/>
      <c r="AI10" s="7" t="s">
        <v>54</v>
      </c>
      <c r="AJ10" s="7" t="s">
        <v>53</v>
      </c>
      <c r="AK10" s="7" t="s">
        <v>52</v>
      </c>
      <c r="AL10" s="246"/>
      <c r="AM10" s="7" t="s">
        <v>51</v>
      </c>
      <c r="AN10" s="7" t="s">
        <v>50</v>
      </c>
      <c r="AO10" s="7" t="s">
        <v>49</v>
      </c>
      <c r="AP10" s="246"/>
      <c r="AQ10" s="246"/>
      <c r="AR10" s="246"/>
      <c r="AS10" s="246"/>
      <c r="AT10" s="246"/>
      <c r="AU10" s="7" t="s">
        <v>48</v>
      </c>
      <c r="AV10" s="7" t="s">
        <v>47</v>
      </c>
      <c r="AW10" s="7" t="s">
        <v>46</v>
      </c>
      <c r="AX10" s="246"/>
      <c r="AY10" s="7" t="s">
        <v>45</v>
      </c>
      <c r="AZ10" s="7" t="s">
        <v>44</v>
      </c>
      <c r="BA10" s="246"/>
      <c r="BB10" s="246"/>
      <c r="BC10" s="246"/>
      <c r="BD10" s="246"/>
      <c r="BE10" s="246"/>
    </row>
    <row r="11" spans="1:57" ht="26.25" customHeight="1">
      <c r="A11" s="170" t="s">
        <v>1219</v>
      </c>
      <c r="B11" s="170" t="s">
        <v>1384</v>
      </c>
      <c r="C11" s="161" t="s">
        <v>1220</v>
      </c>
      <c r="D11" s="161" t="s">
        <v>1221</v>
      </c>
      <c r="E11" s="161" t="s">
        <v>1222</v>
      </c>
      <c r="F11" s="161" t="s">
        <v>1223</v>
      </c>
      <c r="G11" s="161" t="s">
        <v>1224</v>
      </c>
      <c r="H11" s="161" t="s">
        <v>1225</v>
      </c>
      <c r="I11" s="161" t="s">
        <v>1226</v>
      </c>
      <c r="J11" s="161" t="s">
        <v>1227</v>
      </c>
      <c r="K11" s="161" t="s">
        <v>1228</v>
      </c>
      <c r="L11" s="161" t="s">
        <v>1229</v>
      </c>
      <c r="M11" s="161" t="s">
        <v>1230</v>
      </c>
      <c r="N11" s="161" t="s">
        <v>1231</v>
      </c>
      <c r="O11" s="161" t="s">
        <v>1232</v>
      </c>
      <c r="P11" s="161" t="s">
        <v>1233</v>
      </c>
      <c r="Q11" s="161" t="s">
        <v>1234</v>
      </c>
      <c r="R11" s="161" t="s">
        <v>1235</v>
      </c>
      <c r="S11" s="161" t="s">
        <v>1236</v>
      </c>
      <c r="T11" s="161" t="s">
        <v>1237</v>
      </c>
      <c r="U11" s="161" t="s">
        <v>1238</v>
      </c>
      <c r="V11" s="161" t="s">
        <v>1239</v>
      </c>
      <c r="W11" s="161" t="s">
        <v>1240</v>
      </c>
      <c r="X11" s="161" t="s">
        <v>1241</v>
      </c>
      <c r="Y11" s="161" t="s">
        <v>1242</v>
      </c>
      <c r="Z11" s="161" t="s">
        <v>1243</v>
      </c>
      <c r="AA11" s="161" t="s">
        <v>1244</v>
      </c>
      <c r="AB11" s="161" t="s">
        <v>1245</v>
      </c>
      <c r="AC11" s="161" t="s">
        <v>1246</v>
      </c>
      <c r="AD11" s="161" t="s">
        <v>1247</v>
      </c>
      <c r="AE11" s="161" t="s">
        <v>1248</v>
      </c>
      <c r="AF11" s="161" t="s">
        <v>1249</v>
      </c>
      <c r="AG11" s="161" t="s">
        <v>1250</v>
      </c>
      <c r="AH11" s="161" t="s">
        <v>1251</v>
      </c>
      <c r="AI11" s="161" t="s">
        <v>1252</v>
      </c>
      <c r="AJ11" s="161" t="s">
        <v>1253</v>
      </c>
      <c r="AK11" s="161" t="s">
        <v>1254</v>
      </c>
      <c r="AL11" s="161" t="s">
        <v>1255</v>
      </c>
      <c r="AM11" s="161" t="s">
        <v>1256</v>
      </c>
      <c r="AN11" s="161" t="s">
        <v>1257</v>
      </c>
      <c r="AO11" s="161" t="s">
        <v>1258</v>
      </c>
      <c r="AP11" s="161" t="s">
        <v>1259</v>
      </c>
      <c r="AQ11" s="161" t="s">
        <v>1260</v>
      </c>
      <c r="AR11" s="161" t="s">
        <v>1261</v>
      </c>
      <c r="AS11" s="161" t="s">
        <v>1262</v>
      </c>
      <c r="AT11" s="161" t="s">
        <v>1263</v>
      </c>
      <c r="AU11" s="161" t="s">
        <v>1264</v>
      </c>
      <c r="AV11" s="161" t="s">
        <v>1265</v>
      </c>
      <c r="AW11" s="161" t="s">
        <v>1266</v>
      </c>
      <c r="AX11" s="161" t="s">
        <v>1267</v>
      </c>
      <c r="AY11" s="161" t="s">
        <v>1268</v>
      </c>
      <c r="AZ11" s="161" t="s">
        <v>1269</v>
      </c>
      <c r="BA11" s="161" t="s">
        <v>1270</v>
      </c>
      <c r="BB11" s="161" t="s">
        <v>1271</v>
      </c>
      <c r="BC11" s="161" t="s">
        <v>1272</v>
      </c>
      <c r="BD11" s="161" t="s">
        <v>1273</v>
      </c>
      <c r="BE11" s="161" t="s">
        <v>1274</v>
      </c>
    </row>
    <row r="12" spans="1:57" ht="20.25" customHeight="1">
      <c r="A12" s="162" t="s">
        <v>1275</v>
      </c>
      <c r="B12" s="163" t="s">
        <v>1276</v>
      </c>
      <c r="C12" s="164" t="s">
        <v>7</v>
      </c>
      <c r="D12" s="164" t="s">
        <v>7</v>
      </c>
      <c r="E12" s="164" t="s">
        <v>7</v>
      </c>
      <c r="F12" s="164" t="s">
        <v>7</v>
      </c>
      <c r="G12" s="164" t="s">
        <v>7</v>
      </c>
      <c r="H12" s="164" t="s">
        <v>7</v>
      </c>
      <c r="I12" s="164" t="s">
        <v>7</v>
      </c>
      <c r="J12" s="164" t="s">
        <v>7</v>
      </c>
      <c r="K12" s="164" t="s">
        <v>7</v>
      </c>
      <c r="L12" s="164" t="s">
        <v>7</v>
      </c>
      <c r="M12" s="164" t="s">
        <v>7</v>
      </c>
      <c r="N12" s="164" t="s">
        <v>7</v>
      </c>
      <c r="O12" s="164" t="s">
        <v>7</v>
      </c>
      <c r="P12" s="164" t="s">
        <v>7</v>
      </c>
      <c r="Q12" s="164" t="s">
        <v>7</v>
      </c>
      <c r="R12" s="164" t="s">
        <v>7</v>
      </c>
      <c r="S12" s="164" t="s">
        <v>7</v>
      </c>
      <c r="T12" s="164" t="s">
        <v>7</v>
      </c>
      <c r="U12" s="164" t="s">
        <v>7</v>
      </c>
      <c r="V12" s="164" t="s">
        <v>7</v>
      </c>
      <c r="W12" s="164" t="s">
        <v>7</v>
      </c>
      <c r="X12" s="164" t="s">
        <v>7</v>
      </c>
      <c r="Y12" s="164" t="s">
        <v>7</v>
      </c>
      <c r="Z12" s="164" t="s">
        <v>7</v>
      </c>
      <c r="AA12" s="164" t="s">
        <v>7</v>
      </c>
      <c r="AB12" s="164" t="s">
        <v>7</v>
      </c>
      <c r="AC12" s="164" t="s">
        <v>7</v>
      </c>
      <c r="AD12" s="164" t="s">
        <v>7</v>
      </c>
      <c r="AE12" s="164" t="s">
        <v>7</v>
      </c>
      <c r="AF12" s="164" t="s">
        <v>7</v>
      </c>
      <c r="AG12" s="164" t="s">
        <v>7</v>
      </c>
      <c r="AH12" s="164" t="s">
        <v>7</v>
      </c>
      <c r="AI12" s="164" t="s">
        <v>7</v>
      </c>
      <c r="AJ12" s="164" t="s">
        <v>7</v>
      </c>
      <c r="AK12" s="164" t="s">
        <v>7</v>
      </c>
      <c r="AL12" s="164" t="s">
        <v>7</v>
      </c>
      <c r="AM12" s="164" t="s">
        <v>7</v>
      </c>
      <c r="AN12" s="164" t="s">
        <v>7</v>
      </c>
      <c r="AO12" s="164" t="s">
        <v>7</v>
      </c>
      <c r="AP12" s="164" t="s">
        <v>7</v>
      </c>
      <c r="AQ12" s="164" t="s">
        <v>7</v>
      </c>
      <c r="AR12" s="164" t="s">
        <v>7</v>
      </c>
      <c r="AS12" s="164" t="s">
        <v>7</v>
      </c>
      <c r="AT12" s="164" t="s">
        <v>7</v>
      </c>
      <c r="AU12" s="164" t="s">
        <v>7</v>
      </c>
      <c r="AV12" s="164" t="s">
        <v>7</v>
      </c>
      <c r="AW12" s="164" t="s">
        <v>7</v>
      </c>
      <c r="AX12" s="164" t="s">
        <v>7</v>
      </c>
      <c r="AY12" s="164" t="s">
        <v>7</v>
      </c>
      <c r="AZ12" s="164" t="s">
        <v>7</v>
      </c>
      <c r="BA12" s="164" t="s">
        <v>7</v>
      </c>
      <c r="BB12" s="164" t="s">
        <v>7</v>
      </c>
      <c r="BC12" s="164" t="s">
        <v>7</v>
      </c>
      <c r="BD12" s="164" t="s">
        <v>7</v>
      </c>
      <c r="BE12" s="164" t="s">
        <v>7</v>
      </c>
    </row>
    <row r="13" spans="1:57" ht="20.25" customHeight="1">
      <c r="A13" s="165" t="s">
        <v>1</v>
      </c>
      <c r="B13" s="166" t="s">
        <v>1</v>
      </c>
      <c r="C13" s="167">
        <v>621329.6</v>
      </c>
      <c r="D13" s="167">
        <v>26065.7</v>
      </c>
      <c r="E13" s="168">
        <v>2477</v>
      </c>
      <c r="F13" s="167">
        <v>829.9</v>
      </c>
      <c r="G13" s="167">
        <v>1042.4000000000001</v>
      </c>
      <c r="H13" s="167">
        <v>604.6</v>
      </c>
      <c r="I13" s="167">
        <v>75801.8</v>
      </c>
      <c r="J13" s="167">
        <v>12345.1</v>
      </c>
      <c r="K13" s="167">
        <v>5201.5</v>
      </c>
      <c r="L13" s="167">
        <v>5349.3</v>
      </c>
      <c r="M13" s="167">
        <v>1985.1</v>
      </c>
      <c r="N13" s="167">
        <v>3364.2</v>
      </c>
      <c r="O13" s="167">
        <v>12030.8</v>
      </c>
      <c r="P13" s="167">
        <v>362.3</v>
      </c>
      <c r="Q13" s="167">
        <v>4588.8</v>
      </c>
      <c r="R13" s="167">
        <v>4234.7</v>
      </c>
      <c r="S13" s="168">
        <v>2845</v>
      </c>
      <c r="T13" s="167">
        <v>10323.200000000001</v>
      </c>
      <c r="U13" s="167">
        <v>2591.9</v>
      </c>
      <c r="V13" s="167">
        <v>7731.3</v>
      </c>
      <c r="W13" s="167">
        <v>7856.8</v>
      </c>
      <c r="X13" s="167">
        <v>4496.7</v>
      </c>
      <c r="Y13" s="167">
        <v>3360.1</v>
      </c>
      <c r="Z13" s="167">
        <v>7178.4</v>
      </c>
      <c r="AA13" s="167">
        <v>8090.5</v>
      </c>
      <c r="AB13" s="167">
        <v>5964.2</v>
      </c>
      <c r="AC13" s="167">
        <v>2126.3000000000002</v>
      </c>
      <c r="AD13" s="167">
        <v>7426.2</v>
      </c>
      <c r="AE13" s="167">
        <v>6097.7</v>
      </c>
      <c r="AF13" s="167">
        <v>41628.300000000003</v>
      </c>
      <c r="AG13" s="167">
        <v>278797.59999999998</v>
      </c>
      <c r="AH13" s="167">
        <v>157871.29999999999</v>
      </c>
      <c r="AI13" s="167">
        <v>89526.5</v>
      </c>
      <c r="AJ13" s="167">
        <v>32104.7</v>
      </c>
      <c r="AK13" s="167">
        <v>36240.199999999997</v>
      </c>
      <c r="AL13" s="167">
        <v>18505.599999999999</v>
      </c>
      <c r="AM13" s="167">
        <v>4845.7</v>
      </c>
      <c r="AN13" s="167">
        <v>2550.4</v>
      </c>
      <c r="AO13" s="167">
        <v>11109.5</v>
      </c>
      <c r="AP13" s="167">
        <v>18206.5</v>
      </c>
      <c r="AQ13" s="167">
        <v>8486.2999999999993</v>
      </c>
      <c r="AR13" s="167">
        <v>75727.7</v>
      </c>
      <c r="AS13" s="167">
        <v>190461.4</v>
      </c>
      <c r="AT13" s="167">
        <v>151685.6</v>
      </c>
      <c r="AU13" s="167">
        <v>40311.4</v>
      </c>
      <c r="AV13" s="167">
        <v>43524.800000000003</v>
      </c>
      <c r="AW13" s="167">
        <v>67849.399999999994</v>
      </c>
      <c r="AX13" s="167">
        <v>38775.800000000003</v>
      </c>
      <c r="AY13" s="167">
        <v>30952.7</v>
      </c>
      <c r="AZ13" s="167">
        <v>7823.1</v>
      </c>
      <c r="BA13" s="167">
        <v>84376.6</v>
      </c>
      <c r="BB13" s="168">
        <v>469259</v>
      </c>
      <c r="BC13" s="167">
        <v>120926.2</v>
      </c>
      <c r="BD13" s="167">
        <v>510887.3</v>
      </c>
      <c r="BE13" s="167">
        <v>23002.3</v>
      </c>
    </row>
    <row r="14" spans="1:57" ht="20.25" customHeight="1">
      <c r="A14" s="165" t="s">
        <v>1277</v>
      </c>
      <c r="B14" s="166" t="s">
        <v>1149</v>
      </c>
      <c r="C14" s="167">
        <v>13011.5</v>
      </c>
      <c r="D14" s="167">
        <v>368.4</v>
      </c>
      <c r="E14" s="167">
        <v>295.7</v>
      </c>
      <c r="F14" s="168">
        <v>103</v>
      </c>
      <c r="G14" s="167">
        <v>131.4</v>
      </c>
      <c r="H14" s="167">
        <v>61.4</v>
      </c>
      <c r="I14" s="167">
        <v>951.8</v>
      </c>
      <c r="J14" s="167">
        <v>257.10000000000002</v>
      </c>
      <c r="K14" s="167">
        <v>33.700000000000003</v>
      </c>
      <c r="L14" s="167">
        <v>81.3</v>
      </c>
      <c r="M14" s="167">
        <v>41.4</v>
      </c>
      <c r="N14" s="168">
        <v>40</v>
      </c>
      <c r="O14" s="167">
        <v>169.7</v>
      </c>
      <c r="P14" s="167">
        <v>4.2</v>
      </c>
      <c r="Q14" s="167">
        <v>88.9</v>
      </c>
      <c r="R14" s="167">
        <v>44.3</v>
      </c>
      <c r="S14" s="167">
        <v>32.299999999999997</v>
      </c>
      <c r="T14" s="167">
        <v>102.9</v>
      </c>
      <c r="U14" s="167">
        <v>36.799999999999997</v>
      </c>
      <c r="V14" s="167">
        <v>66.099999999999994</v>
      </c>
      <c r="W14" s="167">
        <v>59.4</v>
      </c>
      <c r="X14" s="167">
        <v>35.6</v>
      </c>
      <c r="Y14" s="167">
        <v>23.8</v>
      </c>
      <c r="Z14" s="167">
        <v>70.900000000000006</v>
      </c>
      <c r="AA14" s="167">
        <v>53.4</v>
      </c>
      <c r="AB14" s="167">
        <v>29.5</v>
      </c>
      <c r="AC14" s="167">
        <v>23.9</v>
      </c>
      <c r="AD14" s="167">
        <v>123.4</v>
      </c>
      <c r="AE14" s="167">
        <v>168.2</v>
      </c>
      <c r="AF14" s="167">
        <v>1187.2</v>
      </c>
      <c r="AG14" s="167">
        <v>5786.2</v>
      </c>
      <c r="AH14" s="167">
        <v>3217.4</v>
      </c>
      <c r="AI14" s="167">
        <v>1748.9</v>
      </c>
      <c r="AJ14" s="167">
        <v>619.4</v>
      </c>
      <c r="AK14" s="167">
        <v>849.1</v>
      </c>
      <c r="AL14" s="167">
        <v>503.1</v>
      </c>
      <c r="AM14" s="167">
        <v>87.3</v>
      </c>
      <c r="AN14" s="167">
        <v>104.3</v>
      </c>
      <c r="AO14" s="167">
        <v>311.5</v>
      </c>
      <c r="AP14" s="167">
        <v>507.1</v>
      </c>
      <c r="AQ14" s="167">
        <v>162.19999999999999</v>
      </c>
      <c r="AR14" s="167">
        <v>1396.4</v>
      </c>
      <c r="AS14" s="168">
        <v>4254</v>
      </c>
      <c r="AT14" s="167">
        <v>3777.5</v>
      </c>
      <c r="AU14" s="167">
        <v>930.4</v>
      </c>
      <c r="AV14" s="168">
        <v>1079</v>
      </c>
      <c r="AW14" s="168">
        <v>1768</v>
      </c>
      <c r="AX14" s="167">
        <v>476.5</v>
      </c>
      <c r="AY14" s="167">
        <v>476.5</v>
      </c>
      <c r="AZ14" s="168">
        <v>0</v>
      </c>
      <c r="BA14" s="167">
        <v>1415.8</v>
      </c>
      <c r="BB14" s="167">
        <v>10040.200000000001</v>
      </c>
      <c r="BC14" s="167">
        <v>2568.8000000000002</v>
      </c>
      <c r="BD14" s="167">
        <v>11227.4</v>
      </c>
      <c r="BE14" s="167">
        <v>538.70000000000005</v>
      </c>
    </row>
    <row r="15" spans="1:57" ht="20.25" customHeight="1">
      <c r="A15" s="165" t="s">
        <v>1278</v>
      </c>
      <c r="B15" s="166" t="s">
        <v>1148</v>
      </c>
      <c r="C15" s="167">
        <v>4460.8999999999996</v>
      </c>
      <c r="D15" s="167">
        <v>152.30000000000001</v>
      </c>
      <c r="E15" s="167">
        <v>6.5</v>
      </c>
      <c r="F15" s="167">
        <v>1.5</v>
      </c>
      <c r="G15" s="167">
        <v>4.8</v>
      </c>
      <c r="H15" s="167">
        <v>0.2</v>
      </c>
      <c r="I15" s="167">
        <v>657.8</v>
      </c>
      <c r="J15" s="167">
        <v>85.5</v>
      </c>
      <c r="K15" s="167">
        <v>15.2</v>
      </c>
      <c r="L15" s="167">
        <v>59.9</v>
      </c>
      <c r="M15" s="168">
        <v>33</v>
      </c>
      <c r="N15" s="167">
        <v>26.8</v>
      </c>
      <c r="O15" s="167">
        <v>99.5</v>
      </c>
      <c r="P15" s="167">
        <v>1.6</v>
      </c>
      <c r="Q15" s="167">
        <v>36.799999999999997</v>
      </c>
      <c r="R15" s="167">
        <v>30.6</v>
      </c>
      <c r="S15" s="167">
        <v>30.5</v>
      </c>
      <c r="T15" s="167">
        <v>115.3</v>
      </c>
      <c r="U15" s="167">
        <v>37.5</v>
      </c>
      <c r="V15" s="167">
        <v>77.7</v>
      </c>
      <c r="W15" s="167">
        <v>72.099999999999994</v>
      </c>
      <c r="X15" s="167">
        <v>26.4</v>
      </c>
      <c r="Y15" s="167">
        <v>45.7</v>
      </c>
      <c r="Z15" s="167">
        <v>88.2</v>
      </c>
      <c r="AA15" s="167">
        <v>50.7</v>
      </c>
      <c r="AB15" s="167">
        <v>37.799999999999997</v>
      </c>
      <c r="AC15" s="167">
        <v>12.9</v>
      </c>
      <c r="AD15" s="167">
        <v>71.599999999999994</v>
      </c>
      <c r="AE15" s="167">
        <v>51.3</v>
      </c>
      <c r="AF15" s="167">
        <v>310.5</v>
      </c>
      <c r="AG15" s="167">
        <v>2011.7</v>
      </c>
      <c r="AH15" s="167">
        <v>1149.3</v>
      </c>
      <c r="AI15" s="168">
        <v>669</v>
      </c>
      <c r="AJ15" s="167">
        <v>214.6</v>
      </c>
      <c r="AK15" s="167">
        <v>265.7</v>
      </c>
      <c r="AL15" s="167">
        <v>133.19999999999999</v>
      </c>
      <c r="AM15" s="167">
        <v>28.2</v>
      </c>
      <c r="AN15" s="167">
        <v>14.1</v>
      </c>
      <c r="AO15" s="168">
        <v>91</v>
      </c>
      <c r="AP15" s="167">
        <v>124.2</v>
      </c>
      <c r="AQ15" s="167">
        <v>65.3</v>
      </c>
      <c r="AR15" s="167">
        <v>539.6</v>
      </c>
      <c r="AS15" s="168">
        <v>1271</v>
      </c>
      <c r="AT15" s="168">
        <v>1072</v>
      </c>
      <c r="AU15" s="167">
        <v>271.8</v>
      </c>
      <c r="AV15" s="167">
        <v>326.10000000000002</v>
      </c>
      <c r="AW15" s="167">
        <v>474.1</v>
      </c>
      <c r="AX15" s="168">
        <v>199</v>
      </c>
      <c r="AY15" s="167">
        <v>191.1</v>
      </c>
      <c r="AZ15" s="167">
        <v>7.9</v>
      </c>
      <c r="BA15" s="167">
        <v>715.5</v>
      </c>
      <c r="BB15" s="167">
        <v>3282.7</v>
      </c>
      <c r="BC15" s="167">
        <v>862.4</v>
      </c>
      <c r="BD15" s="167">
        <v>3593.2</v>
      </c>
      <c r="BE15" s="167">
        <v>159.69999999999999</v>
      </c>
    </row>
    <row r="16" spans="1:57" ht="20.25" customHeight="1">
      <c r="A16" s="165" t="s">
        <v>1279</v>
      </c>
      <c r="B16" s="166" t="s">
        <v>1147</v>
      </c>
      <c r="C16" s="167">
        <v>4898.2</v>
      </c>
      <c r="D16" s="167">
        <v>59.8</v>
      </c>
      <c r="E16" s="167">
        <v>2.5</v>
      </c>
      <c r="F16" s="168">
        <v>0</v>
      </c>
      <c r="G16" s="167">
        <v>2.5</v>
      </c>
      <c r="H16" s="168">
        <v>0</v>
      </c>
      <c r="I16" s="167">
        <v>504.2</v>
      </c>
      <c r="J16" s="167">
        <v>101.2</v>
      </c>
      <c r="K16" s="167">
        <v>20.2</v>
      </c>
      <c r="L16" s="167">
        <v>40.299999999999997</v>
      </c>
      <c r="M16" s="167">
        <v>15.3</v>
      </c>
      <c r="N16" s="168">
        <v>25</v>
      </c>
      <c r="O16" s="167">
        <v>129.5</v>
      </c>
      <c r="P16" s="167">
        <v>4.8</v>
      </c>
      <c r="Q16" s="167">
        <v>71.599999999999994</v>
      </c>
      <c r="R16" s="167">
        <v>25.3</v>
      </c>
      <c r="S16" s="167">
        <v>27.8</v>
      </c>
      <c r="T16" s="167">
        <v>77.099999999999994</v>
      </c>
      <c r="U16" s="167">
        <v>25.4</v>
      </c>
      <c r="V16" s="167">
        <v>51.7</v>
      </c>
      <c r="W16" s="167">
        <v>25.7</v>
      </c>
      <c r="X16" s="167">
        <v>11.2</v>
      </c>
      <c r="Y16" s="167">
        <v>14.5</v>
      </c>
      <c r="Z16" s="167">
        <v>29.8</v>
      </c>
      <c r="AA16" s="167">
        <v>35.9</v>
      </c>
      <c r="AB16" s="167">
        <v>29.4</v>
      </c>
      <c r="AC16" s="167">
        <v>6.5</v>
      </c>
      <c r="AD16" s="167">
        <v>44.5</v>
      </c>
      <c r="AE16" s="168">
        <v>53</v>
      </c>
      <c r="AF16" s="167">
        <v>291.2</v>
      </c>
      <c r="AG16" s="167">
        <v>2259.3000000000002</v>
      </c>
      <c r="AH16" s="167">
        <v>1005.2</v>
      </c>
      <c r="AI16" s="167">
        <v>591.29999999999995</v>
      </c>
      <c r="AJ16" s="167">
        <v>265.89999999999998</v>
      </c>
      <c r="AK16" s="168">
        <v>148</v>
      </c>
      <c r="AL16" s="168">
        <v>131</v>
      </c>
      <c r="AM16" s="167">
        <v>23.3</v>
      </c>
      <c r="AN16" s="168">
        <v>21</v>
      </c>
      <c r="AO16" s="167">
        <v>86.7</v>
      </c>
      <c r="AP16" s="167">
        <v>114.1</v>
      </c>
      <c r="AQ16" s="167">
        <v>30.6</v>
      </c>
      <c r="AR16" s="167">
        <v>978.4</v>
      </c>
      <c r="AS16" s="167">
        <v>1728.2</v>
      </c>
      <c r="AT16" s="167">
        <v>1516.8</v>
      </c>
      <c r="AU16" s="167">
        <v>442.7</v>
      </c>
      <c r="AV16" s="167">
        <v>417.1</v>
      </c>
      <c r="AW16" s="168">
        <v>657</v>
      </c>
      <c r="AX16" s="167">
        <v>211.4</v>
      </c>
      <c r="AY16" s="167">
        <v>170.1</v>
      </c>
      <c r="AZ16" s="167">
        <v>41.3</v>
      </c>
      <c r="BA16" s="167">
        <v>559.70000000000005</v>
      </c>
      <c r="BB16" s="167">
        <v>3987.5</v>
      </c>
      <c r="BC16" s="167">
        <v>1254.0999999999999</v>
      </c>
      <c r="BD16" s="167">
        <v>4278.7</v>
      </c>
      <c r="BE16" s="167">
        <v>142.19999999999999</v>
      </c>
    </row>
    <row r="17" spans="1:57" ht="20.25" customHeight="1">
      <c r="A17" s="165" t="s">
        <v>1280</v>
      </c>
      <c r="B17" s="166" t="s">
        <v>1281</v>
      </c>
      <c r="C17" s="168">
        <v>17563</v>
      </c>
      <c r="D17" s="167">
        <v>360.5</v>
      </c>
      <c r="E17" s="167">
        <v>206.5</v>
      </c>
      <c r="F17" s="167">
        <v>75.599999999999994</v>
      </c>
      <c r="G17" s="167">
        <v>61.7</v>
      </c>
      <c r="H17" s="167">
        <v>69.2</v>
      </c>
      <c r="I17" s="167">
        <v>1554.7</v>
      </c>
      <c r="J17" s="167">
        <v>281.8</v>
      </c>
      <c r="K17" s="167">
        <v>35.6</v>
      </c>
      <c r="L17" s="167">
        <v>181.8</v>
      </c>
      <c r="M17" s="167">
        <v>86.3</v>
      </c>
      <c r="N17" s="167">
        <v>95.6</v>
      </c>
      <c r="O17" s="167">
        <v>241.2</v>
      </c>
      <c r="P17" s="167">
        <v>6.4</v>
      </c>
      <c r="Q17" s="167">
        <v>85.4</v>
      </c>
      <c r="R17" s="167">
        <v>92.5</v>
      </c>
      <c r="S17" s="167">
        <v>56.8</v>
      </c>
      <c r="T17" s="167">
        <v>216.5</v>
      </c>
      <c r="U17" s="168">
        <v>52</v>
      </c>
      <c r="V17" s="167">
        <v>164.4</v>
      </c>
      <c r="W17" s="168">
        <v>84</v>
      </c>
      <c r="X17" s="167">
        <v>52.7</v>
      </c>
      <c r="Y17" s="167">
        <v>31.3</v>
      </c>
      <c r="Z17" s="167">
        <v>128.19999999999999</v>
      </c>
      <c r="AA17" s="168">
        <v>181</v>
      </c>
      <c r="AB17" s="167">
        <v>104.5</v>
      </c>
      <c r="AC17" s="167">
        <v>76.5</v>
      </c>
      <c r="AD17" s="167">
        <v>204.7</v>
      </c>
      <c r="AE17" s="167">
        <v>163.69999999999999</v>
      </c>
      <c r="AF17" s="167">
        <v>1285.0999999999999</v>
      </c>
      <c r="AG17" s="167">
        <v>8529.2999999999993</v>
      </c>
      <c r="AH17" s="167">
        <v>4778.1000000000004</v>
      </c>
      <c r="AI17" s="167">
        <v>2806.4</v>
      </c>
      <c r="AJ17" s="167">
        <v>923.5</v>
      </c>
      <c r="AK17" s="167">
        <v>1048.2</v>
      </c>
      <c r="AL17" s="167">
        <v>699.5</v>
      </c>
      <c r="AM17" s="167">
        <v>184.4</v>
      </c>
      <c r="AN17" s="167">
        <v>125.1</v>
      </c>
      <c r="AO17" s="167">
        <v>390.1</v>
      </c>
      <c r="AP17" s="168">
        <v>941</v>
      </c>
      <c r="AQ17" s="167">
        <v>299.3</v>
      </c>
      <c r="AR17" s="167">
        <v>1811.4</v>
      </c>
      <c r="AS17" s="167">
        <v>5463.2</v>
      </c>
      <c r="AT17" s="167">
        <v>4627.8</v>
      </c>
      <c r="AU17" s="167">
        <v>1155.3</v>
      </c>
      <c r="AV17" s="167">
        <v>1369.5</v>
      </c>
      <c r="AW17" s="168">
        <v>2103</v>
      </c>
      <c r="AX17" s="167">
        <v>835.4</v>
      </c>
      <c r="AY17" s="167">
        <v>738.5</v>
      </c>
      <c r="AZ17" s="167">
        <v>96.9</v>
      </c>
      <c r="BA17" s="167">
        <v>1924.9</v>
      </c>
      <c r="BB17" s="167">
        <v>13992.5</v>
      </c>
      <c r="BC17" s="167">
        <v>3751.3</v>
      </c>
      <c r="BD17" s="167">
        <v>15277.6</v>
      </c>
      <c r="BE17" s="167">
        <v>752.2</v>
      </c>
    </row>
    <row r="18" spans="1:57" ht="20.25" customHeight="1">
      <c r="A18" s="165" t="s">
        <v>1282</v>
      </c>
      <c r="B18" s="166" t="s">
        <v>1146</v>
      </c>
      <c r="C18" s="167">
        <v>7764.9</v>
      </c>
      <c r="D18" s="167">
        <v>574.1</v>
      </c>
      <c r="E18" s="167">
        <v>197.8</v>
      </c>
      <c r="F18" s="167">
        <v>9.1</v>
      </c>
      <c r="G18" s="167">
        <v>187.7</v>
      </c>
      <c r="H18" s="168">
        <v>1</v>
      </c>
      <c r="I18" s="167">
        <v>780.4</v>
      </c>
      <c r="J18" s="167">
        <v>176.8</v>
      </c>
      <c r="K18" s="167">
        <v>20.8</v>
      </c>
      <c r="L18" s="167">
        <v>64.400000000000006</v>
      </c>
      <c r="M18" s="167">
        <v>23.6</v>
      </c>
      <c r="N18" s="167">
        <v>40.799999999999997</v>
      </c>
      <c r="O18" s="167">
        <v>119.3</v>
      </c>
      <c r="P18" s="167">
        <v>10.7</v>
      </c>
      <c r="Q18" s="168">
        <v>60</v>
      </c>
      <c r="R18" s="167">
        <v>28.2</v>
      </c>
      <c r="S18" s="167">
        <v>20.3</v>
      </c>
      <c r="T18" s="167">
        <v>277.8</v>
      </c>
      <c r="U18" s="167">
        <v>201.8</v>
      </c>
      <c r="V18" s="168">
        <v>76</v>
      </c>
      <c r="W18" s="168">
        <v>27</v>
      </c>
      <c r="X18" s="167">
        <v>17.399999999999999</v>
      </c>
      <c r="Y18" s="167">
        <v>9.5</v>
      </c>
      <c r="Z18" s="167">
        <v>24.5</v>
      </c>
      <c r="AA18" s="167">
        <v>32.9</v>
      </c>
      <c r="AB18" s="168">
        <v>0</v>
      </c>
      <c r="AC18" s="167">
        <v>32.9</v>
      </c>
      <c r="AD18" s="168">
        <v>37</v>
      </c>
      <c r="AE18" s="167">
        <v>115.3</v>
      </c>
      <c r="AF18" s="167">
        <v>655.6</v>
      </c>
      <c r="AG18" s="168">
        <v>3276</v>
      </c>
      <c r="AH18" s="167">
        <v>2319.9</v>
      </c>
      <c r="AI18" s="167">
        <v>1557.2</v>
      </c>
      <c r="AJ18" s="167">
        <v>480.2</v>
      </c>
      <c r="AK18" s="167">
        <v>282.5</v>
      </c>
      <c r="AL18" s="167">
        <v>169.5</v>
      </c>
      <c r="AM18" s="168">
        <v>55</v>
      </c>
      <c r="AN18" s="167">
        <v>30.9</v>
      </c>
      <c r="AO18" s="167">
        <v>83.6</v>
      </c>
      <c r="AP18" s="167">
        <v>173.3</v>
      </c>
      <c r="AQ18" s="167">
        <v>75.5</v>
      </c>
      <c r="AR18" s="167">
        <v>537.79999999999995</v>
      </c>
      <c r="AS18" s="167">
        <v>2165.6999999999998</v>
      </c>
      <c r="AT18" s="167">
        <v>1814.5</v>
      </c>
      <c r="AU18" s="168">
        <v>532</v>
      </c>
      <c r="AV18" s="167">
        <v>734.3</v>
      </c>
      <c r="AW18" s="167">
        <v>548.20000000000005</v>
      </c>
      <c r="AX18" s="167">
        <v>351.2</v>
      </c>
      <c r="AY18" s="167">
        <v>351.2</v>
      </c>
      <c r="AZ18" s="168">
        <v>0</v>
      </c>
      <c r="BA18" s="167">
        <v>1093.5</v>
      </c>
      <c r="BB18" s="167">
        <v>5441.7</v>
      </c>
      <c r="BC18" s="167">
        <v>956.1</v>
      </c>
      <c r="BD18" s="167">
        <v>6097.3</v>
      </c>
      <c r="BE18" s="167">
        <v>186.9</v>
      </c>
    </row>
    <row r="19" spans="1:57" ht="20.25" customHeight="1">
      <c r="A19" s="169" t="s">
        <v>1283</v>
      </c>
      <c r="B19" s="169" t="s">
        <v>1284</v>
      </c>
      <c r="C19" s="167">
        <v>19048.900000000001</v>
      </c>
      <c r="D19" s="167">
        <v>3184.9</v>
      </c>
      <c r="E19" s="167">
        <v>198.1</v>
      </c>
      <c r="F19" s="167">
        <v>184.6</v>
      </c>
      <c r="G19" s="167">
        <v>12.4</v>
      </c>
      <c r="H19" s="167">
        <v>1.1000000000000001</v>
      </c>
      <c r="I19" s="168">
        <v>2083</v>
      </c>
      <c r="J19" s="167">
        <v>539.1</v>
      </c>
      <c r="K19" s="167">
        <v>373.7</v>
      </c>
      <c r="L19" s="167">
        <v>129.80000000000001</v>
      </c>
      <c r="M19" s="168">
        <v>16</v>
      </c>
      <c r="N19" s="167">
        <v>113.8</v>
      </c>
      <c r="O19" s="167">
        <v>546.70000000000005</v>
      </c>
      <c r="P19" s="167">
        <v>17.7</v>
      </c>
      <c r="Q19" s="167">
        <v>244.4</v>
      </c>
      <c r="R19" s="167">
        <v>172.5</v>
      </c>
      <c r="S19" s="167">
        <v>112.1</v>
      </c>
      <c r="T19" s="167">
        <v>163.30000000000001</v>
      </c>
      <c r="U19" s="168">
        <v>48</v>
      </c>
      <c r="V19" s="167">
        <v>115.3</v>
      </c>
      <c r="W19" s="167">
        <v>66.2</v>
      </c>
      <c r="X19" s="167">
        <v>1.7</v>
      </c>
      <c r="Y19" s="167">
        <v>64.5</v>
      </c>
      <c r="Z19" s="167">
        <v>58.9</v>
      </c>
      <c r="AA19" s="167">
        <v>68.3</v>
      </c>
      <c r="AB19" s="167">
        <v>45.3</v>
      </c>
      <c r="AC19" s="167">
        <v>23.1</v>
      </c>
      <c r="AD19" s="167">
        <v>137.1</v>
      </c>
      <c r="AE19" s="168">
        <v>223</v>
      </c>
      <c r="AF19" s="167">
        <v>1289.3</v>
      </c>
      <c r="AG19" s="167">
        <v>8281.9</v>
      </c>
      <c r="AH19" s="168">
        <v>6275</v>
      </c>
      <c r="AI19" s="167">
        <v>3607.8</v>
      </c>
      <c r="AJ19" s="167">
        <v>1353.7</v>
      </c>
      <c r="AK19" s="167">
        <v>1313.5</v>
      </c>
      <c r="AL19" s="167">
        <v>290.5</v>
      </c>
      <c r="AM19" s="167">
        <v>50.7</v>
      </c>
      <c r="AN19" s="167">
        <v>104.1</v>
      </c>
      <c r="AO19" s="167">
        <v>135.69999999999999</v>
      </c>
      <c r="AP19" s="167">
        <v>272.8</v>
      </c>
      <c r="AQ19" s="167">
        <v>227.5</v>
      </c>
      <c r="AR19" s="167">
        <v>1216.0999999999999</v>
      </c>
      <c r="AS19" s="167">
        <v>3788.8</v>
      </c>
      <c r="AT19" s="167">
        <v>2206.6</v>
      </c>
      <c r="AU19" s="167">
        <v>617.5</v>
      </c>
      <c r="AV19" s="167">
        <v>811.9</v>
      </c>
      <c r="AW19" s="167">
        <v>777.2</v>
      </c>
      <c r="AX19" s="167">
        <v>1582.2</v>
      </c>
      <c r="AY19" s="167">
        <v>1086.7</v>
      </c>
      <c r="AZ19" s="167">
        <v>495.5</v>
      </c>
      <c r="BA19" s="167">
        <v>2504.1</v>
      </c>
      <c r="BB19" s="167">
        <v>12070.6</v>
      </c>
      <c r="BC19" s="167">
        <v>2006.9</v>
      </c>
      <c r="BD19" s="167">
        <v>13359.9</v>
      </c>
      <c r="BE19" s="167">
        <v>292.2</v>
      </c>
    </row>
    <row r="20" spans="1:57" ht="20.25" customHeight="1">
      <c r="A20" s="169" t="s">
        <v>1285</v>
      </c>
      <c r="B20" s="169" t="s">
        <v>1286</v>
      </c>
      <c r="C20" s="167">
        <v>1899.4</v>
      </c>
      <c r="D20" s="167">
        <v>238.4</v>
      </c>
      <c r="E20" s="168">
        <v>2</v>
      </c>
      <c r="F20" s="168">
        <v>0</v>
      </c>
      <c r="G20" s="168">
        <v>2</v>
      </c>
      <c r="H20" s="168">
        <v>0</v>
      </c>
      <c r="I20" s="168">
        <v>197</v>
      </c>
      <c r="J20" s="168">
        <v>82</v>
      </c>
      <c r="K20" s="167">
        <v>13.1</v>
      </c>
      <c r="L20" s="167">
        <v>17.2</v>
      </c>
      <c r="M20" s="167">
        <v>4.9000000000000004</v>
      </c>
      <c r="N20" s="167">
        <v>12.3</v>
      </c>
      <c r="O20" s="167">
        <v>24.7</v>
      </c>
      <c r="P20" s="167">
        <v>3.2</v>
      </c>
      <c r="Q20" s="167">
        <v>15.7</v>
      </c>
      <c r="R20" s="167">
        <v>2.1</v>
      </c>
      <c r="S20" s="167">
        <v>3.8</v>
      </c>
      <c r="T20" s="167">
        <v>8.8000000000000007</v>
      </c>
      <c r="U20" s="167">
        <v>1.3</v>
      </c>
      <c r="V20" s="167">
        <v>7.5</v>
      </c>
      <c r="W20" s="167">
        <v>6.6</v>
      </c>
      <c r="X20" s="167">
        <v>1.4</v>
      </c>
      <c r="Y20" s="167">
        <v>5.0999999999999996</v>
      </c>
      <c r="Z20" s="168">
        <v>0</v>
      </c>
      <c r="AA20" s="167">
        <v>0.8</v>
      </c>
      <c r="AB20" s="167">
        <v>0.8</v>
      </c>
      <c r="AC20" s="168">
        <v>0</v>
      </c>
      <c r="AD20" s="167">
        <v>43.9</v>
      </c>
      <c r="AE20" s="168">
        <v>26</v>
      </c>
      <c r="AF20" s="167">
        <v>126.2</v>
      </c>
      <c r="AG20" s="167">
        <v>784.8</v>
      </c>
      <c r="AH20" s="167">
        <v>512.6</v>
      </c>
      <c r="AI20" s="167">
        <v>304.89999999999998</v>
      </c>
      <c r="AJ20" s="167">
        <v>103.7</v>
      </c>
      <c r="AK20" s="168">
        <v>104</v>
      </c>
      <c r="AL20" s="167">
        <v>36.4</v>
      </c>
      <c r="AM20" s="167">
        <v>10.6</v>
      </c>
      <c r="AN20" s="167">
        <v>8.3000000000000007</v>
      </c>
      <c r="AO20" s="167">
        <v>17.5</v>
      </c>
      <c r="AP20" s="168">
        <v>42</v>
      </c>
      <c r="AQ20" s="167">
        <v>15.6</v>
      </c>
      <c r="AR20" s="167">
        <v>178.2</v>
      </c>
      <c r="AS20" s="167">
        <v>524.9</v>
      </c>
      <c r="AT20" s="167">
        <v>312.39999999999998</v>
      </c>
      <c r="AU20" s="167">
        <v>86.9</v>
      </c>
      <c r="AV20" s="168">
        <v>140</v>
      </c>
      <c r="AW20" s="167">
        <v>85.5</v>
      </c>
      <c r="AX20" s="167">
        <v>212.5</v>
      </c>
      <c r="AY20" s="167">
        <v>105.2</v>
      </c>
      <c r="AZ20" s="167">
        <v>107.3</v>
      </c>
      <c r="BA20" s="167">
        <v>225.1</v>
      </c>
      <c r="BB20" s="167">
        <v>1309.8</v>
      </c>
      <c r="BC20" s="167">
        <v>272.2</v>
      </c>
      <c r="BD20" s="168">
        <v>1436</v>
      </c>
      <c r="BE20" s="167">
        <v>37.799999999999997</v>
      </c>
    </row>
    <row r="21" spans="1:57" ht="20.25" customHeight="1">
      <c r="A21" s="165" t="s">
        <v>1287</v>
      </c>
      <c r="B21" s="166" t="s">
        <v>1288</v>
      </c>
      <c r="C21" s="167">
        <v>5337.2</v>
      </c>
      <c r="D21" s="167">
        <v>161.6</v>
      </c>
      <c r="E21" s="167">
        <v>25.4</v>
      </c>
      <c r="F21" s="167">
        <v>14.8</v>
      </c>
      <c r="G21" s="167">
        <v>8.1</v>
      </c>
      <c r="H21" s="167">
        <v>2.6</v>
      </c>
      <c r="I21" s="168">
        <v>1386</v>
      </c>
      <c r="J21" s="167">
        <v>130.1</v>
      </c>
      <c r="K21" s="167">
        <v>54.9</v>
      </c>
      <c r="L21" s="167">
        <v>98.7</v>
      </c>
      <c r="M21" s="168">
        <v>52</v>
      </c>
      <c r="N21" s="167">
        <v>46.7</v>
      </c>
      <c r="O21" s="167">
        <v>199.6</v>
      </c>
      <c r="P21" s="167">
        <v>1.1000000000000001</v>
      </c>
      <c r="Q21" s="167">
        <v>46.4</v>
      </c>
      <c r="R21" s="167">
        <v>94.2</v>
      </c>
      <c r="S21" s="167">
        <v>57.9</v>
      </c>
      <c r="T21" s="167">
        <v>247.2</v>
      </c>
      <c r="U21" s="167">
        <v>45.7</v>
      </c>
      <c r="V21" s="167">
        <v>201.5</v>
      </c>
      <c r="W21" s="167">
        <v>162.19999999999999</v>
      </c>
      <c r="X21" s="167">
        <v>46.7</v>
      </c>
      <c r="Y21" s="167">
        <v>115.5</v>
      </c>
      <c r="Z21" s="167">
        <v>135.5</v>
      </c>
      <c r="AA21" s="167">
        <v>224.4</v>
      </c>
      <c r="AB21" s="167">
        <v>198.6</v>
      </c>
      <c r="AC21" s="167">
        <v>25.8</v>
      </c>
      <c r="AD21" s="167">
        <v>133.30000000000001</v>
      </c>
      <c r="AE21" s="167">
        <v>104.2</v>
      </c>
      <c r="AF21" s="167">
        <v>401.9</v>
      </c>
      <c r="AG21" s="167">
        <v>2049.5</v>
      </c>
      <c r="AH21" s="167">
        <v>1233.5999999999999</v>
      </c>
      <c r="AI21" s="167">
        <v>719.3</v>
      </c>
      <c r="AJ21" s="167">
        <v>332.1</v>
      </c>
      <c r="AK21" s="167">
        <v>182.1</v>
      </c>
      <c r="AL21" s="167">
        <v>170.6</v>
      </c>
      <c r="AM21" s="167">
        <v>28.5</v>
      </c>
      <c r="AN21" s="167">
        <v>23.3</v>
      </c>
      <c r="AO21" s="167">
        <v>118.7</v>
      </c>
      <c r="AP21" s="167">
        <v>91.1</v>
      </c>
      <c r="AQ21" s="167">
        <v>92.8</v>
      </c>
      <c r="AR21" s="167">
        <v>461.4</v>
      </c>
      <c r="AS21" s="167">
        <v>1208.7</v>
      </c>
      <c r="AT21" s="167">
        <v>1019.7</v>
      </c>
      <c r="AU21" s="167">
        <v>314.60000000000002</v>
      </c>
      <c r="AV21" s="167">
        <v>335.9</v>
      </c>
      <c r="AW21" s="167">
        <v>369.1</v>
      </c>
      <c r="AX21" s="168">
        <v>189</v>
      </c>
      <c r="AY21" s="167">
        <v>180.4</v>
      </c>
      <c r="AZ21" s="167">
        <v>8.6</v>
      </c>
      <c r="BA21" s="167">
        <v>1515.6</v>
      </c>
      <c r="BB21" s="167">
        <v>3258.1</v>
      </c>
      <c r="BC21" s="167">
        <v>815.9</v>
      </c>
      <c r="BD21" s="167">
        <v>3660.1</v>
      </c>
      <c r="BE21" s="167">
        <v>217.3</v>
      </c>
    </row>
    <row r="22" spans="1:57" ht="20.25" customHeight="1">
      <c r="A22" s="165" t="s">
        <v>1289</v>
      </c>
      <c r="B22" s="166" t="s">
        <v>1145</v>
      </c>
      <c r="C22" s="168">
        <v>2976</v>
      </c>
      <c r="D22" s="168">
        <v>68</v>
      </c>
      <c r="E22" s="168">
        <v>4</v>
      </c>
      <c r="F22" s="167">
        <v>1.2</v>
      </c>
      <c r="G22" s="168">
        <v>1</v>
      </c>
      <c r="H22" s="167">
        <v>1.8</v>
      </c>
      <c r="I22" s="168">
        <v>293</v>
      </c>
      <c r="J22" s="168">
        <v>48</v>
      </c>
      <c r="K22" s="168">
        <v>5</v>
      </c>
      <c r="L22" s="168">
        <v>19</v>
      </c>
      <c r="M22" s="168">
        <v>9</v>
      </c>
      <c r="N22" s="168">
        <v>10</v>
      </c>
      <c r="O22" s="168">
        <v>64</v>
      </c>
      <c r="P22" s="168">
        <v>1</v>
      </c>
      <c r="Q22" s="168">
        <v>37</v>
      </c>
      <c r="R22" s="168">
        <v>12</v>
      </c>
      <c r="S22" s="168">
        <v>14</v>
      </c>
      <c r="T22" s="168">
        <v>39</v>
      </c>
      <c r="U22" s="168">
        <v>5</v>
      </c>
      <c r="V22" s="168">
        <v>34</v>
      </c>
      <c r="W22" s="168">
        <v>27</v>
      </c>
      <c r="X22" s="168">
        <v>17</v>
      </c>
      <c r="Y22" s="168">
        <v>10</v>
      </c>
      <c r="Z22" s="168">
        <v>53</v>
      </c>
      <c r="AA22" s="168">
        <v>7</v>
      </c>
      <c r="AB22" s="168">
        <v>4</v>
      </c>
      <c r="AC22" s="168">
        <v>3</v>
      </c>
      <c r="AD22" s="168">
        <v>31</v>
      </c>
      <c r="AE22" s="168">
        <v>23</v>
      </c>
      <c r="AF22" s="168">
        <v>194</v>
      </c>
      <c r="AG22" s="168">
        <v>1321</v>
      </c>
      <c r="AH22" s="168">
        <v>762</v>
      </c>
      <c r="AI22" s="168">
        <v>489</v>
      </c>
      <c r="AJ22" s="168">
        <v>142</v>
      </c>
      <c r="AK22" s="168">
        <v>131</v>
      </c>
      <c r="AL22" s="168">
        <v>110</v>
      </c>
      <c r="AM22" s="168">
        <v>37</v>
      </c>
      <c r="AN22" s="168">
        <v>14</v>
      </c>
      <c r="AO22" s="168">
        <v>59</v>
      </c>
      <c r="AP22" s="168">
        <v>79</v>
      </c>
      <c r="AQ22" s="168">
        <v>48</v>
      </c>
      <c r="AR22" s="168">
        <v>322</v>
      </c>
      <c r="AS22" s="168">
        <v>1073</v>
      </c>
      <c r="AT22" s="168">
        <v>914</v>
      </c>
      <c r="AU22" s="168">
        <v>157</v>
      </c>
      <c r="AV22" s="168">
        <v>226</v>
      </c>
      <c r="AW22" s="168">
        <v>531</v>
      </c>
      <c r="AX22" s="168">
        <v>159</v>
      </c>
      <c r="AY22" s="168">
        <v>136</v>
      </c>
      <c r="AZ22" s="168">
        <v>23</v>
      </c>
      <c r="BA22" s="168">
        <v>320</v>
      </c>
      <c r="BB22" s="168">
        <v>2394</v>
      </c>
      <c r="BC22" s="168">
        <v>559</v>
      </c>
      <c r="BD22" s="168">
        <v>2588</v>
      </c>
      <c r="BE22" s="168">
        <v>127</v>
      </c>
    </row>
    <row r="23" spans="1:57" ht="20.25" customHeight="1">
      <c r="A23" s="165" t="s">
        <v>1290</v>
      </c>
      <c r="B23" s="166" t="s">
        <v>1144</v>
      </c>
      <c r="C23" s="167">
        <v>644.1</v>
      </c>
      <c r="D23" s="167">
        <v>19.2</v>
      </c>
      <c r="E23" s="168">
        <v>4</v>
      </c>
      <c r="F23" s="167">
        <v>1.9</v>
      </c>
      <c r="G23" s="168">
        <v>2</v>
      </c>
      <c r="H23" s="167">
        <v>0.1</v>
      </c>
      <c r="I23" s="168">
        <v>119</v>
      </c>
      <c r="J23" s="167">
        <v>14.9</v>
      </c>
      <c r="K23" s="167">
        <v>10.6</v>
      </c>
      <c r="L23" s="167">
        <v>22.4</v>
      </c>
      <c r="M23" s="167">
        <v>17.600000000000001</v>
      </c>
      <c r="N23" s="167">
        <v>4.8</v>
      </c>
      <c r="O23" s="167">
        <v>16.100000000000001</v>
      </c>
      <c r="P23" s="167">
        <v>1.1000000000000001</v>
      </c>
      <c r="Q23" s="167">
        <v>4.8</v>
      </c>
      <c r="R23" s="167">
        <v>5.6</v>
      </c>
      <c r="S23" s="167">
        <v>4.5999999999999996</v>
      </c>
      <c r="T23" s="167">
        <v>16.3</v>
      </c>
      <c r="U23" s="167">
        <v>0.2</v>
      </c>
      <c r="V23" s="167">
        <v>16.100000000000001</v>
      </c>
      <c r="W23" s="167">
        <v>15.7</v>
      </c>
      <c r="X23" s="167">
        <v>7.9</v>
      </c>
      <c r="Y23" s="167">
        <v>7.9</v>
      </c>
      <c r="Z23" s="167">
        <v>3.2</v>
      </c>
      <c r="AA23" s="167">
        <v>4.2</v>
      </c>
      <c r="AB23" s="167">
        <v>3.1</v>
      </c>
      <c r="AC23" s="168">
        <v>1</v>
      </c>
      <c r="AD23" s="167">
        <v>15.6</v>
      </c>
      <c r="AE23" s="167">
        <v>8.8000000000000007</v>
      </c>
      <c r="AF23" s="167">
        <v>50.4</v>
      </c>
      <c r="AG23" s="167">
        <v>260.60000000000002</v>
      </c>
      <c r="AH23" s="167">
        <v>153.1</v>
      </c>
      <c r="AI23" s="167">
        <v>83.6</v>
      </c>
      <c r="AJ23" s="167">
        <v>44.7</v>
      </c>
      <c r="AK23" s="167">
        <v>24.9</v>
      </c>
      <c r="AL23" s="167">
        <v>30.8</v>
      </c>
      <c r="AM23" s="167">
        <v>5.4</v>
      </c>
      <c r="AN23" s="167">
        <v>4.9000000000000004</v>
      </c>
      <c r="AO23" s="167">
        <v>20.6</v>
      </c>
      <c r="AP23" s="167">
        <v>12.6</v>
      </c>
      <c r="AQ23" s="168">
        <v>11</v>
      </c>
      <c r="AR23" s="168">
        <v>53</v>
      </c>
      <c r="AS23" s="167">
        <v>182.1</v>
      </c>
      <c r="AT23" s="167">
        <v>146.30000000000001</v>
      </c>
      <c r="AU23" s="167">
        <v>44.5</v>
      </c>
      <c r="AV23" s="167">
        <v>61.8</v>
      </c>
      <c r="AW23" s="168">
        <v>40</v>
      </c>
      <c r="AX23" s="167">
        <v>35.799999999999997</v>
      </c>
      <c r="AY23" s="167">
        <v>35.799999999999997</v>
      </c>
      <c r="AZ23" s="168">
        <v>0</v>
      </c>
      <c r="BA23" s="167">
        <v>131.80000000000001</v>
      </c>
      <c r="BB23" s="167">
        <v>442.7</v>
      </c>
      <c r="BC23" s="167">
        <v>107.5</v>
      </c>
      <c r="BD23" s="168">
        <v>493</v>
      </c>
      <c r="BE23" s="167">
        <v>38.700000000000003</v>
      </c>
    </row>
    <row r="24" spans="1:57" ht="20.25" customHeight="1">
      <c r="A24" s="165" t="s">
        <v>1291</v>
      </c>
      <c r="B24" s="166" t="s">
        <v>1143</v>
      </c>
      <c r="C24" s="167">
        <v>2623.8</v>
      </c>
      <c r="D24" s="167">
        <v>89.6</v>
      </c>
      <c r="E24" s="167">
        <v>8.1</v>
      </c>
      <c r="F24" s="168">
        <v>0</v>
      </c>
      <c r="G24" s="167">
        <v>6.7</v>
      </c>
      <c r="H24" s="167">
        <v>1.4</v>
      </c>
      <c r="I24" s="167">
        <v>337.1</v>
      </c>
      <c r="J24" s="167">
        <v>39.200000000000003</v>
      </c>
      <c r="K24" s="167">
        <v>8.4</v>
      </c>
      <c r="L24" s="167">
        <v>46.2</v>
      </c>
      <c r="M24" s="168">
        <v>21</v>
      </c>
      <c r="N24" s="167">
        <v>25.2</v>
      </c>
      <c r="O24" s="167">
        <v>47.2</v>
      </c>
      <c r="P24" s="167">
        <v>2.9</v>
      </c>
      <c r="Q24" s="167">
        <v>17.899999999999999</v>
      </c>
      <c r="R24" s="167">
        <v>13.2</v>
      </c>
      <c r="S24" s="167">
        <v>13.2</v>
      </c>
      <c r="T24" s="167">
        <v>57.8</v>
      </c>
      <c r="U24" s="167">
        <v>13.7</v>
      </c>
      <c r="V24" s="167">
        <v>44.1</v>
      </c>
      <c r="W24" s="167">
        <v>37.6</v>
      </c>
      <c r="X24" s="167">
        <v>21.2</v>
      </c>
      <c r="Y24" s="167">
        <v>16.399999999999999</v>
      </c>
      <c r="Z24" s="167">
        <v>49.3</v>
      </c>
      <c r="AA24" s="167">
        <v>17.2</v>
      </c>
      <c r="AB24" s="167">
        <v>9.6</v>
      </c>
      <c r="AC24" s="167">
        <v>7.6</v>
      </c>
      <c r="AD24" s="167">
        <v>34.200000000000003</v>
      </c>
      <c r="AE24" s="167">
        <v>27.2</v>
      </c>
      <c r="AF24" s="167">
        <v>208.2</v>
      </c>
      <c r="AG24" s="167">
        <v>1033.7</v>
      </c>
      <c r="AH24" s="167">
        <v>501.7</v>
      </c>
      <c r="AI24" s="167">
        <v>279.39999999999998</v>
      </c>
      <c r="AJ24" s="168">
        <v>141</v>
      </c>
      <c r="AK24" s="167">
        <v>81.3</v>
      </c>
      <c r="AL24" s="167">
        <v>114.3</v>
      </c>
      <c r="AM24" s="167">
        <v>25.9</v>
      </c>
      <c r="AN24" s="167">
        <v>12.1</v>
      </c>
      <c r="AO24" s="167">
        <v>76.3</v>
      </c>
      <c r="AP24" s="167">
        <v>43.2</v>
      </c>
      <c r="AQ24" s="167">
        <v>27.4</v>
      </c>
      <c r="AR24" s="167">
        <v>347.1</v>
      </c>
      <c r="AS24" s="167">
        <v>919.9</v>
      </c>
      <c r="AT24" s="167">
        <v>784.7</v>
      </c>
      <c r="AU24" s="167">
        <v>174.5</v>
      </c>
      <c r="AV24" s="167">
        <v>166.9</v>
      </c>
      <c r="AW24" s="167">
        <v>443.3</v>
      </c>
      <c r="AX24" s="167">
        <v>135.19999999999999</v>
      </c>
      <c r="AY24" s="167">
        <v>123.6</v>
      </c>
      <c r="AZ24" s="167">
        <v>11.6</v>
      </c>
      <c r="BA24" s="167">
        <v>372.4</v>
      </c>
      <c r="BB24" s="167">
        <v>1953.6</v>
      </c>
      <c r="BC24" s="168">
        <v>532</v>
      </c>
      <c r="BD24" s="167">
        <v>2161.8000000000002</v>
      </c>
      <c r="BE24" s="167">
        <v>135.5</v>
      </c>
    </row>
    <row r="25" spans="1:57" ht="20.25" customHeight="1">
      <c r="A25" s="165" t="s">
        <v>1292</v>
      </c>
      <c r="B25" s="166" t="s">
        <v>1142</v>
      </c>
      <c r="C25" s="167">
        <v>28295.9</v>
      </c>
      <c r="D25" s="168">
        <v>750</v>
      </c>
      <c r="E25" s="167">
        <v>14.9</v>
      </c>
      <c r="F25" s="167">
        <v>0.1</v>
      </c>
      <c r="G25" s="167">
        <v>14.6</v>
      </c>
      <c r="H25" s="167">
        <v>0.2</v>
      </c>
      <c r="I25" s="168">
        <v>2616</v>
      </c>
      <c r="J25" s="168">
        <v>661</v>
      </c>
      <c r="K25" s="168">
        <v>102</v>
      </c>
      <c r="L25" s="168">
        <v>176</v>
      </c>
      <c r="M25" s="168">
        <v>60</v>
      </c>
      <c r="N25" s="168">
        <v>116</v>
      </c>
      <c r="O25" s="168">
        <v>419</v>
      </c>
      <c r="P25" s="168">
        <v>9</v>
      </c>
      <c r="Q25" s="168">
        <v>164</v>
      </c>
      <c r="R25" s="168">
        <v>147</v>
      </c>
      <c r="S25" s="168">
        <v>99</v>
      </c>
      <c r="T25" s="168">
        <v>379</v>
      </c>
      <c r="U25" s="168">
        <v>77</v>
      </c>
      <c r="V25" s="168">
        <v>302</v>
      </c>
      <c r="W25" s="168">
        <v>164</v>
      </c>
      <c r="X25" s="168">
        <v>86</v>
      </c>
      <c r="Y25" s="168">
        <v>78</v>
      </c>
      <c r="Z25" s="168">
        <v>143</v>
      </c>
      <c r="AA25" s="168">
        <v>188</v>
      </c>
      <c r="AB25" s="168">
        <v>99</v>
      </c>
      <c r="AC25" s="168">
        <v>89</v>
      </c>
      <c r="AD25" s="168">
        <v>384</v>
      </c>
      <c r="AE25" s="168">
        <v>297</v>
      </c>
      <c r="AF25" s="168">
        <v>1826</v>
      </c>
      <c r="AG25" s="168">
        <v>12900</v>
      </c>
      <c r="AH25" s="168">
        <v>6454</v>
      </c>
      <c r="AI25" s="168">
        <v>3802</v>
      </c>
      <c r="AJ25" s="168">
        <v>1444</v>
      </c>
      <c r="AK25" s="168">
        <v>1208</v>
      </c>
      <c r="AL25" s="168">
        <v>922</v>
      </c>
      <c r="AM25" s="168">
        <v>214</v>
      </c>
      <c r="AN25" s="168">
        <v>107</v>
      </c>
      <c r="AO25" s="168">
        <v>601</v>
      </c>
      <c r="AP25" s="168">
        <v>788</v>
      </c>
      <c r="AQ25" s="168">
        <v>391</v>
      </c>
      <c r="AR25" s="168">
        <v>4345</v>
      </c>
      <c r="AS25" s="168">
        <v>9892</v>
      </c>
      <c r="AT25" s="168">
        <v>8416</v>
      </c>
      <c r="AU25" s="168">
        <v>2458</v>
      </c>
      <c r="AV25" s="168">
        <v>1993</v>
      </c>
      <c r="AW25" s="168">
        <v>3965</v>
      </c>
      <c r="AX25" s="168">
        <v>1476</v>
      </c>
      <c r="AY25" s="168">
        <v>1328</v>
      </c>
      <c r="AZ25" s="168">
        <v>148</v>
      </c>
      <c r="BA25" s="167">
        <v>2927.9</v>
      </c>
      <c r="BB25" s="168">
        <v>22792</v>
      </c>
      <c r="BC25" s="168">
        <v>6446</v>
      </c>
      <c r="BD25" s="168">
        <v>24618</v>
      </c>
      <c r="BE25" s="168">
        <v>1008</v>
      </c>
    </row>
    <row r="26" spans="1:57" ht="20.25" customHeight="1">
      <c r="A26" s="165" t="s">
        <v>1293</v>
      </c>
      <c r="B26" s="166" t="s">
        <v>1141</v>
      </c>
      <c r="C26" s="168">
        <v>44915</v>
      </c>
      <c r="D26" s="168">
        <v>580</v>
      </c>
      <c r="E26" s="168">
        <v>43</v>
      </c>
      <c r="F26" s="167">
        <v>4.0999999999999996</v>
      </c>
      <c r="G26" s="167">
        <v>35.299999999999997</v>
      </c>
      <c r="H26" s="167">
        <v>3.5</v>
      </c>
      <c r="I26" s="168">
        <v>7571</v>
      </c>
      <c r="J26" s="168">
        <v>924</v>
      </c>
      <c r="K26" s="168">
        <v>129</v>
      </c>
      <c r="L26" s="168">
        <v>420</v>
      </c>
      <c r="M26" s="168">
        <v>138</v>
      </c>
      <c r="N26" s="168">
        <v>282</v>
      </c>
      <c r="O26" s="168">
        <v>1204</v>
      </c>
      <c r="P26" s="168">
        <v>20</v>
      </c>
      <c r="Q26" s="168">
        <v>505</v>
      </c>
      <c r="R26" s="168">
        <v>437</v>
      </c>
      <c r="S26" s="168">
        <v>242</v>
      </c>
      <c r="T26" s="168">
        <v>1154</v>
      </c>
      <c r="U26" s="168">
        <v>258</v>
      </c>
      <c r="V26" s="168">
        <v>896</v>
      </c>
      <c r="W26" s="168">
        <v>868</v>
      </c>
      <c r="X26" s="168">
        <v>378</v>
      </c>
      <c r="Y26" s="168">
        <v>490</v>
      </c>
      <c r="Z26" s="168">
        <v>1176</v>
      </c>
      <c r="AA26" s="168">
        <v>1033</v>
      </c>
      <c r="AB26" s="168">
        <v>884</v>
      </c>
      <c r="AC26" s="168">
        <v>149</v>
      </c>
      <c r="AD26" s="168">
        <v>663</v>
      </c>
      <c r="AE26" s="168">
        <v>561</v>
      </c>
      <c r="AF26" s="168">
        <v>2594</v>
      </c>
      <c r="AG26" s="168">
        <v>19086</v>
      </c>
      <c r="AH26" s="168">
        <v>10020</v>
      </c>
      <c r="AI26" s="168">
        <v>5918</v>
      </c>
      <c r="AJ26" s="168">
        <v>2363</v>
      </c>
      <c r="AK26" s="168">
        <v>1739</v>
      </c>
      <c r="AL26" s="168">
        <v>1401</v>
      </c>
      <c r="AM26" s="168">
        <v>291</v>
      </c>
      <c r="AN26" s="168">
        <v>110</v>
      </c>
      <c r="AO26" s="168">
        <v>1000</v>
      </c>
      <c r="AP26" s="168">
        <v>1088</v>
      </c>
      <c r="AQ26" s="168">
        <v>475</v>
      </c>
      <c r="AR26" s="168">
        <v>6102</v>
      </c>
      <c r="AS26" s="168">
        <v>14480</v>
      </c>
      <c r="AT26" s="168">
        <v>11473</v>
      </c>
      <c r="AU26" s="168">
        <v>2735</v>
      </c>
      <c r="AV26" s="168">
        <v>2595</v>
      </c>
      <c r="AW26" s="168">
        <v>6143</v>
      </c>
      <c r="AX26" s="168">
        <v>3007</v>
      </c>
      <c r="AY26" s="168">
        <v>2153</v>
      </c>
      <c r="AZ26" s="168">
        <v>854</v>
      </c>
      <c r="BA26" s="168">
        <v>8175</v>
      </c>
      <c r="BB26" s="168">
        <v>33566</v>
      </c>
      <c r="BC26" s="168">
        <v>9066</v>
      </c>
      <c r="BD26" s="168">
        <v>36160</v>
      </c>
      <c r="BE26" s="168">
        <v>1779</v>
      </c>
    </row>
    <row r="27" spans="1:57" ht="20.25" customHeight="1">
      <c r="A27" s="165" t="s">
        <v>1294</v>
      </c>
      <c r="B27" s="166" t="s">
        <v>1295</v>
      </c>
      <c r="C27" s="167">
        <v>4666.6000000000004</v>
      </c>
      <c r="D27" s="167">
        <v>484.3</v>
      </c>
      <c r="E27" s="167">
        <v>9.3000000000000007</v>
      </c>
      <c r="F27" s="168">
        <v>1</v>
      </c>
      <c r="G27" s="167">
        <v>8.1999999999999993</v>
      </c>
      <c r="H27" s="167">
        <v>0.1</v>
      </c>
      <c r="I27" s="167">
        <v>358.8</v>
      </c>
      <c r="J27" s="167">
        <v>131.69999999999999</v>
      </c>
      <c r="K27" s="167">
        <v>27.2</v>
      </c>
      <c r="L27" s="168">
        <v>28</v>
      </c>
      <c r="M27" s="167">
        <v>7.9</v>
      </c>
      <c r="N27" s="167">
        <v>20.100000000000001</v>
      </c>
      <c r="O27" s="167">
        <v>57.2</v>
      </c>
      <c r="P27" s="167">
        <v>3.8</v>
      </c>
      <c r="Q27" s="167">
        <v>23.5</v>
      </c>
      <c r="R27" s="167">
        <v>13.3</v>
      </c>
      <c r="S27" s="167">
        <v>16.600000000000001</v>
      </c>
      <c r="T27" s="167">
        <v>45.1</v>
      </c>
      <c r="U27" s="167">
        <v>10.9</v>
      </c>
      <c r="V27" s="167">
        <v>34.200000000000003</v>
      </c>
      <c r="W27" s="168">
        <v>12</v>
      </c>
      <c r="X27" s="167">
        <v>3.9</v>
      </c>
      <c r="Y27" s="167">
        <v>8.1999999999999993</v>
      </c>
      <c r="Z27" s="167">
        <v>11.4</v>
      </c>
      <c r="AA27" s="167">
        <v>6.7</v>
      </c>
      <c r="AB27" s="167">
        <v>1.8</v>
      </c>
      <c r="AC27" s="167">
        <v>4.9000000000000004</v>
      </c>
      <c r="AD27" s="167">
        <v>39.5</v>
      </c>
      <c r="AE27" s="168">
        <v>57</v>
      </c>
      <c r="AF27" s="167">
        <v>188.6</v>
      </c>
      <c r="AG27" s="167">
        <v>2295.1999999999998</v>
      </c>
      <c r="AH27" s="167">
        <v>1685.1</v>
      </c>
      <c r="AI27" s="167">
        <v>837.4</v>
      </c>
      <c r="AJ27" s="167">
        <v>254.9</v>
      </c>
      <c r="AK27" s="167">
        <v>592.79999999999995</v>
      </c>
      <c r="AL27" s="167">
        <v>103.8</v>
      </c>
      <c r="AM27" s="167">
        <v>34.5</v>
      </c>
      <c r="AN27" s="167">
        <v>30.6</v>
      </c>
      <c r="AO27" s="167">
        <v>38.700000000000003</v>
      </c>
      <c r="AP27" s="167">
        <v>81.2</v>
      </c>
      <c r="AQ27" s="167">
        <v>21.8</v>
      </c>
      <c r="AR27" s="167">
        <v>403.3</v>
      </c>
      <c r="AS27" s="167">
        <v>1273.4000000000001</v>
      </c>
      <c r="AT27" s="167">
        <v>1040.9000000000001</v>
      </c>
      <c r="AU27" s="167">
        <v>398.4</v>
      </c>
      <c r="AV27" s="167">
        <v>367.2</v>
      </c>
      <c r="AW27" s="167">
        <v>275.39999999999998</v>
      </c>
      <c r="AX27" s="167">
        <v>232.5</v>
      </c>
      <c r="AY27" s="167">
        <v>201.9</v>
      </c>
      <c r="AZ27" s="167">
        <v>30.5</v>
      </c>
      <c r="BA27" s="167">
        <v>425.1</v>
      </c>
      <c r="BB27" s="167">
        <v>3568.6</v>
      </c>
      <c r="BC27" s="167">
        <v>610.20000000000005</v>
      </c>
      <c r="BD27" s="167">
        <v>3757.2</v>
      </c>
      <c r="BE27" s="167">
        <v>107.7</v>
      </c>
    </row>
    <row r="28" spans="1:57" ht="20.25" customHeight="1">
      <c r="A28" s="165" t="s">
        <v>1296</v>
      </c>
      <c r="B28" s="166" t="s">
        <v>1140</v>
      </c>
      <c r="C28" s="167">
        <v>4662.8</v>
      </c>
      <c r="D28" s="167">
        <v>189.9</v>
      </c>
      <c r="E28" s="167">
        <v>4.8</v>
      </c>
      <c r="F28" s="167">
        <v>0.2</v>
      </c>
      <c r="G28" s="167">
        <v>3.8</v>
      </c>
      <c r="H28" s="167">
        <v>0.8</v>
      </c>
      <c r="I28" s="167">
        <v>860.6</v>
      </c>
      <c r="J28" s="167">
        <v>125.4</v>
      </c>
      <c r="K28" s="167">
        <v>42.7</v>
      </c>
      <c r="L28" s="167">
        <v>52.6</v>
      </c>
      <c r="M28" s="167">
        <v>16.7</v>
      </c>
      <c r="N28" s="167">
        <v>35.9</v>
      </c>
      <c r="O28" s="167">
        <v>133.6</v>
      </c>
      <c r="P28" s="167">
        <v>6.6</v>
      </c>
      <c r="Q28" s="168">
        <v>47</v>
      </c>
      <c r="R28" s="168">
        <v>54</v>
      </c>
      <c r="S28" s="168">
        <v>26</v>
      </c>
      <c r="T28" s="167">
        <v>101.7</v>
      </c>
      <c r="U28" s="167">
        <v>18.3</v>
      </c>
      <c r="V28" s="167">
        <v>83.4</v>
      </c>
      <c r="W28" s="167">
        <v>129.30000000000001</v>
      </c>
      <c r="X28" s="167">
        <v>73.2</v>
      </c>
      <c r="Y28" s="167">
        <v>56.1</v>
      </c>
      <c r="Z28" s="167">
        <v>66.2</v>
      </c>
      <c r="AA28" s="167">
        <v>124.3</v>
      </c>
      <c r="AB28" s="167">
        <v>112.3</v>
      </c>
      <c r="AC28" s="168">
        <v>12</v>
      </c>
      <c r="AD28" s="167">
        <v>84.9</v>
      </c>
      <c r="AE28" s="167">
        <v>77.599999999999994</v>
      </c>
      <c r="AF28" s="167">
        <v>374.4</v>
      </c>
      <c r="AG28" s="167">
        <v>1957.2</v>
      </c>
      <c r="AH28" s="167">
        <v>1085.9000000000001</v>
      </c>
      <c r="AI28" s="167">
        <v>659.8</v>
      </c>
      <c r="AJ28" s="167">
        <v>256.7</v>
      </c>
      <c r="AK28" s="167">
        <v>169.4</v>
      </c>
      <c r="AL28" s="167">
        <v>163.80000000000001</v>
      </c>
      <c r="AM28" s="167">
        <v>32.299999999999997</v>
      </c>
      <c r="AN28" s="167">
        <v>17.3</v>
      </c>
      <c r="AO28" s="167">
        <v>114.2</v>
      </c>
      <c r="AP28" s="167">
        <v>87.4</v>
      </c>
      <c r="AQ28" s="167">
        <v>80.400000000000006</v>
      </c>
      <c r="AR28" s="167">
        <v>539.70000000000005</v>
      </c>
      <c r="AS28" s="167">
        <v>1198.4000000000001</v>
      </c>
      <c r="AT28" s="167">
        <v>975.2</v>
      </c>
      <c r="AU28" s="168">
        <v>370</v>
      </c>
      <c r="AV28" s="167">
        <v>281.3</v>
      </c>
      <c r="AW28" s="167">
        <v>323.89999999999998</v>
      </c>
      <c r="AX28" s="167">
        <v>223.3</v>
      </c>
      <c r="AY28" s="167">
        <v>215.4</v>
      </c>
      <c r="AZ28" s="167">
        <v>7.9</v>
      </c>
      <c r="BA28" s="167">
        <v>942.9</v>
      </c>
      <c r="BB28" s="167">
        <v>3155.6</v>
      </c>
      <c r="BC28" s="167">
        <v>871.3</v>
      </c>
      <c r="BD28" s="168">
        <v>3530</v>
      </c>
      <c r="BE28" s="168">
        <v>237</v>
      </c>
    </row>
    <row r="29" spans="1:57" ht="20.25" customHeight="1">
      <c r="A29" s="165" t="s">
        <v>1297</v>
      </c>
      <c r="B29" s="166" t="s">
        <v>1298</v>
      </c>
      <c r="C29" s="167">
        <v>192.6</v>
      </c>
      <c r="D29" s="167">
        <v>6.9</v>
      </c>
      <c r="E29" s="167">
        <v>0.1</v>
      </c>
      <c r="F29" s="168">
        <v>0</v>
      </c>
      <c r="G29" s="167">
        <v>0.1</v>
      </c>
      <c r="H29" s="168">
        <v>0</v>
      </c>
      <c r="I29" s="167">
        <v>20.6</v>
      </c>
      <c r="J29" s="167">
        <v>9.6999999999999993</v>
      </c>
      <c r="K29" s="167">
        <v>0.3</v>
      </c>
      <c r="L29" s="167">
        <v>0.7</v>
      </c>
      <c r="M29" s="167">
        <v>0.2</v>
      </c>
      <c r="N29" s="167">
        <v>0.5</v>
      </c>
      <c r="O29" s="167">
        <v>2.2000000000000002</v>
      </c>
      <c r="P29" s="168">
        <v>0</v>
      </c>
      <c r="Q29" s="168">
        <v>1</v>
      </c>
      <c r="R29" s="167">
        <v>0.3</v>
      </c>
      <c r="S29" s="167">
        <v>0.9</v>
      </c>
      <c r="T29" s="167">
        <v>3.6</v>
      </c>
      <c r="U29" s="167">
        <v>1.8</v>
      </c>
      <c r="V29" s="167">
        <v>1.8</v>
      </c>
      <c r="W29" s="167">
        <v>0.4</v>
      </c>
      <c r="X29" s="167">
        <v>0.2</v>
      </c>
      <c r="Y29" s="167">
        <v>0.2</v>
      </c>
      <c r="Z29" s="167">
        <v>1.3</v>
      </c>
      <c r="AA29" s="167">
        <v>0.1</v>
      </c>
      <c r="AB29" s="168">
        <v>0</v>
      </c>
      <c r="AC29" s="167">
        <v>0.1</v>
      </c>
      <c r="AD29" s="167">
        <v>2.2999999999999998</v>
      </c>
      <c r="AE29" s="167">
        <v>2.7</v>
      </c>
      <c r="AF29" s="167">
        <v>13.9</v>
      </c>
      <c r="AG29" s="167">
        <v>77.5</v>
      </c>
      <c r="AH29" s="167">
        <v>46.1</v>
      </c>
      <c r="AI29" s="167">
        <v>24.2</v>
      </c>
      <c r="AJ29" s="167">
        <v>10.8</v>
      </c>
      <c r="AK29" s="167">
        <v>11.1</v>
      </c>
      <c r="AL29" s="168">
        <v>8</v>
      </c>
      <c r="AM29" s="168">
        <v>2</v>
      </c>
      <c r="AN29" s="167">
        <v>1.2</v>
      </c>
      <c r="AO29" s="167">
        <v>4.8</v>
      </c>
      <c r="AP29" s="167">
        <v>5.3</v>
      </c>
      <c r="AQ29" s="167">
        <v>1.6</v>
      </c>
      <c r="AR29" s="167">
        <v>16.5</v>
      </c>
      <c r="AS29" s="167">
        <v>70.900000000000006</v>
      </c>
      <c r="AT29" s="167">
        <v>60.8</v>
      </c>
      <c r="AU29" s="167">
        <v>13.2</v>
      </c>
      <c r="AV29" s="167">
        <v>22.1</v>
      </c>
      <c r="AW29" s="167">
        <v>25.5</v>
      </c>
      <c r="AX29" s="167">
        <v>10.1</v>
      </c>
      <c r="AY29" s="167">
        <v>10.1</v>
      </c>
      <c r="AZ29" s="168">
        <v>0</v>
      </c>
      <c r="BA29" s="167">
        <v>23.4</v>
      </c>
      <c r="BB29" s="167">
        <v>148.4</v>
      </c>
      <c r="BC29" s="167">
        <v>31.4</v>
      </c>
      <c r="BD29" s="167">
        <v>162.30000000000001</v>
      </c>
      <c r="BE29" s="167">
        <v>8.1999999999999993</v>
      </c>
    </row>
    <row r="30" spans="1:57" ht="20.25" customHeight="1">
      <c r="A30" s="165" t="s">
        <v>1299</v>
      </c>
      <c r="B30" s="166" t="s">
        <v>1300</v>
      </c>
      <c r="C30" s="167">
        <v>2252.6</v>
      </c>
      <c r="D30" s="167">
        <v>102.4</v>
      </c>
      <c r="E30" s="167">
        <v>5.9</v>
      </c>
      <c r="F30" s="167">
        <v>0.1</v>
      </c>
      <c r="G30" s="167">
        <v>5.7</v>
      </c>
      <c r="H30" s="167">
        <v>0.1</v>
      </c>
      <c r="I30" s="167">
        <v>261.7</v>
      </c>
      <c r="J30" s="167">
        <v>55.1</v>
      </c>
      <c r="K30" s="167">
        <v>3.8</v>
      </c>
      <c r="L30" s="167">
        <v>12.1</v>
      </c>
      <c r="M30" s="167">
        <v>2.9</v>
      </c>
      <c r="N30" s="167">
        <v>9.1999999999999993</v>
      </c>
      <c r="O30" s="168">
        <v>69</v>
      </c>
      <c r="P30" s="167">
        <v>2.1</v>
      </c>
      <c r="Q30" s="167">
        <v>53.5</v>
      </c>
      <c r="R30" s="167">
        <v>6.6</v>
      </c>
      <c r="S30" s="167">
        <v>6.9</v>
      </c>
      <c r="T30" s="167">
        <v>19.2</v>
      </c>
      <c r="U30" s="167">
        <v>4.5</v>
      </c>
      <c r="V30" s="167">
        <v>14.7</v>
      </c>
      <c r="W30" s="167">
        <v>27.2</v>
      </c>
      <c r="X30" s="167">
        <v>24.5</v>
      </c>
      <c r="Y30" s="167">
        <v>2.7</v>
      </c>
      <c r="Z30" s="167">
        <v>9.4</v>
      </c>
      <c r="AA30" s="167">
        <v>6.3</v>
      </c>
      <c r="AB30" s="167">
        <v>4.8</v>
      </c>
      <c r="AC30" s="167">
        <v>1.5</v>
      </c>
      <c r="AD30" s="167">
        <v>59.6</v>
      </c>
      <c r="AE30" s="167">
        <v>25.2</v>
      </c>
      <c r="AF30" s="167">
        <v>135.6</v>
      </c>
      <c r="AG30" s="167">
        <v>1029.5999999999999</v>
      </c>
      <c r="AH30" s="167">
        <v>535.79999999999995</v>
      </c>
      <c r="AI30" s="167">
        <v>299.8</v>
      </c>
      <c r="AJ30" s="167">
        <v>100.4</v>
      </c>
      <c r="AK30" s="167">
        <v>135.6</v>
      </c>
      <c r="AL30" s="167">
        <v>132.30000000000001</v>
      </c>
      <c r="AM30" s="167">
        <v>16.399999999999999</v>
      </c>
      <c r="AN30" s="167">
        <v>21.6</v>
      </c>
      <c r="AO30" s="167">
        <v>94.3</v>
      </c>
      <c r="AP30" s="167">
        <v>111.7</v>
      </c>
      <c r="AQ30" s="167">
        <v>13.1</v>
      </c>
      <c r="AR30" s="167">
        <v>236.8</v>
      </c>
      <c r="AS30" s="167">
        <v>692.2</v>
      </c>
      <c r="AT30" s="167">
        <v>592.20000000000005</v>
      </c>
      <c r="AU30" s="167">
        <v>118.3</v>
      </c>
      <c r="AV30" s="167">
        <v>186.5</v>
      </c>
      <c r="AW30" s="167">
        <v>287.39999999999998</v>
      </c>
      <c r="AX30" s="168">
        <v>100</v>
      </c>
      <c r="AY30" s="167">
        <v>94.8</v>
      </c>
      <c r="AZ30" s="167">
        <v>5.2</v>
      </c>
      <c r="BA30" s="167">
        <v>292.8</v>
      </c>
      <c r="BB30" s="167">
        <v>1721.8</v>
      </c>
      <c r="BC30" s="167">
        <v>493.9</v>
      </c>
      <c r="BD30" s="167">
        <v>1857.4</v>
      </c>
      <c r="BE30" s="167">
        <v>156.80000000000001</v>
      </c>
    </row>
    <row r="31" spans="1:57" ht="20.25" customHeight="1">
      <c r="A31" s="165" t="s">
        <v>1301</v>
      </c>
      <c r="B31" s="166" t="s">
        <v>1139</v>
      </c>
      <c r="C31" s="168">
        <v>4182</v>
      </c>
      <c r="D31" s="168">
        <v>71</v>
      </c>
      <c r="E31" s="168">
        <v>4</v>
      </c>
      <c r="F31" s="167">
        <v>0.3</v>
      </c>
      <c r="G31" s="167">
        <v>3.6</v>
      </c>
      <c r="H31" s="167">
        <v>0.1</v>
      </c>
      <c r="I31" s="167">
        <v>382.9</v>
      </c>
      <c r="J31" s="167">
        <v>68.900000000000006</v>
      </c>
      <c r="K31" s="167">
        <v>12.9</v>
      </c>
      <c r="L31" s="167">
        <v>18.5</v>
      </c>
      <c r="M31" s="167">
        <v>2.7</v>
      </c>
      <c r="N31" s="167">
        <v>15.8</v>
      </c>
      <c r="O31" s="167">
        <v>67.8</v>
      </c>
      <c r="P31" s="168">
        <v>0</v>
      </c>
      <c r="Q31" s="167">
        <v>35.200000000000003</v>
      </c>
      <c r="R31" s="167">
        <v>22.8</v>
      </c>
      <c r="S31" s="167">
        <v>9.9</v>
      </c>
      <c r="T31" s="167">
        <v>59.3</v>
      </c>
      <c r="U31" s="167">
        <v>41.5</v>
      </c>
      <c r="V31" s="167">
        <v>17.8</v>
      </c>
      <c r="W31" s="168">
        <v>79</v>
      </c>
      <c r="X31" s="167">
        <v>71.2</v>
      </c>
      <c r="Y31" s="167">
        <v>7.8</v>
      </c>
      <c r="Z31" s="167">
        <v>14.6</v>
      </c>
      <c r="AA31" s="167">
        <v>22.5</v>
      </c>
      <c r="AB31" s="167">
        <v>3.2</v>
      </c>
      <c r="AC31" s="167">
        <v>19.3</v>
      </c>
      <c r="AD31" s="167">
        <v>39.4</v>
      </c>
      <c r="AE31" s="168">
        <v>34</v>
      </c>
      <c r="AF31" s="167">
        <v>294.39999999999998</v>
      </c>
      <c r="AG31" s="167">
        <v>1674.5</v>
      </c>
      <c r="AH31" s="167">
        <v>766.3</v>
      </c>
      <c r="AI31" s="167">
        <v>446.5</v>
      </c>
      <c r="AJ31" s="167">
        <v>173.7</v>
      </c>
      <c r="AK31" s="167">
        <v>146.1</v>
      </c>
      <c r="AL31" s="167">
        <v>241.2</v>
      </c>
      <c r="AM31" s="167">
        <v>28.1</v>
      </c>
      <c r="AN31" s="167">
        <v>28.6</v>
      </c>
      <c r="AO31" s="167">
        <v>184.5</v>
      </c>
      <c r="AP31" s="167">
        <v>130.4</v>
      </c>
      <c r="AQ31" s="167">
        <v>37.299999999999997</v>
      </c>
      <c r="AR31" s="167">
        <v>499.4</v>
      </c>
      <c r="AS31" s="167">
        <v>1721.4</v>
      </c>
      <c r="AT31" s="167">
        <v>1403.1</v>
      </c>
      <c r="AU31" s="167">
        <v>421.7</v>
      </c>
      <c r="AV31" s="167">
        <v>503.6</v>
      </c>
      <c r="AW31" s="167">
        <v>477.7</v>
      </c>
      <c r="AX31" s="167">
        <v>318.3</v>
      </c>
      <c r="AY31" s="167">
        <v>190.6</v>
      </c>
      <c r="AZ31" s="167">
        <v>127.7</v>
      </c>
      <c r="BA31" s="167">
        <v>420.8</v>
      </c>
      <c r="BB31" s="167">
        <v>3395.8</v>
      </c>
      <c r="BC31" s="167">
        <v>908.2</v>
      </c>
      <c r="BD31" s="167">
        <v>3690.2</v>
      </c>
      <c r="BE31" s="167">
        <v>312.39999999999998</v>
      </c>
    </row>
    <row r="32" spans="1:57" ht="20.25" customHeight="1">
      <c r="A32" s="165" t="s">
        <v>1302</v>
      </c>
      <c r="B32" s="166" t="s">
        <v>1138</v>
      </c>
      <c r="C32" s="167">
        <v>24954.1</v>
      </c>
      <c r="D32" s="167">
        <v>903.8</v>
      </c>
      <c r="E32" s="167">
        <v>21.4</v>
      </c>
      <c r="F32" s="167">
        <v>2.7</v>
      </c>
      <c r="G32" s="167">
        <v>16.8</v>
      </c>
      <c r="H32" s="167">
        <v>1.9</v>
      </c>
      <c r="I32" s="167">
        <v>3875.1</v>
      </c>
      <c r="J32" s="167">
        <v>478.9</v>
      </c>
      <c r="K32" s="167">
        <v>471.1</v>
      </c>
      <c r="L32" s="167">
        <v>254.7</v>
      </c>
      <c r="M32" s="167">
        <v>98.6</v>
      </c>
      <c r="N32" s="167">
        <v>156.1</v>
      </c>
      <c r="O32" s="167">
        <v>538.29999999999995</v>
      </c>
      <c r="P32" s="167">
        <v>15.4</v>
      </c>
      <c r="Q32" s="167">
        <v>181.5</v>
      </c>
      <c r="R32" s="168">
        <v>187</v>
      </c>
      <c r="S32" s="167">
        <v>154.4</v>
      </c>
      <c r="T32" s="167">
        <v>704.3</v>
      </c>
      <c r="U32" s="167">
        <v>123.7</v>
      </c>
      <c r="V32" s="167">
        <v>580.6</v>
      </c>
      <c r="W32" s="167">
        <v>261.5</v>
      </c>
      <c r="X32" s="167">
        <v>102.6</v>
      </c>
      <c r="Y32" s="167">
        <v>158.9</v>
      </c>
      <c r="Z32" s="167">
        <v>475.9</v>
      </c>
      <c r="AA32" s="168">
        <v>270</v>
      </c>
      <c r="AB32" s="167">
        <v>173.9</v>
      </c>
      <c r="AC32" s="167">
        <v>96.1</v>
      </c>
      <c r="AD32" s="167">
        <v>420.4</v>
      </c>
      <c r="AE32" s="167">
        <v>311.2</v>
      </c>
      <c r="AF32" s="167">
        <v>1558.3</v>
      </c>
      <c r="AG32" s="167">
        <v>10920.5</v>
      </c>
      <c r="AH32" s="167">
        <v>6302.2</v>
      </c>
      <c r="AI32" s="167">
        <v>3623.7</v>
      </c>
      <c r="AJ32" s="167">
        <v>1180.2</v>
      </c>
      <c r="AK32" s="167">
        <v>1498.3</v>
      </c>
      <c r="AL32" s="167">
        <v>632.9</v>
      </c>
      <c r="AM32" s="167">
        <v>92.7</v>
      </c>
      <c r="AN32" s="167">
        <v>83.5</v>
      </c>
      <c r="AO32" s="167">
        <v>456.7</v>
      </c>
      <c r="AP32" s="167">
        <v>629.9</v>
      </c>
      <c r="AQ32" s="167">
        <v>181.2</v>
      </c>
      <c r="AR32" s="167">
        <v>3174.3</v>
      </c>
      <c r="AS32" s="167">
        <v>7363.8</v>
      </c>
      <c r="AT32" s="167">
        <v>4823.5</v>
      </c>
      <c r="AU32" s="167">
        <v>1193.2</v>
      </c>
      <c r="AV32" s="167">
        <v>1624.4</v>
      </c>
      <c r="AW32" s="167">
        <v>2005.9</v>
      </c>
      <c r="AX32" s="167">
        <v>2540.3000000000002</v>
      </c>
      <c r="AY32" s="167">
        <v>1044.9000000000001</v>
      </c>
      <c r="AZ32" s="167">
        <v>1495.4</v>
      </c>
      <c r="BA32" s="167">
        <v>4207.7</v>
      </c>
      <c r="BB32" s="167">
        <v>18284.3</v>
      </c>
      <c r="BC32" s="167">
        <v>4618.3</v>
      </c>
      <c r="BD32" s="167">
        <v>19842.599999999999</v>
      </c>
      <c r="BE32" s="167">
        <v>735.5</v>
      </c>
    </row>
    <row r="33" spans="1:57" ht="20.25" customHeight="1">
      <c r="A33" s="165" t="s">
        <v>1303</v>
      </c>
      <c r="B33" s="166" t="s">
        <v>1137</v>
      </c>
      <c r="C33" s="168">
        <v>68174</v>
      </c>
      <c r="D33" s="168">
        <v>2490</v>
      </c>
      <c r="E33" s="167">
        <v>35.9</v>
      </c>
      <c r="F33" s="167">
        <v>3.5</v>
      </c>
      <c r="G33" s="167">
        <v>24.2</v>
      </c>
      <c r="H33" s="167">
        <v>8.1999999999999993</v>
      </c>
      <c r="I33" s="168">
        <v>10521</v>
      </c>
      <c r="J33" s="168">
        <v>1788</v>
      </c>
      <c r="K33" s="167">
        <v>340.9</v>
      </c>
      <c r="L33" s="167">
        <v>572.9</v>
      </c>
      <c r="M33" s="167">
        <v>119.1</v>
      </c>
      <c r="N33" s="167">
        <v>453.8</v>
      </c>
      <c r="O33" s="167">
        <v>1570.8</v>
      </c>
      <c r="P33" s="168">
        <v>38</v>
      </c>
      <c r="Q33" s="167">
        <v>598.9</v>
      </c>
      <c r="R33" s="167">
        <v>585.9</v>
      </c>
      <c r="S33" s="168">
        <v>348</v>
      </c>
      <c r="T33" s="168">
        <v>1258</v>
      </c>
      <c r="U33" s="168">
        <v>434</v>
      </c>
      <c r="V33" s="168">
        <v>824</v>
      </c>
      <c r="W33" s="168">
        <v>1160</v>
      </c>
      <c r="X33" s="168">
        <v>584</v>
      </c>
      <c r="Y33" s="168">
        <v>576</v>
      </c>
      <c r="Z33" s="168">
        <v>1659</v>
      </c>
      <c r="AA33" s="168">
        <v>1218</v>
      </c>
      <c r="AB33" s="167">
        <v>1028.2</v>
      </c>
      <c r="AC33" s="167">
        <v>189.8</v>
      </c>
      <c r="AD33" s="167">
        <v>953.4</v>
      </c>
      <c r="AE33" s="168">
        <v>594</v>
      </c>
      <c r="AF33" s="168">
        <v>4734</v>
      </c>
      <c r="AG33" s="167">
        <v>30701.1</v>
      </c>
      <c r="AH33" s="167">
        <v>18095.099999999999</v>
      </c>
      <c r="AI33" s="168">
        <v>10358</v>
      </c>
      <c r="AJ33" s="167">
        <v>3872.1</v>
      </c>
      <c r="AK33" s="168">
        <v>3865</v>
      </c>
      <c r="AL33" s="168">
        <v>2076</v>
      </c>
      <c r="AM33" s="167">
        <v>432.9</v>
      </c>
      <c r="AN33" s="167">
        <v>232.6</v>
      </c>
      <c r="AO33" s="167">
        <v>1410.6</v>
      </c>
      <c r="AP33" s="168">
        <v>1679</v>
      </c>
      <c r="AQ33" s="168">
        <v>1283</v>
      </c>
      <c r="AR33" s="168">
        <v>7568</v>
      </c>
      <c r="AS33" s="168">
        <v>19098</v>
      </c>
      <c r="AT33" s="168">
        <v>13002</v>
      </c>
      <c r="AU33" s="168">
        <v>2017</v>
      </c>
      <c r="AV33" s="168">
        <v>2126</v>
      </c>
      <c r="AW33" s="168">
        <v>8859</v>
      </c>
      <c r="AX33" s="168">
        <v>6096</v>
      </c>
      <c r="AY33" s="168">
        <v>6096</v>
      </c>
      <c r="AZ33" s="168">
        <v>0</v>
      </c>
      <c r="BA33" s="167">
        <v>11150.9</v>
      </c>
      <c r="BB33" s="167">
        <v>49799.1</v>
      </c>
      <c r="BC33" s="168">
        <v>12606</v>
      </c>
      <c r="BD33" s="167">
        <v>54533.1</v>
      </c>
      <c r="BE33" s="168">
        <v>2660</v>
      </c>
    </row>
    <row r="34" spans="1:57" s="195" customFormat="1" ht="20.25" customHeight="1">
      <c r="A34" s="169" t="s">
        <v>1304</v>
      </c>
      <c r="B34" s="169" t="s">
        <v>1136</v>
      </c>
      <c r="C34" s="193">
        <v>26887.5</v>
      </c>
      <c r="D34" s="193">
        <v>1445.1</v>
      </c>
      <c r="E34" s="193">
        <v>12.8</v>
      </c>
      <c r="F34" s="193">
        <v>1.8</v>
      </c>
      <c r="G34" s="193">
        <v>10.6</v>
      </c>
      <c r="H34" s="193">
        <v>0.5</v>
      </c>
      <c r="I34" s="194">
        <v>4376</v>
      </c>
      <c r="J34" s="193">
        <v>388.8</v>
      </c>
      <c r="K34" s="193">
        <v>326.39999999999998</v>
      </c>
      <c r="L34" s="193">
        <v>208.8</v>
      </c>
      <c r="M34" s="193">
        <v>42.9</v>
      </c>
      <c r="N34" s="193">
        <v>165.9</v>
      </c>
      <c r="O34" s="194">
        <v>689</v>
      </c>
      <c r="P34" s="193">
        <v>13.8</v>
      </c>
      <c r="Q34" s="193">
        <v>232.8</v>
      </c>
      <c r="R34" s="193">
        <v>315.3</v>
      </c>
      <c r="S34" s="193">
        <v>127.2</v>
      </c>
      <c r="T34" s="193">
        <v>670.7</v>
      </c>
      <c r="U34" s="193">
        <v>176.2</v>
      </c>
      <c r="V34" s="193">
        <v>494.5</v>
      </c>
      <c r="W34" s="193">
        <v>786.7</v>
      </c>
      <c r="X34" s="193">
        <v>507.1</v>
      </c>
      <c r="Y34" s="193">
        <v>279.7</v>
      </c>
      <c r="Z34" s="193">
        <v>510.5</v>
      </c>
      <c r="AA34" s="194">
        <v>531</v>
      </c>
      <c r="AB34" s="193">
        <v>388.1</v>
      </c>
      <c r="AC34" s="193">
        <v>142.9</v>
      </c>
      <c r="AD34" s="194">
        <v>264</v>
      </c>
      <c r="AE34" s="193">
        <v>226.1</v>
      </c>
      <c r="AF34" s="194">
        <v>2016</v>
      </c>
      <c r="AG34" s="194">
        <v>11782</v>
      </c>
      <c r="AH34" s="193">
        <v>7129.5</v>
      </c>
      <c r="AI34" s="193">
        <v>3502.9</v>
      </c>
      <c r="AJ34" s="193">
        <v>1482.3</v>
      </c>
      <c r="AK34" s="193">
        <v>2144.3000000000002</v>
      </c>
      <c r="AL34" s="193">
        <v>846.7</v>
      </c>
      <c r="AM34" s="193">
        <v>527.20000000000005</v>
      </c>
      <c r="AN34" s="193">
        <v>67.3</v>
      </c>
      <c r="AO34" s="193">
        <v>252.2</v>
      </c>
      <c r="AP34" s="193">
        <v>778.1</v>
      </c>
      <c r="AQ34" s="193">
        <v>516.79999999999995</v>
      </c>
      <c r="AR34" s="193">
        <v>2510.9</v>
      </c>
      <c r="AS34" s="193">
        <v>7029.5</v>
      </c>
      <c r="AT34" s="193">
        <v>5245.9</v>
      </c>
      <c r="AU34" s="194">
        <v>1112</v>
      </c>
      <c r="AV34" s="193">
        <v>1797.6</v>
      </c>
      <c r="AW34" s="193">
        <v>2336.3000000000002</v>
      </c>
      <c r="AX34" s="193">
        <v>1783.6</v>
      </c>
      <c r="AY34" s="193">
        <v>1685.3</v>
      </c>
      <c r="AZ34" s="193">
        <v>98.3</v>
      </c>
      <c r="BA34" s="193">
        <v>4614.8999999999996</v>
      </c>
      <c r="BB34" s="193">
        <v>18811.5</v>
      </c>
      <c r="BC34" s="193">
        <v>4652.5</v>
      </c>
      <c r="BD34" s="193">
        <v>20827.5</v>
      </c>
      <c r="BE34" s="193">
        <v>1353.8</v>
      </c>
    </row>
    <row r="35" spans="1:57" ht="20.25" customHeight="1">
      <c r="A35" s="165" t="s">
        <v>1305</v>
      </c>
      <c r="B35" s="166" t="s">
        <v>1135</v>
      </c>
      <c r="C35" s="167">
        <v>877.1</v>
      </c>
      <c r="D35" s="167">
        <v>65.900000000000006</v>
      </c>
      <c r="E35" s="167">
        <v>2.5</v>
      </c>
      <c r="F35" s="168">
        <v>0</v>
      </c>
      <c r="G35" s="167">
        <v>2.5</v>
      </c>
      <c r="H35" s="168">
        <v>0</v>
      </c>
      <c r="I35" s="167">
        <v>116.8</v>
      </c>
      <c r="J35" s="167">
        <v>25.3</v>
      </c>
      <c r="K35" s="167">
        <v>10.1</v>
      </c>
      <c r="L35" s="167">
        <v>27.2</v>
      </c>
      <c r="M35" s="167">
        <v>22.2</v>
      </c>
      <c r="N35" s="168">
        <v>5</v>
      </c>
      <c r="O35" s="168">
        <v>15</v>
      </c>
      <c r="P35" s="168">
        <v>0</v>
      </c>
      <c r="Q35" s="167">
        <v>5.9</v>
      </c>
      <c r="R35" s="167">
        <v>3.1</v>
      </c>
      <c r="S35" s="168">
        <v>6</v>
      </c>
      <c r="T35" s="167">
        <v>12.4</v>
      </c>
      <c r="U35" s="167">
        <v>0.8</v>
      </c>
      <c r="V35" s="167">
        <v>11.7</v>
      </c>
      <c r="W35" s="167">
        <v>6.2</v>
      </c>
      <c r="X35" s="167">
        <v>2.4</v>
      </c>
      <c r="Y35" s="167">
        <v>3.8</v>
      </c>
      <c r="Z35" s="168">
        <v>4</v>
      </c>
      <c r="AA35" s="167">
        <v>4.2</v>
      </c>
      <c r="AB35" s="167">
        <v>2.2999999999999998</v>
      </c>
      <c r="AC35" s="167">
        <v>1.8</v>
      </c>
      <c r="AD35" s="167">
        <v>12.5</v>
      </c>
      <c r="AE35" s="167">
        <v>18.100000000000001</v>
      </c>
      <c r="AF35" s="168">
        <v>68</v>
      </c>
      <c r="AG35" s="167">
        <v>381.6</v>
      </c>
      <c r="AH35" s="168">
        <v>231</v>
      </c>
      <c r="AI35" s="167">
        <v>141.80000000000001</v>
      </c>
      <c r="AJ35" s="167">
        <v>63.3</v>
      </c>
      <c r="AK35" s="167">
        <v>25.9</v>
      </c>
      <c r="AL35" s="167">
        <v>36.799999999999997</v>
      </c>
      <c r="AM35" s="167">
        <v>4.4000000000000004</v>
      </c>
      <c r="AN35" s="167">
        <v>6.1</v>
      </c>
      <c r="AO35" s="167">
        <v>26.3</v>
      </c>
      <c r="AP35" s="167">
        <v>15.1</v>
      </c>
      <c r="AQ35" s="167">
        <v>21.6</v>
      </c>
      <c r="AR35" s="167">
        <v>77.2</v>
      </c>
      <c r="AS35" s="167">
        <v>224.1</v>
      </c>
      <c r="AT35" s="168">
        <v>186</v>
      </c>
      <c r="AU35" s="167">
        <v>54.2</v>
      </c>
      <c r="AV35" s="167">
        <v>80.5</v>
      </c>
      <c r="AW35" s="167">
        <v>51.3</v>
      </c>
      <c r="AX35" s="167">
        <v>38.1</v>
      </c>
      <c r="AY35" s="167">
        <v>36.5</v>
      </c>
      <c r="AZ35" s="167">
        <v>1.7</v>
      </c>
      <c r="BA35" s="167">
        <v>137.5</v>
      </c>
      <c r="BB35" s="167">
        <v>605.70000000000005</v>
      </c>
      <c r="BC35" s="167">
        <v>150.6</v>
      </c>
      <c r="BD35" s="167">
        <v>673.7</v>
      </c>
      <c r="BE35" s="167">
        <v>39.200000000000003</v>
      </c>
    </row>
    <row r="36" spans="1:57" ht="20.25" customHeight="1">
      <c r="A36" s="165" t="s">
        <v>1306</v>
      </c>
      <c r="B36" s="166" t="s">
        <v>1134</v>
      </c>
      <c r="C36" s="167">
        <v>1366.8</v>
      </c>
      <c r="D36" s="167">
        <v>78.5</v>
      </c>
      <c r="E36" s="167">
        <v>2.4</v>
      </c>
      <c r="F36" s="167">
        <v>0.1</v>
      </c>
      <c r="G36" s="167">
        <v>2.2000000000000002</v>
      </c>
      <c r="H36" s="168">
        <v>0</v>
      </c>
      <c r="I36" s="167">
        <v>217.2</v>
      </c>
      <c r="J36" s="167">
        <v>41.2</v>
      </c>
      <c r="K36" s="167">
        <v>23.9</v>
      </c>
      <c r="L36" s="167">
        <v>29.5</v>
      </c>
      <c r="M36" s="167">
        <v>22.4</v>
      </c>
      <c r="N36" s="168">
        <v>7</v>
      </c>
      <c r="O36" s="167">
        <v>28.2</v>
      </c>
      <c r="P36" s="167">
        <v>1.6</v>
      </c>
      <c r="Q36" s="167">
        <v>7.6</v>
      </c>
      <c r="R36" s="167">
        <v>10.1</v>
      </c>
      <c r="S36" s="167">
        <v>8.9</v>
      </c>
      <c r="T36" s="167">
        <v>20.2</v>
      </c>
      <c r="U36" s="167">
        <v>0.2</v>
      </c>
      <c r="V36" s="168">
        <v>20</v>
      </c>
      <c r="W36" s="167">
        <v>9.8000000000000007</v>
      </c>
      <c r="X36" s="168">
        <v>5</v>
      </c>
      <c r="Y36" s="167">
        <v>4.8</v>
      </c>
      <c r="Z36" s="167">
        <v>5.7</v>
      </c>
      <c r="AA36" s="167">
        <v>10.3</v>
      </c>
      <c r="AB36" s="167">
        <v>6.8</v>
      </c>
      <c r="AC36" s="167">
        <v>3.5</v>
      </c>
      <c r="AD36" s="167">
        <v>48.4</v>
      </c>
      <c r="AE36" s="167">
        <v>28.2</v>
      </c>
      <c r="AF36" s="167">
        <v>101.6</v>
      </c>
      <c r="AG36" s="167">
        <v>557.9</v>
      </c>
      <c r="AH36" s="168">
        <v>359</v>
      </c>
      <c r="AI36" s="167">
        <v>218.8</v>
      </c>
      <c r="AJ36" s="168">
        <v>107</v>
      </c>
      <c r="AK36" s="167">
        <v>33.200000000000003</v>
      </c>
      <c r="AL36" s="167">
        <v>39.200000000000003</v>
      </c>
      <c r="AM36" s="167">
        <v>7.7</v>
      </c>
      <c r="AN36" s="167">
        <v>4.8</v>
      </c>
      <c r="AO36" s="167">
        <v>26.8</v>
      </c>
      <c r="AP36" s="167">
        <v>25.9</v>
      </c>
      <c r="AQ36" s="167">
        <v>11.5</v>
      </c>
      <c r="AR36" s="167">
        <v>122.3</v>
      </c>
      <c r="AS36" s="167">
        <v>380.9</v>
      </c>
      <c r="AT36" s="167">
        <v>319.60000000000002</v>
      </c>
      <c r="AU36" s="167">
        <v>88.9</v>
      </c>
      <c r="AV36" s="168">
        <v>134</v>
      </c>
      <c r="AW36" s="167">
        <v>96.7</v>
      </c>
      <c r="AX36" s="167">
        <v>61.3</v>
      </c>
      <c r="AY36" s="167">
        <v>59.8</v>
      </c>
      <c r="AZ36" s="167">
        <v>1.5</v>
      </c>
      <c r="BA36" s="167">
        <v>247.8</v>
      </c>
      <c r="BB36" s="167">
        <v>938.8</v>
      </c>
      <c r="BC36" s="167">
        <v>198.9</v>
      </c>
      <c r="BD36" s="167">
        <v>1040.5</v>
      </c>
      <c r="BE36" s="167">
        <v>44.3</v>
      </c>
    </row>
    <row r="37" spans="1:57" ht="20.25" customHeight="1">
      <c r="A37" s="165" t="s">
        <v>1307</v>
      </c>
      <c r="B37" s="166" t="s">
        <v>1133</v>
      </c>
      <c r="C37" s="167">
        <v>471.4</v>
      </c>
      <c r="D37" s="167">
        <v>3.7</v>
      </c>
      <c r="E37" s="167">
        <v>0.2</v>
      </c>
      <c r="F37" s="168">
        <v>0</v>
      </c>
      <c r="G37" s="167">
        <v>0.2</v>
      </c>
      <c r="H37" s="168">
        <v>0</v>
      </c>
      <c r="I37" s="167">
        <v>33.200000000000003</v>
      </c>
      <c r="J37" s="167">
        <v>4.4000000000000004</v>
      </c>
      <c r="K37" s="167">
        <v>1.5</v>
      </c>
      <c r="L37" s="167">
        <v>2.2999999999999998</v>
      </c>
      <c r="M37" s="167">
        <v>0.4</v>
      </c>
      <c r="N37" s="167">
        <v>1.9</v>
      </c>
      <c r="O37" s="167">
        <v>9.4</v>
      </c>
      <c r="P37" s="168">
        <v>0</v>
      </c>
      <c r="Q37" s="167">
        <v>1.4</v>
      </c>
      <c r="R37" s="167">
        <v>5.9</v>
      </c>
      <c r="S37" s="167">
        <v>2.1</v>
      </c>
      <c r="T37" s="167">
        <v>9.1</v>
      </c>
      <c r="U37" s="167">
        <v>5.8</v>
      </c>
      <c r="V37" s="167">
        <v>3.2</v>
      </c>
      <c r="W37" s="167">
        <v>1.2</v>
      </c>
      <c r="X37" s="167">
        <v>0.6</v>
      </c>
      <c r="Y37" s="167">
        <v>0.6</v>
      </c>
      <c r="Z37" s="167">
        <v>3.6</v>
      </c>
      <c r="AA37" s="167">
        <v>0.4</v>
      </c>
      <c r="AB37" s="167">
        <v>0.4</v>
      </c>
      <c r="AC37" s="168">
        <v>0</v>
      </c>
      <c r="AD37" s="167">
        <v>1.3</v>
      </c>
      <c r="AE37" s="167">
        <v>4.8</v>
      </c>
      <c r="AF37" s="167">
        <v>49.4</v>
      </c>
      <c r="AG37" s="167">
        <v>261.39999999999998</v>
      </c>
      <c r="AH37" s="168">
        <v>104</v>
      </c>
      <c r="AI37" s="167">
        <v>53.7</v>
      </c>
      <c r="AJ37" s="167">
        <v>28.5</v>
      </c>
      <c r="AK37" s="167">
        <v>21.8</v>
      </c>
      <c r="AL37" s="167">
        <v>20.399999999999999</v>
      </c>
      <c r="AM37" s="168">
        <v>4</v>
      </c>
      <c r="AN37" s="167">
        <v>3.8</v>
      </c>
      <c r="AO37" s="167">
        <v>12.5</v>
      </c>
      <c r="AP37" s="167">
        <v>49.9</v>
      </c>
      <c r="AQ37" s="167">
        <v>5.3</v>
      </c>
      <c r="AR37" s="167">
        <v>81.8</v>
      </c>
      <c r="AS37" s="167">
        <v>118.7</v>
      </c>
      <c r="AT37" s="167">
        <v>99.9</v>
      </c>
      <c r="AU37" s="167">
        <v>27.6</v>
      </c>
      <c r="AV37" s="167">
        <v>21.9</v>
      </c>
      <c r="AW37" s="167">
        <v>50.4</v>
      </c>
      <c r="AX37" s="167">
        <v>18.8</v>
      </c>
      <c r="AY37" s="167">
        <v>13.3</v>
      </c>
      <c r="AZ37" s="167">
        <v>5.5</v>
      </c>
      <c r="BA37" s="167">
        <v>38.200000000000003</v>
      </c>
      <c r="BB37" s="167">
        <v>380.1</v>
      </c>
      <c r="BC37" s="167">
        <v>157.4</v>
      </c>
      <c r="BD37" s="167">
        <v>429.5</v>
      </c>
      <c r="BE37" s="168">
        <v>21</v>
      </c>
    </row>
    <row r="38" spans="1:57" ht="20.25" customHeight="1">
      <c r="A38" s="165" t="s">
        <v>1308</v>
      </c>
      <c r="B38" s="166" t="s">
        <v>1132</v>
      </c>
      <c r="C38" s="167">
        <v>37465.5</v>
      </c>
      <c r="D38" s="167">
        <v>2885.9</v>
      </c>
      <c r="E38" s="168">
        <v>309</v>
      </c>
      <c r="F38" s="167">
        <v>34.6</v>
      </c>
      <c r="G38" s="167">
        <v>159.19999999999999</v>
      </c>
      <c r="H38" s="167">
        <v>115.1</v>
      </c>
      <c r="I38" s="167">
        <v>6368.6</v>
      </c>
      <c r="J38" s="168">
        <v>1190</v>
      </c>
      <c r="K38" s="167">
        <v>639.5</v>
      </c>
      <c r="L38" s="167">
        <v>289.3</v>
      </c>
      <c r="M38" s="167">
        <v>109.2</v>
      </c>
      <c r="N38" s="167">
        <v>180.2</v>
      </c>
      <c r="O38" s="167">
        <v>860.7</v>
      </c>
      <c r="P38" s="167">
        <v>24.1</v>
      </c>
      <c r="Q38" s="167">
        <v>306.3</v>
      </c>
      <c r="R38" s="167">
        <v>321.10000000000002</v>
      </c>
      <c r="S38" s="167">
        <v>209.2</v>
      </c>
      <c r="T38" s="167">
        <v>446.9</v>
      </c>
      <c r="U38" s="167">
        <v>88.6</v>
      </c>
      <c r="V38" s="167">
        <v>358.3</v>
      </c>
      <c r="W38" s="167">
        <v>1184.9000000000001</v>
      </c>
      <c r="X38" s="168">
        <v>889</v>
      </c>
      <c r="Y38" s="167">
        <v>295.89999999999998</v>
      </c>
      <c r="Z38" s="167">
        <v>323.60000000000002</v>
      </c>
      <c r="AA38" s="167">
        <v>897.1</v>
      </c>
      <c r="AB38" s="167">
        <v>794.5</v>
      </c>
      <c r="AC38" s="167">
        <v>102.6</v>
      </c>
      <c r="AD38" s="167">
        <v>536.6</v>
      </c>
      <c r="AE38" s="168">
        <v>249</v>
      </c>
      <c r="AF38" s="167">
        <v>3796.3</v>
      </c>
      <c r="AG38" s="167">
        <v>14633.6</v>
      </c>
      <c r="AH38" s="167">
        <v>8319.2000000000007</v>
      </c>
      <c r="AI38" s="168">
        <v>4938</v>
      </c>
      <c r="AJ38" s="167">
        <v>2243.9</v>
      </c>
      <c r="AK38" s="167">
        <v>1137.3</v>
      </c>
      <c r="AL38" s="167">
        <v>205.7</v>
      </c>
      <c r="AM38" s="167">
        <v>65.599999999999994</v>
      </c>
      <c r="AN38" s="167">
        <v>89.4</v>
      </c>
      <c r="AO38" s="167">
        <v>50.7</v>
      </c>
      <c r="AP38" s="168">
        <v>456</v>
      </c>
      <c r="AQ38" s="168">
        <v>447</v>
      </c>
      <c r="AR38" s="167">
        <v>5205.6000000000004</v>
      </c>
      <c r="AS38" s="167">
        <v>9223.1</v>
      </c>
      <c r="AT38" s="168">
        <v>6411</v>
      </c>
      <c r="AU38" s="167">
        <v>2852.1</v>
      </c>
      <c r="AV38" s="167">
        <v>2363.6</v>
      </c>
      <c r="AW38" s="167">
        <v>1195.4000000000001</v>
      </c>
      <c r="AX38" s="167">
        <v>2812.1</v>
      </c>
      <c r="AY38" s="167">
        <v>506.2</v>
      </c>
      <c r="AZ38" s="167">
        <v>2305.9</v>
      </c>
      <c r="BA38" s="167">
        <v>6926.6</v>
      </c>
      <c r="BB38" s="167">
        <v>23856.799999999999</v>
      </c>
      <c r="BC38" s="167">
        <v>6314.4</v>
      </c>
      <c r="BD38" s="168">
        <v>27653</v>
      </c>
      <c r="BE38" s="167">
        <v>1094.7</v>
      </c>
    </row>
    <row r="39" spans="1:57" ht="20.25" customHeight="1">
      <c r="A39" s="165" t="s">
        <v>1309</v>
      </c>
      <c r="B39" s="166" t="s">
        <v>1131</v>
      </c>
      <c r="C39" s="167">
        <v>9571.9</v>
      </c>
      <c r="D39" s="168">
        <v>204</v>
      </c>
      <c r="E39" s="167">
        <v>7.9</v>
      </c>
      <c r="F39" s="167">
        <v>2.8</v>
      </c>
      <c r="G39" s="167">
        <v>2.1</v>
      </c>
      <c r="H39" s="168">
        <v>3</v>
      </c>
      <c r="I39" s="168">
        <v>801</v>
      </c>
      <c r="J39" s="168">
        <v>141</v>
      </c>
      <c r="K39" s="168">
        <v>17</v>
      </c>
      <c r="L39" s="168">
        <v>51</v>
      </c>
      <c r="M39" s="168">
        <v>16</v>
      </c>
      <c r="N39" s="168">
        <v>35</v>
      </c>
      <c r="O39" s="168">
        <v>121</v>
      </c>
      <c r="P39" s="168">
        <v>5</v>
      </c>
      <c r="Q39" s="168">
        <v>60</v>
      </c>
      <c r="R39" s="168">
        <v>33</v>
      </c>
      <c r="S39" s="168">
        <v>23</v>
      </c>
      <c r="T39" s="168">
        <v>116</v>
      </c>
      <c r="U39" s="168">
        <v>21</v>
      </c>
      <c r="V39" s="168">
        <v>95</v>
      </c>
      <c r="W39" s="168">
        <v>48</v>
      </c>
      <c r="X39" s="168">
        <v>27</v>
      </c>
      <c r="Y39" s="168">
        <v>21</v>
      </c>
      <c r="Z39" s="168">
        <v>91</v>
      </c>
      <c r="AA39" s="168">
        <v>43</v>
      </c>
      <c r="AB39" s="168">
        <v>25</v>
      </c>
      <c r="AC39" s="168">
        <v>18</v>
      </c>
      <c r="AD39" s="168">
        <v>173</v>
      </c>
      <c r="AE39" s="168">
        <v>64</v>
      </c>
      <c r="AF39" s="168">
        <v>527</v>
      </c>
      <c r="AG39" s="168">
        <v>4948</v>
      </c>
      <c r="AH39" s="168">
        <v>2347</v>
      </c>
      <c r="AI39" s="168">
        <v>1514</v>
      </c>
      <c r="AJ39" s="168">
        <v>408</v>
      </c>
      <c r="AK39" s="168">
        <v>425</v>
      </c>
      <c r="AL39" s="168">
        <v>331</v>
      </c>
      <c r="AM39" s="168">
        <v>56</v>
      </c>
      <c r="AN39" s="168">
        <v>27</v>
      </c>
      <c r="AO39" s="168">
        <v>248</v>
      </c>
      <c r="AP39" s="168">
        <v>206</v>
      </c>
      <c r="AQ39" s="168">
        <v>75</v>
      </c>
      <c r="AR39" s="168">
        <v>1989</v>
      </c>
      <c r="AS39" s="168">
        <v>3020</v>
      </c>
      <c r="AT39" s="168">
        <v>2603</v>
      </c>
      <c r="AU39" s="168">
        <v>508</v>
      </c>
      <c r="AV39" s="168">
        <v>564</v>
      </c>
      <c r="AW39" s="168">
        <v>1531</v>
      </c>
      <c r="AX39" s="168">
        <v>417</v>
      </c>
      <c r="AY39" s="168">
        <v>387</v>
      </c>
      <c r="AZ39" s="168">
        <v>30</v>
      </c>
      <c r="BA39" s="167">
        <v>872.9</v>
      </c>
      <c r="BB39" s="168">
        <v>7968</v>
      </c>
      <c r="BC39" s="168">
        <v>2601</v>
      </c>
      <c r="BD39" s="168">
        <v>8495</v>
      </c>
      <c r="BE39" s="168">
        <v>358</v>
      </c>
    </row>
    <row r="40" spans="1:57" ht="20.25" customHeight="1">
      <c r="A40" s="165" t="s">
        <v>1310</v>
      </c>
      <c r="B40" s="166" t="s">
        <v>1130</v>
      </c>
      <c r="C40" s="167">
        <v>2690.7</v>
      </c>
      <c r="D40" s="167">
        <v>167.4</v>
      </c>
      <c r="E40" s="167">
        <v>5.6</v>
      </c>
      <c r="F40" s="168">
        <v>1</v>
      </c>
      <c r="G40" s="167">
        <v>3.1</v>
      </c>
      <c r="H40" s="167">
        <v>1.5</v>
      </c>
      <c r="I40" s="167">
        <v>258.7</v>
      </c>
      <c r="J40" s="167">
        <v>88.4</v>
      </c>
      <c r="K40" s="167">
        <v>9.3000000000000007</v>
      </c>
      <c r="L40" s="167">
        <v>31.2</v>
      </c>
      <c r="M40" s="167">
        <v>19.2</v>
      </c>
      <c r="N40" s="168">
        <v>12</v>
      </c>
      <c r="O40" s="167">
        <v>25.2</v>
      </c>
      <c r="P40" s="167">
        <v>1.2</v>
      </c>
      <c r="Q40" s="167">
        <v>8.6999999999999993</v>
      </c>
      <c r="R40" s="168">
        <v>8</v>
      </c>
      <c r="S40" s="167">
        <v>7.3</v>
      </c>
      <c r="T40" s="167">
        <v>32.9</v>
      </c>
      <c r="U40" s="168">
        <v>6</v>
      </c>
      <c r="V40" s="167">
        <v>26.9</v>
      </c>
      <c r="W40" s="167">
        <v>9.5</v>
      </c>
      <c r="X40" s="167">
        <v>4.5</v>
      </c>
      <c r="Y40" s="168">
        <v>5</v>
      </c>
      <c r="Z40" s="167">
        <v>18.399999999999999</v>
      </c>
      <c r="AA40" s="167">
        <v>11.1</v>
      </c>
      <c r="AB40" s="167">
        <v>4.4000000000000004</v>
      </c>
      <c r="AC40" s="167">
        <v>6.7</v>
      </c>
      <c r="AD40" s="167">
        <v>32.700000000000003</v>
      </c>
      <c r="AE40" s="167">
        <v>27.1</v>
      </c>
      <c r="AF40" s="167">
        <v>273.3</v>
      </c>
      <c r="AG40" s="167">
        <v>1165.3</v>
      </c>
      <c r="AH40" s="167">
        <v>647.5</v>
      </c>
      <c r="AI40" s="167">
        <v>381.4</v>
      </c>
      <c r="AJ40" s="167">
        <v>121.1</v>
      </c>
      <c r="AK40" s="168">
        <v>145</v>
      </c>
      <c r="AL40" s="167">
        <v>91.2</v>
      </c>
      <c r="AM40" s="167">
        <v>17.899999999999999</v>
      </c>
      <c r="AN40" s="167">
        <v>14.2</v>
      </c>
      <c r="AO40" s="167">
        <v>59.1</v>
      </c>
      <c r="AP40" s="167">
        <v>84.9</v>
      </c>
      <c r="AQ40" s="167">
        <v>43.2</v>
      </c>
      <c r="AR40" s="167">
        <v>298.5</v>
      </c>
      <c r="AS40" s="167">
        <v>793.3</v>
      </c>
      <c r="AT40" s="167">
        <v>665.5</v>
      </c>
      <c r="AU40" s="167">
        <v>155.1</v>
      </c>
      <c r="AV40" s="167">
        <v>216.8</v>
      </c>
      <c r="AW40" s="167">
        <v>293.60000000000002</v>
      </c>
      <c r="AX40" s="167">
        <v>127.8</v>
      </c>
      <c r="AY40" s="167">
        <v>127.8</v>
      </c>
      <c r="AZ40" s="168">
        <v>0</v>
      </c>
      <c r="BA40" s="167">
        <v>291.39999999999998</v>
      </c>
      <c r="BB40" s="167">
        <v>1958.6</v>
      </c>
      <c r="BC40" s="167">
        <v>517.79999999999995</v>
      </c>
      <c r="BD40" s="167">
        <v>2231.9</v>
      </c>
      <c r="BE40" s="167">
        <v>95.7</v>
      </c>
    </row>
    <row r="41" spans="1:57" ht="20.25" customHeight="1">
      <c r="A41" s="165" t="s">
        <v>1311</v>
      </c>
      <c r="B41" s="166" t="s">
        <v>1129</v>
      </c>
      <c r="C41" s="168">
        <v>2794</v>
      </c>
      <c r="D41" s="168">
        <v>66</v>
      </c>
      <c r="E41" s="168">
        <v>62</v>
      </c>
      <c r="F41" s="167">
        <v>24.7</v>
      </c>
      <c r="G41" s="167">
        <v>4.4000000000000004</v>
      </c>
      <c r="H41" s="167">
        <v>32.9</v>
      </c>
      <c r="I41" s="168">
        <v>216</v>
      </c>
      <c r="J41" s="168">
        <v>49</v>
      </c>
      <c r="K41" s="168">
        <v>4</v>
      </c>
      <c r="L41" s="168">
        <v>20</v>
      </c>
      <c r="M41" s="168">
        <v>13</v>
      </c>
      <c r="N41" s="168">
        <v>7</v>
      </c>
      <c r="O41" s="168">
        <v>29</v>
      </c>
      <c r="P41" s="167">
        <v>0.4</v>
      </c>
      <c r="Q41" s="168">
        <v>13</v>
      </c>
      <c r="R41" s="167">
        <v>4.5</v>
      </c>
      <c r="S41" s="167">
        <v>11.2</v>
      </c>
      <c r="T41" s="168">
        <v>33</v>
      </c>
      <c r="U41" s="168">
        <v>10</v>
      </c>
      <c r="V41" s="168">
        <v>23</v>
      </c>
      <c r="W41" s="168">
        <v>15</v>
      </c>
      <c r="X41" s="168">
        <v>8</v>
      </c>
      <c r="Y41" s="168">
        <v>7</v>
      </c>
      <c r="Z41" s="168">
        <v>18</v>
      </c>
      <c r="AA41" s="168">
        <v>20</v>
      </c>
      <c r="AB41" s="168">
        <v>3</v>
      </c>
      <c r="AC41" s="168">
        <v>17</v>
      </c>
      <c r="AD41" s="168">
        <v>28</v>
      </c>
      <c r="AE41" s="168">
        <v>33</v>
      </c>
      <c r="AF41" s="168">
        <v>245</v>
      </c>
      <c r="AG41" s="168">
        <v>1049</v>
      </c>
      <c r="AH41" s="168">
        <v>596</v>
      </c>
      <c r="AI41" s="168">
        <v>352</v>
      </c>
      <c r="AJ41" s="168">
        <v>152</v>
      </c>
      <c r="AK41" s="168">
        <v>92</v>
      </c>
      <c r="AL41" s="168">
        <v>99</v>
      </c>
      <c r="AM41" s="168">
        <v>28</v>
      </c>
      <c r="AN41" s="168">
        <v>12</v>
      </c>
      <c r="AO41" s="168">
        <v>59</v>
      </c>
      <c r="AP41" s="168">
        <v>47</v>
      </c>
      <c r="AQ41" s="168">
        <v>30</v>
      </c>
      <c r="AR41" s="168">
        <v>277</v>
      </c>
      <c r="AS41" s="168">
        <v>1123</v>
      </c>
      <c r="AT41" s="168">
        <v>1015</v>
      </c>
      <c r="AU41" s="168">
        <v>198</v>
      </c>
      <c r="AV41" s="168">
        <v>224</v>
      </c>
      <c r="AW41" s="168">
        <v>593</v>
      </c>
      <c r="AX41" s="168">
        <v>108</v>
      </c>
      <c r="AY41" s="168">
        <v>105</v>
      </c>
      <c r="AZ41" s="168">
        <v>3</v>
      </c>
      <c r="BA41" s="168">
        <v>311</v>
      </c>
      <c r="BB41" s="168">
        <v>2172</v>
      </c>
      <c r="BC41" s="168">
        <v>453</v>
      </c>
      <c r="BD41" s="168">
        <v>2417</v>
      </c>
      <c r="BE41" s="168">
        <v>107</v>
      </c>
    </row>
    <row r="42" spans="1:57" ht="20.25" customHeight="1">
      <c r="A42" s="165" t="s">
        <v>1312</v>
      </c>
      <c r="B42" s="166" t="s">
        <v>1128</v>
      </c>
      <c r="C42" s="167">
        <v>16397.2</v>
      </c>
      <c r="D42" s="167">
        <v>1553.5</v>
      </c>
      <c r="E42" s="167">
        <v>208.7</v>
      </c>
      <c r="F42" s="167">
        <v>109.6</v>
      </c>
      <c r="G42" s="167">
        <v>65.099999999999994</v>
      </c>
      <c r="H42" s="168">
        <v>34</v>
      </c>
      <c r="I42" s="167">
        <v>3258.6</v>
      </c>
      <c r="J42" s="167">
        <v>527.29999999999995</v>
      </c>
      <c r="K42" s="167">
        <v>201.1</v>
      </c>
      <c r="L42" s="167">
        <v>312.7</v>
      </c>
      <c r="M42" s="167">
        <v>168.3</v>
      </c>
      <c r="N42" s="167">
        <v>144.4</v>
      </c>
      <c r="O42" s="167">
        <v>556.29999999999995</v>
      </c>
      <c r="P42" s="167">
        <v>22.3</v>
      </c>
      <c r="Q42" s="167">
        <v>162.30000000000001</v>
      </c>
      <c r="R42" s="167">
        <v>204.8</v>
      </c>
      <c r="S42" s="167">
        <v>166.9</v>
      </c>
      <c r="T42" s="167">
        <v>431.8</v>
      </c>
      <c r="U42" s="167">
        <v>99.7</v>
      </c>
      <c r="V42" s="167">
        <v>332.1</v>
      </c>
      <c r="W42" s="167">
        <v>208.2</v>
      </c>
      <c r="X42" s="167">
        <v>72.599999999999994</v>
      </c>
      <c r="Y42" s="167">
        <v>135.6</v>
      </c>
      <c r="Z42" s="168">
        <v>148</v>
      </c>
      <c r="AA42" s="167">
        <v>368.3</v>
      </c>
      <c r="AB42" s="167">
        <v>288.2</v>
      </c>
      <c r="AC42" s="167">
        <v>80.099999999999994</v>
      </c>
      <c r="AD42" s="167">
        <v>504.9</v>
      </c>
      <c r="AE42" s="167">
        <v>362.5</v>
      </c>
      <c r="AF42" s="167">
        <v>1273.5</v>
      </c>
      <c r="AG42" s="167">
        <v>5780.5</v>
      </c>
      <c r="AH42" s="167">
        <v>3669.5</v>
      </c>
      <c r="AI42" s="167">
        <v>2222.9</v>
      </c>
      <c r="AJ42" s="167">
        <v>1091.0999999999999</v>
      </c>
      <c r="AK42" s="167">
        <v>355.5</v>
      </c>
      <c r="AL42" s="167">
        <v>456.3</v>
      </c>
      <c r="AM42" s="168">
        <v>98</v>
      </c>
      <c r="AN42" s="167">
        <v>67.599999999999994</v>
      </c>
      <c r="AO42" s="167">
        <v>290.7</v>
      </c>
      <c r="AP42" s="167">
        <v>414.2</v>
      </c>
      <c r="AQ42" s="167">
        <v>143.30000000000001</v>
      </c>
      <c r="AR42" s="167">
        <v>1097.2</v>
      </c>
      <c r="AS42" s="167">
        <v>3959.9</v>
      </c>
      <c r="AT42" s="167">
        <v>3339.2</v>
      </c>
      <c r="AU42" s="167">
        <v>1028.7</v>
      </c>
      <c r="AV42" s="167">
        <v>1307.0999999999999</v>
      </c>
      <c r="AW42" s="167">
        <v>1003.4</v>
      </c>
      <c r="AX42" s="167">
        <v>620.70000000000005</v>
      </c>
      <c r="AY42" s="167">
        <v>605.70000000000005</v>
      </c>
      <c r="AZ42" s="168">
        <v>15</v>
      </c>
      <c r="BA42" s="167">
        <v>3829.8</v>
      </c>
      <c r="BB42" s="167">
        <v>9740.4</v>
      </c>
      <c r="BC42" s="168">
        <v>2111</v>
      </c>
      <c r="BD42" s="167">
        <v>11013.9</v>
      </c>
      <c r="BE42" s="167">
        <v>528.9</v>
      </c>
    </row>
    <row r="43" spans="1:57" ht="20.25" customHeight="1">
      <c r="A43" s="165" t="s">
        <v>1313</v>
      </c>
      <c r="B43" s="166" t="s">
        <v>1127</v>
      </c>
      <c r="C43" s="167">
        <v>4864.8</v>
      </c>
      <c r="D43" s="167">
        <v>384.2</v>
      </c>
      <c r="E43" s="167">
        <v>11.5</v>
      </c>
      <c r="F43" s="168">
        <v>0</v>
      </c>
      <c r="G43" s="168">
        <v>11</v>
      </c>
      <c r="H43" s="167">
        <v>0.5</v>
      </c>
      <c r="I43" s="167">
        <v>747.1</v>
      </c>
      <c r="J43" s="168">
        <v>113</v>
      </c>
      <c r="K43" s="167">
        <v>195.4</v>
      </c>
      <c r="L43" s="167">
        <v>58.4</v>
      </c>
      <c r="M43" s="167">
        <v>32.4</v>
      </c>
      <c r="N43" s="168">
        <v>26</v>
      </c>
      <c r="O43" s="167">
        <v>93.7</v>
      </c>
      <c r="P43" s="167">
        <v>1.6</v>
      </c>
      <c r="Q43" s="167">
        <v>22.5</v>
      </c>
      <c r="R43" s="167">
        <v>26.5</v>
      </c>
      <c r="S43" s="168">
        <v>43</v>
      </c>
      <c r="T43" s="167">
        <v>98.1</v>
      </c>
      <c r="U43" s="167">
        <v>8.5</v>
      </c>
      <c r="V43" s="167">
        <v>89.6</v>
      </c>
      <c r="W43" s="167">
        <v>29.6</v>
      </c>
      <c r="X43" s="167">
        <v>10.9</v>
      </c>
      <c r="Y43" s="167">
        <v>18.7</v>
      </c>
      <c r="Z43" s="168">
        <v>25</v>
      </c>
      <c r="AA43" s="167">
        <v>52.4</v>
      </c>
      <c r="AB43" s="167">
        <v>46.4</v>
      </c>
      <c r="AC43" s="168">
        <v>6</v>
      </c>
      <c r="AD43" s="167">
        <v>81.5</v>
      </c>
      <c r="AE43" s="167">
        <v>53.6</v>
      </c>
      <c r="AF43" s="167">
        <v>323.60000000000002</v>
      </c>
      <c r="AG43" s="167">
        <v>2054.1</v>
      </c>
      <c r="AH43" s="167">
        <v>1250.5</v>
      </c>
      <c r="AI43" s="167">
        <v>725.3</v>
      </c>
      <c r="AJ43" s="167">
        <v>188.9</v>
      </c>
      <c r="AK43" s="167">
        <v>336.2</v>
      </c>
      <c r="AL43" s="167">
        <v>118.1</v>
      </c>
      <c r="AM43" s="167">
        <v>20.2</v>
      </c>
      <c r="AN43" s="167">
        <v>14.5</v>
      </c>
      <c r="AO43" s="167">
        <v>83.3</v>
      </c>
      <c r="AP43" s="167">
        <v>82.5</v>
      </c>
      <c r="AQ43" s="167">
        <v>41.7</v>
      </c>
      <c r="AR43" s="167">
        <v>561.4</v>
      </c>
      <c r="AS43" s="167">
        <v>1290.5999999999999</v>
      </c>
      <c r="AT43" s="167">
        <v>1027.0999999999999</v>
      </c>
      <c r="AU43" s="167">
        <v>294.3</v>
      </c>
      <c r="AV43" s="167">
        <v>316.7</v>
      </c>
      <c r="AW43" s="168">
        <v>416</v>
      </c>
      <c r="AX43" s="167">
        <v>263.5</v>
      </c>
      <c r="AY43" s="167">
        <v>157.9</v>
      </c>
      <c r="AZ43" s="167">
        <v>105.6</v>
      </c>
      <c r="BA43" s="167">
        <v>812.2</v>
      </c>
      <c r="BB43" s="167">
        <v>3344.7</v>
      </c>
      <c r="BC43" s="167">
        <v>803.6</v>
      </c>
      <c r="BD43" s="167">
        <v>3668.3</v>
      </c>
      <c r="BE43" s="168">
        <v>129</v>
      </c>
    </row>
    <row r="44" spans="1:57" ht="20.25" customHeight="1">
      <c r="A44" s="165" t="s">
        <v>1314</v>
      </c>
      <c r="B44" s="166" t="s">
        <v>1126</v>
      </c>
      <c r="C44" s="168">
        <v>2399</v>
      </c>
      <c r="D44" s="167">
        <v>70.400000000000006</v>
      </c>
      <c r="E44" s="167">
        <v>5.9</v>
      </c>
      <c r="F44" s="167">
        <v>2.7</v>
      </c>
      <c r="G44" s="167">
        <v>2.7</v>
      </c>
      <c r="H44" s="167">
        <v>0.6</v>
      </c>
      <c r="I44" s="167">
        <v>515.70000000000005</v>
      </c>
      <c r="J44" s="167">
        <v>47.5</v>
      </c>
      <c r="K44" s="167">
        <v>33.700000000000003</v>
      </c>
      <c r="L44" s="167">
        <v>42.2</v>
      </c>
      <c r="M44" s="167">
        <v>28.5</v>
      </c>
      <c r="N44" s="167">
        <v>13.7</v>
      </c>
      <c r="O44" s="167">
        <v>67.5</v>
      </c>
      <c r="P44" s="167">
        <v>2.5</v>
      </c>
      <c r="Q44" s="168">
        <v>10</v>
      </c>
      <c r="R44" s="167">
        <v>35.6</v>
      </c>
      <c r="S44" s="167">
        <v>19.399999999999999</v>
      </c>
      <c r="T44" s="167">
        <v>106.9</v>
      </c>
      <c r="U44" s="167">
        <v>22.7</v>
      </c>
      <c r="V44" s="167">
        <v>84.3</v>
      </c>
      <c r="W44" s="167">
        <v>46.7</v>
      </c>
      <c r="X44" s="167">
        <v>13.1</v>
      </c>
      <c r="Y44" s="167">
        <v>33.6</v>
      </c>
      <c r="Z44" s="167">
        <v>46.1</v>
      </c>
      <c r="AA44" s="167">
        <v>83.8</v>
      </c>
      <c r="AB44" s="167">
        <v>79.7</v>
      </c>
      <c r="AC44" s="167">
        <v>4.0999999999999996</v>
      </c>
      <c r="AD44" s="167">
        <v>41.3</v>
      </c>
      <c r="AE44" s="168">
        <v>42</v>
      </c>
      <c r="AF44" s="167">
        <v>181.4</v>
      </c>
      <c r="AG44" s="167">
        <v>1018.8</v>
      </c>
      <c r="AH44" s="168">
        <v>616</v>
      </c>
      <c r="AI44" s="167">
        <v>376.6</v>
      </c>
      <c r="AJ44" s="167">
        <v>144.80000000000001</v>
      </c>
      <c r="AK44" s="167">
        <v>94.6</v>
      </c>
      <c r="AL44" s="168">
        <v>75</v>
      </c>
      <c r="AM44" s="167">
        <v>12.2</v>
      </c>
      <c r="AN44" s="168">
        <v>12</v>
      </c>
      <c r="AO44" s="167">
        <v>50.8</v>
      </c>
      <c r="AP44" s="167">
        <v>45.7</v>
      </c>
      <c r="AQ44" s="167">
        <v>28.3</v>
      </c>
      <c r="AR44" s="167">
        <v>253.9</v>
      </c>
      <c r="AS44" s="167">
        <v>564.79999999999995</v>
      </c>
      <c r="AT44" s="167">
        <v>490.8</v>
      </c>
      <c r="AU44" s="167">
        <v>169.5</v>
      </c>
      <c r="AV44" s="167">
        <v>179.3</v>
      </c>
      <c r="AW44" s="167">
        <v>142.1</v>
      </c>
      <c r="AX44" s="168">
        <v>74</v>
      </c>
      <c r="AY44" s="167">
        <v>70.2</v>
      </c>
      <c r="AZ44" s="167">
        <v>3.8</v>
      </c>
      <c r="BA44" s="167">
        <v>563.70000000000005</v>
      </c>
      <c r="BB44" s="167">
        <v>1583.6</v>
      </c>
      <c r="BC44" s="167">
        <v>402.8</v>
      </c>
      <c r="BD44" s="168">
        <v>1765</v>
      </c>
      <c r="BE44" s="168">
        <v>88</v>
      </c>
    </row>
    <row r="45" spans="1:57" ht="20.25" customHeight="1">
      <c r="A45" s="165" t="s">
        <v>1315</v>
      </c>
      <c r="B45" s="166" t="s">
        <v>1125</v>
      </c>
      <c r="C45" s="167">
        <v>1039.0999999999999</v>
      </c>
      <c r="D45" s="167">
        <v>70.599999999999994</v>
      </c>
      <c r="E45" s="167">
        <v>2.4</v>
      </c>
      <c r="F45" s="167">
        <v>1.3</v>
      </c>
      <c r="G45" s="167">
        <v>1.1000000000000001</v>
      </c>
      <c r="H45" s="168">
        <v>0</v>
      </c>
      <c r="I45" s="167">
        <v>215.9</v>
      </c>
      <c r="J45" s="167">
        <v>18.8</v>
      </c>
      <c r="K45" s="167">
        <v>8.6999999999999993</v>
      </c>
      <c r="L45" s="167">
        <v>18.2</v>
      </c>
      <c r="M45" s="167">
        <v>9.4</v>
      </c>
      <c r="N45" s="167">
        <v>8.8000000000000007</v>
      </c>
      <c r="O45" s="167">
        <v>40.9</v>
      </c>
      <c r="P45" s="168">
        <v>0</v>
      </c>
      <c r="Q45" s="167">
        <v>17.7</v>
      </c>
      <c r="R45" s="167">
        <v>16.399999999999999</v>
      </c>
      <c r="S45" s="167">
        <v>6.8</v>
      </c>
      <c r="T45" s="167">
        <v>46.3</v>
      </c>
      <c r="U45" s="167">
        <v>10.199999999999999</v>
      </c>
      <c r="V45" s="167">
        <v>36.1</v>
      </c>
      <c r="W45" s="167">
        <v>26.7</v>
      </c>
      <c r="X45" s="167">
        <v>5.2</v>
      </c>
      <c r="Y45" s="167">
        <v>21.5</v>
      </c>
      <c r="Z45" s="167">
        <v>16.399999999999999</v>
      </c>
      <c r="AA45" s="167">
        <v>17.8</v>
      </c>
      <c r="AB45" s="168">
        <v>17</v>
      </c>
      <c r="AC45" s="167">
        <v>0.8</v>
      </c>
      <c r="AD45" s="167">
        <v>22.1</v>
      </c>
      <c r="AE45" s="167">
        <v>19.600000000000001</v>
      </c>
      <c r="AF45" s="167">
        <v>75.599999999999994</v>
      </c>
      <c r="AG45" s="167">
        <v>414.9</v>
      </c>
      <c r="AH45" s="167">
        <v>223.9</v>
      </c>
      <c r="AI45" s="167">
        <v>125.1</v>
      </c>
      <c r="AJ45" s="167">
        <v>57.4</v>
      </c>
      <c r="AK45" s="167">
        <v>41.4</v>
      </c>
      <c r="AL45" s="167">
        <v>33.4</v>
      </c>
      <c r="AM45" s="167">
        <v>7.6</v>
      </c>
      <c r="AN45" s="167">
        <v>4.9000000000000004</v>
      </c>
      <c r="AO45" s="167">
        <v>20.9</v>
      </c>
      <c r="AP45" s="167">
        <v>20.6</v>
      </c>
      <c r="AQ45" s="167">
        <v>7.1</v>
      </c>
      <c r="AR45" s="168">
        <v>130</v>
      </c>
      <c r="AS45" s="167">
        <v>240.1</v>
      </c>
      <c r="AT45" s="167">
        <v>198.2</v>
      </c>
      <c r="AU45" s="167">
        <v>50.8</v>
      </c>
      <c r="AV45" s="167">
        <v>77.8</v>
      </c>
      <c r="AW45" s="167">
        <v>69.599999999999994</v>
      </c>
      <c r="AX45" s="167">
        <v>41.9</v>
      </c>
      <c r="AY45" s="167">
        <v>40.299999999999997</v>
      </c>
      <c r="AZ45" s="167">
        <v>1.6</v>
      </c>
      <c r="BA45" s="167">
        <v>237.8</v>
      </c>
      <c r="BB45" s="168">
        <v>655</v>
      </c>
      <c r="BC45" s="167">
        <v>191.1</v>
      </c>
      <c r="BD45" s="167">
        <v>730.7</v>
      </c>
      <c r="BE45" s="167">
        <v>38.6</v>
      </c>
    </row>
    <row r="46" spans="1:57" ht="20.25" customHeight="1">
      <c r="A46" s="165" t="s">
        <v>1316</v>
      </c>
      <c r="B46" s="166" t="s">
        <v>1124</v>
      </c>
      <c r="C46" s="167">
        <v>19481.5</v>
      </c>
      <c r="D46" s="168">
        <v>725</v>
      </c>
      <c r="E46" s="167">
        <v>19.899999999999999</v>
      </c>
      <c r="F46" s="167">
        <v>0.9</v>
      </c>
      <c r="G46" s="167">
        <v>17.899999999999999</v>
      </c>
      <c r="H46" s="167">
        <v>1.1000000000000001</v>
      </c>
      <c r="I46" s="167">
        <v>1958.6</v>
      </c>
      <c r="J46" s="167">
        <v>437.9</v>
      </c>
      <c r="K46" s="167">
        <v>113.1</v>
      </c>
      <c r="L46" s="167">
        <v>152.80000000000001</v>
      </c>
      <c r="M46" s="167">
        <v>53.7</v>
      </c>
      <c r="N46" s="167">
        <v>99.1</v>
      </c>
      <c r="O46" s="168">
        <v>346</v>
      </c>
      <c r="P46" s="167">
        <v>8.9</v>
      </c>
      <c r="Q46" s="167">
        <v>145.9</v>
      </c>
      <c r="R46" s="167">
        <v>95.2</v>
      </c>
      <c r="S46" s="168">
        <v>96</v>
      </c>
      <c r="T46" s="167">
        <v>302.3</v>
      </c>
      <c r="U46" s="167">
        <v>57.2</v>
      </c>
      <c r="V46" s="167">
        <v>245.1</v>
      </c>
      <c r="W46" s="167">
        <v>97.2</v>
      </c>
      <c r="X46" s="168">
        <v>29</v>
      </c>
      <c r="Y46" s="167">
        <v>68.2</v>
      </c>
      <c r="Z46" s="167">
        <v>113.6</v>
      </c>
      <c r="AA46" s="167">
        <v>195.4</v>
      </c>
      <c r="AB46" s="167">
        <v>147.19999999999999</v>
      </c>
      <c r="AC46" s="167">
        <v>48.2</v>
      </c>
      <c r="AD46" s="167">
        <v>200.3</v>
      </c>
      <c r="AE46" s="167">
        <v>242.5</v>
      </c>
      <c r="AF46" s="167">
        <v>1266.7</v>
      </c>
      <c r="AG46" s="167">
        <v>9173.5</v>
      </c>
      <c r="AH46" s="167">
        <v>5552.9</v>
      </c>
      <c r="AI46" s="168">
        <v>3354</v>
      </c>
      <c r="AJ46" s="167">
        <v>966.4</v>
      </c>
      <c r="AK46" s="167">
        <v>1232.5</v>
      </c>
      <c r="AL46" s="167">
        <v>530.9</v>
      </c>
      <c r="AM46" s="167">
        <v>108.6</v>
      </c>
      <c r="AN46" s="167">
        <v>69.2</v>
      </c>
      <c r="AO46" s="167">
        <v>353.1</v>
      </c>
      <c r="AP46" s="167">
        <v>352.1</v>
      </c>
      <c r="AQ46" s="168">
        <v>231</v>
      </c>
      <c r="AR46" s="167">
        <v>2506.6</v>
      </c>
      <c r="AS46" s="167">
        <v>6095.3</v>
      </c>
      <c r="AT46" s="167">
        <v>4473.2</v>
      </c>
      <c r="AU46" s="167">
        <v>1647.8</v>
      </c>
      <c r="AV46" s="167">
        <v>1282.3</v>
      </c>
      <c r="AW46" s="167">
        <v>1543.2</v>
      </c>
      <c r="AX46" s="167">
        <v>1622.1</v>
      </c>
      <c r="AY46" s="167">
        <v>1071.2</v>
      </c>
      <c r="AZ46" s="167">
        <v>550.9</v>
      </c>
      <c r="BA46" s="168">
        <v>2221</v>
      </c>
      <c r="BB46" s="167">
        <v>15268.8</v>
      </c>
      <c r="BC46" s="167">
        <v>3620.6</v>
      </c>
      <c r="BD46" s="167">
        <v>16535.5</v>
      </c>
      <c r="BE46" s="167">
        <v>559.9</v>
      </c>
    </row>
    <row r="47" spans="1:57" ht="20.25" customHeight="1">
      <c r="A47" s="165" t="s">
        <v>1317</v>
      </c>
      <c r="B47" s="166" t="s">
        <v>1318</v>
      </c>
      <c r="C47" s="168">
        <v>5001</v>
      </c>
      <c r="D47" s="168">
        <v>102</v>
      </c>
      <c r="E47" s="168">
        <v>9</v>
      </c>
      <c r="F47" s="168">
        <v>0</v>
      </c>
      <c r="G47" s="167">
        <v>8.8000000000000007</v>
      </c>
      <c r="H47" s="167">
        <v>0.2</v>
      </c>
      <c r="I47" s="168">
        <v>553</v>
      </c>
      <c r="J47" s="168">
        <v>53</v>
      </c>
      <c r="K47" s="168">
        <v>7</v>
      </c>
      <c r="L47" s="168">
        <v>68</v>
      </c>
      <c r="M47" s="168">
        <v>33</v>
      </c>
      <c r="N47" s="168">
        <v>35</v>
      </c>
      <c r="O47" s="168">
        <v>75</v>
      </c>
      <c r="P47" s="168">
        <v>3</v>
      </c>
      <c r="Q47" s="168">
        <v>33</v>
      </c>
      <c r="R47" s="168">
        <v>21</v>
      </c>
      <c r="S47" s="168">
        <v>18</v>
      </c>
      <c r="T47" s="168">
        <v>98</v>
      </c>
      <c r="U47" s="168">
        <v>27</v>
      </c>
      <c r="V47" s="168">
        <v>71</v>
      </c>
      <c r="W47" s="168">
        <v>47</v>
      </c>
      <c r="X47" s="168">
        <v>22</v>
      </c>
      <c r="Y47" s="168">
        <v>25</v>
      </c>
      <c r="Z47" s="168">
        <v>76</v>
      </c>
      <c r="AA47" s="168">
        <v>85</v>
      </c>
      <c r="AB47" s="168">
        <v>70</v>
      </c>
      <c r="AC47" s="168">
        <v>15</v>
      </c>
      <c r="AD47" s="168">
        <v>44</v>
      </c>
      <c r="AE47" s="168">
        <v>62</v>
      </c>
      <c r="AF47" s="168">
        <v>377</v>
      </c>
      <c r="AG47" s="168">
        <v>2018</v>
      </c>
      <c r="AH47" s="168">
        <v>988</v>
      </c>
      <c r="AI47" s="168">
        <v>561</v>
      </c>
      <c r="AJ47" s="168">
        <v>256</v>
      </c>
      <c r="AK47" s="168">
        <v>171</v>
      </c>
      <c r="AL47" s="168">
        <v>211</v>
      </c>
      <c r="AM47" s="168">
        <v>59</v>
      </c>
      <c r="AN47" s="168">
        <v>20</v>
      </c>
      <c r="AO47" s="168">
        <v>132</v>
      </c>
      <c r="AP47" s="168">
        <v>106</v>
      </c>
      <c r="AQ47" s="168">
        <v>84</v>
      </c>
      <c r="AR47" s="168">
        <v>629</v>
      </c>
      <c r="AS47" s="168">
        <v>1880</v>
      </c>
      <c r="AT47" s="168">
        <v>1648</v>
      </c>
      <c r="AU47" s="168">
        <v>284</v>
      </c>
      <c r="AV47" s="168">
        <v>511</v>
      </c>
      <c r="AW47" s="168">
        <v>853</v>
      </c>
      <c r="AX47" s="168">
        <v>232</v>
      </c>
      <c r="AY47" s="168">
        <v>228</v>
      </c>
      <c r="AZ47" s="168">
        <v>4</v>
      </c>
      <c r="BA47" s="168">
        <v>624</v>
      </c>
      <c r="BB47" s="168">
        <v>3898</v>
      </c>
      <c r="BC47" s="168">
        <v>1030</v>
      </c>
      <c r="BD47" s="168">
        <v>4275</v>
      </c>
      <c r="BE47" s="168">
        <v>233</v>
      </c>
    </row>
    <row r="48" spans="1:57" ht="20.25" customHeight="1">
      <c r="A48" s="165" t="s">
        <v>1319</v>
      </c>
      <c r="B48" s="166" t="s">
        <v>1123</v>
      </c>
      <c r="C48" s="167">
        <v>5077.2</v>
      </c>
      <c r="D48" s="167">
        <v>132.30000000000001</v>
      </c>
      <c r="E48" s="167">
        <v>4.5</v>
      </c>
      <c r="F48" s="168">
        <v>0</v>
      </c>
      <c r="G48" s="167">
        <v>4.4000000000000004</v>
      </c>
      <c r="H48" s="167">
        <v>0.2</v>
      </c>
      <c r="I48" s="167">
        <v>648.70000000000005</v>
      </c>
      <c r="J48" s="167">
        <v>86.3</v>
      </c>
      <c r="K48" s="167">
        <v>14.7</v>
      </c>
      <c r="L48" s="167">
        <v>61.7</v>
      </c>
      <c r="M48" s="167">
        <v>38.200000000000003</v>
      </c>
      <c r="N48" s="167">
        <v>23.4</v>
      </c>
      <c r="O48" s="167">
        <v>111.8</v>
      </c>
      <c r="P48" s="167">
        <v>0.6</v>
      </c>
      <c r="Q48" s="167">
        <v>72.2</v>
      </c>
      <c r="R48" s="167">
        <v>21.6</v>
      </c>
      <c r="S48" s="167">
        <v>17.399999999999999</v>
      </c>
      <c r="T48" s="167">
        <v>95.1</v>
      </c>
      <c r="U48" s="167">
        <v>13.2</v>
      </c>
      <c r="V48" s="167">
        <v>81.8</v>
      </c>
      <c r="W48" s="167">
        <v>135.1</v>
      </c>
      <c r="X48" s="167">
        <v>106.4</v>
      </c>
      <c r="Y48" s="167">
        <v>28.6</v>
      </c>
      <c r="Z48" s="167">
        <v>74.3</v>
      </c>
      <c r="AA48" s="167">
        <v>15.8</v>
      </c>
      <c r="AB48" s="167">
        <v>4.7</v>
      </c>
      <c r="AC48" s="168">
        <v>11</v>
      </c>
      <c r="AD48" s="167">
        <v>54.1</v>
      </c>
      <c r="AE48" s="168">
        <v>49</v>
      </c>
      <c r="AF48" s="167">
        <v>347.5</v>
      </c>
      <c r="AG48" s="167">
        <v>2298.1</v>
      </c>
      <c r="AH48" s="167">
        <v>1067.0999999999999</v>
      </c>
      <c r="AI48" s="167">
        <v>593.79999999999995</v>
      </c>
      <c r="AJ48" s="167">
        <v>241.9</v>
      </c>
      <c r="AK48" s="167">
        <v>231.5</v>
      </c>
      <c r="AL48" s="167">
        <v>173.5</v>
      </c>
      <c r="AM48" s="167">
        <v>32.4</v>
      </c>
      <c r="AN48" s="167">
        <v>25.8</v>
      </c>
      <c r="AO48" s="167">
        <v>115.4</v>
      </c>
      <c r="AP48" s="168">
        <v>225</v>
      </c>
      <c r="AQ48" s="167">
        <v>66.900000000000006</v>
      </c>
      <c r="AR48" s="167">
        <v>765.6</v>
      </c>
      <c r="AS48" s="167">
        <v>1597.1</v>
      </c>
      <c r="AT48" s="167">
        <v>1283.0999999999999</v>
      </c>
      <c r="AU48" s="167">
        <v>200.2</v>
      </c>
      <c r="AV48" s="167">
        <v>363.7</v>
      </c>
      <c r="AW48" s="167">
        <v>719.2</v>
      </c>
      <c r="AX48" s="167">
        <v>313.89999999999998</v>
      </c>
      <c r="AY48" s="167">
        <v>259.3</v>
      </c>
      <c r="AZ48" s="167">
        <v>54.7</v>
      </c>
      <c r="BA48" s="167">
        <v>702.2</v>
      </c>
      <c r="BB48" s="167">
        <v>3895.1</v>
      </c>
      <c r="BC48" s="168">
        <v>1231</v>
      </c>
      <c r="BD48" s="167">
        <v>4242.7</v>
      </c>
      <c r="BE48" s="167">
        <v>279.89999999999998</v>
      </c>
    </row>
    <row r="49" spans="1:57" ht="20.25" customHeight="1">
      <c r="A49" s="165" t="s">
        <v>1320</v>
      </c>
      <c r="B49" s="166" t="s">
        <v>1321</v>
      </c>
      <c r="C49" s="167">
        <v>27887.1</v>
      </c>
      <c r="D49" s="167">
        <v>4751.8</v>
      </c>
      <c r="E49" s="167">
        <v>135.80000000000001</v>
      </c>
      <c r="F49" s="167">
        <v>61.2</v>
      </c>
      <c r="G49" s="167">
        <v>70.400000000000006</v>
      </c>
      <c r="H49" s="167">
        <v>4.3</v>
      </c>
      <c r="I49" s="167">
        <v>5113.7</v>
      </c>
      <c r="J49" s="167">
        <v>721.4</v>
      </c>
      <c r="K49" s="167">
        <v>1424.4</v>
      </c>
      <c r="L49" s="167">
        <v>283.60000000000002</v>
      </c>
      <c r="M49" s="167">
        <v>96.4</v>
      </c>
      <c r="N49" s="167">
        <v>187.2</v>
      </c>
      <c r="O49" s="167">
        <v>774.7</v>
      </c>
      <c r="P49" s="167">
        <v>13.5</v>
      </c>
      <c r="Q49" s="167">
        <v>212.1</v>
      </c>
      <c r="R49" s="167">
        <v>251.7</v>
      </c>
      <c r="S49" s="167">
        <v>297.5</v>
      </c>
      <c r="T49" s="167">
        <v>645.6</v>
      </c>
      <c r="U49" s="167">
        <v>190.8</v>
      </c>
      <c r="V49" s="167">
        <v>454.9</v>
      </c>
      <c r="W49" s="167">
        <v>272.5</v>
      </c>
      <c r="X49" s="167">
        <v>51.1</v>
      </c>
      <c r="Y49" s="167">
        <v>221.4</v>
      </c>
      <c r="Z49" s="167">
        <v>266.2</v>
      </c>
      <c r="AA49" s="168">
        <v>254</v>
      </c>
      <c r="AB49" s="167">
        <v>194.2</v>
      </c>
      <c r="AC49" s="167">
        <v>59.7</v>
      </c>
      <c r="AD49" s="167">
        <v>471.1</v>
      </c>
      <c r="AE49" s="167">
        <v>341.1</v>
      </c>
      <c r="AF49" s="167">
        <v>1485.2</v>
      </c>
      <c r="AG49" s="167">
        <v>9273.6</v>
      </c>
      <c r="AH49" s="167">
        <v>6359.2</v>
      </c>
      <c r="AI49" s="167">
        <v>3726.8</v>
      </c>
      <c r="AJ49" s="167">
        <v>1267.7</v>
      </c>
      <c r="AK49" s="167">
        <v>1364.7</v>
      </c>
      <c r="AL49" s="167">
        <v>282.10000000000002</v>
      </c>
      <c r="AM49" s="167">
        <v>61.8</v>
      </c>
      <c r="AN49" s="167">
        <v>84.4</v>
      </c>
      <c r="AO49" s="167">
        <v>135.9</v>
      </c>
      <c r="AP49" s="167">
        <v>403.4</v>
      </c>
      <c r="AQ49" s="167">
        <v>281.89999999999998</v>
      </c>
      <c r="AR49" s="168">
        <v>1947</v>
      </c>
      <c r="AS49" s="167">
        <v>6785.9</v>
      </c>
      <c r="AT49" s="167">
        <v>5695.3</v>
      </c>
      <c r="AU49" s="167">
        <v>2138.5</v>
      </c>
      <c r="AV49" s="167">
        <v>1859.2</v>
      </c>
      <c r="AW49" s="167">
        <v>1697.6</v>
      </c>
      <c r="AX49" s="167">
        <v>1090.5999999999999</v>
      </c>
      <c r="AY49" s="167">
        <v>1090.5999999999999</v>
      </c>
      <c r="AZ49" s="168">
        <v>0</v>
      </c>
      <c r="BA49" s="167">
        <v>5590.6</v>
      </c>
      <c r="BB49" s="167">
        <v>16059.5</v>
      </c>
      <c r="BC49" s="167">
        <v>2914.4</v>
      </c>
      <c r="BD49" s="167">
        <v>17544.7</v>
      </c>
      <c r="BE49" s="167">
        <v>333.2</v>
      </c>
    </row>
    <row r="50" spans="1:57" ht="20.25" customHeight="1">
      <c r="A50" s="165" t="s">
        <v>1322</v>
      </c>
      <c r="B50" s="166" t="s">
        <v>1122</v>
      </c>
      <c r="C50" s="167">
        <v>32508.5</v>
      </c>
      <c r="D50" s="167">
        <v>390.5</v>
      </c>
      <c r="E50" s="167">
        <v>61.9</v>
      </c>
      <c r="F50" s="167">
        <v>16.100000000000001</v>
      </c>
      <c r="G50" s="167">
        <v>21.9</v>
      </c>
      <c r="H50" s="167">
        <v>23.9</v>
      </c>
      <c r="I50" s="167">
        <v>2486.3000000000002</v>
      </c>
      <c r="J50" s="167">
        <v>434.9</v>
      </c>
      <c r="K50" s="167">
        <v>108.1</v>
      </c>
      <c r="L50" s="167">
        <v>222.7</v>
      </c>
      <c r="M50" s="167">
        <v>82.6</v>
      </c>
      <c r="N50" s="167">
        <v>140.19999999999999</v>
      </c>
      <c r="O50" s="167">
        <v>396.9</v>
      </c>
      <c r="P50" s="167">
        <v>9.8000000000000007</v>
      </c>
      <c r="Q50" s="167">
        <v>140.69999999999999</v>
      </c>
      <c r="R50" s="167">
        <v>153.9</v>
      </c>
      <c r="S50" s="167">
        <v>92.5</v>
      </c>
      <c r="T50" s="167">
        <v>353.6</v>
      </c>
      <c r="U50" s="167">
        <v>66.099999999999994</v>
      </c>
      <c r="V50" s="167">
        <v>287.39999999999998</v>
      </c>
      <c r="W50" s="167">
        <v>190.5</v>
      </c>
      <c r="X50" s="167">
        <v>117.8</v>
      </c>
      <c r="Y50" s="167">
        <v>72.7</v>
      </c>
      <c r="Z50" s="167">
        <v>176.3</v>
      </c>
      <c r="AA50" s="168">
        <v>307</v>
      </c>
      <c r="AB50" s="167">
        <v>159.9</v>
      </c>
      <c r="AC50" s="167">
        <v>147.1</v>
      </c>
      <c r="AD50" s="167">
        <v>296.39999999999998</v>
      </c>
      <c r="AE50" s="167">
        <v>325.5</v>
      </c>
      <c r="AF50" s="167">
        <v>2201.1</v>
      </c>
      <c r="AG50" s="167">
        <v>16982.7</v>
      </c>
      <c r="AH50" s="167">
        <v>8469.1</v>
      </c>
      <c r="AI50" s="167">
        <v>4707.7</v>
      </c>
      <c r="AJ50" s="167">
        <v>1613.7</v>
      </c>
      <c r="AK50" s="167">
        <v>2147.6999999999998</v>
      </c>
      <c r="AL50" s="167">
        <v>1431.1</v>
      </c>
      <c r="AM50" s="167">
        <v>358.5</v>
      </c>
      <c r="AN50" s="167">
        <v>220.8</v>
      </c>
      <c r="AO50" s="167">
        <v>851.8</v>
      </c>
      <c r="AP50" s="167">
        <v>1067.2</v>
      </c>
      <c r="AQ50" s="167">
        <v>574.5</v>
      </c>
      <c r="AR50" s="168">
        <v>5441</v>
      </c>
      <c r="AS50" s="167">
        <v>10060.6</v>
      </c>
      <c r="AT50" s="168">
        <v>8268</v>
      </c>
      <c r="AU50" s="167">
        <v>1448.2</v>
      </c>
      <c r="AV50" s="167">
        <v>2700.3</v>
      </c>
      <c r="AW50" s="167">
        <v>4119.5</v>
      </c>
      <c r="AX50" s="167">
        <v>1792.7</v>
      </c>
      <c r="AY50" s="167">
        <v>1746.9</v>
      </c>
      <c r="AZ50" s="167">
        <v>45.8</v>
      </c>
      <c r="BA50" s="167">
        <v>2873.7</v>
      </c>
      <c r="BB50" s="167">
        <v>27043.3</v>
      </c>
      <c r="BC50" s="167">
        <v>8513.6</v>
      </c>
      <c r="BD50" s="167">
        <v>29244.400000000001</v>
      </c>
      <c r="BE50" s="167">
        <v>1548.8</v>
      </c>
    </row>
    <row r="51" spans="1:57" s="195" customFormat="1" ht="20.25" customHeight="1">
      <c r="A51" s="169" t="s">
        <v>1323</v>
      </c>
      <c r="B51" s="169" t="s">
        <v>1121</v>
      </c>
      <c r="C51" s="193">
        <v>162025.70000000001</v>
      </c>
      <c r="D51" s="194">
        <v>2114</v>
      </c>
      <c r="E51" s="193">
        <v>524.9</v>
      </c>
      <c r="F51" s="193">
        <v>169.6</v>
      </c>
      <c r="G51" s="193">
        <v>122.1</v>
      </c>
      <c r="H51" s="193">
        <v>233.2</v>
      </c>
      <c r="I51" s="194">
        <v>12585</v>
      </c>
      <c r="J51" s="193">
        <v>1978.8</v>
      </c>
      <c r="K51" s="193">
        <v>342.3</v>
      </c>
      <c r="L51" s="193">
        <v>1173.0999999999999</v>
      </c>
      <c r="M51" s="193">
        <v>431.1</v>
      </c>
      <c r="N51" s="194">
        <v>742</v>
      </c>
      <c r="O51" s="193">
        <v>2071.1</v>
      </c>
      <c r="P51" s="193">
        <v>104.2</v>
      </c>
      <c r="Q51" s="193">
        <v>818.5</v>
      </c>
      <c r="R51" s="193">
        <v>732.6</v>
      </c>
      <c r="S51" s="193">
        <v>415.8</v>
      </c>
      <c r="T51" s="193">
        <v>1758.3</v>
      </c>
      <c r="U51" s="193">
        <v>350.9</v>
      </c>
      <c r="V51" s="193">
        <v>1407.4</v>
      </c>
      <c r="W51" s="193">
        <v>1457.3</v>
      </c>
      <c r="X51" s="193">
        <v>1062.3</v>
      </c>
      <c r="Y51" s="194">
        <v>395</v>
      </c>
      <c r="Z51" s="193">
        <v>1063.5</v>
      </c>
      <c r="AA51" s="193">
        <v>1649.2</v>
      </c>
      <c r="AB51" s="193">
        <v>962.3</v>
      </c>
      <c r="AC51" s="193">
        <v>686.9</v>
      </c>
      <c r="AD51" s="193">
        <v>1091.4000000000001</v>
      </c>
      <c r="AE51" s="193">
        <v>1026.4000000000001</v>
      </c>
      <c r="AF51" s="193">
        <v>9301.5</v>
      </c>
      <c r="AG51" s="193">
        <v>78768.899999999994</v>
      </c>
      <c r="AH51" s="193">
        <v>43043.7</v>
      </c>
      <c r="AI51" s="193">
        <v>23204.5</v>
      </c>
      <c r="AJ51" s="193">
        <v>7394.3</v>
      </c>
      <c r="AK51" s="193">
        <v>12444.9</v>
      </c>
      <c r="AL51" s="193">
        <v>5454.4</v>
      </c>
      <c r="AM51" s="193">
        <v>1696.4</v>
      </c>
      <c r="AN51" s="193">
        <v>712.3</v>
      </c>
      <c r="AO51" s="193">
        <v>3045.7</v>
      </c>
      <c r="AP51" s="193">
        <v>6825.6</v>
      </c>
      <c r="AQ51" s="193">
        <v>2337.6999999999998</v>
      </c>
      <c r="AR51" s="193">
        <v>21107.5</v>
      </c>
      <c r="AS51" s="194">
        <v>57705</v>
      </c>
      <c r="AT51" s="194">
        <v>48738</v>
      </c>
      <c r="AU51" s="193">
        <v>13601.7</v>
      </c>
      <c r="AV51" s="193">
        <v>14157.5</v>
      </c>
      <c r="AW51" s="193">
        <v>20978.799999999999</v>
      </c>
      <c r="AX51" s="194">
        <v>8967</v>
      </c>
      <c r="AY51" s="194">
        <v>7832</v>
      </c>
      <c r="AZ51" s="194">
        <v>1135</v>
      </c>
      <c r="BA51" s="193">
        <v>14136.3</v>
      </c>
      <c r="BB51" s="193">
        <v>136473.9</v>
      </c>
      <c r="BC51" s="193">
        <v>35725.199999999997</v>
      </c>
      <c r="BD51" s="193">
        <v>145775.4</v>
      </c>
      <c r="BE51" s="193">
        <v>6516.7</v>
      </c>
    </row>
    <row r="52" spans="1:57" ht="20.25" customHeight="1">
      <c r="A52" s="165" t="s">
        <v>1324</v>
      </c>
      <c r="B52" s="166" t="s">
        <v>1325</v>
      </c>
      <c r="C52" s="167">
        <v>19310.5</v>
      </c>
      <c r="D52" s="167">
        <v>1560.8</v>
      </c>
      <c r="E52" s="167">
        <v>129.1</v>
      </c>
      <c r="F52" s="167">
        <v>116.4</v>
      </c>
      <c r="G52" s="167">
        <v>8.9</v>
      </c>
      <c r="H52" s="167">
        <v>3.8</v>
      </c>
      <c r="I52" s="167">
        <v>2296.6</v>
      </c>
      <c r="J52" s="167">
        <v>715.4</v>
      </c>
      <c r="K52" s="167">
        <v>287.3</v>
      </c>
      <c r="L52" s="167">
        <v>173.1</v>
      </c>
      <c r="M52" s="167">
        <v>44.4</v>
      </c>
      <c r="N52" s="167">
        <v>128.69999999999999</v>
      </c>
      <c r="O52" s="167">
        <v>289.7</v>
      </c>
      <c r="P52" s="167">
        <v>16.899999999999999</v>
      </c>
      <c r="Q52" s="167">
        <v>130.30000000000001</v>
      </c>
      <c r="R52" s="167">
        <v>66.7</v>
      </c>
      <c r="S52" s="167">
        <v>75.8</v>
      </c>
      <c r="T52" s="167">
        <v>376.8</v>
      </c>
      <c r="U52" s="167">
        <v>94.3</v>
      </c>
      <c r="V52" s="167">
        <v>282.60000000000002</v>
      </c>
      <c r="W52" s="167">
        <v>75.3</v>
      </c>
      <c r="X52" s="167">
        <v>25.1</v>
      </c>
      <c r="Y52" s="167">
        <v>50.2</v>
      </c>
      <c r="Z52" s="167">
        <v>33.5</v>
      </c>
      <c r="AA52" s="167">
        <v>111.2</v>
      </c>
      <c r="AB52" s="167">
        <v>86.8</v>
      </c>
      <c r="AC52" s="167">
        <v>24.4</v>
      </c>
      <c r="AD52" s="167">
        <v>234.2</v>
      </c>
      <c r="AE52" s="167">
        <v>249.8</v>
      </c>
      <c r="AF52" s="167">
        <v>1504.5</v>
      </c>
      <c r="AG52" s="167">
        <v>6001.3</v>
      </c>
      <c r="AH52" s="167">
        <v>4092.4</v>
      </c>
      <c r="AI52" s="167">
        <v>2763.6</v>
      </c>
      <c r="AJ52" s="167">
        <v>772.9</v>
      </c>
      <c r="AK52" s="167">
        <v>555.9</v>
      </c>
      <c r="AL52" s="167">
        <v>169.6</v>
      </c>
      <c r="AM52" s="167">
        <v>84.5</v>
      </c>
      <c r="AN52" s="167">
        <v>51.8</v>
      </c>
      <c r="AO52" s="167">
        <v>33.299999999999997</v>
      </c>
      <c r="AP52" s="167">
        <v>264.2</v>
      </c>
      <c r="AQ52" s="167">
        <v>54.4</v>
      </c>
      <c r="AR52" s="167">
        <v>1420.7</v>
      </c>
      <c r="AS52" s="167">
        <v>7568.4</v>
      </c>
      <c r="AT52" s="167">
        <v>5106.1000000000004</v>
      </c>
      <c r="AU52" s="167">
        <v>1638.8</v>
      </c>
      <c r="AV52" s="167">
        <v>2110.1</v>
      </c>
      <c r="AW52" s="167">
        <v>1357.2</v>
      </c>
      <c r="AX52" s="167">
        <v>2462.3000000000002</v>
      </c>
      <c r="AY52" s="167">
        <v>1004.8</v>
      </c>
      <c r="AZ52" s="167">
        <v>1457.5</v>
      </c>
      <c r="BA52" s="167">
        <v>2675.4</v>
      </c>
      <c r="BB52" s="167">
        <v>13569.8</v>
      </c>
      <c r="BC52" s="167">
        <v>1908.9</v>
      </c>
      <c r="BD52" s="167">
        <v>15074.3</v>
      </c>
      <c r="BE52" s="167">
        <v>194.7</v>
      </c>
    </row>
    <row r="53" spans="1:57" ht="20.25" customHeight="1">
      <c r="A53" s="165" t="s">
        <v>1326</v>
      </c>
      <c r="B53" s="166" t="s">
        <v>1327</v>
      </c>
      <c r="C53" s="167">
        <v>99204.9</v>
      </c>
      <c r="D53" s="167">
        <v>12560.4</v>
      </c>
      <c r="E53" s="167">
        <v>219.3</v>
      </c>
      <c r="F53" s="167">
        <v>156.80000000000001</v>
      </c>
      <c r="G53" s="167">
        <v>57.8</v>
      </c>
      <c r="H53" s="167">
        <v>4.8</v>
      </c>
      <c r="I53" s="167">
        <v>10560.5</v>
      </c>
      <c r="J53" s="167">
        <v>2377.9</v>
      </c>
      <c r="K53" s="167">
        <v>2512.5</v>
      </c>
      <c r="L53" s="167">
        <v>720.5</v>
      </c>
      <c r="M53" s="167">
        <v>355.5</v>
      </c>
      <c r="N53" s="168">
        <v>365</v>
      </c>
      <c r="O53" s="167">
        <v>1574.1</v>
      </c>
      <c r="P53" s="167">
        <v>22.3</v>
      </c>
      <c r="Q53" s="167">
        <v>560.20000000000005</v>
      </c>
      <c r="R53" s="167">
        <v>428.1</v>
      </c>
      <c r="S53" s="167">
        <v>563.5</v>
      </c>
      <c r="T53" s="167">
        <v>859.5</v>
      </c>
      <c r="U53" s="167">
        <v>223.3</v>
      </c>
      <c r="V53" s="167">
        <v>636.20000000000005</v>
      </c>
      <c r="W53" s="167">
        <v>333.5</v>
      </c>
      <c r="X53" s="167">
        <v>115.9</v>
      </c>
      <c r="Y53" s="167">
        <v>217.6</v>
      </c>
      <c r="Z53" s="167">
        <v>382.5</v>
      </c>
      <c r="AA53" s="167">
        <v>529.20000000000005</v>
      </c>
      <c r="AB53" s="167">
        <v>449.2</v>
      </c>
      <c r="AC53" s="168">
        <v>80</v>
      </c>
      <c r="AD53" s="167">
        <v>1270.8</v>
      </c>
      <c r="AE53" s="167">
        <v>742.1</v>
      </c>
      <c r="AF53" s="167">
        <v>7047.8</v>
      </c>
      <c r="AG53" s="167">
        <v>39533.9</v>
      </c>
      <c r="AH53" s="167">
        <v>28076.799999999999</v>
      </c>
      <c r="AI53" s="167">
        <v>18090.2</v>
      </c>
      <c r="AJ53" s="167">
        <v>4965.6000000000004</v>
      </c>
      <c r="AK53" s="168">
        <v>5021</v>
      </c>
      <c r="AL53" s="167">
        <v>1294.9000000000001</v>
      </c>
      <c r="AM53" s="168">
        <v>300</v>
      </c>
      <c r="AN53" s="167">
        <v>249.7</v>
      </c>
      <c r="AO53" s="167">
        <v>745.1</v>
      </c>
      <c r="AP53" s="167">
        <v>1264.5999999999999</v>
      </c>
      <c r="AQ53" s="167">
        <v>502.3</v>
      </c>
      <c r="AR53" s="167">
        <v>8395.4</v>
      </c>
      <c r="AS53" s="167">
        <v>28540.799999999999</v>
      </c>
      <c r="AT53" s="167">
        <v>17943.099999999999</v>
      </c>
      <c r="AU53" s="167">
        <v>4944.8999999999996</v>
      </c>
      <c r="AV53" s="167">
        <v>7091.3</v>
      </c>
      <c r="AW53" s="167">
        <v>5906.9</v>
      </c>
      <c r="AX53" s="167">
        <v>10597.7</v>
      </c>
      <c r="AY53" s="167">
        <v>5767.8</v>
      </c>
      <c r="AZ53" s="168">
        <v>4830</v>
      </c>
      <c r="BA53" s="167">
        <v>11521.9</v>
      </c>
      <c r="BB53" s="167">
        <v>68074.7</v>
      </c>
      <c r="BC53" s="167">
        <v>11457.1</v>
      </c>
      <c r="BD53" s="167">
        <v>75122.5</v>
      </c>
      <c r="BE53" s="167">
        <v>1410.8</v>
      </c>
    </row>
    <row r="54" spans="1:57" ht="20.25" customHeight="1">
      <c r="A54" s="165" t="s">
        <v>1328</v>
      </c>
      <c r="B54" s="166" t="s">
        <v>1329</v>
      </c>
      <c r="C54" s="167">
        <v>3451.7</v>
      </c>
      <c r="D54" s="167">
        <v>595.70000000000005</v>
      </c>
      <c r="E54" s="167">
        <v>21.9</v>
      </c>
      <c r="F54" s="167">
        <v>7.3</v>
      </c>
      <c r="G54" s="167">
        <v>13.7</v>
      </c>
      <c r="H54" s="168">
        <v>1</v>
      </c>
      <c r="I54" s="167">
        <v>583.9</v>
      </c>
      <c r="J54" s="167">
        <v>110.7</v>
      </c>
      <c r="K54" s="167">
        <v>118.3</v>
      </c>
      <c r="L54" s="167">
        <v>39.299999999999997</v>
      </c>
      <c r="M54" s="167">
        <v>20.6</v>
      </c>
      <c r="N54" s="167">
        <v>18.8</v>
      </c>
      <c r="O54" s="167">
        <v>81.599999999999994</v>
      </c>
      <c r="P54" s="168">
        <v>2</v>
      </c>
      <c r="Q54" s="167">
        <v>24.1</v>
      </c>
      <c r="R54" s="167">
        <v>33.700000000000003</v>
      </c>
      <c r="S54" s="167">
        <v>21.8</v>
      </c>
      <c r="T54" s="168">
        <v>70</v>
      </c>
      <c r="U54" s="167">
        <v>13.4</v>
      </c>
      <c r="V54" s="167">
        <v>56.6</v>
      </c>
      <c r="W54" s="168">
        <v>43</v>
      </c>
      <c r="X54" s="167">
        <v>15.1</v>
      </c>
      <c r="Y54" s="167">
        <v>27.9</v>
      </c>
      <c r="Z54" s="167">
        <v>38.299999999999997</v>
      </c>
      <c r="AA54" s="167">
        <v>28.2</v>
      </c>
      <c r="AB54" s="167">
        <v>22.5</v>
      </c>
      <c r="AC54" s="167">
        <v>5.7</v>
      </c>
      <c r="AD54" s="167">
        <v>54.4</v>
      </c>
      <c r="AE54" s="167">
        <v>70.400000000000006</v>
      </c>
      <c r="AF54" s="167">
        <v>192.3</v>
      </c>
      <c r="AG54" s="168">
        <v>1308</v>
      </c>
      <c r="AH54" s="167">
        <v>849.9</v>
      </c>
      <c r="AI54" s="167">
        <v>523.79999999999995</v>
      </c>
      <c r="AJ54" s="167">
        <v>203.7</v>
      </c>
      <c r="AK54" s="167">
        <v>122.4</v>
      </c>
      <c r="AL54" s="167">
        <v>113.9</v>
      </c>
      <c r="AM54" s="167">
        <v>15.2</v>
      </c>
      <c r="AN54" s="167">
        <v>21.7</v>
      </c>
      <c r="AO54" s="167">
        <v>77.099999999999994</v>
      </c>
      <c r="AP54" s="167">
        <v>67.5</v>
      </c>
      <c r="AQ54" s="167">
        <v>26.1</v>
      </c>
      <c r="AR54" s="167">
        <v>250.6</v>
      </c>
      <c r="AS54" s="167">
        <v>679.5</v>
      </c>
      <c r="AT54" s="167">
        <v>566.20000000000005</v>
      </c>
      <c r="AU54" s="167">
        <v>215.4</v>
      </c>
      <c r="AV54" s="167">
        <v>174.3</v>
      </c>
      <c r="AW54" s="167">
        <v>176.5</v>
      </c>
      <c r="AX54" s="167">
        <v>113.2</v>
      </c>
      <c r="AY54" s="167">
        <v>113.2</v>
      </c>
      <c r="AZ54" s="168">
        <v>0</v>
      </c>
      <c r="BA54" s="167">
        <v>676.2</v>
      </c>
      <c r="BB54" s="167">
        <v>1987.5</v>
      </c>
      <c r="BC54" s="167">
        <v>458.1</v>
      </c>
      <c r="BD54" s="167">
        <v>2179.8000000000002</v>
      </c>
      <c r="BE54" s="168">
        <v>129</v>
      </c>
    </row>
    <row r="55" spans="1:57" ht="19.5" customHeight="1">
      <c r="A55" s="165" t="s">
        <v>1330</v>
      </c>
      <c r="B55" s="166" t="s">
        <v>1331</v>
      </c>
      <c r="C55" s="167">
        <v>750639.9</v>
      </c>
      <c r="D55" s="168">
        <v>177150</v>
      </c>
      <c r="E55" s="167">
        <v>6703.8</v>
      </c>
      <c r="F55" s="167">
        <v>4592.5</v>
      </c>
      <c r="G55" s="168">
        <v>1674</v>
      </c>
      <c r="H55" s="167">
        <v>437.3</v>
      </c>
      <c r="I55" s="167">
        <v>133084.5</v>
      </c>
      <c r="J55" s="167">
        <v>11186.5</v>
      </c>
      <c r="K55" s="167">
        <v>17629.5</v>
      </c>
      <c r="L55" s="167">
        <v>7320.9</v>
      </c>
      <c r="M55" s="167">
        <v>2733.2</v>
      </c>
      <c r="N55" s="167">
        <v>4587.8</v>
      </c>
      <c r="O55" s="167">
        <v>26192.6</v>
      </c>
      <c r="P55" s="167">
        <v>1148.2</v>
      </c>
      <c r="Q55" s="167">
        <v>9648.4</v>
      </c>
      <c r="R55" s="167">
        <v>6059.3</v>
      </c>
      <c r="S55" s="167">
        <v>9336.6</v>
      </c>
      <c r="T55" s="167">
        <v>14054.9</v>
      </c>
      <c r="U55" s="167">
        <v>5773.3</v>
      </c>
      <c r="V55" s="167">
        <v>8281.6</v>
      </c>
      <c r="W55" s="167">
        <v>24234.400000000001</v>
      </c>
      <c r="X55" s="167">
        <v>14162.3</v>
      </c>
      <c r="Y55" s="167">
        <v>10072.1</v>
      </c>
      <c r="Z55" s="167">
        <v>14760.9</v>
      </c>
      <c r="AA55" s="167">
        <v>9061.7999999999993</v>
      </c>
      <c r="AB55" s="167">
        <v>7101.5</v>
      </c>
      <c r="AC55" s="167">
        <v>1960.3</v>
      </c>
      <c r="AD55" s="168">
        <v>8643</v>
      </c>
      <c r="AE55" s="167">
        <v>6321.6</v>
      </c>
      <c r="AF55" s="167">
        <v>69320.100000000006</v>
      </c>
      <c r="AG55" s="167">
        <v>264132.5</v>
      </c>
      <c r="AH55" s="167">
        <v>175261.7</v>
      </c>
      <c r="AI55" s="167">
        <v>116189.4</v>
      </c>
      <c r="AJ55" s="167">
        <v>26635.200000000001</v>
      </c>
      <c r="AK55" s="167">
        <v>32437.1</v>
      </c>
      <c r="AL55" s="167">
        <v>12756.8</v>
      </c>
      <c r="AM55" s="168">
        <v>1145</v>
      </c>
      <c r="AN55" s="167">
        <v>2107.9</v>
      </c>
      <c r="AO55" s="167">
        <v>9503.9</v>
      </c>
      <c r="AP55" s="167">
        <v>13098.1</v>
      </c>
      <c r="AQ55" s="167">
        <v>15982.9</v>
      </c>
      <c r="AR55" s="168">
        <v>47033</v>
      </c>
      <c r="AS55" s="167">
        <v>93927.4</v>
      </c>
      <c r="AT55" s="168">
        <v>64053</v>
      </c>
      <c r="AU55" s="167">
        <v>21809.1</v>
      </c>
      <c r="AV55" s="167">
        <v>27407.1</v>
      </c>
      <c r="AW55" s="167">
        <v>14836.8</v>
      </c>
      <c r="AX55" s="167">
        <v>29874.400000000001</v>
      </c>
      <c r="AY55" s="167">
        <v>29874.400000000001</v>
      </c>
      <c r="AZ55" s="168">
        <v>0</v>
      </c>
      <c r="BA55" s="167">
        <v>146109.9</v>
      </c>
      <c r="BB55" s="167">
        <v>358059.9</v>
      </c>
      <c r="BC55" s="167">
        <v>88870.8</v>
      </c>
      <c r="BD55" s="168">
        <v>427380</v>
      </c>
      <c r="BE55" s="167">
        <v>26919.1</v>
      </c>
    </row>
    <row r="56" spans="1:57" ht="20.25" customHeight="1">
      <c r="A56" s="165" t="s">
        <v>1332</v>
      </c>
      <c r="B56" s="166" t="s">
        <v>1333</v>
      </c>
      <c r="C56" s="167">
        <v>1675.3</v>
      </c>
      <c r="D56" s="167">
        <v>103.7</v>
      </c>
      <c r="E56" s="167">
        <v>6.3</v>
      </c>
      <c r="F56" s="168">
        <v>0</v>
      </c>
      <c r="G56" s="167">
        <v>6.1</v>
      </c>
      <c r="H56" s="167">
        <v>0.2</v>
      </c>
      <c r="I56" s="167">
        <v>293.10000000000002</v>
      </c>
      <c r="J56" s="167">
        <v>60.9</v>
      </c>
      <c r="K56" s="167">
        <v>34.9</v>
      </c>
      <c r="L56" s="167">
        <v>33.200000000000003</v>
      </c>
      <c r="M56" s="168">
        <v>17</v>
      </c>
      <c r="N56" s="167">
        <v>16.3</v>
      </c>
      <c r="O56" s="168">
        <v>42</v>
      </c>
      <c r="P56" s="167">
        <v>2.9</v>
      </c>
      <c r="Q56" s="167">
        <v>13.2</v>
      </c>
      <c r="R56" s="167">
        <v>12.6</v>
      </c>
      <c r="S56" s="167">
        <v>13.4</v>
      </c>
      <c r="T56" s="167">
        <v>39.1</v>
      </c>
      <c r="U56" s="167">
        <v>2.4</v>
      </c>
      <c r="V56" s="167">
        <v>36.700000000000003</v>
      </c>
      <c r="W56" s="167">
        <v>13.2</v>
      </c>
      <c r="X56" s="167">
        <v>4.4000000000000004</v>
      </c>
      <c r="Y56" s="167">
        <v>8.8000000000000007</v>
      </c>
      <c r="Z56" s="167">
        <v>15.9</v>
      </c>
      <c r="AA56" s="167">
        <v>21.2</v>
      </c>
      <c r="AB56" s="167">
        <v>6.3</v>
      </c>
      <c r="AC56" s="167">
        <v>14.9</v>
      </c>
      <c r="AD56" s="167">
        <v>32.700000000000003</v>
      </c>
      <c r="AE56" s="167">
        <v>48.8</v>
      </c>
      <c r="AF56" s="167">
        <v>134.30000000000001</v>
      </c>
      <c r="AG56" s="167">
        <v>662.8</v>
      </c>
      <c r="AH56" s="167">
        <v>445.8</v>
      </c>
      <c r="AI56" s="167">
        <v>222.9</v>
      </c>
      <c r="AJ56" s="167">
        <v>108.8</v>
      </c>
      <c r="AK56" s="167">
        <v>114.1</v>
      </c>
      <c r="AL56" s="168">
        <v>56</v>
      </c>
      <c r="AM56" s="167">
        <v>13.2</v>
      </c>
      <c r="AN56" s="167">
        <v>21.3</v>
      </c>
      <c r="AO56" s="167">
        <v>21.6</v>
      </c>
      <c r="AP56" s="167">
        <v>39.9</v>
      </c>
      <c r="AQ56" s="167">
        <v>6.7</v>
      </c>
      <c r="AR56" s="167">
        <v>114.4</v>
      </c>
      <c r="AS56" s="167">
        <v>426.3</v>
      </c>
      <c r="AT56" s="167">
        <v>364.6</v>
      </c>
      <c r="AU56" s="167">
        <v>125.5</v>
      </c>
      <c r="AV56" s="167">
        <v>131.4</v>
      </c>
      <c r="AW56" s="167">
        <v>107.8</v>
      </c>
      <c r="AX56" s="167">
        <v>61.7</v>
      </c>
      <c r="AY56" s="167">
        <v>60.3</v>
      </c>
      <c r="AZ56" s="167">
        <v>1.5</v>
      </c>
      <c r="BA56" s="167">
        <v>348.2</v>
      </c>
      <c r="BB56" s="167">
        <v>1089.0999999999999</v>
      </c>
      <c r="BC56" s="168">
        <v>217</v>
      </c>
      <c r="BD56" s="167">
        <v>1223.5</v>
      </c>
      <c r="BE56" s="167">
        <v>60.4</v>
      </c>
    </row>
    <row r="57" spans="1:57" ht="20.25" customHeight="1">
      <c r="A57" s="165" t="s">
        <v>1334</v>
      </c>
      <c r="B57" s="166" t="s">
        <v>1335</v>
      </c>
      <c r="C57" s="167">
        <v>440.2</v>
      </c>
      <c r="D57" s="167">
        <v>15.1</v>
      </c>
      <c r="E57" s="167">
        <v>0.5</v>
      </c>
      <c r="F57" s="168">
        <v>0</v>
      </c>
      <c r="G57" s="167">
        <v>0.5</v>
      </c>
      <c r="H57" s="168">
        <v>0</v>
      </c>
      <c r="I57" s="167">
        <v>35.4</v>
      </c>
      <c r="J57" s="167">
        <v>14.2</v>
      </c>
      <c r="K57" s="168">
        <v>1</v>
      </c>
      <c r="L57" s="168">
        <v>4</v>
      </c>
      <c r="M57" s="167">
        <v>2.4</v>
      </c>
      <c r="N57" s="167">
        <v>1.5</v>
      </c>
      <c r="O57" s="167">
        <v>6.1</v>
      </c>
      <c r="P57" s="168">
        <v>0</v>
      </c>
      <c r="Q57" s="167">
        <v>2.7</v>
      </c>
      <c r="R57" s="168">
        <v>1</v>
      </c>
      <c r="S57" s="167">
        <v>2.4</v>
      </c>
      <c r="T57" s="167">
        <v>4.5999999999999996</v>
      </c>
      <c r="U57" s="167">
        <v>0.4</v>
      </c>
      <c r="V57" s="167">
        <v>4.3</v>
      </c>
      <c r="W57" s="167">
        <v>0.6</v>
      </c>
      <c r="X57" s="167">
        <v>0.2</v>
      </c>
      <c r="Y57" s="167">
        <v>0.4</v>
      </c>
      <c r="Z57" s="167">
        <v>0.6</v>
      </c>
      <c r="AA57" s="167">
        <v>0.2</v>
      </c>
      <c r="AB57" s="167">
        <v>0.2</v>
      </c>
      <c r="AC57" s="167">
        <v>0.1</v>
      </c>
      <c r="AD57" s="167">
        <v>4.2</v>
      </c>
      <c r="AE57" s="167">
        <v>5.2</v>
      </c>
      <c r="AF57" s="167">
        <v>39.1</v>
      </c>
      <c r="AG57" s="168">
        <v>216</v>
      </c>
      <c r="AH57" s="167">
        <v>132.30000000000001</v>
      </c>
      <c r="AI57" s="167">
        <v>69.8</v>
      </c>
      <c r="AJ57" s="167">
        <v>16.600000000000001</v>
      </c>
      <c r="AK57" s="167">
        <v>45.9</v>
      </c>
      <c r="AL57" s="167">
        <v>14.7</v>
      </c>
      <c r="AM57" s="167">
        <v>3.3</v>
      </c>
      <c r="AN57" s="168">
        <v>4</v>
      </c>
      <c r="AO57" s="167">
        <v>7.4</v>
      </c>
      <c r="AP57" s="167">
        <v>19.3</v>
      </c>
      <c r="AQ57" s="168">
        <v>3</v>
      </c>
      <c r="AR57" s="167">
        <v>46.7</v>
      </c>
      <c r="AS57" s="167">
        <v>128.69999999999999</v>
      </c>
      <c r="AT57" s="167">
        <v>87.7</v>
      </c>
      <c r="AU57" s="167">
        <v>33.799999999999997</v>
      </c>
      <c r="AV57" s="167">
        <v>31.6</v>
      </c>
      <c r="AW57" s="167">
        <v>22.3</v>
      </c>
      <c r="AX57" s="167">
        <v>40.9</v>
      </c>
      <c r="AY57" s="167">
        <v>20.100000000000001</v>
      </c>
      <c r="AZ57" s="167">
        <v>20.8</v>
      </c>
      <c r="BA57" s="167">
        <v>41.2</v>
      </c>
      <c r="BB57" s="167">
        <v>344.7</v>
      </c>
      <c r="BC57" s="167">
        <v>83.7</v>
      </c>
      <c r="BD57" s="167">
        <v>383.8</v>
      </c>
      <c r="BE57" s="167">
        <v>14.8</v>
      </c>
    </row>
    <row r="58" spans="1:57" ht="20.25" customHeight="1">
      <c r="A58" s="165" t="s">
        <v>1336</v>
      </c>
      <c r="B58" s="166" t="s">
        <v>1337</v>
      </c>
      <c r="C58" s="167">
        <v>25948.6</v>
      </c>
      <c r="D58" s="167">
        <v>5324.9</v>
      </c>
      <c r="E58" s="167">
        <v>40.1</v>
      </c>
      <c r="F58" s="168">
        <v>17</v>
      </c>
      <c r="G58" s="167">
        <v>12.9</v>
      </c>
      <c r="H58" s="167">
        <v>10.3</v>
      </c>
      <c r="I58" s="167">
        <v>3409.5</v>
      </c>
      <c r="J58" s="167">
        <v>711.2</v>
      </c>
      <c r="K58" s="167">
        <v>683.1</v>
      </c>
      <c r="L58" s="167">
        <v>289.60000000000002</v>
      </c>
      <c r="M58" s="168">
        <v>179</v>
      </c>
      <c r="N58" s="167">
        <v>110.6</v>
      </c>
      <c r="O58" s="167">
        <v>598.6</v>
      </c>
      <c r="P58" s="167">
        <v>96.4</v>
      </c>
      <c r="Q58" s="167">
        <v>167.5</v>
      </c>
      <c r="R58" s="167">
        <v>96.3</v>
      </c>
      <c r="S58" s="167">
        <v>238.5</v>
      </c>
      <c r="T58" s="167">
        <v>432.2</v>
      </c>
      <c r="U58" s="167">
        <v>93.3</v>
      </c>
      <c r="V58" s="167">
        <v>338.9</v>
      </c>
      <c r="W58" s="167">
        <v>133.30000000000001</v>
      </c>
      <c r="X58" s="168">
        <v>15</v>
      </c>
      <c r="Y58" s="167">
        <v>118.3</v>
      </c>
      <c r="Z58" s="168">
        <v>17</v>
      </c>
      <c r="AA58" s="167">
        <v>26.3</v>
      </c>
      <c r="AB58" s="167">
        <v>19.399999999999999</v>
      </c>
      <c r="AC58" s="168">
        <v>7</v>
      </c>
      <c r="AD58" s="167">
        <v>518.20000000000005</v>
      </c>
      <c r="AE58" s="167">
        <v>478.3</v>
      </c>
      <c r="AF58" s="167">
        <v>3517.9</v>
      </c>
      <c r="AG58" s="168">
        <v>7935</v>
      </c>
      <c r="AH58" s="167">
        <v>6826.4</v>
      </c>
      <c r="AI58" s="167">
        <v>3793.5</v>
      </c>
      <c r="AJ58" s="167">
        <v>2246.5</v>
      </c>
      <c r="AK58" s="167">
        <v>786.4</v>
      </c>
      <c r="AL58" s="167">
        <v>187.3</v>
      </c>
      <c r="AM58" s="167">
        <v>34.1</v>
      </c>
      <c r="AN58" s="167">
        <v>109.9</v>
      </c>
      <c r="AO58" s="167">
        <v>43.3</v>
      </c>
      <c r="AP58" s="167">
        <v>159.80000000000001</v>
      </c>
      <c r="AQ58" s="167">
        <v>50.2</v>
      </c>
      <c r="AR58" s="167">
        <v>711.3</v>
      </c>
      <c r="AS58" s="168">
        <v>5243</v>
      </c>
      <c r="AT58" s="167">
        <v>4483.5</v>
      </c>
      <c r="AU58" s="167">
        <v>1541.5</v>
      </c>
      <c r="AV58" s="167">
        <v>2023.7</v>
      </c>
      <c r="AW58" s="167">
        <v>918.4</v>
      </c>
      <c r="AX58" s="167">
        <v>759.5</v>
      </c>
      <c r="AY58" s="167">
        <v>759.5</v>
      </c>
      <c r="AZ58" s="168">
        <v>0</v>
      </c>
      <c r="BA58" s="167">
        <v>3927.9</v>
      </c>
      <c r="BB58" s="167">
        <v>13177.9</v>
      </c>
      <c r="BC58" s="167">
        <v>1108.5999999999999</v>
      </c>
      <c r="BD58" s="167">
        <v>16695.8</v>
      </c>
      <c r="BE58" s="167">
        <v>202.4</v>
      </c>
    </row>
    <row r="59" spans="1:57" ht="20.25" customHeight="1">
      <c r="A59" s="165" t="s">
        <v>1338</v>
      </c>
      <c r="B59" s="166" t="s">
        <v>1339</v>
      </c>
      <c r="C59" s="167">
        <v>524625.69999999995</v>
      </c>
      <c r="D59" s="167">
        <v>242483.1</v>
      </c>
      <c r="E59" s="167">
        <v>2038.4</v>
      </c>
      <c r="F59" s="167">
        <v>422.8</v>
      </c>
      <c r="G59" s="167">
        <v>1585.6</v>
      </c>
      <c r="H59" s="168">
        <v>30</v>
      </c>
      <c r="I59" s="167">
        <v>46371.7</v>
      </c>
      <c r="J59" s="167">
        <v>6745.9</v>
      </c>
      <c r="K59" s="167">
        <v>11180.4</v>
      </c>
      <c r="L59" s="167">
        <v>3822.1</v>
      </c>
      <c r="M59" s="167">
        <v>2574.4</v>
      </c>
      <c r="N59" s="167">
        <v>1247.8</v>
      </c>
      <c r="O59" s="167">
        <v>6282.2</v>
      </c>
      <c r="P59" s="167">
        <v>264.5</v>
      </c>
      <c r="Q59" s="168">
        <v>1864</v>
      </c>
      <c r="R59" s="167">
        <v>793.4</v>
      </c>
      <c r="S59" s="167">
        <v>3360.4</v>
      </c>
      <c r="T59" s="167">
        <v>4678.6000000000004</v>
      </c>
      <c r="U59" s="167">
        <v>1914.9</v>
      </c>
      <c r="V59" s="167">
        <v>2763.7</v>
      </c>
      <c r="W59" s="167">
        <v>856.5</v>
      </c>
      <c r="X59" s="167">
        <v>158.19999999999999</v>
      </c>
      <c r="Y59" s="167">
        <v>698.3</v>
      </c>
      <c r="Z59" s="168">
        <v>966</v>
      </c>
      <c r="AA59" s="167">
        <v>1158.9000000000001</v>
      </c>
      <c r="AB59" s="167">
        <v>880.7</v>
      </c>
      <c r="AC59" s="167">
        <v>278.2</v>
      </c>
      <c r="AD59" s="168">
        <v>10681</v>
      </c>
      <c r="AE59" s="167">
        <v>3228.3</v>
      </c>
      <c r="AF59" s="167">
        <v>42116.2</v>
      </c>
      <c r="AG59" s="167">
        <v>104200.3</v>
      </c>
      <c r="AH59" s="167">
        <v>79853.5</v>
      </c>
      <c r="AI59" s="167">
        <v>51009.5</v>
      </c>
      <c r="AJ59" s="167">
        <v>23202.1</v>
      </c>
      <c r="AK59" s="167">
        <v>5641.8</v>
      </c>
      <c r="AL59" s="167">
        <v>2706.3</v>
      </c>
      <c r="AM59" s="167">
        <v>388.1</v>
      </c>
      <c r="AN59" s="167">
        <v>457.1</v>
      </c>
      <c r="AO59" s="168">
        <v>1861</v>
      </c>
      <c r="AP59" s="167">
        <v>4384.5</v>
      </c>
      <c r="AQ59" s="167">
        <v>427.6</v>
      </c>
      <c r="AR59" s="167">
        <v>16828.400000000001</v>
      </c>
      <c r="AS59" s="167">
        <v>84187.8</v>
      </c>
      <c r="AT59" s="167">
        <v>43912.5</v>
      </c>
      <c r="AU59" s="167">
        <v>13915.6</v>
      </c>
      <c r="AV59" s="167">
        <v>20784.900000000001</v>
      </c>
      <c r="AW59" s="168">
        <v>9212</v>
      </c>
      <c r="AX59" s="167">
        <v>40275.300000000003</v>
      </c>
      <c r="AY59" s="167">
        <v>34615.300000000003</v>
      </c>
      <c r="AZ59" s="168">
        <v>5660</v>
      </c>
      <c r="BA59" s="167">
        <v>51638.400000000001</v>
      </c>
      <c r="BB59" s="167">
        <v>188388.1</v>
      </c>
      <c r="BC59" s="167">
        <v>24346.799999999999</v>
      </c>
      <c r="BD59" s="167">
        <v>230504.2</v>
      </c>
      <c r="BE59" s="167">
        <v>2864.5</v>
      </c>
    </row>
    <row r="60" spans="1:57" ht="20.25" customHeight="1">
      <c r="A60" s="165" t="s">
        <v>1340</v>
      </c>
      <c r="B60" s="166" t="s">
        <v>1341</v>
      </c>
      <c r="C60" s="167">
        <v>130874.1</v>
      </c>
      <c r="D60" s="167">
        <v>38590.699999999997</v>
      </c>
      <c r="E60" s="167">
        <v>1347.3</v>
      </c>
      <c r="F60" s="167">
        <v>711.3</v>
      </c>
      <c r="G60" s="167">
        <v>559.4</v>
      </c>
      <c r="H60" s="167">
        <v>76.599999999999994</v>
      </c>
      <c r="I60" s="167">
        <v>18096.8</v>
      </c>
      <c r="J60" s="167">
        <v>4170.8999999999996</v>
      </c>
      <c r="K60" s="167">
        <v>5087.8999999999996</v>
      </c>
      <c r="L60" s="167">
        <v>1392.2</v>
      </c>
      <c r="M60" s="167">
        <v>746.9</v>
      </c>
      <c r="N60" s="167">
        <v>645.4</v>
      </c>
      <c r="O60" s="167">
        <v>3019.6</v>
      </c>
      <c r="P60" s="168">
        <v>73</v>
      </c>
      <c r="Q60" s="167">
        <v>1007.8</v>
      </c>
      <c r="R60" s="167">
        <v>1350.2</v>
      </c>
      <c r="S60" s="167">
        <v>588.70000000000005</v>
      </c>
      <c r="T60" s="167">
        <v>1035.4000000000001</v>
      </c>
      <c r="U60" s="167">
        <v>479.5</v>
      </c>
      <c r="V60" s="167">
        <v>555.79999999999995</v>
      </c>
      <c r="W60" s="167">
        <v>812.2</v>
      </c>
      <c r="X60" s="167">
        <v>400.4</v>
      </c>
      <c r="Y60" s="167">
        <v>411.8</v>
      </c>
      <c r="Z60" s="168">
        <v>267</v>
      </c>
      <c r="AA60" s="168">
        <v>1108</v>
      </c>
      <c r="AB60" s="167">
        <v>788.2</v>
      </c>
      <c r="AC60" s="167">
        <v>319.8</v>
      </c>
      <c r="AD60" s="167">
        <v>1203.7</v>
      </c>
      <c r="AE60" s="167">
        <v>800.9</v>
      </c>
      <c r="AF60" s="167">
        <v>8091.5</v>
      </c>
      <c r="AG60" s="167">
        <v>43947.9</v>
      </c>
      <c r="AH60" s="167">
        <v>39090.199999999997</v>
      </c>
      <c r="AI60" s="167">
        <v>24738.2</v>
      </c>
      <c r="AJ60" s="167">
        <v>5550.5</v>
      </c>
      <c r="AK60" s="167">
        <v>8801.5</v>
      </c>
      <c r="AL60" s="167">
        <v>948.1</v>
      </c>
      <c r="AM60" s="167">
        <v>226.1</v>
      </c>
      <c r="AN60" s="168">
        <v>564</v>
      </c>
      <c r="AO60" s="167">
        <v>158.1</v>
      </c>
      <c r="AP60" s="167">
        <v>1688.8</v>
      </c>
      <c r="AQ60" s="167">
        <v>410.1</v>
      </c>
      <c r="AR60" s="167">
        <v>1810.7</v>
      </c>
      <c r="AS60" s="168">
        <v>19999</v>
      </c>
      <c r="AT60" s="167">
        <v>13684.5</v>
      </c>
      <c r="AU60" s="167">
        <v>5002.6000000000004</v>
      </c>
      <c r="AV60" s="167">
        <v>6569.6</v>
      </c>
      <c r="AW60" s="167">
        <v>2112.3000000000002</v>
      </c>
      <c r="AX60" s="167">
        <v>6314.5</v>
      </c>
      <c r="AY60" s="167">
        <v>4278.3</v>
      </c>
      <c r="AZ60" s="167">
        <v>2036.3</v>
      </c>
      <c r="BA60" s="168">
        <v>20245</v>
      </c>
      <c r="BB60" s="167">
        <v>63946.9</v>
      </c>
      <c r="BC60" s="167">
        <v>4857.7</v>
      </c>
      <c r="BD60" s="167">
        <v>72038.399999999994</v>
      </c>
      <c r="BE60" s="167">
        <v>1348.5</v>
      </c>
    </row>
    <row r="61" spans="1:57" ht="20.25" customHeight="1">
      <c r="A61" s="165" t="s">
        <v>1342</v>
      </c>
      <c r="B61" s="166" t="s">
        <v>1343</v>
      </c>
      <c r="C61" s="167">
        <v>8732.1</v>
      </c>
      <c r="D61" s="167">
        <v>1175.0999999999999</v>
      </c>
      <c r="E61" s="167">
        <v>276.89999999999998</v>
      </c>
      <c r="F61" s="167">
        <v>105.5</v>
      </c>
      <c r="G61" s="168">
        <v>131</v>
      </c>
      <c r="H61" s="167">
        <v>40.4</v>
      </c>
      <c r="I61" s="167">
        <v>581.79999999999995</v>
      </c>
      <c r="J61" s="167">
        <v>168.7</v>
      </c>
      <c r="K61" s="167">
        <v>28.5</v>
      </c>
      <c r="L61" s="167">
        <v>12.9</v>
      </c>
      <c r="M61" s="167">
        <v>0.8</v>
      </c>
      <c r="N61" s="167">
        <v>12.1</v>
      </c>
      <c r="O61" s="167">
        <v>82.8</v>
      </c>
      <c r="P61" s="167">
        <v>22.2</v>
      </c>
      <c r="Q61" s="168">
        <v>44</v>
      </c>
      <c r="R61" s="167">
        <v>10.7</v>
      </c>
      <c r="S61" s="167">
        <v>5.9</v>
      </c>
      <c r="T61" s="167">
        <v>127.7</v>
      </c>
      <c r="U61" s="167">
        <v>105.5</v>
      </c>
      <c r="V61" s="167">
        <v>22.3</v>
      </c>
      <c r="W61" s="167">
        <v>21.1</v>
      </c>
      <c r="X61" s="167">
        <v>1.4</v>
      </c>
      <c r="Y61" s="167">
        <v>19.7</v>
      </c>
      <c r="Z61" s="167">
        <v>18.600000000000001</v>
      </c>
      <c r="AA61" s="167">
        <v>21.1</v>
      </c>
      <c r="AB61" s="167">
        <v>10.4</v>
      </c>
      <c r="AC61" s="167">
        <v>10.7</v>
      </c>
      <c r="AD61" s="167">
        <v>100.5</v>
      </c>
      <c r="AE61" s="167">
        <v>230.5</v>
      </c>
      <c r="AF61" s="167">
        <v>630.9</v>
      </c>
      <c r="AG61" s="167">
        <v>3279.8</v>
      </c>
      <c r="AH61" s="167">
        <v>2232.5</v>
      </c>
      <c r="AI61" s="167">
        <v>1421.3</v>
      </c>
      <c r="AJ61" s="167">
        <v>617.5</v>
      </c>
      <c r="AK61" s="167">
        <v>193.7</v>
      </c>
      <c r="AL61" s="167">
        <v>159.69999999999999</v>
      </c>
      <c r="AM61" s="167">
        <v>28.9</v>
      </c>
      <c r="AN61" s="167">
        <v>92.2</v>
      </c>
      <c r="AO61" s="167">
        <v>38.5</v>
      </c>
      <c r="AP61" s="168">
        <v>189</v>
      </c>
      <c r="AQ61" s="167">
        <v>158.4</v>
      </c>
      <c r="AR61" s="167">
        <v>540.20000000000005</v>
      </c>
      <c r="AS61" s="167">
        <v>2557.1</v>
      </c>
      <c r="AT61" s="167">
        <v>2111.1999999999998</v>
      </c>
      <c r="AU61" s="167">
        <v>489.3</v>
      </c>
      <c r="AV61" s="167">
        <v>1109.5</v>
      </c>
      <c r="AW61" s="167">
        <v>512.4</v>
      </c>
      <c r="AX61" s="167">
        <v>445.9</v>
      </c>
      <c r="AY61" s="167">
        <v>445.9</v>
      </c>
      <c r="AZ61" s="168">
        <v>0</v>
      </c>
      <c r="BA61" s="167">
        <v>1089.2</v>
      </c>
      <c r="BB61" s="167">
        <v>5836.9</v>
      </c>
      <c r="BC61" s="167">
        <v>1047.3</v>
      </c>
      <c r="BD61" s="167">
        <v>6467.8</v>
      </c>
      <c r="BE61" s="167">
        <v>161.1</v>
      </c>
    </row>
    <row r="62" spans="1:57" ht="20.25" customHeight="1">
      <c r="A62" s="165" t="s">
        <v>1344</v>
      </c>
      <c r="B62" s="166" t="s">
        <v>1345</v>
      </c>
      <c r="C62" s="167">
        <v>14956.7</v>
      </c>
      <c r="D62" s="168">
        <v>1566</v>
      </c>
      <c r="E62" s="167">
        <v>82.2</v>
      </c>
      <c r="F62" s="167">
        <v>19.2</v>
      </c>
      <c r="G62" s="168">
        <v>38</v>
      </c>
      <c r="H62" s="167">
        <v>24.9</v>
      </c>
      <c r="I62" s="168">
        <v>2498</v>
      </c>
      <c r="J62" s="167">
        <v>320.60000000000002</v>
      </c>
      <c r="K62" s="167">
        <v>97.7</v>
      </c>
      <c r="L62" s="167">
        <v>250.4</v>
      </c>
      <c r="M62" s="167">
        <v>121.3</v>
      </c>
      <c r="N62" s="168">
        <v>129</v>
      </c>
      <c r="O62" s="167">
        <v>579.29999999999995</v>
      </c>
      <c r="P62" s="167">
        <v>26.7</v>
      </c>
      <c r="Q62" s="167">
        <v>153.9</v>
      </c>
      <c r="R62" s="168">
        <v>288</v>
      </c>
      <c r="S62" s="167">
        <v>110.8</v>
      </c>
      <c r="T62" s="167">
        <v>250.3</v>
      </c>
      <c r="U62" s="167">
        <v>103.4</v>
      </c>
      <c r="V62" s="167">
        <v>146.9</v>
      </c>
      <c r="W62" s="167">
        <v>545.70000000000005</v>
      </c>
      <c r="X62" s="167">
        <v>439.9</v>
      </c>
      <c r="Y62" s="167">
        <v>105.8</v>
      </c>
      <c r="Z62" s="168">
        <v>104</v>
      </c>
      <c r="AA62" s="167">
        <v>167.2</v>
      </c>
      <c r="AB62" s="167">
        <v>111.2</v>
      </c>
      <c r="AC62" s="168">
        <v>56</v>
      </c>
      <c r="AD62" s="167">
        <v>182.9</v>
      </c>
      <c r="AE62" s="167">
        <v>160.1</v>
      </c>
      <c r="AF62" s="167">
        <v>1173.4000000000001</v>
      </c>
      <c r="AG62" s="167">
        <v>6853.6</v>
      </c>
      <c r="AH62" s="167">
        <v>4994.8</v>
      </c>
      <c r="AI62" s="167">
        <v>2765.6</v>
      </c>
      <c r="AJ62" s="167">
        <v>689.2</v>
      </c>
      <c r="AK62" s="168">
        <v>1540</v>
      </c>
      <c r="AL62" s="167">
        <v>223.4</v>
      </c>
      <c r="AM62" s="167">
        <v>25.3</v>
      </c>
      <c r="AN62" s="167">
        <v>88.4</v>
      </c>
      <c r="AO62" s="167">
        <v>109.6</v>
      </c>
      <c r="AP62" s="167">
        <v>372.1</v>
      </c>
      <c r="AQ62" s="167">
        <v>82.1</v>
      </c>
      <c r="AR62" s="167">
        <v>1181.2</v>
      </c>
      <c r="AS62" s="167">
        <v>2623.4</v>
      </c>
      <c r="AT62" s="167">
        <v>2232.1</v>
      </c>
      <c r="AU62" s="167">
        <v>734.9</v>
      </c>
      <c r="AV62" s="167">
        <v>937.6</v>
      </c>
      <c r="AW62" s="167">
        <v>559.6</v>
      </c>
      <c r="AX62" s="167">
        <v>391.3</v>
      </c>
      <c r="AY62" s="167">
        <v>325.2</v>
      </c>
      <c r="AZ62" s="167">
        <v>66.099999999999994</v>
      </c>
      <c r="BA62" s="167">
        <v>2740.3</v>
      </c>
      <c r="BB62" s="168">
        <v>9477</v>
      </c>
      <c r="BC62" s="167">
        <v>1858.8</v>
      </c>
      <c r="BD62" s="167">
        <v>10650.4</v>
      </c>
      <c r="BE62" s="167">
        <v>663.3</v>
      </c>
    </row>
    <row r="63" spans="1:57" ht="20.25" customHeight="1">
      <c r="A63" s="165" t="s">
        <v>1346</v>
      </c>
      <c r="B63" s="166" t="s">
        <v>1347</v>
      </c>
      <c r="C63" s="167">
        <v>259.3</v>
      </c>
      <c r="D63" s="167">
        <v>2.5</v>
      </c>
      <c r="E63" s="167">
        <v>0.2</v>
      </c>
      <c r="F63" s="167">
        <v>0.1</v>
      </c>
      <c r="G63" s="167">
        <v>0.1</v>
      </c>
      <c r="H63" s="168">
        <v>0</v>
      </c>
      <c r="I63" s="167">
        <v>23.4</v>
      </c>
      <c r="J63" s="167">
        <v>3.6</v>
      </c>
      <c r="K63" s="167">
        <v>0.7</v>
      </c>
      <c r="L63" s="167">
        <v>2.1</v>
      </c>
      <c r="M63" s="167">
        <v>0.4</v>
      </c>
      <c r="N63" s="167">
        <v>1.6</v>
      </c>
      <c r="O63" s="167">
        <v>5.5</v>
      </c>
      <c r="P63" s="168">
        <v>0</v>
      </c>
      <c r="Q63" s="167">
        <v>1.9</v>
      </c>
      <c r="R63" s="167">
        <v>2.2000000000000002</v>
      </c>
      <c r="S63" s="167">
        <v>1.4</v>
      </c>
      <c r="T63" s="167">
        <v>1.6</v>
      </c>
      <c r="U63" s="168">
        <v>0</v>
      </c>
      <c r="V63" s="167">
        <v>1.6</v>
      </c>
      <c r="W63" s="167">
        <v>2.6</v>
      </c>
      <c r="X63" s="167">
        <v>2.1</v>
      </c>
      <c r="Y63" s="167">
        <v>0.5</v>
      </c>
      <c r="Z63" s="167">
        <v>0.2</v>
      </c>
      <c r="AA63" s="167">
        <v>1.3</v>
      </c>
      <c r="AB63" s="168">
        <v>0</v>
      </c>
      <c r="AC63" s="167">
        <v>1.3</v>
      </c>
      <c r="AD63" s="167">
        <v>5.9</v>
      </c>
      <c r="AE63" s="167">
        <v>2.2000000000000002</v>
      </c>
      <c r="AF63" s="167">
        <v>16.2</v>
      </c>
      <c r="AG63" s="167">
        <v>138.6</v>
      </c>
      <c r="AH63" s="167">
        <v>68.5</v>
      </c>
      <c r="AI63" s="168">
        <v>36</v>
      </c>
      <c r="AJ63" s="167">
        <v>13.7</v>
      </c>
      <c r="AK63" s="167">
        <v>18.899999999999999</v>
      </c>
      <c r="AL63" s="167">
        <v>10.6</v>
      </c>
      <c r="AM63" s="167">
        <v>1.3</v>
      </c>
      <c r="AN63" s="167">
        <v>3.4</v>
      </c>
      <c r="AO63" s="167">
        <v>5.9</v>
      </c>
      <c r="AP63" s="167">
        <v>12.9</v>
      </c>
      <c r="AQ63" s="167">
        <v>3.1</v>
      </c>
      <c r="AR63" s="167">
        <v>43.5</v>
      </c>
      <c r="AS63" s="167">
        <v>76.3</v>
      </c>
      <c r="AT63" s="167">
        <v>58.7</v>
      </c>
      <c r="AU63" s="167">
        <v>18.2</v>
      </c>
      <c r="AV63" s="168">
        <v>20</v>
      </c>
      <c r="AW63" s="167">
        <v>20.6</v>
      </c>
      <c r="AX63" s="167">
        <v>17.5</v>
      </c>
      <c r="AY63" s="167">
        <v>16.7</v>
      </c>
      <c r="AZ63" s="167">
        <v>0.9</v>
      </c>
      <c r="BA63" s="167">
        <v>25.8</v>
      </c>
      <c r="BB63" s="167">
        <v>214.8</v>
      </c>
      <c r="BC63" s="167">
        <v>70.099999999999994</v>
      </c>
      <c r="BD63" s="168">
        <v>231</v>
      </c>
      <c r="BE63" s="167">
        <v>12.7</v>
      </c>
    </row>
    <row r="64" spans="1:57" ht="20.25" customHeight="1">
      <c r="A64" s="165" t="s">
        <v>1348</v>
      </c>
      <c r="B64" s="166" t="s">
        <v>1349</v>
      </c>
      <c r="C64" s="167">
        <v>15736.9</v>
      </c>
      <c r="D64" s="167">
        <v>5304.4</v>
      </c>
      <c r="E64" s="167">
        <v>147.1</v>
      </c>
      <c r="F64" s="167">
        <v>8.1</v>
      </c>
      <c r="G64" s="168">
        <v>124</v>
      </c>
      <c r="H64" s="168">
        <v>15</v>
      </c>
      <c r="I64" s="167">
        <v>1289.4000000000001</v>
      </c>
      <c r="J64" s="168">
        <v>382</v>
      </c>
      <c r="K64" s="167">
        <v>394.2</v>
      </c>
      <c r="L64" s="167">
        <v>82.8</v>
      </c>
      <c r="M64" s="167">
        <v>52.2</v>
      </c>
      <c r="N64" s="167">
        <v>30.7</v>
      </c>
      <c r="O64" s="167">
        <v>116.8</v>
      </c>
      <c r="P64" s="167">
        <v>4.8</v>
      </c>
      <c r="Q64" s="168">
        <v>32</v>
      </c>
      <c r="R64" s="167">
        <v>25.5</v>
      </c>
      <c r="S64" s="167">
        <v>54.6</v>
      </c>
      <c r="T64" s="167">
        <v>115.1</v>
      </c>
      <c r="U64" s="167">
        <v>11.1</v>
      </c>
      <c r="V64" s="168">
        <v>104</v>
      </c>
      <c r="W64" s="167">
        <v>9.6999999999999993</v>
      </c>
      <c r="X64" s="167">
        <v>0.3</v>
      </c>
      <c r="Y64" s="167">
        <v>9.4</v>
      </c>
      <c r="Z64" s="167">
        <v>14.1</v>
      </c>
      <c r="AA64" s="167">
        <v>11.7</v>
      </c>
      <c r="AB64" s="168">
        <v>7</v>
      </c>
      <c r="AC64" s="167">
        <v>4.5999999999999996</v>
      </c>
      <c r="AD64" s="167">
        <v>162.9</v>
      </c>
      <c r="AE64" s="167">
        <v>88.3</v>
      </c>
      <c r="AF64" s="167">
        <v>954.7</v>
      </c>
      <c r="AG64" s="167">
        <v>5602.4</v>
      </c>
      <c r="AH64" s="167">
        <v>4719.8</v>
      </c>
      <c r="AI64" s="167">
        <v>2761.1</v>
      </c>
      <c r="AJ64" s="167">
        <v>1059.8</v>
      </c>
      <c r="AK64" s="168">
        <v>899</v>
      </c>
      <c r="AL64" s="167">
        <v>98.8</v>
      </c>
      <c r="AM64" s="167">
        <v>27.7</v>
      </c>
      <c r="AN64" s="167">
        <v>51.3</v>
      </c>
      <c r="AO64" s="167">
        <v>19.7</v>
      </c>
      <c r="AP64" s="167">
        <v>123.1</v>
      </c>
      <c r="AQ64" s="167">
        <v>20.3</v>
      </c>
      <c r="AR64" s="167">
        <v>640.5</v>
      </c>
      <c r="AS64" s="167">
        <v>2350.6999999999998</v>
      </c>
      <c r="AT64" s="167">
        <v>1640.9</v>
      </c>
      <c r="AU64" s="167">
        <v>620.5</v>
      </c>
      <c r="AV64" s="167">
        <v>658.4</v>
      </c>
      <c r="AW64" s="167">
        <v>362.1</v>
      </c>
      <c r="AX64" s="167">
        <v>709.8</v>
      </c>
      <c r="AY64" s="167">
        <v>456.3</v>
      </c>
      <c r="AZ64" s="167">
        <v>253.5</v>
      </c>
      <c r="BA64" s="167">
        <v>1524.8</v>
      </c>
      <c r="BB64" s="167">
        <v>7953.1</v>
      </c>
      <c r="BC64" s="167">
        <v>882.6</v>
      </c>
      <c r="BD64" s="167">
        <v>8907.7000000000007</v>
      </c>
      <c r="BE64" s="167">
        <v>99.1</v>
      </c>
    </row>
    <row r="65" spans="1:57" ht="20.25" customHeight="1">
      <c r="A65" s="165" t="s">
        <v>1350</v>
      </c>
      <c r="B65" s="166" t="s">
        <v>1351</v>
      </c>
      <c r="C65" s="167">
        <v>37723.699999999997</v>
      </c>
      <c r="D65" s="167">
        <v>9753.7000000000007</v>
      </c>
      <c r="E65" s="168">
        <v>184</v>
      </c>
      <c r="F65" s="167">
        <v>5.9</v>
      </c>
      <c r="G65" s="168">
        <v>175</v>
      </c>
      <c r="H65" s="167">
        <v>3.1</v>
      </c>
      <c r="I65" s="167">
        <v>3183.7</v>
      </c>
      <c r="J65" s="167">
        <v>954.6</v>
      </c>
      <c r="K65" s="167">
        <v>493.5</v>
      </c>
      <c r="L65" s="167">
        <v>400.3</v>
      </c>
      <c r="M65" s="167">
        <v>256.60000000000002</v>
      </c>
      <c r="N65" s="167">
        <v>143.6</v>
      </c>
      <c r="O65" s="167">
        <v>293.60000000000002</v>
      </c>
      <c r="P65" s="167">
        <v>6.4</v>
      </c>
      <c r="Q65" s="167">
        <v>85.5</v>
      </c>
      <c r="R65" s="167">
        <v>100.3</v>
      </c>
      <c r="S65" s="167">
        <v>101.4</v>
      </c>
      <c r="T65" s="167">
        <v>172.2</v>
      </c>
      <c r="U65" s="167">
        <v>44.5</v>
      </c>
      <c r="V65" s="167">
        <v>127.7</v>
      </c>
      <c r="W65" s="167">
        <v>498.2</v>
      </c>
      <c r="X65" s="167">
        <v>403.5</v>
      </c>
      <c r="Y65" s="167">
        <v>94.7</v>
      </c>
      <c r="Z65" s="167">
        <v>39.6</v>
      </c>
      <c r="AA65" s="167">
        <v>68.7</v>
      </c>
      <c r="AB65" s="167">
        <v>40.5</v>
      </c>
      <c r="AC65" s="167">
        <v>28.2</v>
      </c>
      <c r="AD65" s="168">
        <v>263</v>
      </c>
      <c r="AE65" s="167">
        <v>139.1</v>
      </c>
      <c r="AF65" s="167">
        <v>3699.6</v>
      </c>
      <c r="AG65" s="167">
        <v>15448.1</v>
      </c>
      <c r="AH65" s="167">
        <v>12481.5</v>
      </c>
      <c r="AI65" s="167">
        <v>8081.1</v>
      </c>
      <c r="AJ65" s="167">
        <v>2932.3</v>
      </c>
      <c r="AK65" s="167">
        <v>1468.2</v>
      </c>
      <c r="AL65" s="167">
        <v>349.6</v>
      </c>
      <c r="AM65" s="167">
        <v>43.9</v>
      </c>
      <c r="AN65" s="167">
        <v>156.6</v>
      </c>
      <c r="AO65" s="167">
        <v>149.1</v>
      </c>
      <c r="AP65" s="167">
        <v>555.79999999999995</v>
      </c>
      <c r="AQ65" s="168">
        <v>192</v>
      </c>
      <c r="AR65" s="167">
        <v>1869.2</v>
      </c>
      <c r="AS65" s="167">
        <v>5315.6</v>
      </c>
      <c r="AT65" s="167">
        <v>4391.8</v>
      </c>
      <c r="AU65" s="167">
        <v>2563.3000000000002</v>
      </c>
      <c r="AV65" s="167">
        <v>1286.0999999999999</v>
      </c>
      <c r="AW65" s="167">
        <v>542.4</v>
      </c>
      <c r="AX65" s="167">
        <v>923.9</v>
      </c>
      <c r="AY65" s="167">
        <v>923.9</v>
      </c>
      <c r="AZ65" s="168">
        <v>0</v>
      </c>
      <c r="BA65" s="167">
        <v>3506.8</v>
      </c>
      <c r="BB65" s="167">
        <v>20763.7</v>
      </c>
      <c r="BC65" s="167">
        <v>2966.6</v>
      </c>
      <c r="BD65" s="167">
        <v>24463.3</v>
      </c>
      <c r="BE65" s="167">
        <v>753.2</v>
      </c>
    </row>
    <row r="66" spans="1:57" ht="20.25" customHeight="1">
      <c r="A66" s="165" t="s">
        <v>1352</v>
      </c>
      <c r="B66" s="166" t="s">
        <v>1353</v>
      </c>
      <c r="C66" s="167">
        <v>8472.1</v>
      </c>
      <c r="D66" s="167">
        <v>1827.3</v>
      </c>
      <c r="E66" s="168">
        <v>60</v>
      </c>
      <c r="F66" s="167">
        <v>46.4</v>
      </c>
      <c r="G66" s="168">
        <v>10</v>
      </c>
      <c r="H66" s="167">
        <v>3.6</v>
      </c>
      <c r="I66" s="167">
        <v>1485.4</v>
      </c>
      <c r="J66" s="167">
        <v>217.7</v>
      </c>
      <c r="K66" s="167">
        <v>291.2</v>
      </c>
      <c r="L66" s="168">
        <v>83</v>
      </c>
      <c r="M66" s="167">
        <v>62.5</v>
      </c>
      <c r="N66" s="167">
        <v>20.5</v>
      </c>
      <c r="O66" s="167">
        <v>151.1</v>
      </c>
      <c r="P66" s="167">
        <v>9.4</v>
      </c>
      <c r="Q66" s="167">
        <v>31.8</v>
      </c>
      <c r="R66" s="167">
        <v>65.599999999999994</v>
      </c>
      <c r="S66" s="167">
        <v>44.3</v>
      </c>
      <c r="T66" s="167">
        <v>141.1</v>
      </c>
      <c r="U66" s="167">
        <v>41.3</v>
      </c>
      <c r="V66" s="167">
        <v>99.8</v>
      </c>
      <c r="W66" s="167">
        <v>146.4</v>
      </c>
      <c r="X66" s="168">
        <v>58</v>
      </c>
      <c r="Y66" s="167">
        <v>88.4</v>
      </c>
      <c r="Z66" s="167">
        <v>61.2</v>
      </c>
      <c r="AA66" s="167">
        <v>256.5</v>
      </c>
      <c r="AB66" s="168">
        <v>198</v>
      </c>
      <c r="AC66" s="167">
        <v>58.5</v>
      </c>
      <c r="AD66" s="167">
        <v>137.19999999999999</v>
      </c>
      <c r="AE66" s="167">
        <v>210.9</v>
      </c>
      <c r="AF66" s="167">
        <v>737.1</v>
      </c>
      <c r="AG66" s="167">
        <v>2735.8</v>
      </c>
      <c r="AH66" s="167">
        <v>2018.4</v>
      </c>
      <c r="AI66" s="167">
        <v>1281.9000000000001</v>
      </c>
      <c r="AJ66" s="167">
        <v>535.1</v>
      </c>
      <c r="AK66" s="167">
        <v>201.4</v>
      </c>
      <c r="AL66" s="167">
        <v>188.9</v>
      </c>
      <c r="AM66" s="167">
        <v>27.1</v>
      </c>
      <c r="AN66" s="167">
        <v>53.2</v>
      </c>
      <c r="AO66" s="167">
        <v>108.6</v>
      </c>
      <c r="AP66" s="167">
        <v>104.5</v>
      </c>
      <c r="AQ66" s="167">
        <v>29.7</v>
      </c>
      <c r="AR66" s="167">
        <v>394.3</v>
      </c>
      <c r="AS66" s="167">
        <v>1415.6</v>
      </c>
      <c r="AT66" s="167">
        <v>1177.8</v>
      </c>
      <c r="AU66" s="167">
        <v>422.3</v>
      </c>
      <c r="AV66" s="167">
        <v>344.7</v>
      </c>
      <c r="AW66" s="167">
        <v>410.8</v>
      </c>
      <c r="AX66" s="167">
        <v>237.8</v>
      </c>
      <c r="AY66" s="167">
        <v>237.8</v>
      </c>
      <c r="AZ66" s="168">
        <v>0</v>
      </c>
      <c r="BA66" s="167">
        <v>1756.3</v>
      </c>
      <c r="BB66" s="167">
        <v>4151.3999999999996</v>
      </c>
      <c r="BC66" s="167">
        <v>717.4</v>
      </c>
      <c r="BD66" s="167">
        <v>4888.5</v>
      </c>
      <c r="BE66" s="167">
        <v>246.9</v>
      </c>
    </row>
    <row r="67" spans="1:57" ht="20.25" customHeight="1">
      <c r="A67" s="165" t="s">
        <v>1354</v>
      </c>
      <c r="B67" s="166" t="s">
        <v>1355</v>
      </c>
      <c r="C67" s="168">
        <v>70340</v>
      </c>
      <c r="D67" s="168">
        <v>4206</v>
      </c>
      <c r="E67" s="167">
        <v>1611.5</v>
      </c>
      <c r="F67" s="167">
        <v>928.3</v>
      </c>
      <c r="G67" s="167">
        <v>614.70000000000005</v>
      </c>
      <c r="H67" s="167">
        <v>68.599999999999994</v>
      </c>
      <c r="I67" s="167">
        <v>9941.6</v>
      </c>
      <c r="J67" s="168">
        <v>1582</v>
      </c>
      <c r="K67" s="167">
        <v>232.2</v>
      </c>
      <c r="L67" s="167">
        <v>467.5</v>
      </c>
      <c r="M67" s="167">
        <v>208.4</v>
      </c>
      <c r="N67" s="167">
        <v>259.10000000000002</v>
      </c>
      <c r="O67" s="167">
        <v>1815.7</v>
      </c>
      <c r="P67" s="167">
        <v>244.7</v>
      </c>
      <c r="Q67" s="167">
        <v>754.5</v>
      </c>
      <c r="R67" s="167">
        <v>260.5</v>
      </c>
      <c r="S67" s="167">
        <v>556.1</v>
      </c>
      <c r="T67" s="167">
        <v>1896.3</v>
      </c>
      <c r="U67" s="167">
        <v>1011.7</v>
      </c>
      <c r="V67" s="167">
        <v>884.5</v>
      </c>
      <c r="W67" s="167">
        <v>1104.5999999999999</v>
      </c>
      <c r="X67" s="167">
        <v>723.9</v>
      </c>
      <c r="Y67" s="167">
        <v>380.7</v>
      </c>
      <c r="Z67" s="167">
        <v>616.70000000000005</v>
      </c>
      <c r="AA67" s="167">
        <v>1681.8</v>
      </c>
      <c r="AB67" s="168">
        <v>500</v>
      </c>
      <c r="AC67" s="167">
        <v>1181.8</v>
      </c>
      <c r="AD67" s="167">
        <v>544.79999999999995</v>
      </c>
      <c r="AE67" s="167">
        <v>2468.6999999999998</v>
      </c>
      <c r="AF67" s="168">
        <v>4716</v>
      </c>
      <c r="AG67" s="167">
        <v>27200.9</v>
      </c>
      <c r="AH67" s="167">
        <v>18842.2</v>
      </c>
      <c r="AI67" s="167">
        <v>11052.8</v>
      </c>
      <c r="AJ67" s="167">
        <v>6127.5</v>
      </c>
      <c r="AK67" s="167">
        <v>1661.9</v>
      </c>
      <c r="AL67" s="167">
        <v>1325.1</v>
      </c>
      <c r="AM67" s="167">
        <v>232.4</v>
      </c>
      <c r="AN67" s="167">
        <v>614.20000000000005</v>
      </c>
      <c r="AO67" s="167">
        <v>478.5</v>
      </c>
      <c r="AP67" s="167">
        <v>1531.9</v>
      </c>
      <c r="AQ67" s="167">
        <v>1254.8</v>
      </c>
      <c r="AR67" s="167">
        <v>4246.8999999999996</v>
      </c>
      <c r="AS67" s="167">
        <v>20195.400000000001</v>
      </c>
      <c r="AT67" s="167">
        <v>17110.8</v>
      </c>
      <c r="AU67" s="167">
        <v>4982.6000000000004</v>
      </c>
      <c r="AV67" s="167">
        <v>6660.7</v>
      </c>
      <c r="AW67" s="167">
        <v>5467.5</v>
      </c>
      <c r="AX67" s="167">
        <v>3084.6</v>
      </c>
      <c r="AY67" s="167">
        <v>2219.9</v>
      </c>
      <c r="AZ67" s="167">
        <v>864.7</v>
      </c>
      <c r="BA67" s="167">
        <v>14021.8</v>
      </c>
      <c r="BB67" s="167">
        <v>47396.3</v>
      </c>
      <c r="BC67" s="167">
        <v>8358.7000000000007</v>
      </c>
      <c r="BD67" s="167">
        <v>52112.2</v>
      </c>
      <c r="BE67" s="168">
        <v>2049</v>
      </c>
    </row>
    <row r="68" spans="1:57" ht="20.25" customHeight="1">
      <c r="A68" s="165" t="s">
        <v>1356</v>
      </c>
      <c r="B68" s="166" t="s">
        <v>1357</v>
      </c>
      <c r="C68" s="167">
        <v>12118.7</v>
      </c>
      <c r="D68" s="167">
        <v>677.4</v>
      </c>
      <c r="E68" s="168">
        <v>166</v>
      </c>
      <c r="F68" s="167">
        <v>105.1</v>
      </c>
      <c r="G68" s="168">
        <v>27</v>
      </c>
      <c r="H68" s="167">
        <v>33.9</v>
      </c>
      <c r="I68" s="168">
        <v>933</v>
      </c>
      <c r="J68" s="167">
        <v>138.1</v>
      </c>
      <c r="K68" s="167">
        <v>104.5</v>
      </c>
      <c r="L68" s="167">
        <v>61.7</v>
      </c>
      <c r="M68" s="167">
        <v>27.2</v>
      </c>
      <c r="N68" s="167">
        <v>34.5</v>
      </c>
      <c r="O68" s="167">
        <v>264.89999999999998</v>
      </c>
      <c r="P68" s="167">
        <v>35.1</v>
      </c>
      <c r="Q68" s="167">
        <v>87.7</v>
      </c>
      <c r="R68" s="167">
        <v>25.1</v>
      </c>
      <c r="S68" s="167">
        <v>117.1</v>
      </c>
      <c r="T68" s="168">
        <v>177</v>
      </c>
      <c r="U68" s="168">
        <v>45</v>
      </c>
      <c r="V68" s="168">
        <v>132</v>
      </c>
      <c r="W68" s="167">
        <v>24.3</v>
      </c>
      <c r="X68" s="167">
        <v>2.7</v>
      </c>
      <c r="Y68" s="167">
        <v>21.6</v>
      </c>
      <c r="Z68" s="167">
        <v>25.2</v>
      </c>
      <c r="AA68" s="167">
        <v>10.3</v>
      </c>
      <c r="AB68" s="167">
        <v>7.6</v>
      </c>
      <c r="AC68" s="167">
        <v>2.8</v>
      </c>
      <c r="AD68" s="167">
        <v>126.9</v>
      </c>
      <c r="AE68" s="167">
        <v>140.80000000000001</v>
      </c>
      <c r="AF68" s="167">
        <v>1598.8</v>
      </c>
      <c r="AG68" s="167">
        <v>3510.4</v>
      </c>
      <c r="AH68" s="167">
        <v>2387.8000000000002</v>
      </c>
      <c r="AI68" s="167">
        <v>1604.7</v>
      </c>
      <c r="AJ68" s="167">
        <v>425.4</v>
      </c>
      <c r="AK68" s="167">
        <v>357.8</v>
      </c>
      <c r="AL68" s="167">
        <v>122.7</v>
      </c>
      <c r="AM68" s="167">
        <v>20.8</v>
      </c>
      <c r="AN68" s="167">
        <v>89.1</v>
      </c>
      <c r="AO68" s="167">
        <v>12.8</v>
      </c>
      <c r="AP68" s="167">
        <v>136.6</v>
      </c>
      <c r="AQ68" s="167">
        <v>467.7</v>
      </c>
      <c r="AR68" s="167">
        <v>395.6</v>
      </c>
      <c r="AS68" s="167">
        <v>5092.2</v>
      </c>
      <c r="AT68" s="167">
        <v>3760.4</v>
      </c>
      <c r="AU68" s="167">
        <v>1995.4</v>
      </c>
      <c r="AV68" s="167">
        <v>1065.7</v>
      </c>
      <c r="AW68" s="167">
        <v>699.3</v>
      </c>
      <c r="AX68" s="167">
        <v>1331.7</v>
      </c>
      <c r="AY68" s="167">
        <v>382.9</v>
      </c>
      <c r="AZ68" s="167">
        <v>948.9</v>
      </c>
      <c r="BA68" s="167">
        <v>1239.9000000000001</v>
      </c>
      <c r="BB68" s="167">
        <v>8602.6</v>
      </c>
      <c r="BC68" s="167">
        <v>1122.5999999999999</v>
      </c>
      <c r="BD68" s="167">
        <v>10201.4</v>
      </c>
      <c r="BE68" s="167">
        <v>125.4</v>
      </c>
    </row>
    <row r="69" spans="1:57" ht="20.25" customHeight="1">
      <c r="A69" s="165" t="s">
        <v>1358</v>
      </c>
      <c r="B69" s="166" t="s">
        <v>1359</v>
      </c>
      <c r="C69" s="167">
        <v>3602.8</v>
      </c>
      <c r="D69" s="167">
        <v>9.1999999999999993</v>
      </c>
      <c r="E69" s="168">
        <v>0</v>
      </c>
      <c r="F69" s="168">
        <v>0</v>
      </c>
      <c r="G69" s="168">
        <v>0</v>
      </c>
      <c r="H69" s="168">
        <v>0</v>
      </c>
      <c r="I69" s="167">
        <v>451.3</v>
      </c>
      <c r="J69" s="168">
        <v>50</v>
      </c>
      <c r="K69" s="167">
        <v>2.2999999999999998</v>
      </c>
      <c r="L69" s="167">
        <v>18.5</v>
      </c>
      <c r="M69" s="167">
        <v>2.9</v>
      </c>
      <c r="N69" s="167">
        <v>15.6</v>
      </c>
      <c r="O69" s="167">
        <v>74.5</v>
      </c>
      <c r="P69" s="167">
        <v>8.5</v>
      </c>
      <c r="Q69" s="167">
        <v>50.3</v>
      </c>
      <c r="R69" s="168">
        <v>11</v>
      </c>
      <c r="S69" s="167">
        <v>4.7</v>
      </c>
      <c r="T69" s="168">
        <v>29</v>
      </c>
      <c r="U69" s="167">
        <v>2.5</v>
      </c>
      <c r="V69" s="167">
        <v>26.5</v>
      </c>
      <c r="W69" s="167">
        <v>92.4</v>
      </c>
      <c r="X69" s="167">
        <v>83.2</v>
      </c>
      <c r="Y69" s="167">
        <v>9.1999999999999993</v>
      </c>
      <c r="Z69" s="167">
        <v>63.4</v>
      </c>
      <c r="AA69" s="167">
        <v>83.6</v>
      </c>
      <c r="AB69" s="167">
        <v>3.9</v>
      </c>
      <c r="AC69" s="167">
        <v>79.7</v>
      </c>
      <c r="AD69" s="167">
        <v>37.5</v>
      </c>
      <c r="AE69" s="167">
        <v>16.2</v>
      </c>
      <c r="AF69" s="167">
        <v>403.6</v>
      </c>
      <c r="AG69" s="167">
        <v>1887.2</v>
      </c>
      <c r="AH69" s="168">
        <v>961</v>
      </c>
      <c r="AI69" s="167">
        <v>459.8</v>
      </c>
      <c r="AJ69" s="167">
        <v>253.5</v>
      </c>
      <c r="AK69" s="167">
        <v>247.7</v>
      </c>
      <c r="AL69" s="167">
        <v>157.6</v>
      </c>
      <c r="AM69" s="167">
        <v>22.5</v>
      </c>
      <c r="AN69" s="167">
        <v>17.5</v>
      </c>
      <c r="AO69" s="167">
        <v>117.6</v>
      </c>
      <c r="AP69" s="167">
        <v>204.2</v>
      </c>
      <c r="AQ69" s="167">
        <v>74.400000000000006</v>
      </c>
      <c r="AR69" s="168">
        <v>490</v>
      </c>
      <c r="AS69" s="167">
        <v>835.3</v>
      </c>
      <c r="AT69" s="167">
        <v>438.7</v>
      </c>
      <c r="AU69" s="167">
        <v>222.7</v>
      </c>
      <c r="AV69" s="167">
        <v>38.9</v>
      </c>
      <c r="AW69" s="167">
        <v>177.1</v>
      </c>
      <c r="AX69" s="167">
        <v>396.6</v>
      </c>
      <c r="AY69" s="168">
        <v>204</v>
      </c>
      <c r="AZ69" s="167">
        <v>192.6</v>
      </c>
      <c r="BA69" s="167">
        <v>467.5</v>
      </c>
      <c r="BB69" s="167">
        <v>2722.5</v>
      </c>
      <c r="BC69" s="167">
        <v>926.2</v>
      </c>
      <c r="BD69" s="167">
        <v>3126.1</v>
      </c>
      <c r="BE69" s="167">
        <v>240.8</v>
      </c>
    </row>
    <row r="70" spans="1:57" ht="20.25" customHeight="1">
      <c r="A70" s="165" t="s">
        <v>1360</v>
      </c>
      <c r="B70" s="166" t="s">
        <v>1361</v>
      </c>
      <c r="C70" s="168">
        <v>15247</v>
      </c>
      <c r="D70" s="167">
        <v>837.7</v>
      </c>
      <c r="E70" s="167">
        <v>420.6</v>
      </c>
      <c r="F70" s="167">
        <v>67.599999999999994</v>
      </c>
      <c r="G70" s="167">
        <v>337.6</v>
      </c>
      <c r="H70" s="167">
        <v>15.4</v>
      </c>
      <c r="I70" s="168">
        <v>1522</v>
      </c>
      <c r="J70" s="167">
        <v>361.1</v>
      </c>
      <c r="K70" s="167">
        <v>211.6</v>
      </c>
      <c r="L70" s="167">
        <v>134.30000000000001</v>
      </c>
      <c r="M70" s="167">
        <v>41.1</v>
      </c>
      <c r="N70" s="167">
        <v>93.2</v>
      </c>
      <c r="O70" s="168">
        <v>337</v>
      </c>
      <c r="P70" s="167">
        <v>50.5</v>
      </c>
      <c r="Q70" s="168">
        <v>121</v>
      </c>
      <c r="R70" s="167">
        <v>69.599999999999994</v>
      </c>
      <c r="S70" s="167">
        <v>95.9</v>
      </c>
      <c r="T70" s="167">
        <v>204.5</v>
      </c>
      <c r="U70" s="167">
        <v>73.099999999999994</v>
      </c>
      <c r="V70" s="167">
        <v>131.4</v>
      </c>
      <c r="W70" s="167">
        <v>63.9</v>
      </c>
      <c r="X70" s="167">
        <v>26.5</v>
      </c>
      <c r="Y70" s="167">
        <v>37.4</v>
      </c>
      <c r="Z70" s="167">
        <v>57.3</v>
      </c>
      <c r="AA70" s="167">
        <v>89.5</v>
      </c>
      <c r="AB70" s="167">
        <v>80.8</v>
      </c>
      <c r="AC70" s="167">
        <v>8.6999999999999993</v>
      </c>
      <c r="AD70" s="167">
        <v>62.8</v>
      </c>
      <c r="AE70" s="167">
        <v>123.3</v>
      </c>
      <c r="AF70" s="167">
        <v>1176.8</v>
      </c>
      <c r="AG70" s="167">
        <v>6446.2</v>
      </c>
      <c r="AH70" s="167">
        <v>3920.2</v>
      </c>
      <c r="AI70" s="167">
        <v>2566.4</v>
      </c>
      <c r="AJ70" s="167">
        <v>861.1</v>
      </c>
      <c r="AK70" s="167">
        <v>492.7</v>
      </c>
      <c r="AL70" s="167">
        <v>237.2</v>
      </c>
      <c r="AM70" s="167">
        <v>44.6</v>
      </c>
      <c r="AN70" s="167">
        <v>76.099999999999994</v>
      </c>
      <c r="AO70" s="167">
        <v>116.5</v>
      </c>
      <c r="AP70" s="167">
        <v>399.5</v>
      </c>
      <c r="AQ70" s="167">
        <v>134.30000000000001</v>
      </c>
      <c r="AR70" s="168">
        <v>1755</v>
      </c>
      <c r="AS70" s="167">
        <v>4720.3999999999996</v>
      </c>
      <c r="AT70" s="168">
        <v>2760</v>
      </c>
      <c r="AU70" s="167">
        <v>815.2</v>
      </c>
      <c r="AV70" s="167">
        <v>967.4</v>
      </c>
      <c r="AW70" s="167">
        <v>977.4</v>
      </c>
      <c r="AX70" s="167">
        <v>1960.4</v>
      </c>
      <c r="AY70" s="167">
        <v>782.3</v>
      </c>
      <c r="AZ70" s="167">
        <v>1178.0999999999999</v>
      </c>
      <c r="BA70" s="167">
        <v>2065.9</v>
      </c>
      <c r="BB70" s="167">
        <v>11166.6</v>
      </c>
      <c r="BC70" s="168">
        <v>2526</v>
      </c>
      <c r="BD70" s="167">
        <v>12343.4</v>
      </c>
      <c r="BE70" s="167">
        <v>263.7</v>
      </c>
    </row>
    <row r="71" spans="1:57" ht="20.25" customHeight="1">
      <c r="A71" s="165" t="s">
        <v>1362</v>
      </c>
      <c r="B71" s="166" t="s">
        <v>1363</v>
      </c>
      <c r="C71" s="168">
        <v>11504</v>
      </c>
      <c r="D71" s="168">
        <v>548</v>
      </c>
      <c r="E71" s="168">
        <v>4</v>
      </c>
      <c r="F71" s="167">
        <v>1.3</v>
      </c>
      <c r="G71" s="167">
        <v>1.7</v>
      </c>
      <c r="H71" s="168">
        <v>1</v>
      </c>
      <c r="I71" s="168">
        <v>3041</v>
      </c>
      <c r="J71" s="167">
        <v>160.19999999999999</v>
      </c>
      <c r="K71" s="167">
        <v>167.1</v>
      </c>
      <c r="L71" s="167">
        <v>131.80000000000001</v>
      </c>
      <c r="M71" s="167">
        <v>17.600000000000001</v>
      </c>
      <c r="N71" s="167">
        <v>114.2</v>
      </c>
      <c r="O71" s="167">
        <v>444.8</v>
      </c>
      <c r="P71" s="167">
        <v>12.3</v>
      </c>
      <c r="Q71" s="167">
        <v>164.8</v>
      </c>
      <c r="R71" s="167">
        <v>191.5</v>
      </c>
      <c r="S71" s="167">
        <v>76.2</v>
      </c>
      <c r="T71" s="167">
        <v>490.5</v>
      </c>
      <c r="U71" s="167">
        <v>119.7</v>
      </c>
      <c r="V71" s="167">
        <v>370.8</v>
      </c>
      <c r="W71" s="167">
        <v>1052.2</v>
      </c>
      <c r="X71" s="167">
        <v>918.8</v>
      </c>
      <c r="Y71" s="167">
        <v>133.4</v>
      </c>
      <c r="Z71" s="167">
        <v>251.2</v>
      </c>
      <c r="AA71" s="167">
        <v>170.1</v>
      </c>
      <c r="AB71" s="168">
        <v>89</v>
      </c>
      <c r="AC71" s="167">
        <v>81.099999999999994</v>
      </c>
      <c r="AD71" s="167">
        <v>173.1</v>
      </c>
      <c r="AE71" s="168">
        <v>117</v>
      </c>
      <c r="AF71" s="168">
        <v>915</v>
      </c>
      <c r="AG71" s="168">
        <v>4694</v>
      </c>
      <c r="AH71" s="168">
        <v>3208</v>
      </c>
      <c r="AI71" s="168">
        <v>1899</v>
      </c>
      <c r="AJ71" s="168">
        <v>455</v>
      </c>
      <c r="AK71" s="168">
        <v>854</v>
      </c>
      <c r="AL71" s="168">
        <v>266</v>
      </c>
      <c r="AM71" s="167">
        <v>68.2</v>
      </c>
      <c r="AN71" s="167">
        <v>89.9</v>
      </c>
      <c r="AO71" s="167">
        <v>107.9</v>
      </c>
      <c r="AP71" s="168">
        <v>434</v>
      </c>
      <c r="AQ71" s="168">
        <v>106</v>
      </c>
      <c r="AR71" s="168">
        <v>680</v>
      </c>
      <c r="AS71" s="168">
        <v>2185</v>
      </c>
      <c r="AT71" s="168">
        <v>1505</v>
      </c>
      <c r="AU71" s="168">
        <v>374</v>
      </c>
      <c r="AV71" s="168">
        <v>657</v>
      </c>
      <c r="AW71" s="168">
        <v>474</v>
      </c>
      <c r="AX71" s="168">
        <v>680</v>
      </c>
      <c r="AY71" s="167">
        <v>526.5</v>
      </c>
      <c r="AZ71" s="167">
        <v>153.5</v>
      </c>
      <c r="BA71" s="168">
        <v>3162</v>
      </c>
      <c r="BB71" s="168">
        <v>6879</v>
      </c>
      <c r="BC71" s="168">
        <v>1486</v>
      </c>
      <c r="BD71" s="168">
        <v>7794</v>
      </c>
      <c r="BE71" s="167">
        <v>1184.8</v>
      </c>
    </row>
    <row r="72" spans="1:57" ht="20.25" customHeight="1">
      <c r="A72" s="165" t="s">
        <v>1364</v>
      </c>
      <c r="B72" s="166" t="s">
        <v>1365</v>
      </c>
      <c r="C72" s="168">
        <v>37680</v>
      </c>
      <c r="D72" s="167">
        <v>11828.3</v>
      </c>
      <c r="E72" s="167">
        <v>74.599999999999994</v>
      </c>
      <c r="F72" s="168">
        <v>15</v>
      </c>
      <c r="G72" s="167">
        <v>37.799999999999997</v>
      </c>
      <c r="H72" s="167">
        <v>21.8</v>
      </c>
      <c r="I72" s="167">
        <v>5985.2</v>
      </c>
      <c r="J72" s="167">
        <v>1505.1</v>
      </c>
      <c r="K72" s="167">
        <v>860.6</v>
      </c>
      <c r="L72" s="168">
        <v>422</v>
      </c>
      <c r="M72" s="168">
        <v>220</v>
      </c>
      <c r="N72" s="168">
        <v>202</v>
      </c>
      <c r="O72" s="167">
        <v>889.1</v>
      </c>
      <c r="P72" s="167">
        <v>35.4</v>
      </c>
      <c r="Q72" s="167">
        <v>242.1</v>
      </c>
      <c r="R72" s="167">
        <v>366.7</v>
      </c>
      <c r="S72" s="168">
        <v>245</v>
      </c>
      <c r="T72" s="167">
        <v>511.7</v>
      </c>
      <c r="U72" s="167">
        <v>144.1</v>
      </c>
      <c r="V72" s="167">
        <v>367.6</v>
      </c>
      <c r="W72" s="167">
        <v>586.29999999999995</v>
      </c>
      <c r="X72" s="167">
        <v>397.1</v>
      </c>
      <c r="Y72" s="167">
        <v>189.2</v>
      </c>
      <c r="Z72" s="167">
        <v>145.1</v>
      </c>
      <c r="AA72" s="167">
        <v>445.9</v>
      </c>
      <c r="AB72" s="167">
        <v>382.8</v>
      </c>
      <c r="AC72" s="167">
        <v>63.1</v>
      </c>
      <c r="AD72" s="167">
        <v>619.5</v>
      </c>
      <c r="AE72" s="167">
        <v>221.6</v>
      </c>
      <c r="AF72" s="167">
        <v>2235.8000000000002</v>
      </c>
      <c r="AG72" s="167">
        <v>12390.4</v>
      </c>
      <c r="AH72" s="167">
        <v>10488.9</v>
      </c>
      <c r="AI72" s="167">
        <v>6286.2</v>
      </c>
      <c r="AJ72" s="167">
        <v>1328.4</v>
      </c>
      <c r="AK72" s="167">
        <v>2874.3</v>
      </c>
      <c r="AL72" s="167">
        <v>222.4</v>
      </c>
      <c r="AM72" s="167">
        <v>74.7</v>
      </c>
      <c r="AN72" s="167">
        <v>76.400000000000006</v>
      </c>
      <c r="AO72" s="167">
        <v>71.400000000000006</v>
      </c>
      <c r="AP72" s="167">
        <v>525.70000000000005</v>
      </c>
      <c r="AQ72" s="167">
        <v>233.1</v>
      </c>
      <c r="AR72" s="167">
        <v>920.4</v>
      </c>
      <c r="AS72" s="168">
        <v>4944</v>
      </c>
      <c r="AT72" s="167">
        <v>3549.2</v>
      </c>
      <c r="AU72" s="167">
        <v>1645.8</v>
      </c>
      <c r="AV72" s="167">
        <v>1212.7</v>
      </c>
      <c r="AW72" s="167">
        <v>690.7</v>
      </c>
      <c r="AX72" s="167">
        <v>1394.8</v>
      </c>
      <c r="AY72" s="167">
        <v>1163.7</v>
      </c>
      <c r="AZ72" s="167">
        <v>231.1</v>
      </c>
      <c r="BA72" s="167">
        <v>6281.4</v>
      </c>
      <c r="BB72" s="167">
        <v>17334.5</v>
      </c>
      <c r="BC72" s="167">
        <v>1901.6</v>
      </c>
      <c r="BD72" s="167">
        <v>19570.3</v>
      </c>
      <c r="BE72" s="167">
        <v>619.5</v>
      </c>
    </row>
    <row r="73" spans="1:57" ht="20.25" customHeight="1">
      <c r="A73" s="165" t="s">
        <v>1366</v>
      </c>
      <c r="B73" s="166" t="s">
        <v>1367</v>
      </c>
      <c r="C73" s="167">
        <v>15915.3</v>
      </c>
      <c r="D73" s="168">
        <v>2727</v>
      </c>
      <c r="E73" s="167">
        <v>274.7</v>
      </c>
      <c r="F73" s="167">
        <v>164.1</v>
      </c>
      <c r="G73" s="167">
        <v>104.9</v>
      </c>
      <c r="H73" s="167">
        <v>5.7</v>
      </c>
      <c r="I73" s="167">
        <v>1582.1</v>
      </c>
      <c r="J73" s="167">
        <v>376.7</v>
      </c>
      <c r="K73" s="168">
        <v>93</v>
      </c>
      <c r="L73" s="167">
        <v>106.9</v>
      </c>
      <c r="M73" s="167">
        <v>54.4</v>
      </c>
      <c r="N73" s="167">
        <v>52.5</v>
      </c>
      <c r="O73" s="167">
        <v>274.10000000000002</v>
      </c>
      <c r="P73" s="167">
        <v>15.1</v>
      </c>
      <c r="Q73" s="167">
        <v>103.9</v>
      </c>
      <c r="R73" s="167">
        <v>60.5</v>
      </c>
      <c r="S73" s="167">
        <v>94.7</v>
      </c>
      <c r="T73" s="167">
        <v>226.2</v>
      </c>
      <c r="U73" s="167">
        <v>134.9</v>
      </c>
      <c r="V73" s="167">
        <v>91.3</v>
      </c>
      <c r="W73" s="167">
        <v>82.9</v>
      </c>
      <c r="X73" s="167">
        <v>30.6</v>
      </c>
      <c r="Y73" s="167">
        <v>52.2</v>
      </c>
      <c r="Z73" s="167">
        <v>135.1</v>
      </c>
      <c r="AA73" s="167">
        <v>145.5</v>
      </c>
      <c r="AB73" s="167">
        <v>64.400000000000006</v>
      </c>
      <c r="AC73" s="167">
        <v>81.099999999999994</v>
      </c>
      <c r="AD73" s="167">
        <v>141.69999999999999</v>
      </c>
      <c r="AE73" s="167">
        <v>472.9</v>
      </c>
      <c r="AF73" s="167">
        <v>665.8</v>
      </c>
      <c r="AG73" s="167">
        <v>6393.1</v>
      </c>
      <c r="AH73" s="167">
        <v>4919.8</v>
      </c>
      <c r="AI73" s="167">
        <v>3656.5</v>
      </c>
      <c r="AJ73" s="167">
        <v>977.3</v>
      </c>
      <c r="AK73" s="168">
        <v>286</v>
      </c>
      <c r="AL73" s="167">
        <v>284.3</v>
      </c>
      <c r="AM73" s="167">
        <v>55.6</v>
      </c>
      <c r="AN73" s="167">
        <v>51.4</v>
      </c>
      <c r="AO73" s="167">
        <v>177.3</v>
      </c>
      <c r="AP73" s="168">
        <v>213</v>
      </c>
      <c r="AQ73" s="167">
        <v>251.7</v>
      </c>
      <c r="AR73" s="167">
        <v>724.3</v>
      </c>
      <c r="AS73" s="167">
        <v>3799.7</v>
      </c>
      <c r="AT73" s="167">
        <v>3239.1</v>
      </c>
      <c r="AU73" s="167">
        <v>903.8</v>
      </c>
      <c r="AV73" s="167">
        <v>1397.9</v>
      </c>
      <c r="AW73" s="167">
        <v>937.4</v>
      </c>
      <c r="AX73" s="167">
        <v>560.6</v>
      </c>
      <c r="AY73" s="167">
        <v>366.9</v>
      </c>
      <c r="AZ73" s="167">
        <v>193.7</v>
      </c>
      <c r="BA73" s="167">
        <v>2329.6</v>
      </c>
      <c r="BB73" s="167">
        <v>10192.799999999999</v>
      </c>
      <c r="BC73" s="167">
        <v>1473.3</v>
      </c>
      <c r="BD73" s="167">
        <v>10858.6</v>
      </c>
      <c r="BE73" s="167">
        <v>314.89999999999998</v>
      </c>
    </row>
    <row r="74" spans="1:57" ht="20.25" customHeight="1">
      <c r="A74" s="165" t="s">
        <v>1368</v>
      </c>
      <c r="B74" s="166" t="s">
        <v>1369</v>
      </c>
      <c r="C74" s="168">
        <v>53326</v>
      </c>
      <c r="D74" s="167">
        <v>17392.3</v>
      </c>
      <c r="E74" s="167">
        <v>176.2</v>
      </c>
      <c r="F74" s="167">
        <v>71.8</v>
      </c>
      <c r="G74" s="167">
        <v>100.9</v>
      </c>
      <c r="H74" s="167">
        <v>3.5</v>
      </c>
      <c r="I74" s="167">
        <v>11365.6</v>
      </c>
      <c r="J74" s="167">
        <v>1280.3</v>
      </c>
      <c r="K74" s="167">
        <v>4682.8</v>
      </c>
      <c r="L74" s="167">
        <v>698.5</v>
      </c>
      <c r="M74" s="167">
        <v>433.8</v>
      </c>
      <c r="N74" s="167">
        <v>264.7</v>
      </c>
      <c r="O74" s="167">
        <v>950.1</v>
      </c>
      <c r="P74" s="167">
        <v>11.2</v>
      </c>
      <c r="Q74" s="167">
        <v>211.4</v>
      </c>
      <c r="R74" s="167">
        <v>294.89999999999998</v>
      </c>
      <c r="S74" s="167">
        <v>432.7</v>
      </c>
      <c r="T74" s="167">
        <v>1015.4</v>
      </c>
      <c r="U74" s="168">
        <v>150</v>
      </c>
      <c r="V74" s="167">
        <v>865.4</v>
      </c>
      <c r="W74" s="168">
        <v>1122</v>
      </c>
      <c r="X74" s="167">
        <v>943.8</v>
      </c>
      <c r="Y74" s="167">
        <v>178.2</v>
      </c>
      <c r="Z74" s="167">
        <v>72.3</v>
      </c>
      <c r="AA74" s="167">
        <v>269.39999999999998</v>
      </c>
      <c r="AB74" s="167">
        <v>150.4</v>
      </c>
      <c r="AC74" s="168">
        <v>119</v>
      </c>
      <c r="AD74" s="167">
        <v>1274.5999999999999</v>
      </c>
      <c r="AE74" s="167">
        <v>336.7</v>
      </c>
      <c r="AF74" s="167">
        <v>4691.2</v>
      </c>
      <c r="AG74" s="167">
        <v>13834.4</v>
      </c>
      <c r="AH74" s="167">
        <v>11981.1</v>
      </c>
      <c r="AI74" s="167">
        <v>7307.9</v>
      </c>
      <c r="AJ74" s="167">
        <v>1977.8</v>
      </c>
      <c r="AK74" s="167">
        <v>2695.4</v>
      </c>
      <c r="AL74" s="167">
        <v>345.5</v>
      </c>
      <c r="AM74" s="167">
        <v>82.9</v>
      </c>
      <c r="AN74" s="167">
        <v>157.4</v>
      </c>
      <c r="AO74" s="167">
        <v>105.2</v>
      </c>
      <c r="AP74" s="167">
        <v>459.9</v>
      </c>
      <c r="AQ74" s="167">
        <v>326.39999999999998</v>
      </c>
      <c r="AR74" s="167">
        <v>721.5</v>
      </c>
      <c r="AS74" s="167">
        <v>5529.8</v>
      </c>
      <c r="AT74" s="167">
        <v>4024.5</v>
      </c>
      <c r="AU74" s="167">
        <v>1438.3</v>
      </c>
      <c r="AV74" s="167">
        <v>1985.2</v>
      </c>
      <c r="AW74" s="167">
        <v>601.1</v>
      </c>
      <c r="AX74" s="167">
        <v>1505.2</v>
      </c>
      <c r="AY74" s="167">
        <v>1293.3</v>
      </c>
      <c r="AZ74" s="167">
        <v>211.9</v>
      </c>
      <c r="BA74" s="167">
        <v>11878.5</v>
      </c>
      <c r="BB74" s="167">
        <v>19364.099999999999</v>
      </c>
      <c r="BC74" s="167">
        <v>1853.3</v>
      </c>
      <c r="BD74" s="167">
        <v>24055.3</v>
      </c>
      <c r="BE74" s="167">
        <v>1289.3</v>
      </c>
    </row>
    <row r="75" spans="1:57" ht="20.25" customHeight="1">
      <c r="A75" s="165" t="s">
        <v>1370</v>
      </c>
      <c r="B75" s="166" t="s">
        <v>1371</v>
      </c>
      <c r="C75" s="167">
        <v>206455.6</v>
      </c>
      <c r="D75" s="168">
        <v>9363</v>
      </c>
      <c r="E75" s="167">
        <v>509.1</v>
      </c>
      <c r="F75" s="167">
        <v>198.8</v>
      </c>
      <c r="G75" s="167">
        <v>253.6</v>
      </c>
      <c r="H75" s="167">
        <v>56.7</v>
      </c>
      <c r="I75" s="167">
        <v>29678.799999999999</v>
      </c>
      <c r="J75" s="167">
        <v>4611.3999999999996</v>
      </c>
      <c r="K75" s="167">
        <v>1947.7</v>
      </c>
      <c r="L75" s="167">
        <v>2153.9</v>
      </c>
      <c r="M75" s="167">
        <v>961.4</v>
      </c>
      <c r="N75" s="167">
        <v>1192.5</v>
      </c>
      <c r="O75" s="167">
        <v>4616.3</v>
      </c>
      <c r="P75" s="167">
        <v>128.69999999999999</v>
      </c>
      <c r="Q75" s="167">
        <v>1728.8</v>
      </c>
      <c r="R75" s="167">
        <v>1592.6</v>
      </c>
      <c r="S75" s="167">
        <v>1166.3</v>
      </c>
      <c r="T75" s="167">
        <v>4453.3999999999996</v>
      </c>
      <c r="U75" s="167">
        <v>930.4</v>
      </c>
      <c r="V75" s="168">
        <v>3523</v>
      </c>
      <c r="W75" s="167">
        <v>2528.6999999999998</v>
      </c>
      <c r="X75" s="168">
        <v>1066</v>
      </c>
      <c r="Y75" s="167">
        <v>1462.7</v>
      </c>
      <c r="Z75" s="167">
        <v>2886.5</v>
      </c>
      <c r="AA75" s="167">
        <v>3135.7</v>
      </c>
      <c r="AB75" s="167">
        <v>2468.5</v>
      </c>
      <c r="AC75" s="167">
        <v>667.2</v>
      </c>
      <c r="AD75" s="167">
        <v>3345.2</v>
      </c>
      <c r="AE75" s="167">
        <v>2831.2</v>
      </c>
      <c r="AF75" s="167">
        <v>13495.8</v>
      </c>
      <c r="AG75" s="167">
        <v>88794.3</v>
      </c>
      <c r="AH75" s="167">
        <v>49744.4</v>
      </c>
      <c r="AI75" s="167">
        <v>29399.8</v>
      </c>
      <c r="AJ75" s="167">
        <v>10928.6</v>
      </c>
      <c r="AK75" s="168">
        <v>9416</v>
      </c>
      <c r="AL75" s="167">
        <v>6281.9</v>
      </c>
      <c r="AM75" s="168">
        <v>1267</v>
      </c>
      <c r="AN75" s="167">
        <v>792.8</v>
      </c>
      <c r="AO75" s="167">
        <v>4222.1000000000004</v>
      </c>
      <c r="AP75" s="167">
        <v>4812.5</v>
      </c>
      <c r="AQ75" s="168">
        <v>2155</v>
      </c>
      <c r="AR75" s="167">
        <v>25800.5</v>
      </c>
      <c r="AS75" s="167">
        <v>61783.5</v>
      </c>
      <c r="AT75" s="167">
        <v>49414.400000000001</v>
      </c>
      <c r="AU75" s="167">
        <v>13646.8</v>
      </c>
      <c r="AV75" s="167">
        <v>13757.7</v>
      </c>
      <c r="AW75" s="167">
        <v>22009.9</v>
      </c>
      <c r="AX75" s="167">
        <v>12369.1</v>
      </c>
      <c r="AY75" s="167">
        <v>8992.9</v>
      </c>
      <c r="AZ75" s="167">
        <v>3376.2</v>
      </c>
      <c r="BA75" s="167">
        <v>33019.1</v>
      </c>
      <c r="BB75" s="167">
        <v>150577.70000000001</v>
      </c>
      <c r="BC75" s="167">
        <v>39049.9</v>
      </c>
      <c r="BD75" s="167">
        <v>164073.5</v>
      </c>
      <c r="BE75" s="167">
        <v>7347.9</v>
      </c>
    </row>
    <row r="76" spans="1:57" ht="20.25" customHeight="1">
      <c r="A76" s="165" t="s">
        <v>1372</v>
      </c>
      <c r="B76" s="166" t="s">
        <v>1373</v>
      </c>
      <c r="C76" s="167">
        <v>238964.1</v>
      </c>
      <c r="D76" s="167">
        <v>9753.5</v>
      </c>
      <c r="E76" s="168">
        <v>571</v>
      </c>
      <c r="F76" s="167">
        <v>214.8</v>
      </c>
      <c r="G76" s="167">
        <v>275.60000000000002</v>
      </c>
      <c r="H76" s="167">
        <v>80.599999999999994</v>
      </c>
      <c r="I76" s="168">
        <v>32165</v>
      </c>
      <c r="J76" s="167">
        <v>5046.3</v>
      </c>
      <c r="K76" s="167">
        <v>2055.8000000000002</v>
      </c>
      <c r="L76" s="167">
        <v>2376.6</v>
      </c>
      <c r="M76" s="167">
        <v>1043.9000000000001</v>
      </c>
      <c r="N76" s="167">
        <v>1332.7</v>
      </c>
      <c r="O76" s="167">
        <v>5013.2</v>
      </c>
      <c r="P76" s="167">
        <v>138.5</v>
      </c>
      <c r="Q76" s="167">
        <v>1869.5</v>
      </c>
      <c r="R76" s="167">
        <v>1746.4</v>
      </c>
      <c r="S76" s="167">
        <v>1258.7</v>
      </c>
      <c r="T76" s="168">
        <v>4807</v>
      </c>
      <c r="U76" s="167">
        <v>996.6</v>
      </c>
      <c r="V76" s="167">
        <v>3810.4</v>
      </c>
      <c r="W76" s="167">
        <v>2719.2</v>
      </c>
      <c r="X76" s="167">
        <v>1183.8</v>
      </c>
      <c r="Y76" s="167">
        <v>1535.4</v>
      </c>
      <c r="Z76" s="167">
        <v>3062.8</v>
      </c>
      <c r="AA76" s="167">
        <v>3442.7</v>
      </c>
      <c r="AB76" s="167">
        <v>2628.4</v>
      </c>
      <c r="AC76" s="167">
        <v>814.3</v>
      </c>
      <c r="AD76" s="167">
        <v>3641.6</v>
      </c>
      <c r="AE76" s="167">
        <v>3156.7</v>
      </c>
      <c r="AF76" s="167">
        <v>15696.9</v>
      </c>
      <c r="AG76" s="168">
        <v>105777</v>
      </c>
      <c r="AH76" s="167">
        <v>58213.5</v>
      </c>
      <c r="AI76" s="167">
        <v>34107.4</v>
      </c>
      <c r="AJ76" s="167">
        <v>12542.3</v>
      </c>
      <c r="AK76" s="167">
        <v>11563.7</v>
      </c>
      <c r="AL76" s="167">
        <v>7712.9</v>
      </c>
      <c r="AM76" s="167">
        <v>1625.5</v>
      </c>
      <c r="AN76" s="167">
        <v>1013.6</v>
      </c>
      <c r="AO76" s="167">
        <v>5073.8</v>
      </c>
      <c r="AP76" s="167">
        <v>5879.7</v>
      </c>
      <c r="AQ76" s="167">
        <v>2729.4</v>
      </c>
      <c r="AR76" s="167">
        <v>31241.5</v>
      </c>
      <c r="AS76" s="167">
        <v>71844.100000000006</v>
      </c>
      <c r="AT76" s="167">
        <v>57682.3</v>
      </c>
      <c r="AU76" s="168">
        <v>15095</v>
      </c>
      <c r="AV76" s="167">
        <v>16457.900000000001</v>
      </c>
      <c r="AW76" s="167">
        <v>26129.4</v>
      </c>
      <c r="AX76" s="167">
        <v>14161.8</v>
      </c>
      <c r="AY76" s="167">
        <v>10739.7</v>
      </c>
      <c r="AZ76" s="167">
        <v>3422.1</v>
      </c>
      <c r="BA76" s="167">
        <v>35892.699999999997</v>
      </c>
      <c r="BB76" s="167">
        <v>177621.1</v>
      </c>
      <c r="BC76" s="167">
        <v>47563.5</v>
      </c>
      <c r="BD76" s="167">
        <v>193317.9</v>
      </c>
      <c r="BE76" s="167">
        <v>8896.7000000000007</v>
      </c>
    </row>
    <row r="77" spans="1:57" ht="20.25" customHeight="1">
      <c r="A77" s="165" t="s">
        <v>1374</v>
      </c>
      <c r="B77" s="166" t="s">
        <v>1375</v>
      </c>
      <c r="C77" s="167">
        <v>191942.3</v>
      </c>
      <c r="D77" s="167">
        <v>4999.6000000000004</v>
      </c>
      <c r="E77" s="168">
        <v>226</v>
      </c>
      <c r="F77" s="167">
        <v>30.5</v>
      </c>
      <c r="G77" s="167">
        <v>157.69999999999999</v>
      </c>
      <c r="H77" s="167">
        <v>37.799999999999997</v>
      </c>
      <c r="I77" s="167">
        <v>23053.9</v>
      </c>
      <c r="J77" s="167">
        <v>3708.6</v>
      </c>
      <c r="K77" s="168">
        <v>1224</v>
      </c>
      <c r="L77" s="167">
        <v>1611.4</v>
      </c>
      <c r="M77" s="167">
        <v>603.79999999999995</v>
      </c>
      <c r="N77" s="167">
        <v>1007.7</v>
      </c>
      <c r="O77" s="167">
        <v>3669.7</v>
      </c>
      <c r="P77" s="168">
        <v>89</v>
      </c>
      <c r="Q77" s="167">
        <v>1494.2</v>
      </c>
      <c r="R77" s="167">
        <v>1207.5</v>
      </c>
      <c r="S77" s="168">
        <v>879</v>
      </c>
      <c r="T77" s="167">
        <v>3567.7</v>
      </c>
      <c r="U77" s="167">
        <v>741.4</v>
      </c>
      <c r="V77" s="167">
        <v>2826.4</v>
      </c>
      <c r="W77" s="167">
        <v>1908.6</v>
      </c>
      <c r="X77" s="167">
        <v>878.1</v>
      </c>
      <c r="Y77" s="167">
        <v>1030.5</v>
      </c>
      <c r="Z77" s="167">
        <v>2521.4</v>
      </c>
      <c r="AA77" s="167">
        <v>2298.1</v>
      </c>
      <c r="AB77" s="167">
        <v>1693.3</v>
      </c>
      <c r="AC77" s="167">
        <v>604.79999999999995</v>
      </c>
      <c r="AD77" s="167">
        <v>2544.3000000000002</v>
      </c>
      <c r="AE77" s="167">
        <v>2158.1999999999998</v>
      </c>
      <c r="AF77" s="167">
        <v>12051.1</v>
      </c>
      <c r="AG77" s="167">
        <v>88294.7</v>
      </c>
      <c r="AH77" s="167">
        <v>47126.6</v>
      </c>
      <c r="AI77" s="167">
        <v>27425.3</v>
      </c>
      <c r="AJ77" s="167">
        <v>9567.4</v>
      </c>
      <c r="AK77" s="167">
        <v>10133.9</v>
      </c>
      <c r="AL77" s="168">
        <v>6323</v>
      </c>
      <c r="AM77" s="167">
        <v>1369.4</v>
      </c>
      <c r="AN77" s="167">
        <v>769.3</v>
      </c>
      <c r="AO77" s="167">
        <v>4184.3</v>
      </c>
      <c r="AP77" s="167">
        <v>4922.8999999999996</v>
      </c>
      <c r="AQ77" s="167">
        <v>2264.9</v>
      </c>
      <c r="AR77" s="167">
        <v>27657.3</v>
      </c>
      <c r="AS77" s="167">
        <v>61158.7</v>
      </c>
      <c r="AT77" s="167">
        <v>48752.2</v>
      </c>
      <c r="AU77" s="167">
        <v>12158.6</v>
      </c>
      <c r="AV77" s="167">
        <v>13298.4</v>
      </c>
      <c r="AW77" s="167">
        <v>23295.200000000001</v>
      </c>
      <c r="AX77" s="167">
        <v>12406.5</v>
      </c>
      <c r="AY77" s="167">
        <v>9047.7000000000007</v>
      </c>
      <c r="AZ77" s="167">
        <v>3358.8</v>
      </c>
      <c r="BA77" s="167">
        <v>25438.1</v>
      </c>
      <c r="BB77" s="167">
        <v>149453.5</v>
      </c>
      <c r="BC77" s="167">
        <v>41168.1</v>
      </c>
      <c r="BD77" s="167">
        <v>161504.6</v>
      </c>
      <c r="BE77" s="167">
        <v>7201.1</v>
      </c>
    </row>
    <row r="78" spans="1:57" ht="20.25" customHeight="1">
      <c r="A78" s="165" t="s">
        <v>1376</v>
      </c>
      <c r="B78" s="166" t="s">
        <v>1377</v>
      </c>
      <c r="C78" s="167">
        <v>47021.9</v>
      </c>
      <c r="D78" s="167">
        <v>4753.8999999999996</v>
      </c>
      <c r="E78" s="168">
        <v>345</v>
      </c>
      <c r="F78" s="167">
        <v>184.4</v>
      </c>
      <c r="G78" s="167">
        <v>117.8</v>
      </c>
      <c r="H78" s="167">
        <v>42.8</v>
      </c>
      <c r="I78" s="167">
        <v>9111.1</v>
      </c>
      <c r="J78" s="167">
        <v>1337.7</v>
      </c>
      <c r="K78" s="167">
        <v>831.8</v>
      </c>
      <c r="L78" s="167">
        <v>765.2</v>
      </c>
      <c r="M78" s="167">
        <v>440.1</v>
      </c>
      <c r="N78" s="168">
        <v>325</v>
      </c>
      <c r="O78" s="167">
        <v>1343.5</v>
      </c>
      <c r="P78" s="167">
        <v>49.5</v>
      </c>
      <c r="Q78" s="167">
        <v>375.3</v>
      </c>
      <c r="R78" s="167">
        <v>538.9</v>
      </c>
      <c r="S78" s="167">
        <v>379.7</v>
      </c>
      <c r="T78" s="167">
        <v>1239.2</v>
      </c>
      <c r="U78" s="167">
        <v>255.2</v>
      </c>
      <c r="V78" s="168">
        <v>984</v>
      </c>
      <c r="W78" s="167">
        <v>810.6</v>
      </c>
      <c r="X78" s="167">
        <v>305.7</v>
      </c>
      <c r="Y78" s="167">
        <v>504.9</v>
      </c>
      <c r="Z78" s="167">
        <v>541.29999999999995</v>
      </c>
      <c r="AA78" s="167">
        <v>1144.5999999999999</v>
      </c>
      <c r="AB78" s="167">
        <v>935.1</v>
      </c>
      <c r="AC78" s="167">
        <v>209.5</v>
      </c>
      <c r="AD78" s="167">
        <v>1097.2</v>
      </c>
      <c r="AE78" s="167">
        <v>998.5</v>
      </c>
      <c r="AF78" s="167">
        <v>3645.8</v>
      </c>
      <c r="AG78" s="167">
        <v>17482.2</v>
      </c>
      <c r="AH78" s="167">
        <v>11086.9</v>
      </c>
      <c r="AI78" s="167">
        <v>6682.2</v>
      </c>
      <c r="AJ78" s="167">
        <v>2974.9</v>
      </c>
      <c r="AK78" s="167">
        <v>1429.8</v>
      </c>
      <c r="AL78" s="167">
        <v>1389.9</v>
      </c>
      <c r="AM78" s="167">
        <v>256.10000000000002</v>
      </c>
      <c r="AN78" s="167">
        <v>244.4</v>
      </c>
      <c r="AO78" s="167">
        <v>889.5</v>
      </c>
      <c r="AP78" s="167">
        <v>956.7</v>
      </c>
      <c r="AQ78" s="167">
        <v>464.5</v>
      </c>
      <c r="AR78" s="167">
        <v>3584.2</v>
      </c>
      <c r="AS78" s="167">
        <v>10685.4</v>
      </c>
      <c r="AT78" s="167">
        <v>8930.1</v>
      </c>
      <c r="AU78" s="167">
        <v>2936.4</v>
      </c>
      <c r="AV78" s="167">
        <v>3159.6</v>
      </c>
      <c r="AW78" s="167">
        <v>2834.2</v>
      </c>
      <c r="AX78" s="167">
        <v>1755.3</v>
      </c>
      <c r="AY78" s="168">
        <v>1692</v>
      </c>
      <c r="AZ78" s="167">
        <v>63.2</v>
      </c>
      <c r="BA78" s="167">
        <v>10454.6</v>
      </c>
      <c r="BB78" s="167">
        <v>28167.599999999999</v>
      </c>
      <c r="BC78" s="167">
        <v>6395.4</v>
      </c>
      <c r="BD78" s="167">
        <v>31813.4</v>
      </c>
      <c r="BE78" s="167">
        <v>1695.6</v>
      </c>
    </row>
    <row r="79" spans="1:57" ht="20.25" customHeight="1">
      <c r="A79" s="165" t="s">
        <v>1378</v>
      </c>
      <c r="B79" s="166" t="s">
        <v>1379</v>
      </c>
      <c r="C79" s="167">
        <v>158482.29999999999</v>
      </c>
      <c r="D79" s="167">
        <v>4761.3999999999996</v>
      </c>
      <c r="E79" s="167">
        <v>169.1</v>
      </c>
      <c r="F79" s="167">
        <v>19.3</v>
      </c>
      <c r="G79" s="167">
        <v>137.1</v>
      </c>
      <c r="H79" s="167">
        <v>12.7</v>
      </c>
      <c r="I79" s="167">
        <v>20965.2</v>
      </c>
      <c r="J79" s="167">
        <v>3338.2</v>
      </c>
      <c r="K79" s="167">
        <v>1192.7</v>
      </c>
      <c r="L79" s="167">
        <v>1447.3</v>
      </c>
      <c r="M79" s="167">
        <v>582.29999999999995</v>
      </c>
      <c r="N79" s="167">
        <v>865.1</v>
      </c>
      <c r="O79" s="168">
        <v>3313</v>
      </c>
      <c r="P79" s="167">
        <v>80.400000000000006</v>
      </c>
      <c r="Q79" s="168">
        <v>1334</v>
      </c>
      <c r="R79" s="167">
        <v>1094.7</v>
      </c>
      <c r="S79" s="168">
        <v>804</v>
      </c>
      <c r="T79" s="167">
        <v>3285.5</v>
      </c>
      <c r="U79" s="167">
        <v>677.6</v>
      </c>
      <c r="V79" s="167">
        <v>2607.9</v>
      </c>
      <c r="W79" s="167">
        <v>1752.4</v>
      </c>
      <c r="X79" s="167">
        <v>757.1</v>
      </c>
      <c r="Y79" s="167">
        <v>995.3</v>
      </c>
      <c r="Z79" s="167">
        <v>2292.4</v>
      </c>
      <c r="AA79" s="167">
        <v>2020.8</v>
      </c>
      <c r="AB79" s="167">
        <v>1568.5</v>
      </c>
      <c r="AC79" s="167">
        <v>452.3</v>
      </c>
      <c r="AD79" s="167">
        <v>2322.8000000000002</v>
      </c>
      <c r="AE79" s="167">
        <v>1871.8</v>
      </c>
      <c r="AF79" s="167">
        <v>9811.2999999999993</v>
      </c>
      <c r="AG79" s="167">
        <v>70961.5</v>
      </c>
      <c r="AH79" s="167">
        <v>38691.4</v>
      </c>
      <c r="AI79" s="167">
        <v>22719.3</v>
      </c>
      <c r="AJ79" s="167">
        <v>8003.1</v>
      </c>
      <c r="AK79" s="168">
        <v>7969</v>
      </c>
      <c r="AL79" s="167">
        <v>4811.3999999999996</v>
      </c>
      <c r="AM79" s="167">
        <v>956.7</v>
      </c>
      <c r="AN79" s="167">
        <v>554.4</v>
      </c>
      <c r="AO79" s="167">
        <v>3300.2</v>
      </c>
      <c r="AP79" s="167">
        <v>3822.9</v>
      </c>
      <c r="AQ79" s="168">
        <v>1644</v>
      </c>
      <c r="AR79" s="167">
        <v>21991.9</v>
      </c>
      <c r="AS79" s="167">
        <v>49942.1</v>
      </c>
      <c r="AT79" s="167">
        <v>39409.699999999997</v>
      </c>
      <c r="AU79" s="167">
        <v>10729.3</v>
      </c>
      <c r="AV79" s="168">
        <v>10446</v>
      </c>
      <c r="AW79" s="167">
        <v>18234.3</v>
      </c>
      <c r="AX79" s="167">
        <v>10532.4</v>
      </c>
      <c r="AY79" s="167">
        <v>7216.1</v>
      </c>
      <c r="AZ79" s="167">
        <v>3316.3</v>
      </c>
      <c r="BA79" s="168">
        <v>23006</v>
      </c>
      <c r="BB79" s="167">
        <v>120903.6</v>
      </c>
      <c r="BC79" s="167">
        <v>32270.1</v>
      </c>
      <c r="BD79" s="167">
        <v>130714.9</v>
      </c>
      <c r="BE79" s="167">
        <v>5568.5</v>
      </c>
    </row>
    <row r="80" spans="1:57" ht="20.25" customHeight="1">
      <c r="A80" s="165" t="s">
        <v>1380</v>
      </c>
      <c r="B80" s="166" t="s">
        <v>1380</v>
      </c>
      <c r="C80" s="167">
        <v>2214339.1</v>
      </c>
      <c r="D80" s="167">
        <v>502235.1</v>
      </c>
      <c r="E80" s="167">
        <v>14727.8</v>
      </c>
      <c r="F80" s="167">
        <v>7764.9</v>
      </c>
      <c r="G80" s="168">
        <v>5720</v>
      </c>
      <c r="H80" s="167">
        <v>1242.9000000000001</v>
      </c>
      <c r="I80" s="167">
        <v>296442.5</v>
      </c>
      <c r="J80" s="168">
        <v>38930</v>
      </c>
      <c r="K80" s="167">
        <v>42444.5</v>
      </c>
      <c r="L80" s="167">
        <v>19259.900000000001</v>
      </c>
      <c r="M80" s="167">
        <v>8701.2000000000007</v>
      </c>
      <c r="N80" s="167">
        <v>10558.7</v>
      </c>
      <c r="O80" s="167">
        <v>51166.3</v>
      </c>
      <c r="P80" s="167">
        <v>2197.8000000000002</v>
      </c>
      <c r="Q80" s="167">
        <v>18386.2</v>
      </c>
      <c r="R80" s="167">
        <v>13142.7</v>
      </c>
      <c r="S80" s="167">
        <v>17439.599999999999</v>
      </c>
      <c r="T80" s="167">
        <v>33188.9</v>
      </c>
      <c r="U80" s="168">
        <v>11941</v>
      </c>
      <c r="V80" s="167">
        <v>21247.9</v>
      </c>
      <c r="W80" s="167">
        <v>35228.6</v>
      </c>
      <c r="X80" s="167">
        <v>19980.5</v>
      </c>
      <c r="Y80" s="167">
        <v>15248.2</v>
      </c>
      <c r="Z80" s="167">
        <v>24193.9</v>
      </c>
      <c r="AA80" s="168">
        <v>21977</v>
      </c>
      <c r="AB80" s="167">
        <v>16024.5</v>
      </c>
      <c r="AC80" s="167">
        <v>5952.5</v>
      </c>
      <c r="AD80" s="167">
        <v>30053.4</v>
      </c>
      <c r="AE80" s="167">
        <v>20000.7</v>
      </c>
      <c r="AF80" s="167">
        <v>175073.8</v>
      </c>
      <c r="AG80" s="167">
        <v>760225.1</v>
      </c>
      <c r="AH80" s="167">
        <v>500680.5</v>
      </c>
      <c r="AI80" s="167">
        <v>312407.8</v>
      </c>
      <c r="AJ80" s="167">
        <v>98885.8</v>
      </c>
      <c r="AK80" s="167">
        <v>89386.9</v>
      </c>
      <c r="AL80" s="167">
        <v>37341.1</v>
      </c>
      <c r="AM80" s="167">
        <v>7122.6</v>
      </c>
      <c r="AN80" s="167">
        <v>6638.8</v>
      </c>
      <c r="AO80" s="167">
        <v>23579.7</v>
      </c>
      <c r="AP80" s="168">
        <v>40238</v>
      </c>
      <c r="AQ80" s="167">
        <v>27291.5</v>
      </c>
      <c r="AR80" s="168">
        <v>154674</v>
      </c>
      <c r="AS80" s="167">
        <v>445634.1</v>
      </c>
      <c r="AT80" s="167">
        <v>313510.09999999998</v>
      </c>
      <c r="AU80" s="167">
        <v>94006.1</v>
      </c>
      <c r="AV80" s="168">
        <v>113867</v>
      </c>
      <c r="AW80" s="167">
        <v>105636.9</v>
      </c>
      <c r="AX80" s="168">
        <v>132124</v>
      </c>
      <c r="AY80" s="167">
        <v>108090.5</v>
      </c>
      <c r="AZ80" s="167">
        <v>24033.599999999999</v>
      </c>
      <c r="BA80" s="168">
        <v>331171</v>
      </c>
      <c r="BB80" s="167">
        <v>1205859.2</v>
      </c>
      <c r="BC80" s="167">
        <v>259544.6</v>
      </c>
      <c r="BD80" s="167">
        <v>1380933.1</v>
      </c>
      <c r="BE80" s="167">
        <v>57321.599999999999</v>
      </c>
    </row>
    <row r="81" spans="1:57" ht="20.25" customHeight="1">
      <c r="A81" s="165" t="s">
        <v>1381</v>
      </c>
      <c r="B81" s="166" t="s">
        <v>1382</v>
      </c>
      <c r="C81" s="167">
        <v>338143.1</v>
      </c>
      <c r="D81" s="167">
        <v>17295.7</v>
      </c>
      <c r="E81" s="168">
        <v>2539</v>
      </c>
      <c r="F81" s="167">
        <v>1340.5</v>
      </c>
      <c r="G81" s="167">
        <v>1008.3</v>
      </c>
      <c r="H81" s="167">
        <v>190.2</v>
      </c>
      <c r="I81" s="167">
        <v>45627.1</v>
      </c>
      <c r="J81" s="167">
        <v>7404.3</v>
      </c>
      <c r="K81" s="167">
        <v>2482.1999999999998</v>
      </c>
      <c r="L81" s="168">
        <v>3112</v>
      </c>
      <c r="M81" s="167">
        <v>1394.1</v>
      </c>
      <c r="N81" s="167">
        <v>1717.9</v>
      </c>
      <c r="O81" s="167">
        <v>7590.7</v>
      </c>
      <c r="P81" s="167">
        <v>543.5</v>
      </c>
      <c r="Q81" s="167">
        <v>2939.5</v>
      </c>
      <c r="R81" s="167">
        <v>2128.1999999999998</v>
      </c>
      <c r="S81" s="167">
        <v>1979.6</v>
      </c>
      <c r="T81" s="167">
        <v>7147.2</v>
      </c>
      <c r="U81" s="167">
        <v>2224.1</v>
      </c>
      <c r="V81" s="167">
        <v>4923.1000000000004</v>
      </c>
      <c r="W81" s="167">
        <v>4107.3</v>
      </c>
      <c r="X81" s="167">
        <v>2076.5</v>
      </c>
      <c r="Y81" s="167">
        <v>2030.8</v>
      </c>
      <c r="Z81" s="168">
        <v>3963</v>
      </c>
      <c r="AA81" s="167">
        <v>5370.4</v>
      </c>
      <c r="AB81" s="168">
        <v>3252</v>
      </c>
      <c r="AC81" s="167">
        <v>2118.4</v>
      </c>
      <c r="AD81" s="167">
        <v>4449.8999999999996</v>
      </c>
      <c r="AE81" s="167">
        <v>6304.2</v>
      </c>
      <c r="AF81" s="167">
        <v>22059.599999999999</v>
      </c>
      <c r="AG81" s="167">
        <v>144462.5</v>
      </c>
      <c r="AH81" s="167">
        <v>84891.6</v>
      </c>
      <c r="AI81" s="167">
        <v>50607.1</v>
      </c>
      <c r="AJ81" s="167">
        <v>20354.8</v>
      </c>
      <c r="AK81" s="167">
        <v>13929.7</v>
      </c>
      <c r="AL81" s="167">
        <v>9745.9</v>
      </c>
      <c r="AM81" s="168">
        <v>2009</v>
      </c>
      <c r="AN81" s="167">
        <v>1782.2</v>
      </c>
      <c r="AO81" s="167">
        <v>5954.7</v>
      </c>
      <c r="AP81" s="168">
        <v>7973</v>
      </c>
      <c r="AQ81" s="167">
        <v>4435.5</v>
      </c>
      <c r="AR81" s="167">
        <v>37416.400000000001</v>
      </c>
      <c r="AS81" s="167">
        <v>99855.1</v>
      </c>
      <c r="AT81" s="167">
        <v>81406.2</v>
      </c>
      <c r="AU81" s="168">
        <v>21578</v>
      </c>
      <c r="AV81" s="167">
        <v>25602.1</v>
      </c>
      <c r="AW81" s="167">
        <v>34226.1</v>
      </c>
      <c r="AX81" s="167">
        <v>18448.900000000001</v>
      </c>
      <c r="AY81" s="167">
        <v>13910.8</v>
      </c>
      <c r="AZ81" s="167">
        <v>4538.1000000000004</v>
      </c>
      <c r="BA81" s="167">
        <v>54470.3</v>
      </c>
      <c r="BB81" s="167">
        <v>244317.6</v>
      </c>
      <c r="BC81" s="167">
        <v>59570.8</v>
      </c>
      <c r="BD81" s="167">
        <v>266377.09999999998</v>
      </c>
      <c r="BE81" s="167">
        <v>11822.4</v>
      </c>
    </row>
    <row r="82" spans="1:57" ht="20.25" customHeight="1">
      <c r="A82" s="165" t="s">
        <v>1383</v>
      </c>
      <c r="B82" s="166" t="s">
        <v>1383</v>
      </c>
      <c r="C82" s="167">
        <v>217054.2</v>
      </c>
      <c r="D82" s="167">
        <v>5360.3</v>
      </c>
      <c r="E82" s="167">
        <v>1040.4000000000001</v>
      </c>
      <c r="F82" s="167">
        <v>279.8</v>
      </c>
      <c r="G82" s="168">
        <v>343</v>
      </c>
      <c r="H82" s="167">
        <v>417.6</v>
      </c>
      <c r="I82" s="167">
        <v>20508.3</v>
      </c>
      <c r="J82" s="167">
        <v>3450.6</v>
      </c>
      <c r="K82" s="167">
        <v>1017.4</v>
      </c>
      <c r="L82" s="167">
        <v>1644.3</v>
      </c>
      <c r="M82" s="167">
        <v>626.5</v>
      </c>
      <c r="N82" s="167">
        <v>1017.8</v>
      </c>
      <c r="O82" s="168">
        <v>3173</v>
      </c>
      <c r="P82" s="167">
        <v>134.69999999999999</v>
      </c>
      <c r="Q82" s="167">
        <v>1210.2</v>
      </c>
      <c r="R82" s="167">
        <v>1146.2</v>
      </c>
      <c r="S82" s="167">
        <v>681.9</v>
      </c>
      <c r="T82" s="167">
        <v>2421.6</v>
      </c>
      <c r="U82" s="167">
        <v>491.5</v>
      </c>
      <c r="V82" s="167">
        <v>1930.1</v>
      </c>
      <c r="W82" s="167">
        <v>2726.2</v>
      </c>
      <c r="X82" s="168">
        <v>2004</v>
      </c>
      <c r="Y82" s="167">
        <v>722.2</v>
      </c>
      <c r="Z82" s="167">
        <v>1515.3</v>
      </c>
      <c r="AA82" s="167">
        <v>2727.3</v>
      </c>
      <c r="AB82" s="167">
        <v>1861.2</v>
      </c>
      <c r="AC82" s="168">
        <v>866</v>
      </c>
      <c r="AD82" s="167">
        <v>1832.7</v>
      </c>
      <c r="AE82" s="167">
        <v>1439.2</v>
      </c>
      <c r="AF82" s="167">
        <v>14382.9</v>
      </c>
      <c r="AG82" s="167">
        <v>101931.9</v>
      </c>
      <c r="AH82" s="168">
        <v>56141</v>
      </c>
      <c r="AI82" s="167">
        <v>30948.9</v>
      </c>
      <c r="AJ82" s="167">
        <v>10561.7</v>
      </c>
      <c r="AK82" s="167">
        <v>14630.4</v>
      </c>
      <c r="AL82" s="167">
        <v>6359.7</v>
      </c>
      <c r="AM82" s="167">
        <v>1946.4</v>
      </c>
      <c r="AN82" s="167">
        <v>926.9</v>
      </c>
      <c r="AO82" s="167">
        <v>3486.5</v>
      </c>
      <c r="AP82" s="167">
        <v>8222.6</v>
      </c>
      <c r="AQ82" s="168">
        <v>3084</v>
      </c>
      <c r="AR82" s="167">
        <v>28124.5</v>
      </c>
      <c r="AS82" s="167">
        <v>72391.3</v>
      </c>
      <c r="AT82" s="167">
        <v>59776.800000000003</v>
      </c>
      <c r="AU82" s="167">
        <v>17609.099999999999</v>
      </c>
      <c r="AV82" s="167">
        <v>17890.599999999999</v>
      </c>
      <c r="AW82" s="167">
        <v>24277.200000000001</v>
      </c>
      <c r="AX82" s="167">
        <v>12614.5</v>
      </c>
      <c r="AY82" s="167">
        <v>9076.7000000000007</v>
      </c>
      <c r="AZ82" s="167">
        <v>3537.8</v>
      </c>
      <c r="BA82" s="167">
        <v>22987.8</v>
      </c>
      <c r="BB82" s="167">
        <v>174323.20000000001</v>
      </c>
      <c r="BC82" s="167">
        <v>45790.9</v>
      </c>
      <c r="BD82" s="167">
        <v>188706.1</v>
      </c>
      <c r="BE82" s="167">
        <v>8363.7000000000007</v>
      </c>
    </row>
  </sheetData>
  <mergeCells count="47">
    <mergeCell ref="A7:B10"/>
    <mergeCell ref="C7:C10"/>
    <mergeCell ref="D7:BE7"/>
    <mergeCell ref="D8:D10"/>
    <mergeCell ref="E8:E10"/>
    <mergeCell ref="F8:H8"/>
    <mergeCell ref="I8:I10"/>
    <mergeCell ref="J8:AD8"/>
    <mergeCell ref="AE8:AE10"/>
    <mergeCell ref="AF8:AF10"/>
    <mergeCell ref="AG8:AG10"/>
    <mergeCell ref="AH8:AR8"/>
    <mergeCell ref="AS8:AS10"/>
    <mergeCell ref="AT8:AZ8"/>
    <mergeCell ref="AH9:AH10"/>
    <mergeCell ref="AI9:AK9"/>
    <mergeCell ref="AL9:AL10"/>
    <mergeCell ref="AM9:AO9"/>
    <mergeCell ref="BA8:BA10"/>
    <mergeCell ref="AY9:AZ9"/>
    <mergeCell ref="AP9:AP10"/>
    <mergeCell ref="AQ9:AQ10"/>
    <mergeCell ref="AR9:AR10"/>
    <mergeCell ref="AT9:AT10"/>
    <mergeCell ref="AU9:AW9"/>
    <mergeCell ref="AX9:AX10"/>
    <mergeCell ref="BB8:BB10"/>
    <mergeCell ref="BC8:BC10"/>
    <mergeCell ref="BD8:BD10"/>
    <mergeCell ref="BE8:BE10"/>
    <mergeCell ref="F9:F10"/>
    <mergeCell ref="G9:G10"/>
    <mergeCell ref="H9:H10"/>
    <mergeCell ref="J9:J10"/>
    <mergeCell ref="K9:K10"/>
    <mergeCell ref="L9:L10"/>
    <mergeCell ref="M9:N9"/>
    <mergeCell ref="O9:O10"/>
    <mergeCell ref="P9:S9"/>
    <mergeCell ref="T9:T10"/>
    <mergeCell ref="U9:V9"/>
    <mergeCell ref="W9:W10"/>
    <mergeCell ref="X9:Y9"/>
    <mergeCell ref="Z9:Z10"/>
    <mergeCell ref="AA9:AA10"/>
    <mergeCell ref="AB9:AC9"/>
    <mergeCell ref="AD9:AD10"/>
  </mergeCells>
  <phoneticPr fontId="19" type="noConversion"/>
  <hyperlinks>
    <hyperlink ref="A2" r:id="rId1" xr:uid="{9EE42DAF-BA35-41A1-8FB1-C52233B81D30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7E6B-F64C-469A-93EB-8B897A89C3FF}">
  <sheetPr>
    <tabColor rgb="FFFF0000"/>
  </sheetPr>
  <dimension ref="A1:BD72"/>
  <sheetViews>
    <sheetView workbookViewId="0">
      <selection activeCell="F33" sqref="F33"/>
    </sheetView>
  </sheetViews>
  <sheetFormatPr defaultRowHeight="16.5"/>
  <cols>
    <col min="1" max="1" width="12.375" customWidth="1"/>
    <col min="2" max="10" width="10.25" customWidth="1"/>
    <col min="11" max="11" width="10.25" style="21" customWidth="1"/>
    <col min="12" max="37" width="10.25" customWidth="1"/>
  </cols>
  <sheetData>
    <row r="1" spans="1:56">
      <c r="A1" s="157" t="s">
        <v>1389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192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</row>
    <row r="2" spans="1:56">
      <c r="A2" s="157" t="s">
        <v>1390</v>
      </c>
      <c r="B2" t="str">
        <f>'OECD EMPN'!D11</f>
        <v>A</v>
      </c>
      <c r="C2" t="str">
        <f>'OECD EMPN'!F11</f>
        <v>B05_06</v>
      </c>
      <c r="D2" t="str">
        <f>'OECD EMPN'!G11</f>
        <v>B07_08</v>
      </c>
      <c r="E2" t="str">
        <f>'OECD EMPN'!H11</f>
        <v>B09</v>
      </c>
      <c r="F2" t="str">
        <f>'OECD EMPN'!J11</f>
        <v>C10T12</v>
      </c>
      <c r="G2" t="str">
        <f>'OECD EMPN'!K11</f>
        <v>C13T15</v>
      </c>
      <c r="H2" t="str">
        <f>'OECD EMPN'!M11</f>
        <v>C16</v>
      </c>
      <c r="I2" t="str">
        <f>'OECD EMPN'!N11</f>
        <v>C17_18</v>
      </c>
      <c r="J2" t="str">
        <f>'OECD EMPN'!P11</f>
        <v>C19</v>
      </c>
      <c r="K2" s="21" t="str">
        <f>'OECD EMPN'!Q11</f>
        <v>C20_21</v>
      </c>
      <c r="L2" t="str">
        <f>'OECD EMPN'!R11</f>
        <v>C22</v>
      </c>
      <c r="M2" t="str">
        <f>'OECD EMPN'!S11</f>
        <v>C23</v>
      </c>
      <c r="N2" t="str">
        <f>'OECD EMPN'!U11</f>
        <v>C24</v>
      </c>
      <c r="O2" t="str">
        <f>'OECD EMPN'!V11</f>
        <v>C25</v>
      </c>
      <c r="P2" t="str">
        <f>'OECD EMPN'!X11</f>
        <v>C26</v>
      </c>
      <c r="Q2" t="str">
        <f>'OECD EMPN'!Y11</f>
        <v>C27</v>
      </c>
      <c r="R2" t="str">
        <f>'OECD EMPN'!Z11</f>
        <v>C28</v>
      </c>
      <c r="S2" t="str">
        <f>'OECD EMPN'!AB11</f>
        <v>C29</v>
      </c>
      <c r="T2" t="str">
        <f>'OECD EMPN'!AC11</f>
        <v>C30</v>
      </c>
      <c r="U2" t="str">
        <f>'OECD EMPN'!AD11</f>
        <v>C31T33</v>
      </c>
      <c r="V2" t="str">
        <f>'OECD EMPN'!AE11</f>
        <v>D_E</v>
      </c>
      <c r="W2" t="str">
        <f>'OECD EMPN'!AF11</f>
        <v>F</v>
      </c>
      <c r="X2" t="str">
        <f>'OECD EMPN'!AI11</f>
        <v>G</v>
      </c>
      <c r="Y2" t="str">
        <f>'OECD EMPN'!AJ11</f>
        <v>H</v>
      </c>
      <c r="Z2" t="str">
        <f>'OECD EMPN'!AK11</f>
        <v>I</v>
      </c>
      <c r="AA2" t="str">
        <f>'OECD EMPN'!AM11</f>
        <v>J58T60</v>
      </c>
      <c r="AB2" t="str">
        <f>'OECD EMPN'!AN11</f>
        <v>J61</v>
      </c>
      <c r="AC2" t="str">
        <f>'OECD EMPN'!AO11</f>
        <v>J62_63</v>
      </c>
      <c r="AD2" t="str">
        <f>'OECD EMPN'!AP11</f>
        <v>K</v>
      </c>
      <c r="AE2" t="str">
        <f>'OECD EMPN'!AQ11</f>
        <v>L</v>
      </c>
      <c r="AF2" t="str">
        <f>'OECD EMPN'!AR11</f>
        <v>M_N</v>
      </c>
      <c r="AG2" t="str">
        <f>'OECD EMPN'!AU11</f>
        <v>O</v>
      </c>
      <c r="AH2" t="str">
        <f>'OECD EMPN'!AV11</f>
        <v>P</v>
      </c>
      <c r="AI2" t="str">
        <f>'OECD EMPN'!AW11</f>
        <v>Q</v>
      </c>
      <c r="AJ2" t="str">
        <f>'OECD EMPN'!AY11</f>
        <v>R_S</v>
      </c>
      <c r="AK2" t="str">
        <f>'OECD EMPN'!AZ11</f>
        <v>T</v>
      </c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  <c r="BA2" s="179"/>
      <c r="BB2" s="179"/>
      <c r="BC2" s="179"/>
      <c r="BD2" s="179"/>
    </row>
    <row r="3" spans="1:56">
      <c r="A3" t="str">
        <f>'OECD EMPN'!A13</f>
        <v>OECD</v>
      </c>
      <c r="B3">
        <f>'OECD EMPN'!D13</f>
        <v>26065.7</v>
      </c>
      <c r="C3">
        <f>'OECD EMPN'!F13</f>
        <v>829.9</v>
      </c>
      <c r="D3">
        <f>'OECD EMPN'!G13</f>
        <v>1042.4000000000001</v>
      </c>
      <c r="E3">
        <f>'OECD EMPN'!H13</f>
        <v>604.6</v>
      </c>
      <c r="F3">
        <f>'OECD EMPN'!J13</f>
        <v>12345.1</v>
      </c>
      <c r="G3">
        <f>'OECD EMPN'!K13</f>
        <v>5201.5</v>
      </c>
      <c r="H3">
        <f>'OECD EMPN'!M13</f>
        <v>1985.1</v>
      </c>
      <c r="I3">
        <f>'OECD EMPN'!N13</f>
        <v>3364.2</v>
      </c>
      <c r="J3">
        <f>'OECD EMPN'!P13</f>
        <v>362.3</v>
      </c>
      <c r="K3" s="21">
        <f>'OECD EMPN'!Q13</f>
        <v>4588.8</v>
      </c>
      <c r="L3">
        <f>'OECD EMPN'!R13</f>
        <v>4234.7</v>
      </c>
      <c r="M3">
        <f>'OECD EMPN'!S13</f>
        <v>2845</v>
      </c>
      <c r="N3">
        <f>'OECD EMPN'!U13</f>
        <v>2591.9</v>
      </c>
      <c r="O3">
        <f>'OECD EMPN'!V13</f>
        <v>7731.3</v>
      </c>
      <c r="P3">
        <f>'OECD EMPN'!X13</f>
        <v>4496.7</v>
      </c>
      <c r="Q3">
        <f>'OECD EMPN'!Y13</f>
        <v>3360.1</v>
      </c>
      <c r="R3">
        <f>'OECD EMPN'!Z13</f>
        <v>7178.4</v>
      </c>
      <c r="S3">
        <f>'OECD EMPN'!AB13</f>
        <v>5964.2</v>
      </c>
      <c r="T3">
        <f>'OECD EMPN'!AC13</f>
        <v>2126.3000000000002</v>
      </c>
      <c r="U3">
        <f>'OECD EMPN'!AD13</f>
        <v>7426.2</v>
      </c>
      <c r="V3">
        <f>'OECD EMPN'!AE13</f>
        <v>6097.7</v>
      </c>
      <c r="W3">
        <f>'OECD EMPN'!AF13</f>
        <v>41628.300000000003</v>
      </c>
      <c r="X3">
        <f>'OECD EMPN'!AI13</f>
        <v>89526.5</v>
      </c>
      <c r="Y3">
        <f>'OECD EMPN'!AJ13</f>
        <v>32104.7</v>
      </c>
      <c r="Z3">
        <f>'OECD EMPN'!AK13</f>
        <v>36240.199999999997</v>
      </c>
      <c r="AA3">
        <f>'OECD EMPN'!AM13</f>
        <v>4845.7</v>
      </c>
      <c r="AB3">
        <f>'OECD EMPN'!AN13</f>
        <v>2550.4</v>
      </c>
      <c r="AC3">
        <f>'OECD EMPN'!AO13</f>
        <v>11109.5</v>
      </c>
      <c r="AD3">
        <f>'OECD EMPN'!AP13</f>
        <v>18206.5</v>
      </c>
      <c r="AE3">
        <f>'OECD EMPN'!AQ13</f>
        <v>8486.2999999999993</v>
      </c>
      <c r="AF3">
        <f>'OECD EMPN'!AR13</f>
        <v>75727.7</v>
      </c>
      <c r="AG3">
        <f>'OECD EMPN'!AU13</f>
        <v>40311.4</v>
      </c>
      <c r="AH3">
        <f>'OECD EMPN'!AV13</f>
        <v>43524.800000000003</v>
      </c>
      <c r="AI3">
        <f>'OECD EMPN'!AW13</f>
        <v>67849.399999999994</v>
      </c>
      <c r="AJ3">
        <f>'OECD EMPN'!AY13</f>
        <v>30952.7</v>
      </c>
      <c r="AK3">
        <f>'OECD EMPN'!AZ13</f>
        <v>7823.1</v>
      </c>
    </row>
    <row r="4" spans="1:56">
      <c r="A4" t="str">
        <f>'OECD EMPN'!A14</f>
        <v>AUS</v>
      </c>
      <c r="B4">
        <f>'OECD EMPN'!D14</f>
        <v>368.4</v>
      </c>
      <c r="C4">
        <f>'OECD EMPN'!F14</f>
        <v>103</v>
      </c>
      <c r="D4">
        <f>'OECD EMPN'!G14</f>
        <v>131.4</v>
      </c>
      <c r="E4">
        <f>'OECD EMPN'!H14</f>
        <v>61.4</v>
      </c>
      <c r="F4">
        <f>'OECD EMPN'!J14</f>
        <v>257.10000000000002</v>
      </c>
      <c r="G4">
        <f>'OECD EMPN'!K14</f>
        <v>33.700000000000003</v>
      </c>
      <c r="H4">
        <f>'OECD EMPN'!M14</f>
        <v>41.4</v>
      </c>
      <c r="I4">
        <f>'OECD EMPN'!N14</f>
        <v>40</v>
      </c>
      <c r="J4">
        <f>'OECD EMPN'!P14</f>
        <v>4.2</v>
      </c>
      <c r="K4" s="21">
        <f>'OECD EMPN'!Q14</f>
        <v>88.9</v>
      </c>
      <c r="L4">
        <f>'OECD EMPN'!R14</f>
        <v>44.3</v>
      </c>
      <c r="M4">
        <f>'OECD EMPN'!S14</f>
        <v>32.299999999999997</v>
      </c>
      <c r="N4">
        <f>'OECD EMPN'!U14</f>
        <v>36.799999999999997</v>
      </c>
      <c r="O4">
        <f>'OECD EMPN'!V14</f>
        <v>66.099999999999994</v>
      </c>
      <c r="P4">
        <f>'OECD EMPN'!X14</f>
        <v>35.6</v>
      </c>
      <c r="Q4">
        <f>'OECD EMPN'!Y14</f>
        <v>23.8</v>
      </c>
      <c r="R4">
        <f>'OECD EMPN'!Z14</f>
        <v>70.900000000000006</v>
      </c>
      <c r="S4">
        <f>'OECD EMPN'!AB14</f>
        <v>29.5</v>
      </c>
      <c r="T4">
        <f>'OECD EMPN'!AC14</f>
        <v>23.9</v>
      </c>
      <c r="U4">
        <f>'OECD EMPN'!AD14</f>
        <v>123.4</v>
      </c>
      <c r="V4">
        <f>'OECD EMPN'!AE14</f>
        <v>168.2</v>
      </c>
      <c r="W4">
        <f>'OECD EMPN'!AF14</f>
        <v>1187.2</v>
      </c>
      <c r="X4">
        <f>'OECD EMPN'!AI14</f>
        <v>1748.9</v>
      </c>
      <c r="Y4">
        <f>'OECD EMPN'!AJ14</f>
        <v>619.4</v>
      </c>
      <c r="Z4">
        <f>'OECD EMPN'!AK14</f>
        <v>849.1</v>
      </c>
      <c r="AA4">
        <f>'OECD EMPN'!AM14</f>
        <v>87.3</v>
      </c>
      <c r="AB4">
        <f>'OECD EMPN'!AN14</f>
        <v>104.3</v>
      </c>
      <c r="AC4">
        <f>'OECD EMPN'!AO14</f>
        <v>311.5</v>
      </c>
      <c r="AD4">
        <f>'OECD EMPN'!AP14</f>
        <v>507.1</v>
      </c>
      <c r="AE4">
        <f>'OECD EMPN'!AQ14</f>
        <v>162.19999999999999</v>
      </c>
      <c r="AF4">
        <f>'OECD EMPN'!AR14</f>
        <v>1396.4</v>
      </c>
      <c r="AG4">
        <f>'OECD EMPN'!AU14</f>
        <v>930.4</v>
      </c>
      <c r="AH4">
        <f>'OECD EMPN'!AV14</f>
        <v>1079</v>
      </c>
      <c r="AI4">
        <f>'OECD EMPN'!AW14</f>
        <v>1768</v>
      </c>
      <c r="AJ4">
        <f>'OECD EMPN'!AY14</f>
        <v>476.5</v>
      </c>
      <c r="AK4">
        <f>'OECD EMPN'!AZ14</f>
        <v>0</v>
      </c>
    </row>
    <row r="5" spans="1:56">
      <c r="A5" t="str">
        <f>'OECD EMPN'!A15</f>
        <v>AUT</v>
      </c>
      <c r="B5">
        <f>'OECD EMPN'!D15</f>
        <v>152.30000000000001</v>
      </c>
      <c r="C5">
        <f>'OECD EMPN'!F15</f>
        <v>1.5</v>
      </c>
      <c r="D5">
        <f>'OECD EMPN'!G15</f>
        <v>4.8</v>
      </c>
      <c r="E5">
        <f>'OECD EMPN'!H15</f>
        <v>0.2</v>
      </c>
      <c r="F5">
        <f>'OECD EMPN'!J15</f>
        <v>85.5</v>
      </c>
      <c r="G5">
        <f>'OECD EMPN'!K15</f>
        <v>15.2</v>
      </c>
      <c r="H5">
        <f>'OECD EMPN'!M15</f>
        <v>33</v>
      </c>
      <c r="I5">
        <f>'OECD EMPN'!N15</f>
        <v>26.8</v>
      </c>
      <c r="J5">
        <f>'OECD EMPN'!P15</f>
        <v>1.6</v>
      </c>
      <c r="K5" s="21">
        <f>'OECD EMPN'!Q15</f>
        <v>36.799999999999997</v>
      </c>
      <c r="L5">
        <f>'OECD EMPN'!R15</f>
        <v>30.6</v>
      </c>
      <c r="M5">
        <f>'OECD EMPN'!S15</f>
        <v>30.5</v>
      </c>
      <c r="N5">
        <f>'OECD EMPN'!U15</f>
        <v>37.5</v>
      </c>
      <c r="O5">
        <f>'OECD EMPN'!V15</f>
        <v>77.7</v>
      </c>
      <c r="P5">
        <f>'OECD EMPN'!X15</f>
        <v>26.4</v>
      </c>
      <c r="Q5">
        <f>'OECD EMPN'!Y15</f>
        <v>45.7</v>
      </c>
      <c r="R5">
        <f>'OECD EMPN'!Z15</f>
        <v>88.2</v>
      </c>
      <c r="S5">
        <f>'OECD EMPN'!AB15</f>
        <v>37.799999999999997</v>
      </c>
      <c r="T5">
        <f>'OECD EMPN'!AC15</f>
        <v>12.9</v>
      </c>
      <c r="U5">
        <f>'OECD EMPN'!AD15</f>
        <v>71.599999999999994</v>
      </c>
      <c r="V5">
        <f>'OECD EMPN'!AE15</f>
        <v>51.3</v>
      </c>
      <c r="W5">
        <f>'OECD EMPN'!AF15</f>
        <v>310.5</v>
      </c>
      <c r="X5">
        <f>'OECD EMPN'!AI15</f>
        <v>669</v>
      </c>
      <c r="Y5">
        <f>'OECD EMPN'!AJ15</f>
        <v>214.6</v>
      </c>
      <c r="Z5">
        <f>'OECD EMPN'!AK15</f>
        <v>265.7</v>
      </c>
      <c r="AA5">
        <f>'OECD EMPN'!AM15</f>
        <v>28.2</v>
      </c>
      <c r="AB5">
        <f>'OECD EMPN'!AN15</f>
        <v>14.1</v>
      </c>
      <c r="AC5">
        <f>'OECD EMPN'!AO15</f>
        <v>91</v>
      </c>
      <c r="AD5">
        <f>'OECD EMPN'!AP15</f>
        <v>124.2</v>
      </c>
      <c r="AE5">
        <f>'OECD EMPN'!AQ15</f>
        <v>65.3</v>
      </c>
      <c r="AF5">
        <f>'OECD EMPN'!AR15</f>
        <v>539.6</v>
      </c>
      <c r="AG5">
        <f>'OECD EMPN'!AU15</f>
        <v>271.8</v>
      </c>
      <c r="AH5">
        <f>'OECD EMPN'!AV15</f>
        <v>326.10000000000002</v>
      </c>
      <c r="AI5">
        <f>'OECD EMPN'!AW15</f>
        <v>474.1</v>
      </c>
      <c r="AJ5">
        <f>'OECD EMPN'!AY15</f>
        <v>191.1</v>
      </c>
      <c r="AK5">
        <f>'OECD EMPN'!AZ15</f>
        <v>7.9</v>
      </c>
    </row>
    <row r="6" spans="1:56">
      <c r="A6" t="str">
        <f>'OECD EMPN'!A16</f>
        <v>BEL</v>
      </c>
      <c r="B6">
        <f>'OECD EMPN'!D16</f>
        <v>59.8</v>
      </c>
      <c r="C6">
        <f>'OECD EMPN'!F16</f>
        <v>0</v>
      </c>
      <c r="D6">
        <f>'OECD EMPN'!G16</f>
        <v>2.5</v>
      </c>
      <c r="E6">
        <f>'OECD EMPN'!H16</f>
        <v>0</v>
      </c>
      <c r="F6">
        <f>'OECD EMPN'!J16</f>
        <v>101.2</v>
      </c>
      <c r="G6">
        <f>'OECD EMPN'!K16</f>
        <v>20.2</v>
      </c>
      <c r="H6">
        <f>'OECD EMPN'!M16</f>
        <v>15.3</v>
      </c>
      <c r="I6">
        <f>'OECD EMPN'!N16</f>
        <v>25</v>
      </c>
      <c r="J6">
        <f>'OECD EMPN'!P16</f>
        <v>4.8</v>
      </c>
      <c r="K6" s="21">
        <f>'OECD EMPN'!Q16</f>
        <v>71.599999999999994</v>
      </c>
      <c r="L6">
        <f>'OECD EMPN'!R16</f>
        <v>25.3</v>
      </c>
      <c r="M6">
        <f>'OECD EMPN'!S16</f>
        <v>27.8</v>
      </c>
      <c r="N6">
        <f>'OECD EMPN'!U16</f>
        <v>25.4</v>
      </c>
      <c r="O6">
        <f>'OECD EMPN'!V16</f>
        <v>51.7</v>
      </c>
      <c r="P6">
        <f>'OECD EMPN'!X16</f>
        <v>11.2</v>
      </c>
      <c r="Q6">
        <f>'OECD EMPN'!Y16</f>
        <v>14.5</v>
      </c>
      <c r="R6">
        <f>'OECD EMPN'!Z16</f>
        <v>29.8</v>
      </c>
      <c r="S6">
        <f>'OECD EMPN'!AB16</f>
        <v>29.4</v>
      </c>
      <c r="T6">
        <f>'OECD EMPN'!AC16</f>
        <v>6.5</v>
      </c>
      <c r="U6">
        <f>'OECD EMPN'!AD16</f>
        <v>44.5</v>
      </c>
      <c r="V6">
        <f>'OECD EMPN'!AE16</f>
        <v>53</v>
      </c>
      <c r="W6">
        <f>'OECD EMPN'!AF16</f>
        <v>291.2</v>
      </c>
      <c r="X6">
        <f>'OECD EMPN'!AI16</f>
        <v>591.29999999999995</v>
      </c>
      <c r="Y6">
        <f>'OECD EMPN'!AJ16</f>
        <v>265.89999999999998</v>
      </c>
      <c r="Z6">
        <f>'OECD EMPN'!AK16</f>
        <v>148</v>
      </c>
      <c r="AA6">
        <f>'OECD EMPN'!AM16</f>
        <v>23.3</v>
      </c>
      <c r="AB6">
        <f>'OECD EMPN'!AN16</f>
        <v>21</v>
      </c>
      <c r="AC6">
        <f>'OECD EMPN'!AO16</f>
        <v>86.7</v>
      </c>
      <c r="AD6">
        <f>'OECD EMPN'!AP16</f>
        <v>114.1</v>
      </c>
      <c r="AE6">
        <f>'OECD EMPN'!AQ16</f>
        <v>30.6</v>
      </c>
      <c r="AF6">
        <f>'OECD EMPN'!AR16</f>
        <v>978.4</v>
      </c>
      <c r="AG6">
        <f>'OECD EMPN'!AU16</f>
        <v>442.7</v>
      </c>
      <c r="AH6">
        <f>'OECD EMPN'!AV16</f>
        <v>417.1</v>
      </c>
      <c r="AI6">
        <f>'OECD EMPN'!AW16</f>
        <v>657</v>
      </c>
      <c r="AJ6">
        <f>'OECD EMPN'!AY16</f>
        <v>170.1</v>
      </c>
      <c r="AK6">
        <f>'OECD EMPN'!AZ16</f>
        <v>41.3</v>
      </c>
    </row>
    <row r="7" spans="1:56">
      <c r="A7" t="str">
        <f>'OECD EMPN'!A17</f>
        <v>CAN</v>
      </c>
      <c r="B7">
        <f>'OECD EMPN'!D17</f>
        <v>360.5</v>
      </c>
      <c r="C7">
        <f>'OECD EMPN'!F17</f>
        <v>75.599999999999994</v>
      </c>
      <c r="D7">
        <f>'OECD EMPN'!G17</f>
        <v>61.7</v>
      </c>
      <c r="E7">
        <f>'OECD EMPN'!H17</f>
        <v>69.2</v>
      </c>
      <c r="F7">
        <f>'OECD EMPN'!J17</f>
        <v>281.8</v>
      </c>
      <c r="G7">
        <f>'OECD EMPN'!K17</f>
        <v>35.6</v>
      </c>
      <c r="H7">
        <f>'OECD EMPN'!M17</f>
        <v>86.3</v>
      </c>
      <c r="I7">
        <f>'OECD EMPN'!N17</f>
        <v>95.6</v>
      </c>
      <c r="J7">
        <f>'OECD EMPN'!P17</f>
        <v>6.4</v>
      </c>
      <c r="K7" s="21">
        <f>'OECD EMPN'!Q17</f>
        <v>85.4</v>
      </c>
      <c r="L7">
        <f>'OECD EMPN'!R17</f>
        <v>92.5</v>
      </c>
      <c r="M7">
        <f>'OECD EMPN'!S17</f>
        <v>56.8</v>
      </c>
      <c r="N7">
        <f>'OECD EMPN'!U17</f>
        <v>52</v>
      </c>
      <c r="O7">
        <f>'OECD EMPN'!V17</f>
        <v>164.4</v>
      </c>
      <c r="P7">
        <f>'OECD EMPN'!X17</f>
        <v>52.7</v>
      </c>
      <c r="Q7">
        <f>'OECD EMPN'!Y17</f>
        <v>31.3</v>
      </c>
      <c r="R7">
        <f>'OECD EMPN'!Z17</f>
        <v>128.19999999999999</v>
      </c>
      <c r="S7">
        <f>'OECD EMPN'!AB17</f>
        <v>104.5</v>
      </c>
      <c r="T7">
        <f>'OECD EMPN'!AC17</f>
        <v>76.5</v>
      </c>
      <c r="U7">
        <f>'OECD EMPN'!AD17</f>
        <v>204.7</v>
      </c>
      <c r="V7">
        <f>'OECD EMPN'!AE17</f>
        <v>163.69999999999999</v>
      </c>
      <c r="W7">
        <f>'OECD EMPN'!AF17</f>
        <v>1285.0999999999999</v>
      </c>
      <c r="X7">
        <f>'OECD EMPN'!AI17</f>
        <v>2806.4</v>
      </c>
      <c r="Y7">
        <f>'OECD EMPN'!AJ17</f>
        <v>923.5</v>
      </c>
      <c r="Z7">
        <f>'OECD EMPN'!AK17</f>
        <v>1048.2</v>
      </c>
      <c r="AA7">
        <f>'OECD EMPN'!AM17</f>
        <v>184.4</v>
      </c>
      <c r="AB7">
        <f>'OECD EMPN'!AN17</f>
        <v>125.1</v>
      </c>
      <c r="AC7">
        <f>'OECD EMPN'!AO17</f>
        <v>390.1</v>
      </c>
      <c r="AD7">
        <f>'OECD EMPN'!AP17</f>
        <v>941</v>
      </c>
      <c r="AE7">
        <f>'OECD EMPN'!AQ17</f>
        <v>299.3</v>
      </c>
      <c r="AF7">
        <f>'OECD EMPN'!AR17</f>
        <v>1811.4</v>
      </c>
      <c r="AG7">
        <f>'OECD EMPN'!AU17</f>
        <v>1155.3</v>
      </c>
      <c r="AH7">
        <f>'OECD EMPN'!AV17</f>
        <v>1369.5</v>
      </c>
      <c r="AI7">
        <f>'OECD EMPN'!AW17</f>
        <v>2103</v>
      </c>
      <c r="AJ7">
        <f>'OECD EMPN'!AY17</f>
        <v>738.5</v>
      </c>
      <c r="AK7">
        <f>'OECD EMPN'!AZ17</f>
        <v>96.9</v>
      </c>
    </row>
    <row r="8" spans="1:56">
      <c r="A8" t="str">
        <f>'OECD EMPN'!A18</f>
        <v>CHL</v>
      </c>
      <c r="B8">
        <f>'OECD EMPN'!D18</f>
        <v>574.1</v>
      </c>
      <c r="C8">
        <f>'OECD EMPN'!F18</f>
        <v>9.1</v>
      </c>
      <c r="D8">
        <f>'OECD EMPN'!G18</f>
        <v>187.7</v>
      </c>
      <c r="E8">
        <f>'OECD EMPN'!H18</f>
        <v>1</v>
      </c>
      <c r="F8">
        <f>'OECD EMPN'!J18</f>
        <v>176.8</v>
      </c>
      <c r="G8">
        <f>'OECD EMPN'!K18</f>
        <v>20.8</v>
      </c>
      <c r="H8">
        <f>'OECD EMPN'!M18</f>
        <v>23.6</v>
      </c>
      <c r="I8">
        <f>'OECD EMPN'!N18</f>
        <v>40.799999999999997</v>
      </c>
      <c r="J8">
        <f>'OECD EMPN'!P18</f>
        <v>10.7</v>
      </c>
      <c r="K8" s="21">
        <f>'OECD EMPN'!Q18</f>
        <v>60</v>
      </c>
      <c r="L8">
        <f>'OECD EMPN'!R18</f>
        <v>28.2</v>
      </c>
      <c r="M8">
        <f>'OECD EMPN'!S18</f>
        <v>20.3</v>
      </c>
      <c r="N8">
        <f>'OECD EMPN'!U18</f>
        <v>201.8</v>
      </c>
      <c r="O8">
        <f>'OECD EMPN'!V18</f>
        <v>76</v>
      </c>
      <c r="P8">
        <f>'OECD EMPN'!X18</f>
        <v>17.399999999999999</v>
      </c>
      <c r="Q8">
        <f>'OECD EMPN'!Y18</f>
        <v>9.5</v>
      </c>
      <c r="R8">
        <f>'OECD EMPN'!Z18</f>
        <v>24.5</v>
      </c>
      <c r="S8">
        <f>'OECD EMPN'!AB18</f>
        <v>0</v>
      </c>
      <c r="T8">
        <f>'OECD EMPN'!AC18</f>
        <v>32.9</v>
      </c>
      <c r="U8">
        <f>'OECD EMPN'!AD18</f>
        <v>37</v>
      </c>
      <c r="V8">
        <f>'OECD EMPN'!AE18</f>
        <v>115.3</v>
      </c>
      <c r="W8">
        <f>'OECD EMPN'!AF18</f>
        <v>655.6</v>
      </c>
      <c r="X8">
        <f>'OECD EMPN'!AI18</f>
        <v>1557.2</v>
      </c>
      <c r="Y8">
        <f>'OECD EMPN'!AJ18</f>
        <v>480.2</v>
      </c>
      <c r="Z8">
        <f>'OECD EMPN'!AK18</f>
        <v>282.5</v>
      </c>
      <c r="AA8">
        <f>'OECD EMPN'!AM18</f>
        <v>55</v>
      </c>
      <c r="AB8">
        <f>'OECD EMPN'!AN18</f>
        <v>30.9</v>
      </c>
      <c r="AC8">
        <f>'OECD EMPN'!AO18</f>
        <v>83.6</v>
      </c>
      <c r="AD8">
        <f>'OECD EMPN'!AP18</f>
        <v>173.3</v>
      </c>
      <c r="AE8">
        <f>'OECD EMPN'!AQ18</f>
        <v>75.5</v>
      </c>
      <c r="AF8">
        <f>'OECD EMPN'!AR18</f>
        <v>537.79999999999995</v>
      </c>
      <c r="AG8">
        <f>'OECD EMPN'!AU18</f>
        <v>532</v>
      </c>
      <c r="AH8">
        <f>'OECD EMPN'!AV18</f>
        <v>734.3</v>
      </c>
      <c r="AI8">
        <f>'OECD EMPN'!AW18</f>
        <v>548.20000000000005</v>
      </c>
      <c r="AJ8">
        <f>'OECD EMPN'!AY18</f>
        <v>351.2</v>
      </c>
      <c r="AK8">
        <f>'OECD EMPN'!AZ18</f>
        <v>0</v>
      </c>
    </row>
    <row r="9" spans="1:56">
      <c r="A9" t="str">
        <f>'OECD EMPN'!A19</f>
        <v>COL</v>
      </c>
      <c r="B9">
        <f>'OECD EMPN'!D19</f>
        <v>3184.9</v>
      </c>
      <c r="C9">
        <f>'OECD EMPN'!F19</f>
        <v>184.6</v>
      </c>
      <c r="D9">
        <f>'OECD EMPN'!G19</f>
        <v>12.4</v>
      </c>
      <c r="E9">
        <f>'OECD EMPN'!H19</f>
        <v>1.1000000000000001</v>
      </c>
      <c r="F9">
        <f>'OECD EMPN'!J19</f>
        <v>539.1</v>
      </c>
      <c r="G9">
        <f>'OECD EMPN'!K19</f>
        <v>373.7</v>
      </c>
      <c r="H9">
        <f>'OECD EMPN'!M19</f>
        <v>16</v>
      </c>
      <c r="I9">
        <f>'OECD EMPN'!N19</f>
        <v>113.8</v>
      </c>
      <c r="J9">
        <f>'OECD EMPN'!P19</f>
        <v>17.7</v>
      </c>
      <c r="K9" s="21">
        <f>'OECD EMPN'!Q19</f>
        <v>244.4</v>
      </c>
      <c r="L9">
        <f>'OECD EMPN'!R19</f>
        <v>172.5</v>
      </c>
      <c r="M9">
        <f>'OECD EMPN'!S19</f>
        <v>112.1</v>
      </c>
      <c r="N9">
        <f>'OECD EMPN'!U19</f>
        <v>48</v>
      </c>
      <c r="O9">
        <f>'OECD EMPN'!V19</f>
        <v>115.3</v>
      </c>
      <c r="P9">
        <f>'OECD EMPN'!X19</f>
        <v>1.7</v>
      </c>
      <c r="Q9">
        <f>'OECD EMPN'!Y19</f>
        <v>64.5</v>
      </c>
      <c r="R9">
        <f>'OECD EMPN'!Z19</f>
        <v>58.9</v>
      </c>
      <c r="S9">
        <f>'OECD EMPN'!AB19</f>
        <v>45.3</v>
      </c>
      <c r="T9">
        <f>'OECD EMPN'!AC19</f>
        <v>23.1</v>
      </c>
      <c r="U9">
        <f>'OECD EMPN'!AD19</f>
        <v>137.1</v>
      </c>
      <c r="V9">
        <f>'OECD EMPN'!AE19</f>
        <v>223</v>
      </c>
      <c r="W9">
        <f>'OECD EMPN'!AF19</f>
        <v>1289.3</v>
      </c>
      <c r="X9">
        <f>'OECD EMPN'!AI19</f>
        <v>3607.8</v>
      </c>
      <c r="Y9">
        <f>'OECD EMPN'!AJ19</f>
        <v>1353.7</v>
      </c>
      <c r="Z9">
        <f>'OECD EMPN'!AK19</f>
        <v>1313.5</v>
      </c>
      <c r="AA9">
        <f>'OECD EMPN'!AM19</f>
        <v>50.7</v>
      </c>
      <c r="AB9">
        <f>'OECD EMPN'!AN19</f>
        <v>104.1</v>
      </c>
      <c r="AC9">
        <f>'OECD EMPN'!AO19</f>
        <v>135.69999999999999</v>
      </c>
      <c r="AD9">
        <f>'OECD EMPN'!AP19</f>
        <v>272.8</v>
      </c>
      <c r="AE9">
        <f>'OECD EMPN'!AQ19</f>
        <v>227.5</v>
      </c>
      <c r="AF9">
        <f>'OECD EMPN'!AR19</f>
        <v>1216.0999999999999</v>
      </c>
      <c r="AG9">
        <f>'OECD EMPN'!AU19</f>
        <v>617.5</v>
      </c>
      <c r="AH9">
        <f>'OECD EMPN'!AV19</f>
        <v>811.9</v>
      </c>
      <c r="AI9">
        <f>'OECD EMPN'!AW19</f>
        <v>777.2</v>
      </c>
      <c r="AJ9">
        <f>'OECD EMPN'!AY19</f>
        <v>1086.7</v>
      </c>
      <c r="AK9">
        <f>'OECD EMPN'!AZ19</f>
        <v>495.5</v>
      </c>
    </row>
    <row r="10" spans="1:56">
      <c r="A10" t="str">
        <f>'OECD EMPN'!A20</f>
        <v>CRI</v>
      </c>
      <c r="B10">
        <f>'OECD EMPN'!D20</f>
        <v>238.4</v>
      </c>
      <c r="C10">
        <f>'OECD EMPN'!F20</f>
        <v>0</v>
      </c>
      <c r="D10">
        <f>'OECD EMPN'!G20</f>
        <v>2</v>
      </c>
      <c r="E10">
        <f>'OECD EMPN'!H20</f>
        <v>0</v>
      </c>
      <c r="F10">
        <f>'OECD EMPN'!J20</f>
        <v>82</v>
      </c>
      <c r="G10">
        <f>'OECD EMPN'!K20</f>
        <v>13.1</v>
      </c>
      <c r="H10">
        <f>'OECD EMPN'!M20</f>
        <v>4.9000000000000004</v>
      </c>
      <c r="I10">
        <f>'OECD EMPN'!N20</f>
        <v>12.3</v>
      </c>
      <c r="J10">
        <f>'OECD EMPN'!P20</f>
        <v>3.2</v>
      </c>
      <c r="K10" s="21">
        <f>'OECD EMPN'!Q20</f>
        <v>15.7</v>
      </c>
      <c r="L10">
        <f>'OECD EMPN'!R20</f>
        <v>2.1</v>
      </c>
      <c r="M10">
        <f>'OECD EMPN'!S20</f>
        <v>3.8</v>
      </c>
      <c r="N10">
        <f>'OECD EMPN'!U20</f>
        <v>1.3</v>
      </c>
      <c r="O10">
        <f>'OECD EMPN'!V20</f>
        <v>7.5</v>
      </c>
      <c r="P10">
        <f>'OECD EMPN'!X20</f>
        <v>1.4</v>
      </c>
      <c r="Q10">
        <f>'OECD EMPN'!Y20</f>
        <v>5.0999999999999996</v>
      </c>
      <c r="R10">
        <f>'OECD EMPN'!Z20</f>
        <v>0</v>
      </c>
      <c r="S10">
        <f>'OECD EMPN'!AB20</f>
        <v>0.8</v>
      </c>
      <c r="T10">
        <f>'OECD EMPN'!AC20</f>
        <v>0</v>
      </c>
      <c r="U10">
        <f>'OECD EMPN'!AD20</f>
        <v>43.9</v>
      </c>
      <c r="V10">
        <f>'OECD EMPN'!AE20</f>
        <v>26</v>
      </c>
      <c r="W10">
        <f>'OECD EMPN'!AF20</f>
        <v>126.2</v>
      </c>
      <c r="X10">
        <f>'OECD EMPN'!AI20</f>
        <v>304.89999999999998</v>
      </c>
      <c r="Y10">
        <f>'OECD EMPN'!AJ20</f>
        <v>103.7</v>
      </c>
      <c r="Z10">
        <f>'OECD EMPN'!AK20</f>
        <v>104</v>
      </c>
      <c r="AA10">
        <f>'OECD EMPN'!AM20</f>
        <v>10.6</v>
      </c>
      <c r="AB10">
        <f>'OECD EMPN'!AN20</f>
        <v>8.3000000000000007</v>
      </c>
      <c r="AC10">
        <f>'OECD EMPN'!AO20</f>
        <v>17.5</v>
      </c>
      <c r="AD10">
        <f>'OECD EMPN'!AP20</f>
        <v>42</v>
      </c>
      <c r="AE10">
        <f>'OECD EMPN'!AQ20</f>
        <v>15.6</v>
      </c>
      <c r="AF10">
        <f>'OECD EMPN'!AR20</f>
        <v>178.2</v>
      </c>
      <c r="AG10">
        <f>'OECD EMPN'!AU20</f>
        <v>86.9</v>
      </c>
      <c r="AH10">
        <f>'OECD EMPN'!AV20</f>
        <v>140</v>
      </c>
      <c r="AI10">
        <f>'OECD EMPN'!AW20</f>
        <v>85.5</v>
      </c>
      <c r="AJ10">
        <f>'OECD EMPN'!AY20</f>
        <v>105.2</v>
      </c>
      <c r="AK10">
        <f>'OECD EMPN'!AZ20</f>
        <v>107.3</v>
      </c>
    </row>
    <row r="11" spans="1:56">
      <c r="A11" t="str">
        <f>'OECD EMPN'!A21</f>
        <v>CZE</v>
      </c>
      <c r="B11">
        <f>'OECD EMPN'!D21</f>
        <v>161.6</v>
      </c>
      <c r="C11">
        <f>'OECD EMPN'!F21</f>
        <v>14.8</v>
      </c>
      <c r="D11">
        <f>'OECD EMPN'!G21</f>
        <v>8.1</v>
      </c>
      <c r="E11">
        <f>'OECD EMPN'!H21</f>
        <v>2.6</v>
      </c>
      <c r="F11">
        <f>'OECD EMPN'!J21</f>
        <v>130.1</v>
      </c>
      <c r="G11">
        <f>'OECD EMPN'!K21</f>
        <v>54.9</v>
      </c>
      <c r="H11">
        <f>'OECD EMPN'!M21</f>
        <v>52</v>
      </c>
      <c r="I11">
        <f>'OECD EMPN'!N21</f>
        <v>46.7</v>
      </c>
      <c r="J11">
        <f>'OECD EMPN'!P21</f>
        <v>1.1000000000000001</v>
      </c>
      <c r="K11" s="21">
        <f>'OECD EMPN'!Q21</f>
        <v>46.4</v>
      </c>
      <c r="L11">
        <f>'OECD EMPN'!R21</f>
        <v>94.2</v>
      </c>
      <c r="M11">
        <f>'OECD EMPN'!S21</f>
        <v>57.9</v>
      </c>
      <c r="N11">
        <f>'OECD EMPN'!U21</f>
        <v>45.7</v>
      </c>
      <c r="O11">
        <f>'OECD EMPN'!V21</f>
        <v>201.5</v>
      </c>
      <c r="P11">
        <f>'OECD EMPN'!X21</f>
        <v>46.7</v>
      </c>
      <c r="Q11">
        <f>'OECD EMPN'!Y21</f>
        <v>115.5</v>
      </c>
      <c r="R11">
        <f>'OECD EMPN'!Z21</f>
        <v>135.5</v>
      </c>
      <c r="S11">
        <f>'OECD EMPN'!AB21</f>
        <v>198.6</v>
      </c>
      <c r="T11">
        <f>'OECD EMPN'!AC21</f>
        <v>25.8</v>
      </c>
      <c r="U11">
        <f>'OECD EMPN'!AD21</f>
        <v>133.30000000000001</v>
      </c>
      <c r="V11">
        <f>'OECD EMPN'!AE21</f>
        <v>104.2</v>
      </c>
      <c r="W11">
        <f>'OECD EMPN'!AF21</f>
        <v>401.9</v>
      </c>
      <c r="X11">
        <f>'OECD EMPN'!AI21</f>
        <v>719.3</v>
      </c>
      <c r="Y11">
        <f>'OECD EMPN'!AJ21</f>
        <v>332.1</v>
      </c>
      <c r="Z11">
        <f>'OECD EMPN'!AK21</f>
        <v>182.1</v>
      </c>
      <c r="AA11">
        <f>'OECD EMPN'!AM21</f>
        <v>28.5</v>
      </c>
      <c r="AB11">
        <f>'OECD EMPN'!AN21</f>
        <v>23.3</v>
      </c>
      <c r="AC11">
        <f>'OECD EMPN'!AO21</f>
        <v>118.7</v>
      </c>
      <c r="AD11">
        <f>'OECD EMPN'!AP21</f>
        <v>91.1</v>
      </c>
      <c r="AE11">
        <f>'OECD EMPN'!AQ21</f>
        <v>92.8</v>
      </c>
      <c r="AF11">
        <f>'OECD EMPN'!AR21</f>
        <v>461.4</v>
      </c>
      <c r="AG11">
        <f>'OECD EMPN'!AU21</f>
        <v>314.60000000000002</v>
      </c>
      <c r="AH11">
        <f>'OECD EMPN'!AV21</f>
        <v>335.9</v>
      </c>
      <c r="AI11">
        <f>'OECD EMPN'!AW21</f>
        <v>369.1</v>
      </c>
      <c r="AJ11">
        <f>'OECD EMPN'!AY21</f>
        <v>180.4</v>
      </c>
      <c r="AK11">
        <f>'OECD EMPN'!AZ21</f>
        <v>8.6</v>
      </c>
    </row>
    <row r="12" spans="1:56">
      <c r="A12" t="str">
        <f>'OECD EMPN'!A22</f>
        <v>DNK</v>
      </c>
      <c r="B12">
        <f>'OECD EMPN'!D22</f>
        <v>68</v>
      </c>
      <c r="C12">
        <f>'OECD EMPN'!F22</f>
        <v>1.2</v>
      </c>
      <c r="D12">
        <f>'OECD EMPN'!G22</f>
        <v>1</v>
      </c>
      <c r="E12">
        <f>'OECD EMPN'!H22</f>
        <v>1.8</v>
      </c>
      <c r="F12">
        <f>'OECD EMPN'!J22</f>
        <v>48</v>
      </c>
      <c r="G12">
        <f>'OECD EMPN'!K22</f>
        <v>5</v>
      </c>
      <c r="H12">
        <f>'OECD EMPN'!M22</f>
        <v>9</v>
      </c>
      <c r="I12">
        <f>'OECD EMPN'!N22</f>
        <v>10</v>
      </c>
      <c r="J12">
        <f>'OECD EMPN'!P22</f>
        <v>1</v>
      </c>
      <c r="K12" s="21">
        <f>'OECD EMPN'!Q22</f>
        <v>37</v>
      </c>
      <c r="L12">
        <f>'OECD EMPN'!R22</f>
        <v>12</v>
      </c>
      <c r="M12">
        <f>'OECD EMPN'!S22</f>
        <v>14</v>
      </c>
      <c r="N12">
        <f>'OECD EMPN'!U22</f>
        <v>5</v>
      </c>
      <c r="O12">
        <f>'OECD EMPN'!V22</f>
        <v>34</v>
      </c>
      <c r="P12">
        <f>'OECD EMPN'!X22</f>
        <v>17</v>
      </c>
      <c r="Q12">
        <f>'OECD EMPN'!Y22</f>
        <v>10</v>
      </c>
      <c r="R12">
        <f>'OECD EMPN'!Z22</f>
        <v>53</v>
      </c>
      <c r="S12">
        <f>'OECD EMPN'!AB22</f>
        <v>4</v>
      </c>
      <c r="T12">
        <f>'OECD EMPN'!AC22</f>
        <v>3</v>
      </c>
      <c r="U12">
        <f>'OECD EMPN'!AD22</f>
        <v>31</v>
      </c>
      <c r="V12">
        <f>'OECD EMPN'!AE22</f>
        <v>23</v>
      </c>
      <c r="W12">
        <f>'OECD EMPN'!AF22</f>
        <v>194</v>
      </c>
      <c r="X12">
        <f>'OECD EMPN'!AI22</f>
        <v>489</v>
      </c>
      <c r="Y12">
        <f>'OECD EMPN'!AJ22</f>
        <v>142</v>
      </c>
      <c r="Z12">
        <f>'OECD EMPN'!AK22</f>
        <v>131</v>
      </c>
      <c r="AA12">
        <f>'OECD EMPN'!AM22</f>
        <v>37</v>
      </c>
      <c r="AB12">
        <f>'OECD EMPN'!AN22</f>
        <v>14</v>
      </c>
      <c r="AC12">
        <f>'OECD EMPN'!AO22</f>
        <v>59</v>
      </c>
      <c r="AD12">
        <f>'OECD EMPN'!AP22</f>
        <v>79</v>
      </c>
      <c r="AE12">
        <f>'OECD EMPN'!AQ22</f>
        <v>48</v>
      </c>
      <c r="AF12">
        <f>'OECD EMPN'!AR22</f>
        <v>322</v>
      </c>
      <c r="AG12">
        <f>'OECD EMPN'!AU22</f>
        <v>157</v>
      </c>
      <c r="AH12">
        <f>'OECD EMPN'!AV22</f>
        <v>226</v>
      </c>
      <c r="AI12">
        <f>'OECD EMPN'!AW22</f>
        <v>531</v>
      </c>
      <c r="AJ12">
        <f>'OECD EMPN'!AY22</f>
        <v>136</v>
      </c>
      <c r="AK12">
        <f>'OECD EMPN'!AZ22</f>
        <v>23</v>
      </c>
    </row>
    <row r="13" spans="1:56">
      <c r="A13" t="str">
        <f>'OECD EMPN'!A23</f>
        <v>EST</v>
      </c>
      <c r="B13">
        <f>'OECD EMPN'!D23</f>
        <v>19.2</v>
      </c>
      <c r="C13">
        <f>'OECD EMPN'!F23</f>
        <v>1.9</v>
      </c>
      <c r="D13">
        <f>'OECD EMPN'!G23</f>
        <v>2</v>
      </c>
      <c r="E13">
        <f>'OECD EMPN'!H23</f>
        <v>0.1</v>
      </c>
      <c r="F13">
        <f>'OECD EMPN'!J23</f>
        <v>14.9</v>
      </c>
      <c r="G13">
        <f>'OECD EMPN'!K23</f>
        <v>10.6</v>
      </c>
      <c r="H13">
        <f>'OECD EMPN'!M23</f>
        <v>17.600000000000001</v>
      </c>
      <c r="I13">
        <f>'OECD EMPN'!N23</f>
        <v>4.8</v>
      </c>
      <c r="J13">
        <f>'OECD EMPN'!P23</f>
        <v>1.1000000000000001</v>
      </c>
      <c r="K13" s="21">
        <f>'OECD EMPN'!Q23</f>
        <v>4.8</v>
      </c>
      <c r="L13">
        <f>'OECD EMPN'!R23</f>
        <v>5.6</v>
      </c>
      <c r="M13">
        <f>'OECD EMPN'!S23</f>
        <v>4.5999999999999996</v>
      </c>
      <c r="N13">
        <f>'OECD EMPN'!U23</f>
        <v>0.2</v>
      </c>
      <c r="O13">
        <f>'OECD EMPN'!V23</f>
        <v>16.100000000000001</v>
      </c>
      <c r="P13">
        <f>'OECD EMPN'!X23</f>
        <v>7.9</v>
      </c>
      <c r="Q13">
        <f>'OECD EMPN'!Y23</f>
        <v>7.9</v>
      </c>
      <c r="R13">
        <f>'OECD EMPN'!Z23</f>
        <v>3.2</v>
      </c>
      <c r="S13">
        <f>'OECD EMPN'!AB23</f>
        <v>3.1</v>
      </c>
      <c r="T13">
        <f>'OECD EMPN'!AC23</f>
        <v>1</v>
      </c>
      <c r="U13">
        <f>'OECD EMPN'!AD23</f>
        <v>15.6</v>
      </c>
      <c r="V13">
        <f>'OECD EMPN'!AE23</f>
        <v>8.8000000000000007</v>
      </c>
      <c r="W13">
        <f>'OECD EMPN'!AF23</f>
        <v>50.4</v>
      </c>
      <c r="X13">
        <f>'OECD EMPN'!AI23</f>
        <v>83.6</v>
      </c>
      <c r="Y13">
        <f>'OECD EMPN'!AJ23</f>
        <v>44.7</v>
      </c>
      <c r="Z13">
        <f>'OECD EMPN'!AK23</f>
        <v>24.9</v>
      </c>
      <c r="AA13">
        <f>'OECD EMPN'!AM23</f>
        <v>5.4</v>
      </c>
      <c r="AB13">
        <f>'OECD EMPN'!AN23</f>
        <v>4.9000000000000004</v>
      </c>
      <c r="AC13">
        <f>'OECD EMPN'!AO23</f>
        <v>20.6</v>
      </c>
      <c r="AD13">
        <f>'OECD EMPN'!AP23</f>
        <v>12.6</v>
      </c>
      <c r="AE13">
        <f>'OECD EMPN'!AQ23</f>
        <v>11</v>
      </c>
      <c r="AF13">
        <f>'OECD EMPN'!AR23</f>
        <v>53</v>
      </c>
      <c r="AG13">
        <f>'OECD EMPN'!AU23</f>
        <v>44.5</v>
      </c>
      <c r="AH13">
        <f>'OECD EMPN'!AV23</f>
        <v>61.8</v>
      </c>
      <c r="AI13">
        <f>'OECD EMPN'!AW23</f>
        <v>40</v>
      </c>
      <c r="AJ13">
        <f>'OECD EMPN'!AY23</f>
        <v>35.799999999999997</v>
      </c>
      <c r="AK13">
        <f>'OECD EMPN'!AZ23</f>
        <v>0</v>
      </c>
    </row>
    <row r="14" spans="1:56">
      <c r="A14" t="str">
        <f>'OECD EMPN'!A24</f>
        <v>FIN</v>
      </c>
      <c r="B14">
        <f>'OECD EMPN'!D24</f>
        <v>89.6</v>
      </c>
      <c r="C14">
        <f>'OECD EMPN'!F24</f>
        <v>0</v>
      </c>
      <c r="D14">
        <f>'OECD EMPN'!G24</f>
        <v>6.7</v>
      </c>
      <c r="E14">
        <f>'OECD EMPN'!H24</f>
        <v>1.4</v>
      </c>
      <c r="F14">
        <f>'OECD EMPN'!J24</f>
        <v>39.200000000000003</v>
      </c>
      <c r="G14">
        <f>'OECD EMPN'!K24</f>
        <v>8.4</v>
      </c>
      <c r="H14">
        <f>'OECD EMPN'!M24</f>
        <v>21</v>
      </c>
      <c r="I14">
        <f>'OECD EMPN'!N24</f>
        <v>25.2</v>
      </c>
      <c r="J14">
        <f>'OECD EMPN'!P24</f>
        <v>2.9</v>
      </c>
      <c r="K14" s="21">
        <f>'OECD EMPN'!Q24</f>
        <v>17.899999999999999</v>
      </c>
      <c r="L14">
        <f>'OECD EMPN'!R24</f>
        <v>13.2</v>
      </c>
      <c r="M14">
        <f>'OECD EMPN'!S24</f>
        <v>13.2</v>
      </c>
      <c r="N14">
        <f>'OECD EMPN'!U24</f>
        <v>13.7</v>
      </c>
      <c r="O14">
        <f>'OECD EMPN'!V24</f>
        <v>44.1</v>
      </c>
      <c r="P14">
        <f>'OECD EMPN'!X24</f>
        <v>21.2</v>
      </c>
      <c r="Q14">
        <f>'OECD EMPN'!Y24</f>
        <v>16.399999999999999</v>
      </c>
      <c r="R14">
        <f>'OECD EMPN'!Z24</f>
        <v>49.3</v>
      </c>
      <c r="S14">
        <f>'OECD EMPN'!AB24</f>
        <v>9.6</v>
      </c>
      <c r="T14">
        <f>'OECD EMPN'!AC24</f>
        <v>7.6</v>
      </c>
      <c r="U14">
        <f>'OECD EMPN'!AD24</f>
        <v>34.200000000000003</v>
      </c>
      <c r="V14">
        <f>'OECD EMPN'!AE24</f>
        <v>27.2</v>
      </c>
      <c r="W14">
        <f>'OECD EMPN'!AF24</f>
        <v>208.2</v>
      </c>
      <c r="X14">
        <f>'OECD EMPN'!AI24</f>
        <v>279.39999999999998</v>
      </c>
      <c r="Y14">
        <f>'OECD EMPN'!AJ24</f>
        <v>141</v>
      </c>
      <c r="Z14">
        <f>'OECD EMPN'!AK24</f>
        <v>81.3</v>
      </c>
      <c r="AA14">
        <f>'OECD EMPN'!AM24</f>
        <v>25.9</v>
      </c>
      <c r="AB14">
        <f>'OECD EMPN'!AN24</f>
        <v>12.1</v>
      </c>
      <c r="AC14">
        <f>'OECD EMPN'!AO24</f>
        <v>76.3</v>
      </c>
      <c r="AD14">
        <f>'OECD EMPN'!AP24</f>
        <v>43.2</v>
      </c>
      <c r="AE14">
        <f>'OECD EMPN'!AQ24</f>
        <v>27.4</v>
      </c>
      <c r="AF14">
        <f>'OECD EMPN'!AR24</f>
        <v>347.1</v>
      </c>
      <c r="AG14">
        <f>'OECD EMPN'!AU24</f>
        <v>174.5</v>
      </c>
      <c r="AH14">
        <f>'OECD EMPN'!AV24</f>
        <v>166.9</v>
      </c>
      <c r="AI14">
        <f>'OECD EMPN'!AW24</f>
        <v>443.3</v>
      </c>
      <c r="AJ14">
        <f>'OECD EMPN'!AY24</f>
        <v>123.6</v>
      </c>
      <c r="AK14">
        <f>'OECD EMPN'!AZ24</f>
        <v>11.6</v>
      </c>
    </row>
    <row r="15" spans="1:56">
      <c r="A15" t="str">
        <f>'OECD EMPN'!A25</f>
        <v>FRA</v>
      </c>
      <c r="B15">
        <f>'OECD EMPN'!D25</f>
        <v>750</v>
      </c>
      <c r="C15">
        <f>'OECD EMPN'!F25</f>
        <v>0.1</v>
      </c>
      <c r="D15">
        <f>'OECD EMPN'!G25</f>
        <v>14.6</v>
      </c>
      <c r="E15">
        <f>'OECD EMPN'!H25</f>
        <v>0.2</v>
      </c>
      <c r="F15">
        <f>'OECD EMPN'!J25</f>
        <v>661</v>
      </c>
      <c r="G15">
        <f>'OECD EMPN'!K25</f>
        <v>102</v>
      </c>
      <c r="H15">
        <f>'OECD EMPN'!M25</f>
        <v>60</v>
      </c>
      <c r="I15">
        <f>'OECD EMPN'!N25</f>
        <v>116</v>
      </c>
      <c r="J15">
        <f>'OECD EMPN'!P25</f>
        <v>9</v>
      </c>
      <c r="K15" s="21">
        <f>'OECD EMPN'!Q25</f>
        <v>164</v>
      </c>
      <c r="L15">
        <f>'OECD EMPN'!R25</f>
        <v>147</v>
      </c>
      <c r="M15">
        <f>'OECD EMPN'!S25</f>
        <v>99</v>
      </c>
      <c r="N15">
        <f>'OECD EMPN'!U25</f>
        <v>77</v>
      </c>
      <c r="O15">
        <f>'OECD EMPN'!V25</f>
        <v>302</v>
      </c>
      <c r="P15">
        <f>'OECD EMPN'!X25</f>
        <v>86</v>
      </c>
      <c r="Q15">
        <f>'OECD EMPN'!Y25</f>
        <v>78</v>
      </c>
      <c r="R15">
        <f>'OECD EMPN'!Z25</f>
        <v>143</v>
      </c>
      <c r="S15">
        <f>'OECD EMPN'!AB25</f>
        <v>99</v>
      </c>
      <c r="T15">
        <f>'OECD EMPN'!AC25</f>
        <v>89</v>
      </c>
      <c r="U15">
        <f>'OECD EMPN'!AD25</f>
        <v>384</v>
      </c>
      <c r="V15">
        <f>'OECD EMPN'!AE25</f>
        <v>297</v>
      </c>
      <c r="W15">
        <f>'OECD EMPN'!AF25</f>
        <v>1826</v>
      </c>
      <c r="X15">
        <f>'OECD EMPN'!AI25</f>
        <v>3802</v>
      </c>
      <c r="Y15">
        <f>'OECD EMPN'!AJ25</f>
        <v>1444</v>
      </c>
      <c r="Z15">
        <f>'OECD EMPN'!AK25</f>
        <v>1208</v>
      </c>
      <c r="AA15">
        <f>'OECD EMPN'!AM25</f>
        <v>214</v>
      </c>
      <c r="AB15">
        <f>'OECD EMPN'!AN25</f>
        <v>107</v>
      </c>
      <c r="AC15">
        <f>'OECD EMPN'!AO25</f>
        <v>601</v>
      </c>
      <c r="AD15">
        <f>'OECD EMPN'!AP25</f>
        <v>788</v>
      </c>
      <c r="AE15">
        <f>'OECD EMPN'!AQ25</f>
        <v>391</v>
      </c>
      <c r="AF15">
        <f>'OECD EMPN'!AR25</f>
        <v>4345</v>
      </c>
      <c r="AG15">
        <f>'OECD EMPN'!AU25</f>
        <v>2458</v>
      </c>
      <c r="AH15">
        <f>'OECD EMPN'!AV25</f>
        <v>1993</v>
      </c>
      <c r="AI15">
        <f>'OECD EMPN'!AW25</f>
        <v>3965</v>
      </c>
      <c r="AJ15">
        <f>'OECD EMPN'!AY25</f>
        <v>1328</v>
      </c>
      <c r="AK15">
        <f>'OECD EMPN'!AZ25</f>
        <v>148</v>
      </c>
    </row>
    <row r="16" spans="1:56">
      <c r="A16" t="str">
        <f>'OECD EMPN'!A26</f>
        <v>DEU</v>
      </c>
      <c r="B16">
        <f>'OECD EMPN'!D26</f>
        <v>580</v>
      </c>
      <c r="C16">
        <f>'OECD EMPN'!F26</f>
        <v>4.0999999999999996</v>
      </c>
      <c r="D16">
        <f>'OECD EMPN'!G26</f>
        <v>35.299999999999997</v>
      </c>
      <c r="E16">
        <f>'OECD EMPN'!H26</f>
        <v>3.5</v>
      </c>
      <c r="F16">
        <f>'OECD EMPN'!J26</f>
        <v>924</v>
      </c>
      <c r="G16">
        <f>'OECD EMPN'!K26</f>
        <v>129</v>
      </c>
      <c r="H16">
        <f>'OECD EMPN'!M26</f>
        <v>138</v>
      </c>
      <c r="I16">
        <f>'OECD EMPN'!N26</f>
        <v>282</v>
      </c>
      <c r="J16">
        <f>'OECD EMPN'!P26</f>
        <v>20</v>
      </c>
      <c r="K16" s="21">
        <f>'OECD EMPN'!Q26</f>
        <v>505</v>
      </c>
      <c r="L16">
        <f>'OECD EMPN'!R26</f>
        <v>437</v>
      </c>
      <c r="M16">
        <f>'OECD EMPN'!S26</f>
        <v>242</v>
      </c>
      <c r="N16">
        <f>'OECD EMPN'!U26</f>
        <v>258</v>
      </c>
      <c r="O16">
        <f>'OECD EMPN'!V26</f>
        <v>896</v>
      </c>
      <c r="P16">
        <f>'OECD EMPN'!X26</f>
        <v>378</v>
      </c>
      <c r="Q16">
        <f>'OECD EMPN'!Y26</f>
        <v>490</v>
      </c>
      <c r="R16">
        <f>'OECD EMPN'!Z26</f>
        <v>1176</v>
      </c>
      <c r="S16">
        <f>'OECD EMPN'!AB26</f>
        <v>884</v>
      </c>
      <c r="T16">
        <f>'OECD EMPN'!AC26</f>
        <v>149</v>
      </c>
      <c r="U16">
        <f>'OECD EMPN'!AD26</f>
        <v>663</v>
      </c>
      <c r="V16">
        <f>'OECD EMPN'!AE26</f>
        <v>561</v>
      </c>
      <c r="W16">
        <f>'OECD EMPN'!AF26</f>
        <v>2594</v>
      </c>
      <c r="X16">
        <f>'OECD EMPN'!AI26</f>
        <v>5918</v>
      </c>
      <c r="Y16">
        <f>'OECD EMPN'!AJ26</f>
        <v>2363</v>
      </c>
      <c r="Z16">
        <f>'OECD EMPN'!AK26</f>
        <v>1739</v>
      </c>
      <c r="AA16">
        <f>'OECD EMPN'!AM26</f>
        <v>291</v>
      </c>
      <c r="AB16">
        <f>'OECD EMPN'!AN26</f>
        <v>110</v>
      </c>
      <c r="AC16">
        <f>'OECD EMPN'!AO26</f>
        <v>1000</v>
      </c>
      <c r="AD16">
        <f>'OECD EMPN'!AP26</f>
        <v>1088</v>
      </c>
      <c r="AE16">
        <f>'OECD EMPN'!AQ26</f>
        <v>475</v>
      </c>
      <c r="AF16">
        <f>'OECD EMPN'!AR26</f>
        <v>6102</v>
      </c>
      <c r="AG16">
        <f>'OECD EMPN'!AU26</f>
        <v>2735</v>
      </c>
      <c r="AH16">
        <f>'OECD EMPN'!AV26</f>
        <v>2595</v>
      </c>
      <c r="AI16">
        <f>'OECD EMPN'!AW26</f>
        <v>6143</v>
      </c>
      <c r="AJ16">
        <f>'OECD EMPN'!AY26</f>
        <v>2153</v>
      </c>
      <c r="AK16">
        <f>'OECD EMPN'!AZ26</f>
        <v>854</v>
      </c>
    </row>
    <row r="17" spans="1:37">
      <c r="A17" t="str">
        <f>'OECD EMPN'!A27</f>
        <v>GRC</v>
      </c>
      <c r="B17">
        <f>'OECD EMPN'!D27</f>
        <v>484.3</v>
      </c>
      <c r="C17">
        <f>'OECD EMPN'!F27</f>
        <v>1</v>
      </c>
      <c r="D17">
        <f>'OECD EMPN'!G27</f>
        <v>8.1999999999999993</v>
      </c>
      <c r="E17">
        <f>'OECD EMPN'!H27</f>
        <v>0.1</v>
      </c>
      <c r="F17">
        <f>'OECD EMPN'!J27</f>
        <v>131.69999999999999</v>
      </c>
      <c r="G17">
        <f>'OECD EMPN'!K27</f>
        <v>27.2</v>
      </c>
      <c r="H17">
        <f>'OECD EMPN'!M27</f>
        <v>7.9</v>
      </c>
      <c r="I17">
        <f>'OECD EMPN'!N27</f>
        <v>20.100000000000001</v>
      </c>
      <c r="J17">
        <f>'OECD EMPN'!P27</f>
        <v>3.8</v>
      </c>
      <c r="K17" s="21">
        <f>'OECD EMPN'!Q27</f>
        <v>23.5</v>
      </c>
      <c r="L17">
        <f>'OECD EMPN'!R27</f>
        <v>13.3</v>
      </c>
      <c r="M17">
        <f>'OECD EMPN'!S27</f>
        <v>16.600000000000001</v>
      </c>
      <c r="N17">
        <f>'OECD EMPN'!U27</f>
        <v>10.9</v>
      </c>
      <c r="O17">
        <f>'OECD EMPN'!V27</f>
        <v>34.200000000000003</v>
      </c>
      <c r="P17">
        <f>'OECD EMPN'!X27</f>
        <v>3.9</v>
      </c>
      <c r="Q17">
        <f>'OECD EMPN'!Y27</f>
        <v>8.1999999999999993</v>
      </c>
      <c r="R17">
        <f>'OECD EMPN'!Z27</f>
        <v>11.4</v>
      </c>
      <c r="S17">
        <f>'OECD EMPN'!AB27</f>
        <v>1.8</v>
      </c>
      <c r="T17">
        <f>'OECD EMPN'!AC27</f>
        <v>4.9000000000000004</v>
      </c>
      <c r="U17">
        <f>'OECD EMPN'!AD27</f>
        <v>39.5</v>
      </c>
      <c r="V17">
        <f>'OECD EMPN'!AE27</f>
        <v>57</v>
      </c>
      <c r="W17">
        <f>'OECD EMPN'!AF27</f>
        <v>188.6</v>
      </c>
      <c r="X17">
        <f>'OECD EMPN'!AI27</f>
        <v>837.4</v>
      </c>
      <c r="Y17">
        <f>'OECD EMPN'!AJ27</f>
        <v>254.9</v>
      </c>
      <c r="Z17">
        <f>'OECD EMPN'!AK27</f>
        <v>592.79999999999995</v>
      </c>
      <c r="AA17">
        <f>'OECD EMPN'!AM27</f>
        <v>34.5</v>
      </c>
      <c r="AB17">
        <f>'OECD EMPN'!AN27</f>
        <v>30.6</v>
      </c>
      <c r="AC17">
        <f>'OECD EMPN'!AO27</f>
        <v>38.700000000000003</v>
      </c>
      <c r="AD17">
        <f>'OECD EMPN'!AP27</f>
        <v>81.2</v>
      </c>
      <c r="AE17">
        <f>'OECD EMPN'!AQ27</f>
        <v>21.8</v>
      </c>
      <c r="AF17">
        <f>'OECD EMPN'!AR27</f>
        <v>403.3</v>
      </c>
      <c r="AG17">
        <f>'OECD EMPN'!AU27</f>
        <v>398.4</v>
      </c>
      <c r="AH17">
        <f>'OECD EMPN'!AV27</f>
        <v>367.2</v>
      </c>
      <c r="AI17">
        <f>'OECD EMPN'!AW27</f>
        <v>275.39999999999998</v>
      </c>
      <c r="AJ17">
        <f>'OECD EMPN'!AY27</f>
        <v>201.9</v>
      </c>
      <c r="AK17">
        <f>'OECD EMPN'!AZ27</f>
        <v>30.5</v>
      </c>
    </row>
    <row r="18" spans="1:37">
      <c r="A18" t="str">
        <f>'OECD EMPN'!A28</f>
        <v>HUN</v>
      </c>
      <c r="B18">
        <f>'OECD EMPN'!D28</f>
        <v>189.9</v>
      </c>
      <c r="C18">
        <f>'OECD EMPN'!F28</f>
        <v>0.2</v>
      </c>
      <c r="D18">
        <f>'OECD EMPN'!G28</f>
        <v>3.8</v>
      </c>
      <c r="E18">
        <f>'OECD EMPN'!H28</f>
        <v>0.8</v>
      </c>
      <c r="F18">
        <f>'OECD EMPN'!J28</f>
        <v>125.4</v>
      </c>
      <c r="G18">
        <f>'OECD EMPN'!K28</f>
        <v>42.7</v>
      </c>
      <c r="H18">
        <f>'OECD EMPN'!M28</f>
        <v>16.7</v>
      </c>
      <c r="I18">
        <f>'OECD EMPN'!N28</f>
        <v>35.9</v>
      </c>
      <c r="J18">
        <f>'OECD EMPN'!P28</f>
        <v>6.6</v>
      </c>
      <c r="K18" s="21">
        <f>'OECD EMPN'!Q28</f>
        <v>47</v>
      </c>
      <c r="L18">
        <f>'OECD EMPN'!R28</f>
        <v>54</v>
      </c>
      <c r="M18">
        <f>'OECD EMPN'!S28</f>
        <v>26</v>
      </c>
      <c r="N18">
        <f>'OECD EMPN'!U28</f>
        <v>18.3</v>
      </c>
      <c r="O18">
        <f>'OECD EMPN'!V28</f>
        <v>83.4</v>
      </c>
      <c r="P18">
        <f>'OECD EMPN'!X28</f>
        <v>73.2</v>
      </c>
      <c r="Q18">
        <f>'OECD EMPN'!Y28</f>
        <v>56.1</v>
      </c>
      <c r="R18">
        <f>'OECD EMPN'!Z28</f>
        <v>66.2</v>
      </c>
      <c r="S18">
        <f>'OECD EMPN'!AB28</f>
        <v>112.3</v>
      </c>
      <c r="T18">
        <f>'OECD EMPN'!AC28</f>
        <v>12</v>
      </c>
      <c r="U18">
        <f>'OECD EMPN'!AD28</f>
        <v>84.9</v>
      </c>
      <c r="V18">
        <f>'OECD EMPN'!AE28</f>
        <v>77.599999999999994</v>
      </c>
      <c r="W18">
        <f>'OECD EMPN'!AF28</f>
        <v>374.4</v>
      </c>
      <c r="X18">
        <f>'OECD EMPN'!AI28</f>
        <v>659.8</v>
      </c>
      <c r="Y18">
        <f>'OECD EMPN'!AJ28</f>
        <v>256.7</v>
      </c>
      <c r="Z18">
        <f>'OECD EMPN'!AK28</f>
        <v>169.4</v>
      </c>
      <c r="AA18">
        <f>'OECD EMPN'!AM28</f>
        <v>32.299999999999997</v>
      </c>
      <c r="AB18">
        <f>'OECD EMPN'!AN28</f>
        <v>17.3</v>
      </c>
      <c r="AC18">
        <f>'OECD EMPN'!AO28</f>
        <v>114.2</v>
      </c>
      <c r="AD18">
        <f>'OECD EMPN'!AP28</f>
        <v>87.4</v>
      </c>
      <c r="AE18">
        <f>'OECD EMPN'!AQ28</f>
        <v>80.400000000000006</v>
      </c>
      <c r="AF18">
        <f>'OECD EMPN'!AR28</f>
        <v>539.70000000000005</v>
      </c>
      <c r="AG18">
        <f>'OECD EMPN'!AU28</f>
        <v>370</v>
      </c>
      <c r="AH18">
        <f>'OECD EMPN'!AV28</f>
        <v>281.3</v>
      </c>
      <c r="AI18">
        <f>'OECD EMPN'!AW28</f>
        <v>323.89999999999998</v>
      </c>
      <c r="AJ18">
        <f>'OECD EMPN'!AY28</f>
        <v>215.4</v>
      </c>
      <c r="AK18">
        <f>'OECD EMPN'!AZ28</f>
        <v>7.9</v>
      </c>
    </row>
    <row r="19" spans="1:37">
      <c r="A19" t="str">
        <f>'OECD EMPN'!A29</f>
        <v>ISL</v>
      </c>
      <c r="B19">
        <f>'OECD EMPN'!D29</f>
        <v>6.9</v>
      </c>
      <c r="C19">
        <f>'OECD EMPN'!F29</f>
        <v>0</v>
      </c>
      <c r="D19">
        <f>'OECD EMPN'!G29</f>
        <v>0.1</v>
      </c>
      <c r="E19">
        <f>'OECD EMPN'!H29</f>
        <v>0</v>
      </c>
      <c r="F19">
        <f>'OECD EMPN'!J29</f>
        <v>9.6999999999999993</v>
      </c>
      <c r="G19">
        <f>'OECD EMPN'!K29</f>
        <v>0.3</v>
      </c>
      <c r="H19">
        <f>'OECD EMPN'!M29</f>
        <v>0.2</v>
      </c>
      <c r="I19">
        <f>'OECD EMPN'!N29</f>
        <v>0.5</v>
      </c>
      <c r="J19">
        <f>'OECD EMPN'!P29</f>
        <v>0</v>
      </c>
      <c r="K19" s="21">
        <f>'OECD EMPN'!Q29</f>
        <v>1</v>
      </c>
      <c r="L19">
        <f>'OECD EMPN'!R29</f>
        <v>0.3</v>
      </c>
      <c r="M19">
        <f>'OECD EMPN'!S29</f>
        <v>0.9</v>
      </c>
      <c r="N19">
        <f>'OECD EMPN'!U29</f>
        <v>1.8</v>
      </c>
      <c r="O19">
        <f>'OECD EMPN'!V29</f>
        <v>1.8</v>
      </c>
      <c r="P19">
        <f>'OECD EMPN'!X29</f>
        <v>0.2</v>
      </c>
      <c r="Q19">
        <f>'OECD EMPN'!Y29</f>
        <v>0.2</v>
      </c>
      <c r="R19">
        <f>'OECD EMPN'!Z29</f>
        <v>1.3</v>
      </c>
      <c r="S19">
        <f>'OECD EMPN'!AB29</f>
        <v>0</v>
      </c>
      <c r="T19">
        <f>'OECD EMPN'!AC29</f>
        <v>0.1</v>
      </c>
      <c r="U19">
        <f>'OECD EMPN'!AD29</f>
        <v>2.2999999999999998</v>
      </c>
      <c r="V19">
        <f>'OECD EMPN'!AE29</f>
        <v>2.7</v>
      </c>
      <c r="W19">
        <f>'OECD EMPN'!AF29</f>
        <v>13.9</v>
      </c>
      <c r="X19">
        <f>'OECD EMPN'!AI29</f>
        <v>24.2</v>
      </c>
      <c r="Y19">
        <f>'OECD EMPN'!AJ29</f>
        <v>10.8</v>
      </c>
      <c r="Z19">
        <f>'OECD EMPN'!AK29</f>
        <v>11.1</v>
      </c>
      <c r="AA19">
        <f>'OECD EMPN'!AM29</f>
        <v>2</v>
      </c>
      <c r="AB19">
        <f>'OECD EMPN'!AN29</f>
        <v>1.2</v>
      </c>
      <c r="AC19">
        <f>'OECD EMPN'!AO29</f>
        <v>4.8</v>
      </c>
      <c r="AD19">
        <f>'OECD EMPN'!AP29</f>
        <v>5.3</v>
      </c>
      <c r="AE19">
        <f>'OECD EMPN'!AQ29</f>
        <v>1.6</v>
      </c>
      <c r="AF19">
        <f>'OECD EMPN'!AR29</f>
        <v>16.5</v>
      </c>
      <c r="AG19">
        <f>'OECD EMPN'!AU29</f>
        <v>13.2</v>
      </c>
      <c r="AH19">
        <f>'OECD EMPN'!AV29</f>
        <v>22.1</v>
      </c>
      <c r="AI19">
        <f>'OECD EMPN'!AW29</f>
        <v>25.5</v>
      </c>
      <c r="AJ19">
        <f>'OECD EMPN'!AY29</f>
        <v>10.1</v>
      </c>
      <c r="AK19">
        <f>'OECD EMPN'!AZ29</f>
        <v>0</v>
      </c>
    </row>
    <row r="20" spans="1:37">
      <c r="A20" t="str">
        <f>'OECD EMPN'!A30</f>
        <v>IRL</v>
      </c>
      <c r="B20">
        <f>'OECD EMPN'!D30</f>
        <v>102.4</v>
      </c>
      <c r="C20">
        <f>'OECD EMPN'!F30</f>
        <v>0.1</v>
      </c>
      <c r="D20">
        <f>'OECD EMPN'!G30</f>
        <v>5.7</v>
      </c>
      <c r="E20">
        <f>'OECD EMPN'!H30</f>
        <v>0.1</v>
      </c>
      <c r="F20">
        <f>'OECD EMPN'!J30</f>
        <v>55.1</v>
      </c>
      <c r="G20">
        <f>'OECD EMPN'!K30</f>
        <v>3.8</v>
      </c>
      <c r="H20">
        <f>'OECD EMPN'!M30</f>
        <v>2.9</v>
      </c>
      <c r="I20">
        <f>'OECD EMPN'!N30</f>
        <v>9.1999999999999993</v>
      </c>
      <c r="J20">
        <f>'OECD EMPN'!P30</f>
        <v>2.1</v>
      </c>
      <c r="K20" s="21">
        <f>'OECD EMPN'!Q30</f>
        <v>53.5</v>
      </c>
      <c r="L20">
        <f>'OECD EMPN'!R30</f>
        <v>6.6</v>
      </c>
      <c r="M20">
        <f>'OECD EMPN'!S30</f>
        <v>6.9</v>
      </c>
      <c r="N20">
        <f>'OECD EMPN'!U30</f>
        <v>4.5</v>
      </c>
      <c r="O20">
        <f>'OECD EMPN'!V30</f>
        <v>14.7</v>
      </c>
      <c r="P20">
        <f>'OECD EMPN'!X30</f>
        <v>24.5</v>
      </c>
      <c r="Q20">
        <f>'OECD EMPN'!Y30</f>
        <v>2.7</v>
      </c>
      <c r="R20">
        <f>'OECD EMPN'!Z30</f>
        <v>9.4</v>
      </c>
      <c r="S20">
        <f>'OECD EMPN'!AB30</f>
        <v>4.8</v>
      </c>
      <c r="T20">
        <f>'OECD EMPN'!AC30</f>
        <v>1.5</v>
      </c>
      <c r="U20">
        <f>'OECD EMPN'!AD30</f>
        <v>59.6</v>
      </c>
      <c r="V20">
        <f>'OECD EMPN'!AE30</f>
        <v>25.2</v>
      </c>
      <c r="W20">
        <f>'OECD EMPN'!AF30</f>
        <v>135.6</v>
      </c>
      <c r="X20">
        <f>'OECD EMPN'!AI30</f>
        <v>299.8</v>
      </c>
      <c r="Y20">
        <f>'OECD EMPN'!AJ30</f>
        <v>100.4</v>
      </c>
      <c r="Z20">
        <f>'OECD EMPN'!AK30</f>
        <v>135.6</v>
      </c>
      <c r="AA20">
        <f>'OECD EMPN'!AM30</f>
        <v>16.399999999999999</v>
      </c>
      <c r="AB20">
        <f>'OECD EMPN'!AN30</f>
        <v>21.6</v>
      </c>
      <c r="AC20">
        <f>'OECD EMPN'!AO30</f>
        <v>94.3</v>
      </c>
      <c r="AD20">
        <f>'OECD EMPN'!AP30</f>
        <v>111.7</v>
      </c>
      <c r="AE20">
        <f>'OECD EMPN'!AQ30</f>
        <v>13.1</v>
      </c>
      <c r="AF20">
        <f>'OECD EMPN'!AR30</f>
        <v>236.8</v>
      </c>
      <c r="AG20">
        <f>'OECD EMPN'!AU30</f>
        <v>118.3</v>
      </c>
      <c r="AH20">
        <f>'OECD EMPN'!AV30</f>
        <v>186.5</v>
      </c>
      <c r="AI20">
        <f>'OECD EMPN'!AW30</f>
        <v>287.39999999999998</v>
      </c>
      <c r="AJ20">
        <f>'OECD EMPN'!AY30</f>
        <v>94.8</v>
      </c>
      <c r="AK20">
        <f>'OECD EMPN'!AZ30</f>
        <v>5.2</v>
      </c>
    </row>
    <row r="21" spans="1:37">
      <c r="A21" t="str">
        <f>'OECD EMPN'!A31</f>
        <v>ISR</v>
      </c>
      <c r="B21">
        <f>'OECD EMPN'!D31</f>
        <v>71</v>
      </c>
      <c r="C21">
        <f>'OECD EMPN'!F31</f>
        <v>0.3</v>
      </c>
      <c r="D21">
        <f>'OECD EMPN'!G31</f>
        <v>3.6</v>
      </c>
      <c r="E21">
        <f>'OECD EMPN'!H31</f>
        <v>0.1</v>
      </c>
      <c r="F21">
        <f>'OECD EMPN'!J31</f>
        <v>68.900000000000006</v>
      </c>
      <c r="G21">
        <f>'OECD EMPN'!K31</f>
        <v>12.9</v>
      </c>
      <c r="H21">
        <f>'OECD EMPN'!M31</f>
        <v>2.7</v>
      </c>
      <c r="I21">
        <f>'OECD EMPN'!N31</f>
        <v>15.8</v>
      </c>
      <c r="J21">
        <f>'OECD EMPN'!P31</f>
        <v>0</v>
      </c>
      <c r="K21" s="21">
        <f>'OECD EMPN'!Q31</f>
        <v>35.200000000000003</v>
      </c>
      <c r="L21">
        <f>'OECD EMPN'!R31</f>
        <v>22.8</v>
      </c>
      <c r="M21">
        <f>'OECD EMPN'!S31</f>
        <v>9.9</v>
      </c>
      <c r="N21">
        <f>'OECD EMPN'!U31</f>
        <v>41.5</v>
      </c>
      <c r="O21">
        <f>'OECD EMPN'!V31</f>
        <v>17.8</v>
      </c>
      <c r="P21">
        <f>'OECD EMPN'!X31</f>
        <v>71.2</v>
      </c>
      <c r="Q21">
        <f>'OECD EMPN'!Y31</f>
        <v>7.8</v>
      </c>
      <c r="R21">
        <f>'OECD EMPN'!Z31</f>
        <v>14.6</v>
      </c>
      <c r="S21">
        <f>'OECD EMPN'!AB31</f>
        <v>3.2</v>
      </c>
      <c r="T21">
        <f>'OECD EMPN'!AC31</f>
        <v>19.3</v>
      </c>
      <c r="U21">
        <f>'OECD EMPN'!AD31</f>
        <v>39.4</v>
      </c>
      <c r="V21">
        <f>'OECD EMPN'!AE31</f>
        <v>34</v>
      </c>
      <c r="W21">
        <f>'OECD EMPN'!AF31</f>
        <v>294.39999999999998</v>
      </c>
      <c r="X21">
        <f>'OECD EMPN'!AI31</f>
        <v>446.5</v>
      </c>
      <c r="Y21">
        <f>'OECD EMPN'!AJ31</f>
        <v>173.7</v>
      </c>
      <c r="Z21">
        <f>'OECD EMPN'!AK31</f>
        <v>146.1</v>
      </c>
      <c r="AA21">
        <f>'OECD EMPN'!AM31</f>
        <v>28.1</v>
      </c>
      <c r="AB21">
        <f>'OECD EMPN'!AN31</f>
        <v>28.6</v>
      </c>
      <c r="AC21">
        <f>'OECD EMPN'!AO31</f>
        <v>184.5</v>
      </c>
      <c r="AD21">
        <f>'OECD EMPN'!AP31</f>
        <v>130.4</v>
      </c>
      <c r="AE21">
        <f>'OECD EMPN'!AQ31</f>
        <v>37.299999999999997</v>
      </c>
      <c r="AF21">
        <f>'OECD EMPN'!AR31</f>
        <v>499.4</v>
      </c>
      <c r="AG21">
        <f>'OECD EMPN'!AU31</f>
        <v>421.7</v>
      </c>
      <c r="AH21">
        <f>'OECD EMPN'!AV31</f>
        <v>503.6</v>
      </c>
      <c r="AI21">
        <f>'OECD EMPN'!AW31</f>
        <v>477.7</v>
      </c>
      <c r="AJ21">
        <f>'OECD EMPN'!AY31</f>
        <v>190.6</v>
      </c>
      <c r="AK21">
        <f>'OECD EMPN'!AZ31</f>
        <v>127.7</v>
      </c>
    </row>
    <row r="22" spans="1:37">
      <c r="A22" t="str">
        <f>'OECD EMPN'!A32</f>
        <v>ITA</v>
      </c>
      <c r="B22">
        <f>'OECD EMPN'!D32</f>
        <v>903.8</v>
      </c>
      <c r="C22">
        <f>'OECD EMPN'!F32</f>
        <v>2.7</v>
      </c>
      <c r="D22">
        <f>'OECD EMPN'!G32</f>
        <v>16.8</v>
      </c>
      <c r="E22">
        <f>'OECD EMPN'!H32</f>
        <v>1.9</v>
      </c>
      <c r="F22">
        <f>'OECD EMPN'!J32</f>
        <v>478.9</v>
      </c>
      <c r="G22">
        <f>'OECD EMPN'!K32</f>
        <v>471.1</v>
      </c>
      <c r="H22">
        <f>'OECD EMPN'!M32</f>
        <v>98.6</v>
      </c>
      <c r="I22">
        <f>'OECD EMPN'!N32</f>
        <v>156.1</v>
      </c>
      <c r="J22">
        <f>'OECD EMPN'!P32</f>
        <v>15.4</v>
      </c>
      <c r="K22" s="21">
        <f>'OECD EMPN'!Q32</f>
        <v>181.5</v>
      </c>
      <c r="L22">
        <f>'OECD EMPN'!R32</f>
        <v>187</v>
      </c>
      <c r="M22">
        <f>'OECD EMPN'!S32</f>
        <v>154.4</v>
      </c>
      <c r="N22">
        <f>'OECD EMPN'!U32</f>
        <v>123.7</v>
      </c>
      <c r="O22">
        <f>'OECD EMPN'!V32</f>
        <v>580.6</v>
      </c>
      <c r="P22">
        <f>'OECD EMPN'!X32</f>
        <v>102.6</v>
      </c>
      <c r="Q22">
        <f>'OECD EMPN'!Y32</f>
        <v>158.9</v>
      </c>
      <c r="R22">
        <f>'OECD EMPN'!Z32</f>
        <v>475.9</v>
      </c>
      <c r="S22">
        <f>'OECD EMPN'!AB32</f>
        <v>173.9</v>
      </c>
      <c r="T22">
        <f>'OECD EMPN'!AC32</f>
        <v>96.1</v>
      </c>
      <c r="U22">
        <f>'OECD EMPN'!AD32</f>
        <v>420.4</v>
      </c>
      <c r="V22">
        <f>'OECD EMPN'!AE32</f>
        <v>311.2</v>
      </c>
      <c r="W22">
        <f>'OECD EMPN'!AF32</f>
        <v>1558.3</v>
      </c>
      <c r="X22">
        <f>'OECD EMPN'!AI32</f>
        <v>3623.7</v>
      </c>
      <c r="Y22">
        <f>'OECD EMPN'!AJ32</f>
        <v>1180.2</v>
      </c>
      <c r="Z22">
        <f>'OECD EMPN'!AK32</f>
        <v>1498.3</v>
      </c>
      <c r="AA22">
        <f>'OECD EMPN'!AM32</f>
        <v>92.7</v>
      </c>
      <c r="AB22">
        <f>'OECD EMPN'!AN32</f>
        <v>83.5</v>
      </c>
      <c r="AC22">
        <f>'OECD EMPN'!AO32</f>
        <v>456.7</v>
      </c>
      <c r="AD22">
        <f>'OECD EMPN'!AP32</f>
        <v>629.9</v>
      </c>
      <c r="AE22">
        <f>'OECD EMPN'!AQ32</f>
        <v>181.2</v>
      </c>
      <c r="AF22">
        <f>'OECD EMPN'!AR32</f>
        <v>3174.3</v>
      </c>
      <c r="AG22">
        <f>'OECD EMPN'!AU32</f>
        <v>1193.2</v>
      </c>
      <c r="AH22">
        <f>'OECD EMPN'!AV32</f>
        <v>1624.4</v>
      </c>
      <c r="AI22">
        <f>'OECD EMPN'!AW32</f>
        <v>2005.9</v>
      </c>
      <c r="AJ22">
        <f>'OECD EMPN'!AY32</f>
        <v>1044.9000000000001</v>
      </c>
      <c r="AK22">
        <f>'OECD EMPN'!AZ32</f>
        <v>1495.4</v>
      </c>
    </row>
    <row r="23" spans="1:37">
      <c r="A23" t="str">
        <f>'OECD EMPN'!A33</f>
        <v>JPN</v>
      </c>
      <c r="B23">
        <f>'OECD EMPN'!D33</f>
        <v>2490</v>
      </c>
      <c r="C23">
        <f>'OECD EMPN'!F33</f>
        <v>3.5</v>
      </c>
      <c r="D23">
        <f>'OECD EMPN'!G33</f>
        <v>24.2</v>
      </c>
      <c r="E23">
        <f>'OECD EMPN'!H33</f>
        <v>8.1999999999999993</v>
      </c>
      <c r="F23">
        <f>'OECD EMPN'!J33</f>
        <v>1788</v>
      </c>
      <c r="G23">
        <f>'OECD EMPN'!K33</f>
        <v>340.9</v>
      </c>
      <c r="H23">
        <f>'OECD EMPN'!M33</f>
        <v>119.1</v>
      </c>
      <c r="I23">
        <f>'OECD EMPN'!N33</f>
        <v>453.8</v>
      </c>
      <c r="J23">
        <f>'OECD EMPN'!P33</f>
        <v>38</v>
      </c>
      <c r="K23" s="21">
        <f>'OECD EMPN'!Q33</f>
        <v>598.9</v>
      </c>
      <c r="L23">
        <f>'OECD EMPN'!R33</f>
        <v>585.9</v>
      </c>
      <c r="M23">
        <f>'OECD EMPN'!S33</f>
        <v>348</v>
      </c>
      <c r="N23">
        <f>'OECD EMPN'!U33</f>
        <v>434</v>
      </c>
      <c r="O23">
        <f>'OECD EMPN'!V33</f>
        <v>824</v>
      </c>
      <c r="P23">
        <f>'OECD EMPN'!X33</f>
        <v>584</v>
      </c>
      <c r="Q23">
        <f>'OECD EMPN'!Y33</f>
        <v>576</v>
      </c>
      <c r="R23">
        <f>'OECD EMPN'!Z33</f>
        <v>1659</v>
      </c>
      <c r="S23">
        <f>'OECD EMPN'!AB33</f>
        <v>1028.2</v>
      </c>
      <c r="T23">
        <f>'OECD EMPN'!AC33</f>
        <v>189.8</v>
      </c>
      <c r="U23">
        <f>'OECD EMPN'!AD33</f>
        <v>953.4</v>
      </c>
      <c r="V23">
        <f>'OECD EMPN'!AE33</f>
        <v>594</v>
      </c>
      <c r="W23">
        <f>'OECD EMPN'!AF33</f>
        <v>4734</v>
      </c>
      <c r="X23">
        <f>'OECD EMPN'!AI33</f>
        <v>10358</v>
      </c>
      <c r="Y23">
        <f>'OECD EMPN'!AJ33</f>
        <v>3872.1</v>
      </c>
      <c r="Z23">
        <f>'OECD EMPN'!AK33</f>
        <v>3865</v>
      </c>
      <c r="AA23">
        <f>'OECD EMPN'!AM33</f>
        <v>432.9</v>
      </c>
      <c r="AB23">
        <f>'OECD EMPN'!AN33</f>
        <v>232.6</v>
      </c>
      <c r="AC23">
        <f>'OECD EMPN'!AO33</f>
        <v>1410.6</v>
      </c>
      <c r="AD23">
        <f>'OECD EMPN'!AP33</f>
        <v>1679</v>
      </c>
      <c r="AE23">
        <f>'OECD EMPN'!AQ33</f>
        <v>1283</v>
      </c>
      <c r="AF23">
        <f>'OECD EMPN'!AR33</f>
        <v>7568</v>
      </c>
      <c r="AG23">
        <f>'OECD EMPN'!AU33</f>
        <v>2017</v>
      </c>
      <c r="AH23">
        <f>'OECD EMPN'!AV33</f>
        <v>2126</v>
      </c>
      <c r="AI23">
        <f>'OECD EMPN'!AW33</f>
        <v>8859</v>
      </c>
      <c r="AJ23">
        <f>'OECD EMPN'!AY33</f>
        <v>6096</v>
      </c>
      <c r="AK23">
        <f>'OECD EMPN'!AZ33</f>
        <v>0</v>
      </c>
    </row>
    <row r="24" spans="1:37" s="21" customFormat="1">
      <c r="A24" s="21" t="str">
        <f>'OECD EMPN'!A34</f>
        <v>KOR</v>
      </c>
      <c r="B24" s="21">
        <f>'OECD EMPN'!D34</f>
        <v>1445.1</v>
      </c>
      <c r="C24" s="21">
        <f>'OECD EMPN'!F34</f>
        <v>1.8</v>
      </c>
      <c r="D24" s="21">
        <f>'OECD EMPN'!G34</f>
        <v>10.6</v>
      </c>
      <c r="E24" s="21">
        <f>'OECD EMPN'!H34</f>
        <v>0.5</v>
      </c>
      <c r="F24" s="21">
        <f>'OECD EMPN'!J34</f>
        <v>388.8</v>
      </c>
      <c r="G24" s="21">
        <f>'OECD EMPN'!K34</f>
        <v>326.39999999999998</v>
      </c>
      <c r="H24" s="21">
        <f>'OECD EMPN'!M34</f>
        <v>42.9</v>
      </c>
      <c r="I24" s="21">
        <f>'OECD EMPN'!N34</f>
        <v>165.9</v>
      </c>
      <c r="J24" s="21">
        <f>'OECD EMPN'!P34</f>
        <v>13.8</v>
      </c>
      <c r="K24" s="21">
        <f>'OECD EMPN'!Q34</f>
        <v>232.8</v>
      </c>
      <c r="L24" s="21">
        <f>'OECD EMPN'!R34</f>
        <v>315.3</v>
      </c>
      <c r="M24" s="21">
        <f>'OECD EMPN'!S34</f>
        <v>127.2</v>
      </c>
      <c r="N24" s="21">
        <f>'OECD EMPN'!U34</f>
        <v>176.2</v>
      </c>
      <c r="O24" s="21">
        <f>'OECD EMPN'!V34</f>
        <v>494.5</v>
      </c>
      <c r="P24" s="21">
        <f>'OECD EMPN'!X34</f>
        <v>507.1</v>
      </c>
      <c r="Q24" s="21">
        <f>'OECD EMPN'!Y34</f>
        <v>279.7</v>
      </c>
      <c r="R24" s="21">
        <f>'OECD EMPN'!Z34</f>
        <v>510.5</v>
      </c>
      <c r="S24" s="21">
        <f>'OECD EMPN'!AB34</f>
        <v>388.1</v>
      </c>
      <c r="T24" s="21">
        <f>'OECD EMPN'!AC34</f>
        <v>142.9</v>
      </c>
      <c r="U24" s="21">
        <f>'OECD EMPN'!AD34</f>
        <v>264</v>
      </c>
      <c r="V24" s="21">
        <f>'OECD EMPN'!AE34</f>
        <v>226.1</v>
      </c>
      <c r="W24" s="21">
        <f>'OECD EMPN'!AF34</f>
        <v>2016</v>
      </c>
      <c r="X24" s="21">
        <f>'OECD EMPN'!AI34</f>
        <v>3502.9</v>
      </c>
      <c r="Y24" s="21">
        <f>'OECD EMPN'!AJ34</f>
        <v>1482.3</v>
      </c>
      <c r="Z24" s="21">
        <f>'OECD EMPN'!AK34</f>
        <v>2144.3000000000002</v>
      </c>
      <c r="AA24" s="21">
        <f>'OECD EMPN'!AM34</f>
        <v>527.20000000000005</v>
      </c>
      <c r="AB24" s="21">
        <f>'OECD EMPN'!AN34</f>
        <v>67.3</v>
      </c>
      <c r="AC24" s="21">
        <f>'OECD EMPN'!AO34</f>
        <v>252.2</v>
      </c>
      <c r="AD24" s="21">
        <f>'OECD EMPN'!AP34</f>
        <v>778.1</v>
      </c>
      <c r="AE24" s="21">
        <f>'OECD EMPN'!AQ34</f>
        <v>516.79999999999995</v>
      </c>
      <c r="AF24" s="21">
        <f>'OECD EMPN'!AR34</f>
        <v>2510.9</v>
      </c>
      <c r="AG24" s="21">
        <f>'OECD EMPN'!AU34</f>
        <v>1112</v>
      </c>
      <c r="AH24" s="21">
        <f>'OECD EMPN'!AV34</f>
        <v>1797.6</v>
      </c>
      <c r="AI24" s="21">
        <f>'OECD EMPN'!AW34</f>
        <v>2336.3000000000002</v>
      </c>
      <c r="AJ24" s="21">
        <f>'OECD EMPN'!AY34</f>
        <v>1685.3</v>
      </c>
      <c r="AK24" s="21">
        <f>'OECD EMPN'!AZ34</f>
        <v>98.3</v>
      </c>
    </row>
    <row r="25" spans="1:37">
      <c r="A25" t="str">
        <f>'OECD EMPN'!A35</f>
        <v>LVA</v>
      </c>
      <c r="B25">
        <f>'OECD EMPN'!D35</f>
        <v>65.900000000000006</v>
      </c>
      <c r="C25">
        <f>'OECD EMPN'!F35</f>
        <v>0</v>
      </c>
      <c r="D25">
        <f>'OECD EMPN'!G35</f>
        <v>2.5</v>
      </c>
      <c r="E25">
        <f>'OECD EMPN'!H35</f>
        <v>0</v>
      </c>
      <c r="F25">
        <f>'OECD EMPN'!J35</f>
        <v>25.3</v>
      </c>
      <c r="G25">
        <f>'OECD EMPN'!K35</f>
        <v>10.1</v>
      </c>
      <c r="H25">
        <f>'OECD EMPN'!M35</f>
        <v>22.2</v>
      </c>
      <c r="I25">
        <f>'OECD EMPN'!N35</f>
        <v>5</v>
      </c>
      <c r="J25">
        <f>'OECD EMPN'!P35</f>
        <v>0</v>
      </c>
      <c r="K25" s="21">
        <f>'OECD EMPN'!Q35</f>
        <v>5.9</v>
      </c>
      <c r="L25">
        <f>'OECD EMPN'!R35</f>
        <v>3.1</v>
      </c>
      <c r="M25">
        <f>'OECD EMPN'!S35</f>
        <v>6</v>
      </c>
      <c r="N25">
        <f>'OECD EMPN'!U35</f>
        <v>0.8</v>
      </c>
      <c r="O25">
        <f>'OECD EMPN'!V35</f>
        <v>11.7</v>
      </c>
      <c r="P25">
        <f>'OECD EMPN'!X35</f>
        <v>2.4</v>
      </c>
      <c r="Q25">
        <f>'OECD EMPN'!Y35</f>
        <v>3.8</v>
      </c>
      <c r="R25">
        <f>'OECD EMPN'!Z35</f>
        <v>4</v>
      </c>
      <c r="S25">
        <f>'OECD EMPN'!AB35</f>
        <v>2.2999999999999998</v>
      </c>
      <c r="T25">
        <f>'OECD EMPN'!AC35</f>
        <v>1.8</v>
      </c>
      <c r="U25">
        <f>'OECD EMPN'!AD35</f>
        <v>12.5</v>
      </c>
      <c r="V25">
        <f>'OECD EMPN'!AE35</f>
        <v>18.100000000000001</v>
      </c>
      <c r="W25">
        <f>'OECD EMPN'!AF35</f>
        <v>68</v>
      </c>
      <c r="X25">
        <f>'OECD EMPN'!AI35</f>
        <v>141.80000000000001</v>
      </c>
      <c r="Y25">
        <f>'OECD EMPN'!AJ35</f>
        <v>63.3</v>
      </c>
      <c r="Z25">
        <f>'OECD EMPN'!AK35</f>
        <v>25.9</v>
      </c>
      <c r="AA25">
        <f>'OECD EMPN'!AM35</f>
        <v>4.4000000000000004</v>
      </c>
      <c r="AB25">
        <f>'OECD EMPN'!AN35</f>
        <v>6.1</v>
      </c>
      <c r="AC25">
        <f>'OECD EMPN'!AO35</f>
        <v>26.3</v>
      </c>
      <c r="AD25">
        <f>'OECD EMPN'!AP35</f>
        <v>15.1</v>
      </c>
      <c r="AE25">
        <f>'OECD EMPN'!AQ35</f>
        <v>21.6</v>
      </c>
      <c r="AF25">
        <f>'OECD EMPN'!AR35</f>
        <v>77.2</v>
      </c>
      <c r="AG25">
        <f>'OECD EMPN'!AU35</f>
        <v>54.2</v>
      </c>
      <c r="AH25">
        <f>'OECD EMPN'!AV35</f>
        <v>80.5</v>
      </c>
      <c r="AI25">
        <f>'OECD EMPN'!AW35</f>
        <v>51.3</v>
      </c>
      <c r="AJ25">
        <f>'OECD EMPN'!AY35</f>
        <v>36.5</v>
      </c>
      <c r="AK25">
        <f>'OECD EMPN'!AZ35</f>
        <v>1.7</v>
      </c>
    </row>
    <row r="26" spans="1:37">
      <c r="A26" t="str">
        <f>'OECD EMPN'!A36</f>
        <v>LTU</v>
      </c>
      <c r="B26">
        <f>'OECD EMPN'!D36</f>
        <v>78.5</v>
      </c>
      <c r="C26">
        <f>'OECD EMPN'!F36</f>
        <v>0.1</v>
      </c>
      <c r="D26">
        <f>'OECD EMPN'!G36</f>
        <v>2.2000000000000002</v>
      </c>
      <c r="E26">
        <f>'OECD EMPN'!H36</f>
        <v>0</v>
      </c>
      <c r="F26">
        <f>'OECD EMPN'!J36</f>
        <v>41.2</v>
      </c>
      <c r="G26">
        <f>'OECD EMPN'!K36</f>
        <v>23.9</v>
      </c>
      <c r="H26">
        <f>'OECD EMPN'!M36</f>
        <v>22.4</v>
      </c>
      <c r="I26">
        <f>'OECD EMPN'!N36</f>
        <v>7</v>
      </c>
      <c r="J26">
        <f>'OECD EMPN'!P36</f>
        <v>1.6</v>
      </c>
      <c r="K26" s="21">
        <f>'OECD EMPN'!Q36</f>
        <v>7.6</v>
      </c>
      <c r="L26">
        <f>'OECD EMPN'!R36</f>
        <v>10.1</v>
      </c>
      <c r="M26">
        <f>'OECD EMPN'!S36</f>
        <v>8.9</v>
      </c>
      <c r="N26">
        <f>'OECD EMPN'!U36</f>
        <v>0.2</v>
      </c>
      <c r="O26">
        <f>'OECD EMPN'!V36</f>
        <v>20</v>
      </c>
      <c r="P26">
        <f>'OECD EMPN'!X36</f>
        <v>5</v>
      </c>
      <c r="Q26">
        <f>'OECD EMPN'!Y36</f>
        <v>4.8</v>
      </c>
      <c r="R26">
        <f>'OECD EMPN'!Z36</f>
        <v>5.7</v>
      </c>
      <c r="S26">
        <f>'OECD EMPN'!AB36</f>
        <v>6.8</v>
      </c>
      <c r="T26">
        <f>'OECD EMPN'!AC36</f>
        <v>3.5</v>
      </c>
      <c r="U26">
        <f>'OECD EMPN'!AD36</f>
        <v>48.4</v>
      </c>
      <c r="V26">
        <f>'OECD EMPN'!AE36</f>
        <v>28.2</v>
      </c>
      <c r="W26">
        <f>'OECD EMPN'!AF36</f>
        <v>101.6</v>
      </c>
      <c r="X26">
        <f>'OECD EMPN'!AI36</f>
        <v>218.8</v>
      </c>
      <c r="Y26">
        <f>'OECD EMPN'!AJ36</f>
        <v>107</v>
      </c>
      <c r="Z26">
        <f>'OECD EMPN'!AK36</f>
        <v>33.200000000000003</v>
      </c>
      <c r="AA26">
        <f>'OECD EMPN'!AM36</f>
        <v>7.7</v>
      </c>
      <c r="AB26">
        <f>'OECD EMPN'!AN36</f>
        <v>4.8</v>
      </c>
      <c r="AC26">
        <f>'OECD EMPN'!AO36</f>
        <v>26.8</v>
      </c>
      <c r="AD26">
        <f>'OECD EMPN'!AP36</f>
        <v>25.9</v>
      </c>
      <c r="AE26">
        <f>'OECD EMPN'!AQ36</f>
        <v>11.5</v>
      </c>
      <c r="AF26">
        <f>'OECD EMPN'!AR36</f>
        <v>122.3</v>
      </c>
      <c r="AG26">
        <f>'OECD EMPN'!AU36</f>
        <v>88.9</v>
      </c>
      <c r="AH26">
        <f>'OECD EMPN'!AV36</f>
        <v>134</v>
      </c>
      <c r="AI26">
        <f>'OECD EMPN'!AW36</f>
        <v>96.7</v>
      </c>
      <c r="AJ26">
        <f>'OECD EMPN'!AY36</f>
        <v>59.8</v>
      </c>
      <c r="AK26">
        <f>'OECD EMPN'!AZ36</f>
        <v>1.5</v>
      </c>
    </row>
    <row r="27" spans="1:37">
      <c r="A27" t="str">
        <f>'OECD EMPN'!A37</f>
        <v>LUX</v>
      </c>
      <c r="B27">
        <f>'OECD EMPN'!D37</f>
        <v>3.7</v>
      </c>
      <c r="C27">
        <f>'OECD EMPN'!F37</f>
        <v>0</v>
      </c>
      <c r="D27">
        <f>'OECD EMPN'!G37</f>
        <v>0.2</v>
      </c>
      <c r="E27">
        <f>'OECD EMPN'!H37</f>
        <v>0</v>
      </c>
      <c r="F27">
        <f>'OECD EMPN'!J37</f>
        <v>4.4000000000000004</v>
      </c>
      <c r="G27">
        <f>'OECD EMPN'!K37</f>
        <v>1.5</v>
      </c>
      <c r="H27">
        <f>'OECD EMPN'!M37</f>
        <v>0.4</v>
      </c>
      <c r="I27">
        <f>'OECD EMPN'!N37</f>
        <v>1.9</v>
      </c>
      <c r="J27">
        <f>'OECD EMPN'!P37</f>
        <v>0</v>
      </c>
      <c r="K27" s="21">
        <f>'OECD EMPN'!Q37</f>
        <v>1.4</v>
      </c>
      <c r="L27">
        <f>'OECD EMPN'!R37</f>
        <v>5.9</v>
      </c>
      <c r="M27">
        <f>'OECD EMPN'!S37</f>
        <v>2.1</v>
      </c>
      <c r="N27">
        <f>'OECD EMPN'!U37</f>
        <v>5.8</v>
      </c>
      <c r="O27">
        <f>'OECD EMPN'!V37</f>
        <v>3.2</v>
      </c>
      <c r="P27">
        <f>'OECD EMPN'!X37</f>
        <v>0.6</v>
      </c>
      <c r="Q27">
        <f>'OECD EMPN'!Y37</f>
        <v>0.6</v>
      </c>
      <c r="R27">
        <f>'OECD EMPN'!Z37</f>
        <v>3.6</v>
      </c>
      <c r="S27">
        <f>'OECD EMPN'!AB37</f>
        <v>0.4</v>
      </c>
      <c r="T27">
        <f>'OECD EMPN'!AC37</f>
        <v>0</v>
      </c>
      <c r="U27">
        <f>'OECD EMPN'!AD37</f>
        <v>1.3</v>
      </c>
      <c r="V27">
        <f>'OECD EMPN'!AE37</f>
        <v>4.8</v>
      </c>
      <c r="W27">
        <f>'OECD EMPN'!AF37</f>
        <v>49.4</v>
      </c>
      <c r="X27">
        <f>'OECD EMPN'!AI37</f>
        <v>53.7</v>
      </c>
      <c r="Y27">
        <f>'OECD EMPN'!AJ37</f>
        <v>28.5</v>
      </c>
      <c r="Z27">
        <f>'OECD EMPN'!AK37</f>
        <v>21.8</v>
      </c>
      <c r="AA27">
        <f>'OECD EMPN'!AM37</f>
        <v>4</v>
      </c>
      <c r="AB27">
        <f>'OECD EMPN'!AN37</f>
        <v>3.8</v>
      </c>
      <c r="AC27">
        <f>'OECD EMPN'!AO37</f>
        <v>12.5</v>
      </c>
      <c r="AD27">
        <f>'OECD EMPN'!AP37</f>
        <v>49.9</v>
      </c>
      <c r="AE27">
        <f>'OECD EMPN'!AQ37</f>
        <v>5.3</v>
      </c>
      <c r="AF27">
        <f>'OECD EMPN'!AR37</f>
        <v>81.8</v>
      </c>
      <c r="AG27">
        <f>'OECD EMPN'!AU37</f>
        <v>27.6</v>
      </c>
      <c r="AH27">
        <f>'OECD EMPN'!AV37</f>
        <v>21.9</v>
      </c>
      <c r="AI27">
        <f>'OECD EMPN'!AW37</f>
        <v>50.4</v>
      </c>
      <c r="AJ27">
        <f>'OECD EMPN'!AY37</f>
        <v>13.3</v>
      </c>
      <c r="AK27">
        <f>'OECD EMPN'!AZ37</f>
        <v>5.5</v>
      </c>
    </row>
    <row r="28" spans="1:37">
      <c r="A28" t="str">
        <f>'OECD EMPN'!A38</f>
        <v>MEX</v>
      </c>
      <c r="B28">
        <f>'OECD EMPN'!D38</f>
        <v>2885.9</v>
      </c>
      <c r="C28">
        <f>'OECD EMPN'!F38</f>
        <v>34.6</v>
      </c>
      <c r="D28">
        <f>'OECD EMPN'!G38</f>
        <v>159.19999999999999</v>
      </c>
      <c r="E28">
        <f>'OECD EMPN'!H38</f>
        <v>115.1</v>
      </c>
      <c r="F28">
        <f>'OECD EMPN'!J38</f>
        <v>1190</v>
      </c>
      <c r="G28">
        <f>'OECD EMPN'!K38</f>
        <v>639.5</v>
      </c>
      <c r="H28">
        <f>'OECD EMPN'!M38</f>
        <v>109.2</v>
      </c>
      <c r="I28">
        <f>'OECD EMPN'!N38</f>
        <v>180.2</v>
      </c>
      <c r="J28">
        <f>'OECD EMPN'!P38</f>
        <v>24.1</v>
      </c>
      <c r="K28" s="21">
        <f>'OECD EMPN'!Q38</f>
        <v>306.3</v>
      </c>
      <c r="L28">
        <f>'OECD EMPN'!R38</f>
        <v>321.10000000000002</v>
      </c>
      <c r="M28">
        <f>'OECD EMPN'!S38</f>
        <v>209.2</v>
      </c>
      <c r="N28">
        <f>'OECD EMPN'!U38</f>
        <v>88.6</v>
      </c>
      <c r="O28">
        <f>'OECD EMPN'!V38</f>
        <v>358.3</v>
      </c>
      <c r="P28">
        <f>'OECD EMPN'!X38</f>
        <v>889</v>
      </c>
      <c r="Q28">
        <f>'OECD EMPN'!Y38</f>
        <v>295.89999999999998</v>
      </c>
      <c r="R28">
        <f>'OECD EMPN'!Z38</f>
        <v>323.60000000000002</v>
      </c>
      <c r="S28">
        <f>'OECD EMPN'!AB38</f>
        <v>794.5</v>
      </c>
      <c r="T28">
        <f>'OECD EMPN'!AC38</f>
        <v>102.6</v>
      </c>
      <c r="U28">
        <f>'OECD EMPN'!AD38</f>
        <v>536.6</v>
      </c>
      <c r="V28">
        <f>'OECD EMPN'!AE38</f>
        <v>249</v>
      </c>
      <c r="W28">
        <f>'OECD EMPN'!AF38</f>
        <v>3796.3</v>
      </c>
      <c r="X28">
        <f>'OECD EMPN'!AI38</f>
        <v>4938</v>
      </c>
      <c r="Y28">
        <f>'OECD EMPN'!AJ38</f>
        <v>2243.9</v>
      </c>
      <c r="Z28">
        <f>'OECD EMPN'!AK38</f>
        <v>1137.3</v>
      </c>
      <c r="AA28">
        <f>'OECD EMPN'!AM38</f>
        <v>65.599999999999994</v>
      </c>
      <c r="AB28">
        <f>'OECD EMPN'!AN38</f>
        <v>89.4</v>
      </c>
      <c r="AC28">
        <f>'OECD EMPN'!AO38</f>
        <v>50.7</v>
      </c>
      <c r="AD28">
        <f>'OECD EMPN'!AP38</f>
        <v>456</v>
      </c>
      <c r="AE28">
        <f>'OECD EMPN'!AQ38</f>
        <v>447</v>
      </c>
      <c r="AF28">
        <f>'OECD EMPN'!AR38</f>
        <v>5205.6000000000004</v>
      </c>
      <c r="AG28">
        <f>'OECD EMPN'!AU38</f>
        <v>2852.1</v>
      </c>
      <c r="AH28">
        <f>'OECD EMPN'!AV38</f>
        <v>2363.6</v>
      </c>
      <c r="AI28">
        <f>'OECD EMPN'!AW38</f>
        <v>1195.4000000000001</v>
      </c>
      <c r="AJ28">
        <f>'OECD EMPN'!AY38</f>
        <v>506.2</v>
      </c>
      <c r="AK28">
        <f>'OECD EMPN'!AZ38</f>
        <v>2305.9</v>
      </c>
    </row>
    <row r="29" spans="1:37">
      <c r="A29" t="str">
        <f>'OECD EMPN'!A39</f>
        <v>NLD</v>
      </c>
      <c r="B29">
        <f>'OECD EMPN'!D39</f>
        <v>204</v>
      </c>
      <c r="C29">
        <f>'OECD EMPN'!F39</f>
        <v>2.8</v>
      </c>
      <c r="D29">
        <f>'OECD EMPN'!G39</f>
        <v>2.1</v>
      </c>
      <c r="E29">
        <f>'OECD EMPN'!H39</f>
        <v>3</v>
      </c>
      <c r="F29">
        <f>'OECD EMPN'!J39</f>
        <v>141</v>
      </c>
      <c r="G29">
        <f>'OECD EMPN'!K39</f>
        <v>17</v>
      </c>
      <c r="H29">
        <f>'OECD EMPN'!M39</f>
        <v>16</v>
      </c>
      <c r="I29">
        <f>'OECD EMPN'!N39</f>
        <v>35</v>
      </c>
      <c r="J29">
        <f>'OECD EMPN'!P39</f>
        <v>5</v>
      </c>
      <c r="K29" s="21">
        <f>'OECD EMPN'!Q39</f>
        <v>60</v>
      </c>
      <c r="L29">
        <f>'OECD EMPN'!R39</f>
        <v>33</v>
      </c>
      <c r="M29">
        <f>'OECD EMPN'!S39</f>
        <v>23</v>
      </c>
      <c r="N29">
        <f>'OECD EMPN'!U39</f>
        <v>21</v>
      </c>
      <c r="O29">
        <f>'OECD EMPN'!V39</f>
        <v>95</v>
      </c>
      <c r="P29">
        <f>'OECD EMPN'!X39</f>
        <v>27</v>
      </c>
      <c r="Q29">
        <f>'OECD EMPN'!Y39</f>
        <v>21</v>
      </c>
      <c r="R29">
        <f>'OECD EMPN'!Z39</f>
        <v>91</v>
      </c>
      <c r="S29">
        <f>'OECD EMPN'!AB39</f>
        <v>25</v>
      </c>
      <c r="T29">
        <f>'OECD EMPN'!AC39</f>
        <v>18</v>
      </c>
      <c r="U29">
        <f>'OECD EMPN'!AD39</f>
        <v>173</v>
      </c>
      <c r="V29">
        <f>'OECD EMPN'!AE39</f>
        <v>64</v>
      </c>
      <c r="W29">
        <f>'OECD EMPN'!AF39</f>
        <v>527</v>
      </c>
      <c r="X29">
        <f>'OECD EMPN'!AI39</f>
        <v>1514</v>
      </c>
      <c r="Y29">
        <f>'OECD EMPN'!AJ39</f>
        <v>408</v>
      </c>
      <c r="Z29">
        <f>'OECD EMPN'!AK39</f>
        <v>425</v>
      </c>
      <c r="AA29">
        <f>'OECD EMPN'!AM39</f>
        <v>56</v>
      </c>
      <c r="AB29">
        <f>'OECD EMPN'!AN39</f>
        <v>27</v>
      </c>
      <c r="AC29">
        <f>'OECD EMPN'!AO39</f>
        <v>248</v>
      </c>
      <c r="AD29">
        <f>'OECD EMPN'!AP39</f>
        <v>206</v>
      </c>
      <c r="AE29">
        <f>'OECD EMPN'!AQ39</f>
        <v>75</v>
      </c>
      <c r="AF29">
        <f>'OECD EMPN'!AR39</f>
        <v>1989</v>
      </c>
      <c r="AG29">
        <f>'OECD EMPN'!AU39</f>
        <v>508</v>
      </c>
      <c r="AH29">
        <f>'OECD EMPN'!AV39</f>
        <v>564</v>
      </c>
      <c r="AI29">
        <f>'OECD EMPN'!AW39</f>
        <v>1531</v>
      </c>
      <c r="AJ29">
        <f>'OECD EMPN'!AY39</f>
        <v>387</v>
      </c>
      <c r="AK29">
        <f>'OECD EMPN'!AZ39</f>
        <v>30</v>
      </c>
    </row>
    <row r="30" spans="1:37">
      <c r="A30" t="str">
        <f>'OECD EMPN'!A40</f>
        <v>NZL</v>
      </c>
      <c r="B30">
        <f>'OECD EMPN'!D40</f>
        <v>167.4</v>
      </c>
      <c r="C30">
        <f>'OECD EMPN'!F40</f>
        <v>1</v>
      </c>
      <c r="D30">
        <f>'OECD EMPN'!G40</f>
        <v>3.1</v>
      </c>
      <c r="E30">
        <f>'OECD EMPN'!H40</f>
        <v>1.5</v>
      </c>
      <c r="F30">
        <f>'OECD EMPN'!J40</f>
        <v>88.4</v>
      </c>
      <c r="G30">
        <f>'OECD EMPN'!K40</f>
        <v>9.3000000000000007</v>
      </c>
      <c r="H30">
        <f>'OECD EMPN'!M40</f>
        <v>19.2</v>
      </c>
      <c r="I30">
        <f>'OECD EMPN'!N40</f>
        <v>12</v>
      </c>
      <c r="J30">
        <f>'OECD EMPN'!P40</f>
        <v>1.2</v>
      </c>
      <c r="K30" s="21">
        <f>'OECD EMPN'!Q40</f>
        <v>8.6999999999999993</v>
      </c>
      <c r="L30">
        <f>'OECD EMPN'!R40</f>
        <v>8</v>
      </c>
      <c r="M30">
        <f>'OECD EMPN'!S40</f>
        <v>7.3</v>
      </c>
      <c r="N30">
        <f>'OECD EMPN'!U40</f>
        <v>6</v>
      </c>
      <c r="O30">
        <f>'OECD EMPN'!V40</f>
        <v>26.9</v>
      </c>
      <c r="P30">
        <f>'OECD EMPN'!X40</f>
        <v>4.5</v>
      </c>
      <c r="Q30">
        <f>'OECD EMPN'!Y40</f>
        <v>5</v>
      </c>
      <c r="R30">
        <f>'OECD EMPN'!Z40</f>
        <v>18.399999999999999</v>
      </c>
      <c r="S30">
        <f>'OECD EMPN'!AB40</f>
        <v>4.4000000000000004</v>
      </c>
      <c r="T30">
        <f>'OECD EMPN'!AC40</f>
        <v>6.7</v>
      </c>
      <c r="U30">
        <f>'OECD EMPN'!AD40</f>
        <v>32.700000000000003</v>
      </c>
      <c r="V30">
        <f>'OECD EMPN'!AE40</f>
        <v>27.1</v>
      </c>
      <c r="W30">
        <f>'OECD EMPN'!AF40</f>
        <v>273.3</v>
      </c>
      <c r="X30">
        <f>'OECD EMPN'!AI40</f>
        <v>381.4</v>
      </c>
      <c r="Y30">
        <f>'OECD EMPN'!AJ40</f>
        <v>121.1</v>
      </c>
      <c r="Z30">
        <f>'OECD EMPN'!AK40</f>
        <v>145</v>
      </c>
      <c r="AA30">
        <f>'OECD EMPN'!AM40</f>
        <v>17.899999999999999</v>
      </c>
      <c r="AB30">
        <f>'OECD EMPN'!AN40</f>
        <v>14.2</v>
      </c>
      <c r="AC30">
        <f>'OECD EMPN'!AO40</f>
        <v>59.1</v>
      </c>
      <c r="AD30">
        <f>'OECD EMPN'!AP40</f>
        <v>84.9</v>
      </c>
      <c r="AE30">
        <f>'OECD EMPN'!AQ40</f>
        <v>43.2</v>
      </c>
      <c r="AF30">
        <f>'OECD EMPN'!AR40</f>
        <v>298.5</v>
      </c>
      <c r="AG30">
        <f>'OECD EMPN'!AU40</f>
        <v>155.1</v>
      </c>
      <c r="AH30">
        <f>'OECD EMPN'!AV40</f>
        <v>216.8</v>
      </c>
      <c r="AI30">
        <f>'OECD EMPN'!AW40</f>
        <v>293.60000000000002</v>
      </c>
      <c r="AJ30">
        <f>'OECD EMPN'!AY40</f>
        <v>127.8</v>
      </c>
      <c r="AK30">
        <f>'OECD EMPN'!AZ40</f>
        <v>0</v>
      </c>
    </row>
    <row r="31" spans="1:37">
      <c r="A31" t="str">
        <f>'OECD EMPN'!A41</f>
        <v>NOR</v>
      </c>
      <c r="B31">
        <f>'OECD EMPN'!D41</f>
        <v>66</v>
      </c>
      <c r="C31">
        <f>'OECD EMPN'!F41</f>
        <v>24.7</v>
      </c>
      <c r="D31">
        <f>'OECD EMPN'!G41</f>
        <v>4.4000000000000004</v>
      </c>
      <c r="E31">
        <f>'OECD EMPN'!H41</f>
        <v>32.9</v>
      </c>
      <c r="F31">
        <f>'OECD EMPN'!J41</f>
        <v>49</v>
      </c>
      <c r="G31">
        <f>'OECD EMPN'!K41</f>
        <v>4</v>
      </c>
      <c r="H31">
        <f>'OECD EMPN'!M41</f>
        <v>13</v>
      </c>
      <c r="I31">
        <f>'OECD EMPN'!N41</f>
        <v>7</v>
      </c>
      <c r="J31">
        <f>'OECD EMPN'!P41</f>
        <v>0.4</v>
      </c>
      <c r="K31" s="21">
        <f>'OECD EMPN'!Q41</f>
        <v>13</v>
      </c>
      <c r="L31">
        <f>'OECD EMPN'!R41</f>
        <v>4.5</v>
      </c>
      <c r="M31">
        <f>'OECD EMPN'!S41</f>
        <v>11.2</v>
      </c>
      <c r="N31">
        <f>'OECD EMPN'!U41</f>
        <v>10</v>
      </c>
      <c r="O31">
        <f>'OECD EMPN'!V41</f>
        <v>23</v>
      </c>
      <c r="P31">
        <f>'OECD EMPN'!X41</f>
        <v>8</v>
      </c>
      <c r="Q31">
        <f>'OECD EMPN'!Y41</f>
        <v>7</v>
      </c>
      <c r="R31">
        <f>'OECD EMPN'!Z41</f>
        <v>18</v>
      </c>
      <c r="S31">
        <f>'OECD EMPN'!AB41</f>
        <v>3</v>
      </c>
      <c r="T31">
        <f>'OECD EMPN'!AC41</f>
        <v>17</v>
      </c>
      <c r="U31">
        <f>'OECD EMPN'!AD41</f>
        <v>28</v>
      </c>
      <c r="V31">
        <f>'OECD EMPN'!AE41</f>
        <v>33</v>
      </c>
      <c r="W31">
        <f>'OECD EMPN'!AF41</f>
        <v>245</v>
      </c>
      <c r="X31">
        <f>'OECD EMPN'!AI41</f>
        <v>352</v>
      </c>
      <c r="Y31">
        <f>'OECD EMPN'!AJ41</f>
        <v>152</v>
      </c>
      <c r="Z31">
        <f>'OECD EMPN'!AK41</f>
        <v>92</v>
      </c>
      <c r="AA31">
        <f>'OECD EMPN'!AM41</f>
        <v>28</v>
      </c>
      <c r="AB31">
        <f>'OECD EMPN'!AN41</f>
        <v>12</v>
      </c>
      <c r="AC31">
        <f>'OECD EMPN'!AO41</f>
        <v>59</v>
      </c>
      <c r="AD31">
        <f>'OECD EMPN'!AP41</f>
        <v>47</v>
      </c>
      <c r="AE31">
        <f>'OECD EMPN'!AQ41</f>
        <v>30</v>
      </c>
      <c r="AF31">
        <f>'OECD EMPN'!AR41</f>
        <v>277</v>
      </c>
      <c r="AG31">
        <f>'OECD EMPN'!AU41</f>
        <v>198</v>
      </c>
      <c r="AH31">
        <f>'OECD EMPN'!AV41</f>
        <v>224</v>
      </c>
      <c r="AI31">
        <f>'OECD EMPN'!AW41</f>
        <v>593</v>
      </c>
      <c r="AJ31">
        <f>'OECD EMPN'!AY41</f>
        <v>105</v>
      </c>
      <c r="AK31">
        <f>'OECD EMPN'!AZ41</f>
        <v>3</v>
      </c>
    </row>
    <row r="32" spans="1:37">
      <c r="A32" t="str">
        <f>'OECD EMPN'!A42</f>
        <v>POL</v>
      </c>
      <c r="B32">
        <f>'OECD EMPN'!D42</f>
        <v>1553.5</v>
      </c>
      <c r="C32">
        <f>'OECD EMPN'!F42</f>
        <v>109.6</v>
      </c>
      <c r="D32">
        <f>'OECD EMPN'!G42</f>
        <v>65.099999999999994</v>
      </c>
      <c r="E32">
        <f>'OECD EMPN'!H42</f>
        <v>34</v>
      </c>
      <c r="F32">
        <f>'OECD EMPN'!J42</f>
        <v>527.29999999999995</v>
      </c>
      <c r="G32">
        <f>'OECD EMPN'!K42</f>
        <v>201.1</v>
      </c>
      <c r="H32">
        <f>'OECD EMPN'!M42</f>
        <v>168.3</v>
      </c>
      <c r="I32">
        <f>'OECD EMPN'!N42</f>
        <v>144.4</v>
      </c>
      <c r="J32">
        <f>'OECD EMPN'!P42</f>
        <v>22.3</v>
      </c>
      <c r="K32" s="21">
        <f>'OECD EMPN'!Q42</f>
        <v>162.30000000000001</v>
      </c>
      <c r="L32">
        <f>'OECD EMPN'!R42</f>
        <v>204.8</v>
      </c>
      <c r="M32">
        <f>'OECD EMPN'!S42</f>
        <v>166.9</v>
      </c>
      <c r="N32">
        <f>'OECD EMPN'!U42</f>
        <v>99.7</v>
      </c>
      <c r="O32">
        <f>'OECD EMPN'!V42</f>
        <v>332.1</v>
      </c>
      <c r="P32">
        <f>'OECD EMPN'!X42</f>
        <v>72.599999999999994</v>
      </c>
      <c r="Q32">
        <f>'OECD EMPN'!Y42</f>
        <v>135.6</v>
      </c>
      <c r="R32">
        <f>'OECD EMPN'!Z42</f>
        <v>148</v>
      </c>
      <c r="S32">
        <f>'OECD EMPN'!AB42</f>
        <v>288.2</v>
      </c>
      <c r="T32">
        <f>'OECD EMPN'!AC42</f>
        <v>80.099999999999994</v>
      </c>
      <c r="U32">
        <f>'OECD EMPN'!AD42</f>
        <v>504.9</v>
      </c>
      <c r="V32">
        <f>'OECD EMPN'!AE42</f>
        <v>362.5</v>
      </c>
      <c r="W32">
        <f>'OECD EMPN'!AF42</f>
        <v>1273.5</v>
      </c>
      <c r="X32">
        <f>'OECD EMPN'!AI42</f>
        <v>2222.9</v>
      </c>
      <c r="Y32">
        <f>'OECD EMPN'!AJ42</f>
        <v>1091.0999999999999</v>
      </c>
      <c r="Z32">
        <f>'OECD EMPN'!AK42</f>
        <v>355.5</v>
      </c>
      <c r="AA32">
        <f>'OECD EMPN'!AM42</f>
        <v>98</v>
      </c>
      <c r="AB32">
        <f>'OECD EMPN'!AN42</f>
        <v>67.599999999999994</v>
      </c>
      <c r="AC32">
        <f>'OECD EMPN'!AO42</f>
        <v>290.7</v>
      </c>
      <c r="AD32">
        <f>'OECD EMPN'!AP42</f>
        <v>414.2</v>
      </c>
      <c r="AE32">
        <f>'OECD EMPN'!AQ42</f>
        <v>143.30000000000001</v>
      </c>
      <c r="AF32">
        <f>'OECD EMPN'!AR42</f>
        <v>1097.2</v>
      </c>
      <c r="AG32">
        <f>'OECD EMPN'!AU42</f>
        <v>1028.7</v>
      </c>
      <c r="AH32">
        <f>'OECD EMPN'!AV42</f>
        <v>1307.0999999999999</v>
      </c>
      <c r="AI32">
        <f>'OECD EMPN'!AW42</f>
        <v>1003.4</v>
      </c>
      <c r="AJ32">
        <f>'OECD EMPN'!AY42</f>
        <v>605.70000000000005</v>
      </c>
      <c r="AK32">
        <f>'OECD EMPN'!AZ42</f>
        <v>15</v>
      </c>
    </row>
    <row r="33" spans="1:37">
      <c r="A33" t="str">
        <f>'OECD EMPN'!A43</f>
        <v>PRT</v>
      </c>
      <c r="B33">
        <f>'OECD EMPN'!D43</f>
        <v>384.2</v>
      </c>
      <c r="C33">
        <f>'OECD EMPN'!F43</f>
        <v>0</v>
      </c>
      <c r="D33">
        <f>'OECD EMPN'!G43</f>
        <v>11</v>
      </c>
      <c r="E33">
        <f>'OECD EMPN'!H43</f>
        <v>0.5</v>
      </c>
      <c r="F33">
        <f>'OECD EMPN'!J43</f>
        <v>113</v>
      </c>
      <c r="G33">
        <f>'OECD EMPN'!K43</f>
        <v>195.4</v>
      </c>
      <c r="H33">
        <f>'OECD EMPN'!M43</f>
        <v>32.4</v>
      </c>
      <c r="I33">
        <f>'OECD EMPN'!N43</f>
        <v>26</v>
      </c>
      <c r="J33">
        <f>'OECD EMPN'!P43</f>
        <v>1.6</v>
      </c>
      <c r="K33" s="21">
        <f>'OECD EMPN'!Q43</f>
        <v>22.5</v>
      </c>
      <c r="L33">
        <f>'OECD EMPN'!R43</f>
        <v>26.5</v>
      </c>
      <c r="M33">
        <f>'OECD EMPN'!S43</f>
        <v>43</v>
      </c>
      <c r="N33">
        <f>'OECD EMPN'!U43</f>
        <v>8.5</v>
      </c>
      <c r="O33">
        <f>'OECD EMPN'!V43</f>
        <v>89.6</v>
      </c>
      <c r="P33">
        <f>'OECD EMPN'!X43</f>
        <v>10.9</v>
      </c>
      <c r="Q33">
        <f>'OECD EMPN'!Y43</f>
        <v>18.7</v>
      </c>
      <c r="R33">
        <f>'OECD EMPN'!Z43</f>
        <v>25</v>
      </c>
      <c r="S33">
        <f>'OECD EMPN'!AB43</f>
        <v>46.4</v>
      </c>
      <c r="T33">
        <f>'OECD EMPN'!AC43</f>
        <v>6</v>
      </c>
      <c r="U33">
        <f>'OECD EMPN'!AD43</f>
        <v>81.5</v>
      </c>
      <c r="V33">
        <f>'OECD EMPN'!AE43</f>
        <v>53.6</v>
      </c>
      <c r="W33">
        <f>'OECD EMPN'!AF43</f>
        <v>323.60000000000002</v>
      </c>
      <c r="X33">
        <f>'OECD EMPN'!AI43</f>
        <v>725.3</v>
      </c>
      <c r="Y33">
        <f>'OECD EMPN'!AJ43</f>
        <v>188.9</v>
      </c>
      <c r="Z33">
        <f>'OECD EMPN'!AK43</f>
        <v>336.2</v>
      </c>
      <c r="AA33">
        <f>'OECD EMPN'!AM43</f>
        <v>20.2</v>
      </c>
      <c r="AB33">
        <f>'OECD EMPN'!AN43</f>
        <v>14.5</v>
      </c>
      <c r="AC33">
        <f>'OECD EMPN'!AO43</f>
        <v>83.3</v>
      </c>
      <c r="AD33">
        <f>'OECD EMPN'!AP43</f>
        <v>82.5</v>
      </c>
      <c r="AE33">
        <f>'OECD EMPN'!AQ43</f>
        <v>41.7</v>
      </c>
      <c r="AF33">
        <f>'OECD EMPN'!AR43</f>
        <v>561.4</v>
      </c>
      <c r="AG33">
        <f>'OECD EMPN'!AU43</f>
        <v>294.3</v>
      </c>
      <c r="AH33">
        <f>'OECD EMPN'!AV43</f>
        <v>316.7</v>
      </c>
      <c r="AI33">
        <f>'OECD EMPN'!AW43</f>
        <v>416</v>
      </c>
      <c r="AJ33">
        <f>'OECD EMPN'!AY43</f>
        <v>157.9</v>
      </c>
      <c r="AK33">
        <f>'OECD EMPN'!AZ43</f>
        <v>105.6</v>
      </c>
    </row>
    <row r="34" spans="1:37">
      <c r="A34" t="str">
        <f>'OECD EMPN'!A44</f>
        <v>SVK</v>
      </c>
      <c r="B34">
        <f>'OECD EMPN'!D44</f>
        <v>70.400000000000006</v>
      </c>
      <c r="C34">
        <f>'OECD EMPN'!F44</f>
        <v>2.7</v>
      </c>
      <c r="D34">
        <f>'OECD EMPN'!G44</f>
        <v>2.7</v>
      </c>
      <c r="E34">
        <f>'OECD EMPN'!H44</f>
        <v>0.6</v>
      </c>
      <c r="F34">
        <f>'OECD EMPN'!J44</f>
        <v>47.5</v>
      </c>
      <c r="G34">
        <f>'OECD EMPN'!K44</f>
        <v>33.700000000000003</v>
      </c>
      <c r="H34">
        <f>'OECD EMPN'!M44</f>
        <v>28.5</v>
      </c>
      <c r="I34">
        <f>'OECD EMPN'!N44</f>
        <v>13.7</v>
      </c>
      <c r="J34">
        <f>'OECD EMPN'!P44</f>
        <v>2.5</v>
      </c>
      <c r="K34" s="21">
        <f>'OECD EMPN'!Q44</f>
        <v>10</v>
      </c>
      <c r="L34">
        <f>'OECD EMPN'!R44</f>
        <v>35.6</v>
      </c>
      <c r="M34">
        <f>'OECD EMPN'!S44</f>
        <v>19.399999999999999</v>
      </c>
      <c r="N34">
        <f>'OECD EMPN'!U44</f>
        <v>22.7</v>
      </c>
      <c r="O34">
        <f>'OECD EMPN'!V44</f>
        <v>84.3</v>
      </c>
      <c r="P34">
        <f>'OECD EMPN'!X44</f>
        <v>13.1</v>
      </c>
      <c r="Q34">
        <f>'OECD EMPN'!Y44</f>
        <v>33.6</v>
      </c>
      <c r="R34">
        <f>'OECD EMPN'!Z44</f>
        <v>46.1</v>
      </c>
      <c r="S34">
        <f>'OECD EMPN'!AB44</f>
        <v>79.7</v>
      </c>
      <c r="T34">
        <f>'OECD EMPN'!AC44</f>
        <v>4.0999999999999996</v>
      </c>
      <c r="U34">
        <f>'OECD EMPN'!AD44</f>
        <v>41.3</v>
      </c>
      <c r="V34">
        <f>'OECD EMPN'!AE44</f>
        <v>42</v>
      </c>
      <c r="W34">
        <f>'OECD EMPN'!AF44</f>
        <v>181.4</v>
      </c>
      <c r="X34">
        <f>'OECD EMPN'!AI44</f>
        <v>376.6</v>
      </c>
      <c r="Y34">
        <f>'OECD EMPN'!AJ44</f>
        <v>144.80000000000001</v>
      </c>
      <c r="Z34">
        <f>'OECD EMPN'!AK44</f>
        <v>94.6</v>
      </c>
      <c r="AA34">
        <f>'OECD EMPN'!AM44</f>
        <v>12.2</v>
      </c>
      <c r="AB34">
        <f>'OECD EMPN'!AN44</f>
        <v>12</v>
      </c>
      <c r="AC34">
        <f>'OECD EMPN'!AO44</f>
        <v>50.8</v>
      </c>
      <c r="AD34">
        <f>'OECD EMPN'!AP44</f>
        <v>45.7</v>
      </c>
      <c r="AE34">
        <f>'OECD EMPN'!AQ44</f>
        <v>28.3</v>
      </c>
      <c r="AF34">
        <f>'OECD EMPN'!AR44</f>
        <v>253.9</v>
      </c>
      <c r="AG34">
        <f>'OECD EMPN'!AU44</f>
        <v>169.5</v>
      </c>
      <c r="AH34">
        <f>'OECD EMPN'!AV44</f>
        <v>179.3</v>
      </c>
      <c r="AI34">
        <f>'OECD EMPN'!AW44</f>
        <v>142.1</v>
      </c>
      <c r="AJ34">
        <f>'OECD EMPN'!AY44</f>
        <v>70.2</v>
      </c>
      <c r="AK34">
        <f>'OECD EMPN'!AZ44</f>
        <v>3.8</v>
      </c>
    </row>
    <row r="35" spans="1:37">
      <c r="A35" t="str">
        <f>'OECD EMPN'!A45</f>
        <v>SVN</v>
      </c>
      <c r="B35">
        <f>'OECD EMPN'!D45</f>
        <v>70.599999999999994</v>
      </c>
      <c r="C35">
        <f>'OECD EMPN'!F45</f>
        <v>1.3</v>
      </c>
      <c r="D35">
        <f>'OECD EMPN'!G45</f>
        <v>1.1000000000000001</v>
      </c>
      <c r="E35">
        <f>'OECD EMPN'!H45</f>
        <v>0</v>
      </c>
      <c r="F35">
        <f>'OECD EMPN'!J45</f>
        <v>18.8</v>
      </c>
      <c r="G35">
        <f>'OECD EMPN'!K45</f>
        <v>8.6999999999999993</v>
      </c>
      <c r="H35">
        <f>'OECD EMPN'!M45</f>
        <v>9.4</v>
      </c>
      <c r="I35">
        <f>'OECD EMPN'!N45</f>
        <v>8.8000000000000007</v>
      </c>
      <c r="J35">
        <f>'OECD EMPN'!P45</f>
        <v>0</v>
      </c>
      <c r="K35" s="21">
        <f>'OECD EMPN'!Q45</f>
        <v>17.7</v>
      </c>
      <c r="L35">
        <f>'OECD EMPN'!R45</f>
        <v>16.399999999999999</v>
      </c>
      <c r="M35">
        <f>'OECD EMPN'!S45</f>
        <v>6.8</v>
      </c>
      <c r="N35">
        <f>'OECD EMPN'!U45</f>
        <v>10.199999999999999</v>
      </c>
      <c r="O35">
        <f>'OECD EMPN'!V45</f>
        <v>36.1</v>
      </c>
      <c r="P35">
        <f>'OECD EMPN'!X45</f>
        <v>5.2</v>
      </c>
      <c r="Q35">
        <f>'OECD EMPN'!Y45</f>
        <v>21.5</v>
      </c>
      <c r="R35">
        <f>'OECD EMPN'!Z45</f>
        <v>16.399999999999999</v>
      </c>
      <c r="S35">
        <f>'OECD EMPN'!AB45</f>
        <v>17</v>
      </c>
      <c r="T35">
        <f>'OECD EMPN'!AC45</f>
        <v>0.8</v>
      </c>
      <c r="U35">
        <f>'OECD EMPN'!AD45</f>
        <v>22.1</v>
      </c>
      <c r="V35">
        <f>'OECD EMPN'!AE45</f>
        <v>19.600000000000001</v>
      </c>
      <c r="W35">
        <f>'OECD EMPN'!AF45</f>
        <v>75.599999999999994</v>
      </c>
      <c r="X35">
        <f>'OECD EMPN'!AI45</f>
        <v>125.1</v>
      </c>
      <c r="Y35">
        <f>'OECD EMPN'!AJ45</f>
        <v>57.4</v>
      </c>
      <c r="Z35">
        <f>'OECD EMPN'!AK45</f>
        <v>41.4</v>
      </c>
      <c r="AA35">
        <f>'OECD EMPN'!AM45</f>
        <v>7.6</v>
      </c>
      <c r="AB35">
        <f>'OECD EMPN'!AN45</f>
        <v>4.9000000000000004</v>
      </c>
      <c r="AC35">
        <f>'OECD EMPN'!AO45</f>
        <v>20.9</v>
      </c>
      <c r="AD35">
        <f>'OECD EMPN'!AP45</f>
        <v>20.6</v>
      </c>
      <c r="AE35">
        <f>'OECD EMPN'!AQ45</f>
        <v>7.1</v>
      </c>
      <c r="AF35">
        <f>'OECD EMPN'!AR45</f>
        <v>130</v>
      </c>
      <c r="AG35">
        <f>'OECD EMPN'!AU45</f>
        <v>50.8</v>
      </c>
      <c r="AH35">
        <f>'OECD EMPN'!AV45</f>
        <v>77.8</v>
      </c>
      <c r="AI35">
        <f>'OECD EMPN'!AW45</f>
        <v>69.599999999999994</v>
      </c>
      <c r="AJ35">
        <f>'OECD EMPN'!AY45</f>
        <v>40.299999999999997</v>
      </c>
      <c r="AK35">
        <f>'OECD EMPN'!AZ45</f>
        <v>1.6</v>
      </c>
    </row>
    <row r="36" spans="1:37">
      <c r="A36" t="str">
        <f>'OECD EMPN'!A46</f>
        <v>ESP</v>
      </c>
      <c r="B36">
        <f>'OECD EMPN'!D46</f>
        <v>725</v>
      </c>
      <c r="C36">
        <f>'OECD EMPN'!F46</f>
        <v>0.9</v>
      </c>
      <c r="D36">
        <f>'OECD EMPN'!G46</f>
        <v>17.899999999999999</v>
      </c>
      <c r="E36">
        <f>'OECD EMPN'!H46</f>
        <v>1.1000000000000001</v>
      </c>
      <c r="F36">
        <f>'OECD EMPN'!J46</f>
        <v>437.9</v>
      </c>
      <c r="G36">
        <f>'OECD EMPN'!K46</f>
        <v>113.1</v>
      </c>
      <c r="H36">
        <f>'OECD EMPN'!M46</f>
        <v>53.7</v>
      </c>
      <c r="I36">
        <f>'OECD EMPN'!N46</f>
        <v>99.1</v>
      </c>
      <c r="J36">
        <f>'OECD EMPN'!P46</f>
        <v>8.9</v>
      </c>
      <c r="K36" s="21">
        <f>'OECD EMPN'!Q46</f>
        <v>145.9</v>
      </c>
      <c r="L36">
        <f>'OECD EMPN'!R46</f>
        <v>95.2</v>
      </c>
      <c r="M36">
        <f>'OECD EMPN'!S46</f>
        <v>96</v>
      </c>
      <c r="N36">
        <f>'OECD EMPN'!U46</f>
        <v>57.2</v>
      </c>
      <c r="O36">
        <f>'OECD EMPN'!V46</f>
        <v>245.1</v>
      </c>
      <c r="P36">
        <f>'OECD EMPN'!X46</f>
        <v>29</v>
      </c>
      <c r="Q36">
        <f>'OECD EMPN'!Y46</f>
        <v>68.2</v>
      </c>
      <c r="R36">
        <f>'OECD EMPN'!Z46</f>
        <v>113.6</v>
      </c>
      <c r="S36">
        <f>'OECD EMPN'!AB46</f>
        <v>147.19999999999999</v>
      </c>
      <c r="T36">
        <f>'OECD EMPN'!AC46</f>
        <v>48.2</v>
      </c>
      <c r="U36">
        <f>'OECD EMPN'!AD46</f>
        <v>200.3</v>
      </c>
      <c r="V36">
        <f>'OECD EMPN'!AE46</f>
        <v>242.5</v>
      </c>
      <c r="W36">
        <f>'OECD EMPN'!AF46</f>
        <v>1266.7</v>
      </c>
      <c r="X36">
        <f>'OECD EMPN'!AI46</f>
        <v>3354</v>
      </c>
      <c r="Y36">
        <f>'OECD EMPN'!AJ46</f>
        <v>966.4</v>
      </c>
      <c r="Z36">
        <f>'OECD EMPN'!AK46</f>
        <v>1232.5</v>
      </c>
      <c r="AA36">
        <f>'OECD EMPN'!AM46</f>
        <v>108.6</v>
      </c>
      <c r="AB36">
        <f>'OECD EMPN'!AN46</f>
        <v>69.2</v>
      </c>
      <c r="AC36">
        <f>'OECD EMPN'!AO46</f>
        <v>353.1</v>
      </c>
      <c r="AD36">
        <f>'OECD EMPN'!AP46</f>
        <v>352.1</v>
      </c>
      <c r="AE36">
        <f>'OECD EMPN'!AQ46</f>
        <v>231</v>
      </c>
      <c r="AF36">
        <f>'OECD EMPN'!AR46</f>
        <v>2506.6</v>
      </c>
      <c r="AG36">
        <f>'OECD EMPN'!AU46</f>
        <v>1647.8</v>
      </c>
      <c r="AH36">
        <f>'OECD EMPN'!AV46</f>
        <v>1282.3</v>
      </c>
      <c r="AI36">
        <f>'OECD EMPN'!AW46</f>
        <v>1543.2</v>
      </c>
      <c r="AJ36">
        <f>'OECD EMPN'!AY46</f>
        <v>1071.2</v>
      </c>
      <c r="AK36">
        <f>'OECD EMPN'!AZ46</f>
        <v>550.9</v>
      </c>
    </row>
    <row r="37" spans="1:37">
      <c r="A37" t="str">
        <f>'OECD EMPN'!A47</f>
        <v>SWE</v>
      </c>
      <c r="B37">
        <f>'OECD EMPN'!D47</f>
        <v>102</v>
      </c>
      <c r="C37">
        <f>'OECD EMPN'!F47</f>
        <v>0</v>
      </c>
      <c r="D37">
        <f>'OECD EMPN'!G47</f>
        <v>8.8000000000000007</v>
      </c>
      <c r="E37">
        <f>'OECD EMPN'!H47</f>
        <v>0.2</v>
      </c>
      <c r="F37">
        <f>'OECD EMPN'!J47</f>
        <v>53</v>
      </c>
      <c r="G37">
        <f>'OECD EMPN'!K47</f>
        <v>7</v>
      </c>
      <c r="H37">
        <f>'OECD EMPN'!M47</f>
        <v>33</v>
      </c>
      <c r="I37">
        <f>'OECD EMPN'!N47</f>
        <v>35</v>
      </c>
      <c r="J37">
        <f>'OECD EMPN'!P47</f>
        <v>3</v>
      </c>
      <c r="K37" s="21">
        <f>'OECD EMPN'!Q47</f>
        <v>33</v>
      </c>
      <c r="L37">
        <f>'OECD EMPN'!R47</f>
        <v>21</v>
      </c>
      <c r="M37">
        <f>'OECD EMPN'!S47</f>
        <v>18</v>
      </c>
      <c r="N37">
        <f>'OECD EMPN'!U47</f>
        <v>27</v>
      </c>
      <c r="O37">
        <f>'OECD EMPN'!V47</f>
        <v>71</v>
      </c>
      <c r="P37">
        <f>'OECD EMPN'!X47</f>
        <v>22</v>
      </c>
      <c r="Q37">
        <f>'OECD EMPN'!Y47</f>
        <v>25</v>
      </c>
      <c r="R37">
        <f>'OECD EMPN'!Z47</f>
        <v>76</v>
      </c>
      <c r="S37">
        <f>'OECD EMPN'!AB47</f>
        <v>70</v>
      </c>
      <c r="T37">
        <f>'OECD EMPN'!AC47</f>
        <v>15</v>
      </c>
      <c r="U37">
        <f>'OECD EMPN'!AD47</f>
        <v>44</v>
      </c>
      <c r="V37">
        <f>'OECD EMPN'!AE47</f>
        <v>62</v>
      </c>
      <c r="W37">
        <f>'OECD EMPN'!AF47</f>
        <v>377</v>
      </c>
      <c r="X37">
        <f>'OECD EMPN'!AI47</f>
        <v>561</v>
      </c>
      <c r="Y37">
        <f>'OECD EMPN'!AJ47</f>
        <v>256</v>
      </c>
      <c r="Z37">
        <f>'OECD EMPN'!AK47</f>
        <v>171</v>
      </c>
      <c r="AA37">
        <f>'OECD EMPN'!AM47</f>
        <v>59</v>
      </c>
      <c r="AB37">
        <f>'OECD EMPN'!AN47</f>
        <v>20</v>
      </c>
      <c r="AC37">
        <f>'OECD EMPN'!AO47</f>
        <v>132</v>
      </c>
      <c r="AD37">
        <f>'OECD EMPN'!AP47</f>
        <v>106</v>
      </c>
      <c r="AE37">
        <f>'OECD EMPN'!AQ47</f>
        <v>84</v>
      </c>
      <c r="AF37">
        <f>'OECD EMPN'!AR47</f>
        <v>629</v>
      </c>
      <c r="AG37">
        <f>'OECD EMPN'!AU47</f>
        <v>284</v>
      </c>
      <c r="AH37">
        <f>'OECD EMPN'!AV47</f>
        <v>511</v>
      </c>
      <c r="AI37">
        <f>'OECD EMPN'!AW47</f>
        <v>853</v>
      </c>
      <c r="AJ37">
        <f>'OECD EMPN'!AY47</f>
        <v>228</v>
      </c>
      <c r="AK37">
        <f>'OECD EMPN'!AZ47</f>
        <v>4</v>
      </c>
    </row>
    <row r="38" spans="1:37">
      <c r="A38" t="str">
        <f>'OECD EMPN'!A48</f>
        <v>CHE</v>
      </c>
      <c r="B38">
        <f>'OECD EMPN'!D48</f>
        <v>132.30000000000001</v>
      </c>
      <c r="C38">
        <f>'OECD EMPN'!F48</f>
        <v>0</v>
      </c>
      <c r="D38">
        <f>'OECD EMPN'!G48</f>
        <v>4.4000000000000004</v>
      </c>
      <c r="E38">
        <f>'OECD EMPN'!H48</f>
        <v>0.2</v>
      </c>
      <c r="F38">
        <f>'OECD EMPN'!J48</f>
        <v>86.3</v>
      </c>
      <c r="G38">
        <f>'OECD EMPN'!K48</f>
        <v>14.7</v>
      </c>
      <c r="H38">
        <f>'OECD EMPN'!M48</f>
        <v>38.200000000000003</v>
      </c>
      <c r="I38">
        <f>'OECD EMPN'!N48</f>
        <v>23.4</v>
      </c>
      <c r="J38">
        <f>'OECD EMPN'!P48</f>
        <v>0.6</v>
      </c>
      <c r="K38" s="21">
        <f>'OECD EMPN'!Q48</f>
        <v>72.2</v>
      </c>
      <c r="L38">
        <f>'OECD EMPN'!R48</f>
        <v>21.6</v>
      </c>
      <c r="M38">
        <f>'OECD EMPN'!S48</f>
        <v>17.399999999999999</v>
      </c>
      <c r="N38">
        <f>'OECD EMPN'!U48</f>
        <v>13.2</v>
      </c>
      <c r="O38">
        <f>'OECD EMPN'!V48</f>
        <v>81.8</v>
      </c>
      <c r="P38">
        <f>'OECD EMPN'!X48</f>
        <v>106.4</v>
      </c>
      <c r="Q38">
        <f>'OECD EMPN'!Y48</f>
        <v>28.6</v>
      </c>
      <c r="R38">
        <f>'OECD EMPN'!Z48</f>
        <v>74.3</v>
      </c>
      <c r="S38">
        <f>'OECD EMPN'!AB48</f>
        <v>4.7</v>
      </c>
      <c r="T38">
        <f>'OECD EMPN'!AC48</f>
        <v>11</v>
      </c>
      <c r="U38">
        <f>'OECD EMPN'!AD48</f>
        <v>54.1</v>
      </c>
      <c r="V38">
        <f>'OECD EMPN'!AE48</f>
        <v>49</v>
      </c>
      <c r="W38">
        <f>'OECD EMPN'!AF48</f>
        <v>347.5</v>
      </c>
      <c r="X38">
        <f>'OECD EMPN'!AI48</f>
        <v>593.79999999999995</v>
      </c>
      <c r="Y38">
        <f>'OECD EMPN'!AJ48</f>
        <v>241.9</v>
      </c>
      <c r="Z38">
        <f>'OECD EMPN'!AK48</f>
        <v>231.5</v>
      </c>
      <c r="AA38">
        <f>'OECD EMPN'!AM48</f>
        <v>32.4</v>
      </c>
      <c r="AB38">
        <f>'OECD EMPN'!AN48</f>
        <v>25.8</v>
      </c>
      <c r="AC38">
        <f>'OECD EMPN'!AO48</f>
        <v>115.4</v>
      </c>
      <c r="AD38">
        <f>'OECD EMPN'!AP48</f>
        <v>225</v>
      </c>
      <c r="AE38">
        <f>'OECD EMPN'!AQ48</f>
        <v>66.900000000000006</v>
      </c>
      <c r="AF38">
        <f>'OECD EMPN'!AR48</f>
        <v>765.6</v>
      </c>
      <c r="AG38">
        <f>'OECD EMPN'!AU48</f>
        <v>200.2</v>
      </c>
      <c r="AH38">
        <f>'OECD EMPN'!AV48</f>
        <v>363.7</v>
      </c>
      <c r="AI38">
        <f>'OECD EMPN'!AW48</f>
        <v>719.2</v>
      </c>
      <c r="AJ38">
        <f>'OECD EMPN'!AY48</f>
        <v>259.3</v>
      </c>
      <c r="AK38">
        <f>'OECD EMPN'!AZ48</f>
        <v>54.7</v>
      </c>
    </row>
    <row r="39" spans="1:37">
      <c r="A39" t="str">
        <f>'OECD EMPN'!A49</f>
        <v>TUR</v>
      </c>
      <c r="B39">
        <f>'OECD EMPN'!D49</f>
        <v>4751.8</v>
      </c>
      <c r="C39">
        <f>'OECD EMPN'!F49</f>
        <v>61.2</v>
      </c>
      <c r="D39">
        <f>'OECD EMPN'!G49</f>
        <v>70.400000000000006</v>
      </c>
      <c r="E39">
        <f>'OECD EMPN'!H49</f>
        <v>4.3</v>
      </c>
      <c r="F39">
        <f>'OECD EMPN'!J49</f>
        <v>721.4</v>
      </c>
      <c r="G39">
        <f>'OECD EMPN'!K49</f>
        <v>1424.4</v>
      </c>
      <c r="H39">
        <f>'OECD EMPN'!M49</f>
        <v>96.4</v>
      </c>
      <c r="I39">
        <f>'OECD EMPN'!N49</f>
        <v>187.2</v>
      </c>
      <c r="J39">
        <f>'OECD EMPN'!P49</f>
        <v>13.5</v>
      </c>
      <c r="K39" s="21">
        <f>'OECD EMPN'!Q49</f>
        <v>212.1</v>
      </c>
      <c r="L39">
        <f>'OECD EMPN'!R49</f>
        <v>251.7</v>
      </c>
      <c r="M39">
        <f>'OECD EMPN'!S49</f>
        <v>297.5</v>
      </c>
      <c r="N39">
        <f>'OECD EMPN'!U49</f>
        <v>190.8</v>
      </c>
      <c r="O39">
        <f>'OECD EMPN'!V49</f>
        <v>454.9</v>
      </c>
      <c r="P39">
        <f>'OECD EMPN'!X49</f>
        <v>51.1</v>
      </c>
      <c r="Q39">
        <f>'OECD EMPN'!Y49</f>
        <v>221.4</v>
      </c>
      <c r="R39">
        <f>'OECD EMPN'!Z49</f>
        <v>266.2</v>
      </c>
      <c r="S39">
        <f>'OECD EMPN'!AB49</f>
        <v>194.2</v>
      </c>
      <c r="T39">
        <f>'OECD EMPN'!AC49</f>
        <v>59.7</v>
      </c>
      <c r="U39">
        <f>'OECD EMPN'!AD49</f>
        <v>471.1</v>
      </c>
      <c r="V39">
        <f>'OECD EMPN'!AE49</f>
        <v>341.1</v>
      </c>
      <c r="W39">
        <f>'OECD EMPN'!AF49</f>
        <v>1485.2</v>
      </c>
      <c r="X39">
        <f>'OECD EMPN'!AI49</f>
        <v>3726.8</v>
      </c>
      <c r="Y39">
        <f>'OECD EMPN'!AJ49</f>
        <v>1267.7</v>
      </c>
      <c r="Z39">
        <f>'OECD EMPN'!AK49</f>
        <v>1364.7</v>
      </c>
      <c r="AA39">
        <f>'OECD EMPN'!AM49</f>
        <v>61.8</v>
      </c>
      <c r="AB39">
        <f>'OECD EMPN'!AN49</f>
        <v>84.4</v>
      </c>
      <c r="AC39">
        <f>'OECD EMPN'!AO49</f>
        <v>135.9</v>
      </c>
      <c r="AD39">
        <f>'OECD EMPN'!AP49</f>
        <v>403.4</v>
      </c>
      <c r="AE39">
        <f>'OECD EMPN'!AQ49</f>
        <v>281.89999999999998</v>
      </c>
      <c r="AF39">
        <f>'OECD EMPN'!AR49</f>
        <v>1947</v>
      </c>
      <c r="AG39">
        <f>'OECD EMPN'!AU49</f>
        <v>2138.5</v>
      </c>
      <c r="AH39">
        <f>'OECD EMPN'!AV49</f>
        <v>1859.2</v>
      </c>
      <c r="AI39">
        <f>'OECD EMPN'!AW49</f>
        <v>1697.6</v>
      </c>
      <c r="AJ39">
        <f>'OECD EMPN'!AY49</f>
        <v>1090.5999999999999</v>
      </c>
      <c r="AK39">
        <f>'OECD EMPN'!AZ49</f>
        <v>0</v>
      </c>
    </row>
    <row r="40" spans="1:37">
      <c r="A40" t="str">
        <f>'OECD EMPN'!A50</f>
        <v>GBR</v>
      </c>
      <c r="B40">
        <f>'OECD EMPN'!D50</f>
        <v>390.5</v>
      </c>
      <c r="C40">
        <f>'OECD EMPN'!F50</f>
        <v>16.100000000000001</v>
      </c>
      <c r="D40">
        <f>'OECD EMPN'!G50</f>
        <v>21.9</v>
      </c>
      <c r="E40">
        <f>'OECD EMPN'!H50</f>
        <v>23.9</v>
      </c>
      <c r="F40">
        <f>'OECD EMPN'!J50</f>
        <v>434.9</v>
      </c>
      <c r="G40">
        <f>'OECD EMPN'!K50</f>
        <v>108.1</v>
      </c>
      <c r="H40">
        <f>'OECD EMPN'!M50</f>
        <v>82.6</v>
      </c>
      <c r="I40">
        <f>'OECD EMPN'!N50</f>
        <v>140.19999999999999</v>
      </c>
      <c r="J40">
        <f>'OECD EMPN'!P50</f>
        <v>9.8000000000000007</v>
      </c>
      <c r="K40" s="21">
        <f>'OECD EMPN'!Q50</f>
        <v>140.69999999999999</v>
      </c>
      <c r="L40">
        <f>'OECD EMPN'!R50</f>
        <v>153.9</v>
      </c>
      <c r="M40">
        <f>'OECD EMPN'!S50</f>
        <v>92.5</v>
      </c>
      <c r="N40">
        <f>'OECD EMPN'!U50</f>
        <v>66.099999999999994</v>
      </c>
      <c r="O40">
        <f>'OECD EMPN'!V50</f>
        <v>287.39999999999998</v>
      </c>
      <c r="P40">
        <f>'OECD EMPN'!X50</f>
        <v>117.8</v>
      </c>
      <c r="Q40">
        <f>'OECD EMPN'!Y50</f>
        <v>72.7</v>
      </c>
      <c r="R40">
        <f>'OECD EMPN'!Z50</f>
        <v>176.3</v>
      </c>
      <c r="S40">
        <f>'OECD EMPN'!AB50</f>
        <v>159.9</v>
      </c>
      <c r="T40">
        <f>'OECD EMPN'!AC50</f>
        <v>147.1</v>
      </c>
      <c r="U40">
        <f>'OECD EMPN'!AD50</f>
        <v>296.39999999999998</v>
      </c>
      <c r="V40">
        <f>'OECD EMPN'!AE50</f>
        <v>325.5</v>
      </c>
      <c r="W40">
        <f>'OECD EMPN'!AF50</f>
        <v>2201.1</v>
      </c>
      <c r="X40">
        <f>'OECD EMPN'!AI50</f>
        <v>4707.7</v>
      </c>
      <c r="Y40">
        <f>'OECD EMPN'!AJ50</f>
        <v>1613.7</v>
      </c>
      <c r="Z40">
        <f>'OECD EMPN'!AK50</f>
        <v>2147.6999999999998</v>
      </c>
      <c r="AA40">
        <f>'OECD EMPN'!AM50</f>
        <v>358.5</v>
      </c>
      <c r="AB40">
        <f>'OECD EMPN'!AN50</f>
        <v>220.8</v>
      </c>
      <c r="AC40">
        <f>'OECD EMPN'!AO50</f>
        <v>851.8</v>
      </c>
      <c r="AD40">
        <f>'OECD EMPN'!AP50</f>
        <v>1067.2</v>
      </c>
      <c r="AE40">
        <f>'OECD EMPN'!AQ50</f>
        <v>574.5</v>
      </c>
      <c r="AF40">
        <f>'OECD EMPN'!AR50</f>
        <v>5441</v>
      </c>
      <c r="AG40">
        <f>'OECD EMPN'!AU50</f>
        <v>1448.2</v>
      </c>
      <c r="AH40">
        <f>'OECD EMPN'!AV50</f>
        <v>2700.3</v>
      </c>
      <c r="AI40">
        <f>'OECD EMPN'!AW50</f>
        <v>4119.5</v>
      </c>
      <c r="AJ40">
        <f>'OECD EMPN'!AY50</f>
        <v>1746.9</v>
      </c>
      <c r="AK40">
        <f>'OECD EMPN'!AZ50</f>
        <v>45.8</v>
      </c>
    </row>
    <row r="41" spans="1:37" s="10" customFormat="1">
      <c r="A41" s="10" t="str">
        <f>'OECD EMPN'!A51</f>
        <v>USA</v>
      </c>
      <c r="B41" s="10">
        <f>'OECD EMPN'!D51</f>
        <v>2114</v>
      </c>
      <c r="C41" s="10">
        <f>'OECD EMPN'!F51</f>
        <v>169.6</v>
      </c>
      <c r="D41" s="10">
        <f>'OECD EMPN'!G51</f>
        <v>122.1</v>
      </c>
      <c r="E41" s="10">
        <f>'OECD EMPN'!H51</f>
        <v>233.2</v>
      </c>
      <c r="F41" s="10">
        <f>'OECD EMPN'!J51</f>
        <v>1978.8</v>
      </c>
      <c r="G41" s="10">
        <f>'OECD EMPN'!K51</f>
        <v>342.3</v>
      </c>
      <c r="H41" s="10">
        <f>'OECD EMPN'!M51</f>
        <v>431.1</v>
      </c>
      <c r="I41" s="10">
        <f>'OECD EMPN'!N51</f>
        <v>742</v>
      </c>
      <c r="J41" s="10">
        <f>'OECD EMPN'!P51</f>
        <v>104.2</v>
      </c>
      <c r="K41" s="10">
        <f>'OECD EMPN'!Q51</f>
        <v>818.5</v>
      </c>
      <c r="L41" s="10">
        <f>'OECD EMPN'!R51</f>
        <v>732.6</v>
      </c>
      <c r="M41" s="10">
        <f>'OECD EMPN'!S51</f>
        <v>415.8</v>
      </c>
      <c r="N41" s="10">
        <f>'OECD EMPN'!U51</f>
        <v>350.9</v>
      </c>
      <c r="O41" s="10">
        <f>'OECD EMPN'!V51</f>
        <v>1407.4</v>
      </c>
      <c r="P41" s="10">
        <f>'OECD EMPN'!X51</f>
        <v>1062.3</v>
      </c>
      <c r="Q41" s="10">
        <f>'OECD EMPN'!Y51</f>
        <v>395</v>
      </c>
      <c r="R41" s="10">
        <f>'OECD EMPN'!Z51</f>
        <v>1063.5</v>
      </c>
      <c r="S41" s="10">
        <f>'OECD EMPN'!AB51</f>
        <v>962.3</v>
      </c>
      <c r="T41" s="10">
        <f>'OECD EMPN'!AC51</f>
        <v>686.9</v>
      </c>
      <c r="U41" s="10">
        <f>'OECD EMPN'!AD51</f>
        <v>1091.4000000000001</v>
      </c>
      <c r="V41" s="10">
        <f>'OECD EMPN'!AE51</f>
        <v>1026.4000000000001</v>
      </c>
      <c r="W41" s="10">
        <f>'OECD EMPN'!AF51</f>
        <v>9301.5</v>
      </c>
      <c r="X41" s="10">
        <f>'OECD EMPN'!AI51</f>
        <v>23204.5</v>
      </c>
      <c r="Y41" s="10">
        <f>'OECD EMPN'!AJ51</f>
        <v>7394.3</v>
      </c>
      <c r="Z41" s="10">
        <f>'OECD EMPN'!AK51</f>
        <v>12444.9</v>
      </c>
      <c r="AA41" s="10">
        <f>'OECD EMPN'!AM51</f>
        <v>1696.4</v>
      </c>
      <c r="AB41" s="10">
        <f>'OECD EMPN'!AN51</f>
        <v>712.3</v>
      </c>
      <c r="AC41" s="10">
        <f>'OECD EMPN'!AO51</f>
        <v>3045.7</v>
      </c>
      <c r="AD41" s="10">
        <f>'OECD EMPN'!AP51</f>
        <v>6825.6</v>
      </c>
      <c r="AE41" s="10">
        <f>'OECD EMPN'!AQ51</f>
        <v>2337.6999999999998</v>
      </c>
      <c r="AF41" s="10">
        <f>'OECD EMPN'!AR51</f>
        <v>21107.5</v>
      </c>
      <c r="AG41" s="10">
        <f>'OECD EMPN'!AU51</f>
        <v>13601.7</v>
      </c>
      <c r="AH41" s="10">
        <f>'OECD EMPN'!AV51</f>
        <v>14157.5</v>
      </c>
      <c r="AI41" s="10">
        <f>'OECD EMPN'!AW51</f>
        <v>20978.799999999999</v>
      </c>
      <c r="AJ41" s="10">
        <f>'OECD EMPN'!AY51</f>
        <v>7832</v>
      </c>
      <c r="AK41" s="10">
        <f>'OECD EMPN'!AZ51</f>
        <v>1135</v>
      </c>
    </row>
    <row r="42" spans="1:37">
      <c r="A42" t="str">
        <f>'OECD EMPN'!A52</f>
        <v>ARG</v>
      </c>
      <c r="B42">
        <f>'OECD EMPN'!D52</f>
        <v>1560.8</v>
      </c>
      <c r="C42">
        <f>'OECD EMPN'!F52</f>
        <v>116.4</v>
      </c>
      <c r="D42">
        <f>'OECD EMPN'!G52</f>
        <v>8.9</v>
      </c>
      <c r="E42">
        <f>'OECD EMPN'!H52</f>
        <v>3.8</v>
      </c>
      <c r="F42">
        <f>'OECD EMPN'!J52</f>
        <v>715.4</v>
      </c>
      <c r="G42">
        <f>'OECD EMPN'!K52</f>
        <v>287.3</v>
      </c>
      <c r="H42">
        <f>'OECD EMPN'!M52</f>
        <v>44.4</v>
      </c>
      <c r="I42">
        <f>'OECD EMPN'!N52</f>
        <v>128.69999999999999</v>
      </c>
      <c r="J42">
        <f>'OECD EMPN'!P52</f>
        <v>16.899999999999999</v>
      </c>
      <c r="K42" s="21">
        <f>'OECD EMPN'!Q52</f>
        <v>130.30000000000001</v>
      </c>
      <c r="L42">
        <f>'OECD EMPN'!R52</f>
        <v>66.7</v>
      </c>
      <c r="M42">
        <f>'OECD EMPN'!S52</f>
        <v>75.8</v>
      </c>
      <c r="N42">
        <f>'OECD EMPN'!U52</f>
        <v>94.3</v>
      </c>
      <c r="O42">
        <f>'OECD EMPN'!V52</f>
        <v>282.60000000000002</v>
      </c>
      <c r="P42">
        <f>'OECD EMPN'!X52</f>
        <v>25.1</v>
      </c>
      <c r="Q42">
        <f>'OECD EMPN'!Y52</f>
        <v>50.2</v>
      </c>
      <c r="R42">
        <f>'OECD EMPN'!Z52</f>
        <v>33.5</v>
      </c>
      <c r="S42">
        <f>'OECD EMPN'!AB52</f>
        <v>86.8</v>
      </c>
      <c r="T42">
        <f>'OECD EMPN'!AC52</f>
        <v>24.4</v>
      </c>
      <c r="U42">
        <f>'OECD EMPN'!AD52</f>
        <v>234.2</v>
      </c>
      <c r="V42">
        <f>'OECD EMPN'!AE52</f>
        <v>249.8</v>
      </c>
      <c r="W42">
        <f>'OECD EMPN'!AF52</f>
        <v>1504.5</v>
      </c>
      <c r="X42">
        <f>'OECD EMPN'!AI52</f>
        <v>2763.6</v>
      </c>
      <c r="Y42">
        <f>'OECD EMPN'!AJ52</f>
        <v>772.9</v>
      </c>
      <c r="Z42">
        <f>'OECD EMPN'!AK52</f>
        <v>555.9</v>
      </c>
      <c r="AA42">
        <f>'OECD EMPN'!AM52</f>
        <v>84.5</v>
      </c>
      <c r="AB42">
        <f>'OECD EMPN'!AN52</f>
        <v>51.8</v>
      </c>
      <c r="AC42">
        <f>'OECD EMPN'!AO52</f>
        <v>33.299999999999997</v>
      </c>
      <c r="AD42">
        <f>'OECD EMPN'!AP52</f>
        <v>264.2</v>
      </c>
      <c r="AE42">
        <f>'OECD EMPN'!AQ52</f>
        <v>54.4</v>
      </c>
      <c r="AF42">
        <f>'OECD EMPN'!AR52</f>
        <v>1420.7</v>
      </c>
      <c r="AG42">
        <f>'OECD EMPN'!AU52</f>
        <v>1638.8</v>
      </c>
      <c r="AH42">
        <f>'OECD EMPN'!AV52</f>
        <v>2110.1</v>
      </c>
      <c r="AI42">
        <f>'OECD EMPN'!AW52</f>
        <v>1357.2</v>
      </c>
      <c r="AJ42">
        <f>'OECD EMPN'!AY52</f>
        <v>1004.8</v>
      </c>
      <c r="AK42">
        <f>'OECD EMPN'!AZ52</f>
        <v>1457.5</v>
      </c>
    </row>
    <row r="43" spans="1:37">
      <c r="A43" t="str">
        <f>'OECD EMPN'!A53</f>
        <v>BRA</v>
      </c>
      <c r="B43">
        <f>'OECD EMPN'!D53</f>
        <v>12560.4</v>
      </c>
      <c r="C43">
        <f>'OECD EMPN'!F53</f>
        <v>156.80000000000001</v>
      </c>
      <c r="D43">
        <f>'OECD EMPN'!G53</f>
        <v>57.8</v>
      </c>
      <c r="E43">
        <f>'OECD EMPN'!H53</f>
        <v>4.8</v>
      </c>
      <c r="F43">
        <f>'OECD EMPN'!J53</f>
        <v>2377.9</v>
      </c>
      <c r="G43">
        <f>'OECD EMPN'!K53</f>
        <v>2512.5</v>
      </c>
      <c r="H43">
        <f>'OECD EMPN'!M53</f>
        <v>355.5</v>
      </c>
      <c r="I43">
        <f>'OECD EMPN'!N53</f>
        <v>365</v>
      </c>
      <c r="J43">
        <f>'OECD EMPN'!P53</f>
        <v>22.3</v>
      </c>
      <c r="K43" s="21">
        <f>'OECD EMPN'!Q53</f>
        <v>560.20000000000005</v>
      </c>
      <c r="L43">
        <f>'OECD EMPN'!R53</f>
        <v>428.1</v>
      </c>
      <c r="M43">
        <f>'OECD EMPN'!S53</f>
        <v>563.5</v>
      </c>
      <c r="N43">
        <f>'OECD EMPN'!U53</f>
        <v>223.3</v>
      </c>
      <c r="O43">
        <f>'OECD EMPN'!V53</f>
        <v>636.20000000000005</v>
      </c>
      <c r="P43">
        <f>'OECD EMPN'!X53</f>
        <v>115.9</v>
      </c>
      <c r="Q43">
        <f>'OECD EMPN'!Y53</f>
        <v>217.6</v>
      </c>
      <c r="R43">
        <f>'OECD EMPN'!Z53</f>
        <v>382.5</v>
      </c>
      <c r="S43">
        <f>'OECD EMPN'!AB53</f>
        <v>449.2</v>
      </c>
      <c r="T43">
        <f>'OECD EMPN'!AC53</f>
        <v>80</v>
      </c>
      <c r="U43">
        <f>'OECD EMPN'!AD53</f>
        <v>1270.8</v>
      </c>
      <c r="V43">
        <f>'OECD EMPN'!AE53</f>
        <v>742.1</v>
      </c>
      <c r="W43">
        <f>'OECD EMPN'!AF53</f>
        <v>7047.8</v>
      </c>
      <c r="X43">
        <f>'OECD EMPN'!AI53</f>
        <v>18090.2</v>
      </c>
      <c r="Y43">
        <f>'OECD EMPN'!AJ53</f>
        <v>4965.6000000000004</v>
      </c>
      <c r="Z43">
        <f>'OECD EMPN'!AK53</f>
        <v>5021</v>
      </c>
      <c r="AA43">
        <f>'OECD EMPN'!AM53</f>
        <v>300</v>
      </c>
      <c r="AB43">
        <f>'OECD EMPN'!AN53</f>
        <v>249.7</v>
      </c>
      <c r="AC43">
        <f>'OECD EMPN'!AO53</f>
        <v>745.1</v>
      </c>
      <c r="AD43">
        <f>'OECD EMPN'!AP53</f>
        <v>1264.5999999999999</v>
      </c>
      <c r="AE43">
        <f>'OECD EMPN'!AQ53</f>
        <v>502.3</v>
      </c>
      <c r="AF43">
        <f>'OECD EMPN'!AR53</f>
        <v>8395.4</v>
      </c>
      <c r="AG43">
        <f>'OECD EMPN'!AU53</f>
        <v>4944.8999999999996</v>
      </c>
      <c r="AH43">
        <f>'OECD EMPN'!AV53</f>
        <v>7091.3</v>
      </c>
      <c r="AI43">
        <f>'OECD EMPN'!AW53</f>
        <v>5906.9</v>
      </c>
      <c r="AJ43">
        <f>'OECD EMPN'!AY53</f>
        <v>5767.8</v>
      </c>
      <c r="AK43">
        <f>'OECD EMPN'!AZ53</f>
        <v>4830</v>
      </c>
    </row>
    <row r="44" spans="1:37">
      <c r="A44" t="str">
        <f>'OECD EMPN'!A54</f>
        <v>BGR</v>
      </c>
      <c r="B44">
        <f>'OECD EMPN'!D54</f>
        <v>595.70000000000005</v>
      </c>
      <c r="C44">
        <f>'OECD EMPN'!F54</f>
        <v>7.3</v>
      </c>
      <c r="D44">
        <f>'OECD EMPN'!G54</f>
        <v>13.7</v>
      </c>
      <c r="E44">
        <f>'OECD EMPN'!H54</f>
        <v>1</v>
      </c>
      <c r="F44">
        <f>'OECD EMPN'!J54</f>
        <v>110.7</v>
      </c>
      <c r="G44">
        <f>'OECD EMPN'!K54</f>
        <v>118.3</v>
      </c>
      <c r="H44">
        <f>'OECD EMPN'!M54</f>
        <v>20.6</v>
      </c>
      <c r="I44">
        <f>'OECD EMPN'!N54</f>
        <v>18.8</v>
      </c>
      <c r="J44">
        <f>'OECD EMPN'!P54</f>
        <v>2</v>
      </c>
      <c r="K44" s="21">
        <f>'OECD EMPN'!Q54</f>
        <v>24.1</v>
      </c>
      <c r="L44">
        <f>'OECD EMPN'!R54</f>
        <v>33.700000000000003</v>
      </c>
      <c r="M44">
        <f>'OECD EMPN'!S54</f>
        <v>21.8</v>
      </c>
      <c r="N44">
        <f>'OECD EMPN'!U54</f>
        <v>13.4</v>
      </c>
      <c r="O44">
        <f>'OECD EMPN'!V54</f>
        <v>56.6</v>
      </c>
      <c r="P44">
        <f>'OECD EMPN'!X54</f>
        <v>15.1</v>
      </c>
      <c r="Q44">
        <f>'OECD EMPN'!Y54</f>
        <v>27.9</v>
      </c>
      <c r="R44">
        <f>'OECD EMPN'!Z54</f>
        <v>38.299999999999997</v>
      </c>
      <c r="S44">
        <f>'OECD EMPN'!AB54</f>
        <v>22.5</v>
      </c>
      <c r="T44">
        <f>'OECD EMPN'!AC54</f>
        <v>5.7</v>
      </c>
      <c r="U44">
        <f>'OECD EMPN'!AD54</f>
        <v>54.4</v>
      </c>
      <c r="V44">
        <f>'OECD EMPN'!AE54</f>
        <v>70.400000000000006</v>
      </c>
      <c r="W44">
        <f>'OECD EMPN'!AF54</f>
        <v>192.3</v>
      </c>
      <c r="X44">
        <f>'OECD EMPN'!AI54</f>
        <v>523.79999999999995</v>
      </c>
      <c r="Y44">
        <f>'OECD EMPN'!AJ54</f>
        <v>203.7</v>
      </c>
      <c r="Z44">
        <f>'OECD EMPN'!AK54</f>
        <v>122.4</v>
      </c>
      <c r="AA44">
        <f>'OECD EMPN'!AM54</f>
        <v>15.2</v>
      </c>
      <c r="AB44">
        <f>'OECD EMPN'!AN54</f>
        <v>21.7</v>
      </c>
      <c r="AC44">
        <f>'OECD EMPN'!AO54</f>
        <v>77.099999999999994</v>
      </c>
      <c r="AD44">
        <f>'OECD EMPN'!AP54</f>
        <v>67.5</v>
      </c>
      <c r="AE44">
        <f>'OECD EMPN'!AQ54</f>
        <v>26.1</v>
      </c>
      <c r="AF44">
        <f>'OECD EMPN'!AR54</f>
        <v>250.6</v>
      </c>
      <c r="AG44">
        <f>'OECD EMPN'!AU54</f>
        <v>215.4</v>
      </c>
      <c r="AH44">
        <f>'OECD EMPN'!AV54</f>
        <v>174.3</v>
      </c>
      <c r="AI44">
        <f>'OECD EMPN'!AW54</f>
        <v>176.5</v>
      </c>
      <c r="AJ44">
        <f>'OECD EMPN'!AY54</f>
        <v>113.2</v>
      </c>
      <c r="AK44">
        <f>'OECD EMPN'!AZ54</f>
        <v>0</v>
      </c>
    </row>
    <row r="45" spans="1:37">
      <c r="A45" t="str">
        <f>'OECD EMPN'!A55</f>
        <v>CHN</v>
      </c>
      <c r="B45">
        <f>'OECD EMPN'!D55</f>
        <v>177150</v>
      </c>
      <c r="C45">
        <f>'OECD EMPN'!F55</f>
        <v>4592.5</v>
      </c>
      <c r="D45">
        <f>'OECD EMPN'!G55</f>
        <v>1674</v>
      </c>
      <c r="E45">
        <f>'OECD EMPN'!H55</f>
        <v>437.3</v>
      </c>
      <c r="F45">
        <f>'OECD EMPN'!J55</f>
        <v>11186.5</v>
      </c>
      <c r="G45">
        <f>'OECD EMPN'!K55</f>
        <v>17629.5</v>
      </c>
      <c r="H45">
        <f>'OECD EMPN'!M55</f>
        <v>2733.2</v>
      </c>
      <c r="I45">
        <f>'OECD EMPN'!N55</f>
        <v>4587.8</v>
      </c>
      <c r="J45">
        <f>'OECD EMPN'!P55</f>
        <v>1148.2</v>
      </c>
      <c r="K45" s="21">
        <f>'OECD EMPN'!Q55</f>
        <v>9648.4</v>
      </c>
      <c r="L45">
        <f>'OECD EMPN'!R55</f>
        <v>6059.3</v>
      </c>
      <c r="M45">
        <f>'OECD EMPN'!S55</f>
        <v>9336.6</v>
      </c>
      <c r="N45">
        <f>'OECD EMPN'!U55</f>
        <v>5773.3</v>
      </c>
      <c r="O45">
        <f>'OECD EMPN'!V55</f>
        <v>8281.6</v>
      </c>
      <c r="P45">
        <f>'OECD EMPN'!X55</f>
        <v>14162.3</v>
      </c>
      <c r="Q45">
        <f>'OECD EMPN'!Y55</f>
        <v>10072.1</v>
      </c>
      <c r="R45">
        <f>'OECD EMPN'!Z55</f>
        <v>14760.9</v>
      </c>
      <c r="S45">
        <f>'OECD EMPN'!AB55</f>
        <v>7101.5</v>
      </c>
      <c r="T45">
        <f>'OECD EMPN'!AC55</f>
        <v>1960.3</v>
      </c>
      <c r="U45">
        <f>'OECD EMPN'!AD55</f>
        <v>8643</v>
      </c>
      <c r="V45">
        <f>'OECD EMPN'!AE55</f>
        <v>6321.6</v>
      </c>
      <c r="W45">
        <f>'OECD EMPN'!AF55</f>
        <v>69320.100000000006</v>
      </c>
      <c r="X45">
        <f>'OECD EMPN'!AI55</f>
        <v>116189.4</v>
      </c>
      <c r="Y45">
        <f>'OECD EMPN'!AJ55</f>
        <v>26635.200000000001</v>
      </c>
      <c r="Z45">
        <f>'OECD EMPN'!AK55</f>
        <v>32437.1</v>
      </c>
      <c r="AA45">
        <f>'OECD EMPN'!AM55</f>
        <v>1145</v>
      </c>
      <c r="AB45">
        <f>'OECD EMPN'!AN55</f>
        <v>2107.9</v>
      </c>
      <c r="AC45">
        <f>'OECD EMPN'!AO55</f>
        <v>9503.9</v>
      </c>
      <c r="AD45">
        <f>'OECD EMPN'!AP55</f>
        <v>13098.1</v>
      </c>
      <c r="AE45">
        <f>'OECD EMPN'!AQ55</f>
        <v>15982.9</v>
      </c>
      <c r="AF45">
        <f>'OECD EMPN'!AR55</f>
        <v>47033</v>
      </c>
      <c r="AG45">
        <f>'OECD EMPN'!AU55</f>
        <v>21809.1</v>
      </c>
      <c r="AH45">
        <f>'OECD EMPN'!AV55</f>
        <v>27407.1</v>
      </c>
      <c r="AI45">
        <f>'OECD EMPN'!AW55</f>
        <v>14836.8</v>
      </c>
      <c r="AJ45">
        <f>'OECD EMPN'!AY55</f>
        <v>29874.400000000001</v>
      </c>
      <c r="AK45">
        <f>'OECD EMPN'!AZ55</f>
        <v>0</v>
      </c>
    </row>
    <row r="46" spans="1:37">
      <c r="A46" t="str">
        <f>'OECD EMPN'!A56</f>
        <v>HRV</v>
      </c>
      <c r="B46">
        <f>'OECD EMPN'!D56</f>
        <v>103.7</v>
      </c>
      <c r="C46">
        <f>'OECD EMPN'!F56</f>
        <v>0</v>
      </c>
      <c r="D46">
        <f>'OECD EMPN'!G56</f>
        <v>6.1</v>
      </c>
      <c r="E46">
        <f>'OECD EMPN'!H56</f>
        <v>0.2</v>
      </c>
      <c r="F46">
        <f>'OECD EMPN'!J56</f>
        <v>60.9</v>
      </c>
      <c r="G46">
        <f>'OECD EMPN'!K56</f>
        <v>34.9</v>
      </c>
      <c r="H46">
        <f>'OECD EMPN'!M56</f>
        <v>17</v>
      </c>
      <c r="I46">
        <f>'OECD EMPN'!N56</f>
        <v>16.3</v>
      </c>
      <c r="J46">
        <f>'OECD EMPN'!P56</f>
        <v>2.9</v>
      </c>
      <c r="K46" s="21">
        <f>'OECD EMPN'!Q56</f>
        <v>13.2</v>
      </c>
      <c r="L46">
        <f>'OECD EMPN'!R56</f>
        <v>12.6</v>
      </c>
      <c r="M46">
        <f>'OECD EMPN'!S56</f>
        <v>13.4</v>
      </c>
      <c r="N46">
        <f>'OECD EMPN'!U56</f>
        <v>2.4</v>
      </c>
      <c r="O46">
        <f>'OECD EMPN'!V56</f>
        <v>36.700000000000003</v>
      </c>
      <c r="P46">
        <f>'OECD EMPN'!X56</f>
        <v>4.4000000000000004</v>
      </c>
      <c r="Q46">
        <f>'OECD EMPN'!Y56</f>
        <v>8.8000000000000007</v>
      </c>
      <c r="R46">
        <f>'OECD EMPN'!Z56</f>
        <v>15.9</v>
      </c>
      <c r="S46">
        <f>'OECD EMPN'!AB56</f>
        <v>6.3</v>
      </c>
      <c r="T46">
        <f>'OECD EMPN'!AC56</f>
        <v>14.9</v>
      </c>
      <c r="U46">
        <f>'OECD EMPN'!AD56</f>
        <v>32.700000000000003</v>
      </c>
      <c r="V46">
        <f>'OECD EMPN'!AE56</f>
        <v>48.8</v>
      </c>
      <c r="W46">
        <f>'OECD EMPN'!AF56</f>
        <v>134.30000000000001</v>
      </c>
      <c r="X46">
        <f>'OECD EMPN'!AI56</f>
        <v>222.9</v>
      </c>
      <c r="Y46">
        <f>'OECD EMPN'!AJ56</f>
        <v>108.8</v>
      </c>
      <c r="Z46">
        <f>'OECD EMPN'!AK56</f>
        <v>114.1</v>
      </c>
      <c r="AA46">
        <f>'OECD EMPN'!AM56</f>
        <v>13.2</v>
      </c>
      <c r="AB46">
        <f>'OECD EMPN'!AN56</f>
        <v>21.3</v>
      </c>
      <c r="AC46">
        <f>'OECD EMPN'!AO56</f>
        <v>21.6</v>
      </c>
      <c r="AD46">
        <f>'OECD EMPN'!AP56</f>
        <v>39.9</v>
      </c>
      <c r="AE46">
        <f>'OECD EMPN'!AQ56</f>
        <v>6.7</v>
      </c>
      <c r="AF46">
        <f>'OECD EMPN'!AR56</f>
        <v>114.4</v>
      </c>
      <c r="AG46">
        <f>'OECD EMPN'!AU56</f>
        <v>125.5</v>
      </c>
      <c r="AH46">
        <f>'OECD EMPN'!AV56</f>
        <v>131.4</v>
      </c>
      <c r="AI46">
        <f>'OECD EMPN'!AW56</f>
        <v>107.8</v>
      </c>
      <c r="AJ46">
        <f>'OECD EMPN'!AY56</f>
        <v>60.3</v>
      </c>
      <c r="AK46">
        <f>'OECD EMPN'!AZ56</f>
        <v>1.5</v>
      </c>
    </row>
    <row r="47" spans="1:37">
      <c r="A47" t="str">
        <f>'OECD EMPN'!A57</f>
        <v>CYP</v>
      </c>
      <c r="B47">
        <f>'OECD EMPN'!D57</f>
        <v>15.1</v>
      </c>
      <c r="C47">
        <f>'OECD EMPN'!F57</f>
        <v>0</v>
      </c>
      <c r="D47">
        <f>'OECD EMPN'!G57</f>
        <v>0.5</v>
      </c>
      <c r="E47">
        <f>'OECD EMPN'!H57</f>
        <v>0</v>
      </c>
      <c r="F47">
        <f>'OECD EMPN'!J57</f>
        <v>14.2</v>
      </c>
      <c r="G47">
        <f>'OECD EMPN'!K57</f>
        <v>1</v>
      </c>
      <c r="H47">
        <f>'OECD EMPN'!M57</f>
        <v>2.4</v>
      </c>
      <c r="I47">
        <f>'OECD EMPN'!N57</f>
        <v>1.5</v>
      </c>
      <c r="J47">
        <f>'OECD EMPN'!P57</f>
        <v>0</v>
      </c>
      <c r="K47" s="21">
        <f>'OECD EMPN'!Q57</f>
        <v>2.7</v>
      </c>
      <c r="L47">
        <f>'OECD EMPN'!R57</f>
        <v>1</v>
      </c>
      <c r="M47">
        <f>'OECD EMPN'!S57</f>
        <v>2.4</v>
      </c>
      <c r="N47">
        <f>'OECD EMPN'!U57</f>
        <v>0.4</v>
      </c>
      <c r="O47">
        <f>'OECD EMPN'!V57</f>
        <v>4.3</v>
      </c>
      <c r="P47">
        <f>'OECD EMPN'!X57</f>
        <v>0.2</v>
      </c>
      <c r="Q47">
        <f>'OECD EMPN'!Y57</f>
        <v>0.4</v>
      </c>
      <c r="R47">
        <f>'OECD EMPN'!Z57</f>
        <v>0.6</v>
      </c>
      <c r="S47">
        <f>'OECD EMPN'!AB57</f>
        <v>0.2</v>
      </c>
      <c r="T47">
        <f>'OECD EMPN'!AC57</f>
        <v>0.1</v>
      </c>
      <c r="U47">
        <f>'OECD EMPN'!AD57</f>
        <v>4.2</v>
      </c>
      <c r="V47">
        <f>'OECD EMPN'!AE57</f>
        <v>5.2</v>
      </c>
      <c r="W47">
        <f>'OECD EMPN'!AF57</f>
        <v>39.1</v>
      </c>
      <c r="X47">
        <f>'OECD EMPN'!AI57</f>
        <v>69.8</v>
      </c>
      <c r="Y47">
        <f>'OECD EMPN'!AJ57</f>
        <v>16.600000000000001</v>
      </c>
      <c r="Z47">
        <f>'OECD EMPN'!AK57</f>
        <v>45.9</v>
      </c>
      <c r="AA47">
        <f>'OECD EMPN'!AM57</f>
        <v>3.3</v>
      </c>
      <c r="AB47">
        <f>'OECD EMPN'!AN57</f>
        <v>4</v>
      </c>
      <c r="AC47">
        <f>'OECD EMPN'!AO57</f>
        <v>7.4</v>
      </c>
      <c r="AD47">
        <f>'OECD EMPN'!AP57</f>
        <v>19.3</v>
      </c>
      <c r="AE47">
        <f>'OECD EMPN'!AQ57</f>
        <v>3</v>
      </c>
      <c r="AF47">
        <f>'OECD EMPN'!AR57</f>
        <v>46.7</v>
      </c>
      <c r="AG47">
        <f>'OECD EMPN'!AU57</f>
        <v>33.799999999999997</v>
      </c>
      <c r="AH47">
        <f>'OECD EMPN'!AV57</f>
        <v>31.6</v>
      </c>
      <c r="AI47">
        <f>'OECD EMPN'!AW57</f>
        <v>22.3</v>
      </c>
      <c r="AJ47">
        <f>'OECD EMPN'!AY57</f>
        <v>20.100000000000001</v>
      </c>
      <c r="AK47">
        <f>'OECD EMPN'!AZ57</f>
        <v>20.8</v>
      </c>
    </row>
    <row r="48" spans="1:37">
      <c r="A48" t="str">
        <f>'OECD EMPN'!A58</f>
        <v>EGY</v>
      </c>
      <c r="B48">
        <f>'OECD EMPN'!D58</f>
        <v>5324.9</v>
      </c>
      <c r="C48">
        <f>'OECD EMPN'!F58</f>
        <v>17</v>
      </c>
      <c r="D48">
        <f>'OECD EMPN'!G58</f>
        <v>12.9</v>
      </c>
      <c r="E48">
        <f>'OECD EMPN'!H58</f>
        <v>10.3</v>
      </c>
      <c r="F48">
        <f>'OECD EMPN'!J58</f>
        <v>711.2</v>
      </c>
      <c r="G48">
        <f>'OECD EMPN'!K58</f>
        <v>683.1</v>
      </c>
      <c r="H48">
        <f>'OECD EMPN'!M58</f>
        <v>179</v>
      </c>
      <c r="I48">
        <f>'OECD EMPN'!N58</f>
        <v>110.6</v>
      </c>
      <c r="J48">
        <f>'OECD EMPN'!P58</f>
        <v>96.4</v>
      </c>
      <c r="K48" s="21">
        <f>'OECD EMPN'!Q58</f>
        <v>167.5</v>
      </c>
      <c r="L48">
        <f>'OECD EMPN'!R58</f>
        <v>96.3</v>
      </c>
      <c r="M48">
        <f>'OECD EMPN'!S58</f>
        <v>238.5</v>
      </c>
      <c r="N48">
        <f>'OECD EMPN'!U58</f>
        <v>93.3</v>
      </c>
      <c r="O48">
        <f>'OECD EMPN'!V58</f>
        <v>338.9</v>
      </c>
      <c r="P48">
        <f>'OECD EMPN'!X58</f>
        <v>15</v>
      </c>
      <c r="Q48">
        <f>'OECD EMPN'!Y58</f>
        <v>118.3</v>
      </c>
      <c r="R48">
        <f>'OECD EMPN'!Z58</f>
        <v>17</v>
      </c>
      <c r="S48">
        <f>'OECD EMPN'!AB58</f>
        <v>19.399999999999999</v>
      </c>
      <c r="T48">
        <f>'OECD EMPN'!AC58</f>
        <v>7</v>
      </c>
      <c r="U48">
        <f>'OECD EMPN'!AD58</f>
        <v>518.20000000000005</v>
      </c>
      <c r="V48">
        <f>'OECD EMPN'!AE58</f>
        <v>478.3</v>
      </c>
      <c r="W48">
        <f>'OECD EMPN'!AF58</f>
        <v>3517.9</v>
      </c>
      <c r="X48">
        <f>'OECD EMPN'!AI58</f>
        <v>3793.5</v>
      </c>
      <c r="Y48">
        <f>'OECD EMPN'!AJ58</f>
        <v>2246.5</v>
      </c>
      <c r="Z48">
        <f>'OECD EMPN'!AK58</f>
        <v>786.4</v>
      </c>
      <c r="AA48">
        <f>'OECD EMPN'!AM58</f>
        <v>34.1</v>
      </c>
      <c r="AB48">
        <f>'OECD EMPN'!AN58</f>
        <v>109.9</v>
      </c>
      <c r="AC48">
        <f>'OECD EMPN'!AO58</f>
        <v>43.3</v>
      </c>
      <c r="AD48">
        <f>'OECD EMPN'!AP58</f>
        <v>159.80000000000001</v>
      </c>
      <c r="AE48">
        <f>'OECD EMPN'!AQ58</f>
        <v>50.2</v>
      </c>
      <c r="AF48">
        <f>'OECD EMPN'!AR58</f>
        <v>711.3</v>
      </c>
      <c r="AG48">
        <f>'OECD EMPN'!AU58</f>
        <v>1541.5</v>
      </c>
      <c r="AH48">
        <f>'OECD EMPN'!AV58</f>
        <v>2023.7</v>
      </c>
      <c r="AI48">
        <f>'OECD EMPN'!AW58</f>
        <v>918.4</v>
      </c>
      <c r="AJ48">
        <f>'OECD EMPN'!AY58</f>
        <v>759.5</v>
      </c>
      <c r="AK48">
        <f>'OECD EMPN'!AZ58</f>
        <v>0</v>
      </c>
    </row>
    <row r="49" spans="1:37">
      <c r="A49" t="str">
        <f>'OECD EMPN'!A59</f>
        <v>IND</v>
      </c>
      <c r="B49">
        <f>'OECD EMPN'!D59</f>
        <v>242483.1</v>
      </c>
      <c r="C49">
        <f>'OECD EMPN'!F59</f>
        <v>422.8</v>
      </c>
      <c r="D49">
        <f>'OECD EMPN'!G59</f>
        <v>1585.6</v>
      </c>
      <c r="E49">
        <f>'OECD EMPN'!H59</f>
        <v>30</v>
      </c>
      <c r="F49">
        <f>'OECD EMPN'!J59</f>
        <v>6745.9</v>
      </c>
      <c r="G49">
        <f>'OECD EMPN'!K59</f>
        <v>11180.4</v>
      </c>
      <c r="H49">
        <f>'OECD EMPN'!M59</f>
        <v>2574.4</v>
      </c>
      <c r="I49">
        <f>'OECD EMPN'!N59</f>
        <v>1247.8</v>
      </c>
      <c r="J49">
        <f>'OECD EMPN'!P59</f>
        <v>264.5</v>
      </c>
      <c r="K49" s="21">
        <f>'OECD EMPN'!Q59</f>
        <v>1864</v>
      </c>
      <c r="L49">
        <f>'OECD EMPN'!R59</f>
        <v>793.4</v>
      </c>
      <c r="M49">
        <f>'OECD EMPN'!S59</f>
        <v>3360.4</v>
      </c>
      <c r="N49">
        <f>'OECD EMPN'!U59</f>
        <v>1914.9</v>
      </c>
      <c r="O49">
        <f>'OECD EMPN'!V59</f>
        <v>2763.7</v>
      </c>
      <c r="P49">
        <f>'OECD EMPN'!X59</f>
        <v>158.19999999999999</v>
      </c>
      <c r="Q49">
        <f>'OECD EMPN'!Y59</f>
        <v>698.3</v>
      </c>
      <c r="R49">
        <f>'OECD EMPN'!Z59</f>
        <v>966</v>
      </c>
      <c r="S49">
        <f>'OECD EMPN'!AB59</f>
        <v>880.7</v>
      </c>
      <c r="T49">
        <f>'OECD EMPN'!AC59</f>
        <v>278.2</v>
      </c>
      <c r="U49">
        <f>'OECD EMPN'!AD59</f>
        <v>10681</v>
      </c>
      <c r="V49">
        <f>'OECD EMPN'!AE59</f>
        <v>3228.3</v>
      </c>
      <c r="W49">
        <f>'OECD EMPN'!AF59</f>
        <v>42116.2</v>
      </c>
      <c r="X49">
        <f>'OECD EMPN'!AI59</f>
        <v>51009.5</v>
      </c>
      <c r="Y49">
        <f>'OECD EMPN'!AJ59</f>
        <v>23202.1</v>
      </c>
      <c r="Z49">
        <f>'OECD EMPN'!AK59</f>
        <v>5641.8</v>
      </c>
      <c r="AA49">
        <f>'OECD EMPN'!AM59</f>
        <v>388.1</v>
      </c>
      <c r="AB49">
        <f>'OECD EMPN'!AN59</f>
        <v>457.1</v>
      </c>
      <c r="AC49">
        <f>'OECD EMPN'!AO59</f>
        <v>1861</v>
      </c>
      <c r="AD49">
        <f>'OECD EMPN'!AP59</f>
        <v>4384.5</v>
      </c>
      <c r="AE49">
        <f>'OECD EMPN'!AQ59</f>
        <v>427.6</v>
      </c>
      <c r="AF49">
        <f>'OECD EMPN'!AR59</f>
        <v>16828.400000000001</v>
      </c>
      <c r="AG49">
        <f>'OECD EMPN'!AU59</f>
        <v>13915.6</v>
      </c>
      <c r="AH49">
        <f>'OECD EMPN'!AV59</f>
        <v>20784.900000000001</v>
      </c>
      <c r="AI49">
        <f>'OECD EMPN'!AW59</f>
        <v>9212</v>
      </c>
      <c r="AJ49">
        <f>'OECD EMPN'!AY59</f>
        <v>34615.300000000003</v>
      </c>
      <c r="AK49">
        <f>'OECD EMPN'!AZ59</f>
        <v>5660</v>
      </c>
    </row>
    <row r="50" spans="1:37">
      <c r="A50" t="str">
        <f>'OECD EMPN'!A60</f>
        <v>IDN</v>
      </c>
      <c r="B50">
        <f>'OECD EMPN'!D60</f>
        <v>38590.699999999997</v>
      </c>
      <c r="C50">
        <f>'OECD EMPN'!F60</f>
        <v>711.3</v>
      </c>
      <c r="D50">
        <f>'OECD EMPN'!G60</f>
        <v>559.4</v>
      </c>
      <c r="E50">
        <f>'OECD EMPN'!H60</f>
        <v>76.599999999999994</v>
      </c>
      <c r="F50">
        <f>'OECD EMPN'!J60</f>
        <v>4170.8999999999996</v>
      </c>
      <c r="G50">
        <f>'OECD EMPN'!K60</f>
        <v>5087.8999999999996</v>
      </c>
      <c r="H50">
        <f>'OECD EMPN'!M60</f>
        <v>746.9</v>
      </c>
      <c r="I50">
        <f>'OECD EMPN'!N60</f>
        <v>645.4</v>
      </c>
      <c r="J50">
        <f>'OECD EMPN'!P60</f>
        <v>73</v>
      </c>
      <c r="K50" s="21">
        <f>'OECD EMPN'!Q60</f>
        <v>1007.8</v>
      </c>
      <c r="L50">
        <f>'OECD EMPN'!R60</f>
        <v>1350.2</v>
      </c>
      <c r="M50">
        <f>'OECD EMPN'!S60</f>
        <v>588.70000000000005</v>
      </c>
      <c r="N50">
        <f>'OECD EMPN'!U60</f>
        <v>479.5</v>
      </c>
      <c r="O50">
        <f>'OECD EMPN'!V60</f>
        <v>555.79999999999995</v>
      </c>
      <c r="P50">
        <f>'OECD EMPN'!X60</f>
        <v>400.4</v>
      </c>
      <c r="Q50">
        <f>'OECD EMPN'!Y60</f>
        <v>411.8</v>
      </c>
      <c r="R50">
        <f>'OECD EMPN'!Z60</f>
        <v>267</v>
      </c>
      <c r="S50">
        <f>'OECD EMPN'!AB60</f>
        <v>788.2</v>
      </c>
      <c r="T50">
        <f>'OECD EMPN'!AC60</f>
        <v>319.8</v>
      </c>
      <c r="U50">
        <f>'OECD EMPN'!AD60</f>
        <v>1203.7</v>
      </c>
      <c r="V50">
        <f>'OECD EMPN'!AE60</f>
        <v>800.9</v>
      </c>
      <c r="W50">
        <f>'OECD EMPN'!AF60</f>
        <v>8091.5</v>
      </c>
      <c r="X50">
        <f>'OECD EMPN'!AI60</f>
        <v>24738.2</v>
      </c>
      <c r="Y50">
        <f>'OECD EMPN'!AJ60</f>
        <v>5550.5</v>
      </c>
      <c r="Z50">
        <f>'OECD EMPN'!AK60</f>
        <v>8801.5</v>
      </c>
      <c r="AA50">
        <f>'OECD EMPN'!AM60</f>
        <v>226.1</v>
      </c>
      <c r="AB50">
        <f>'OECD EMPN'!AN60</f>
        <v>564</v>
      </c>
      <c r="AC50">
        <f>'OECD EMPN'!AO60</f>
        <v>158.1</v>
      </c>
      <c r="AD50">
        <f>'OECD EMPN'!AP60</f>
        <v>1688.8</v>
      </c>
      <c r="AE50">
        <f>'OECD EMPN'!AQ60</f>
        <v>410.1</v>
      </c>
      <c r="AF50">
        <f>'OECD EMPN'!AR60</f>
        <v>1810.7</v>
      </c>
      <c r="AG50">
        <f>'OECD EMPN'!AU60</f>
        <v>5002.6000000000004</v>
      </c>
      <c r="AH50">
        <f>'OECD EMPN'!AV60</f>
        <v>6569.6</v>
      </c>
      <c r="AI50">
        <f>'OECD EMPN'!AW60</f>
        <v>2112.3000000000002</v>
      </c>
      <c r="AJ50">
        <f>'OECD EMPN'!AY60</f>
        <v>4278.3</v>
      </c>
      <c r="AK50">
        <f>'OECD EMPN'!AZ60</f>
        <v>2036.3</v>
      </c>
    </row>
    <row r="51" spans="1:37">
      <c r="A51" t="str">
        <f>'OECD EMPN'!A61</f>
        <v>KAZ</v>
      </c>
      <c r="B51">
        <f>'OECD EMPN'!D61</f>
        <v>1175.0999999999999</v>
      </c>
      <c r="C51">
        <f>'OECD EMPN'!F61</f>
        <v>105.5</v>
      </c>
      <c r="D51">
        <f>'OECD EMPN'!G61</f>
        <v>131</v>
      </c>
      <c r="E51">
        <f>'OECD EMPN'!H61</f>
        <v>40.4</v>
      </c>
      <c r="F51">
        <f>'OECD EMPN'!J61</f>
        <v>168.7</v>
      </c>
      <c r="G51">
        <f>'OECD EMPN'!K61</f>
        <v>28.5</v>
      </c>
      <c r="H51">
        <f>'OECD EMPN'!M61</f>
        <v>0.8</v>
      </c>
      <c r="I51">
        <f>'OECD EMPN'!N61</f>
        <v>12.1</v>
      </c>
      <c r="J51">
        <f>'OECD EMPN'!P61</f>
        <v>22.2</v>
      </c>
      <c r="K51" s="21">
        <f>'OECD EMPN'!Q61</f>
        <v>44</v>
      </c>
      <c r="L51">
        <f>'OECD EMPN'!R61</f>
        <v>10.7</v>
      </c>
      <c r="M51">
        <f>'OECD EMPN'!S61</f>
        <v>5.9</v>
      </c>
      <c r="N51">
        <f>'OECD EMPN'!U61</f>
        <v>105.5</v>
      </c>
      <c r="O51">
        <f>'OECD EMPN'!V61</f>
        <v>22.3</v>
      </c>
      <c r="P51">
        <f>'OECD EMPN'!X61</f>
        <v>1.4</v>
      </c>
      <c r="Q51">
        <f>'OECD EMPN'!Y61</f>
        <v>19.7</v>
      </c>
      <c r="R51">
        <f>'OECD EMPN'!Z61</f>
        <v>18.600000000000001</v>
      </c>
      <c r="S51">
        <f>'OECD EMPN'!AB61</f>
        <v>10.4</v>
      </c>
      <c r="T51">
        <f>'OECD EMPN'!AC61</f>
        <v>10.7</v>
      </c>
      <c r="U51">
        <f>'OECD EMPN'!AD61</f>
        <v>100.5</v>
      </c>
      <c r="V51">
        <f>'OECD EMPN'!AE61</f>
        <v>230.5</v>
      </c>
      <c r="W51">
        <f>'OECD EMPN'!AF61</f>
        <v>630.9</v>
      </c>
      <c r="X51">
        <f>'OECD EMPN'!AI61</f>
        <v>1421.3</v>
      </c>
      <c r="Y51">
        <f>'OECD EMPN'!AJ61</f>
        <v>617.5</v>
      </c>
      <c r="Z51">
        <f>'OECD EMPN'!AK61</f>
        <v>193.7</v>
      </c>
      <c r="AA51">
        <f>'OECD EMPN'!AM61</f>
        <v>28.9</v>
      </c>
      <c r="AB51">
        <f>'OECD EMPN'!AN61</f>
        <v>92.2</v>
      </c>
      <c r="AC51">
        <f>'OECD EMPN'!AO61</f>
        <v>38.5</v>
      </c>
      <c r="AD51">
        <f>'OECD EMPN'!AP61</f>
        <v>189</v>
      </c>
      <c r="AE51">
        <f>'OECD EMPN'!AQ61</f>
        <v>158.4</v>
      </c>
      <c r="AF51">
        <f>'OECD EMPN'!AR61</f>
        <v>540.20000000000005</v>
      </c>
      <c r="AG51">
        <f>'OECD EMPN'!AU61</f>
        <v>489.3</v>
      </c>
      <c r="AH51">
        <f>'OECD EMPN'!AV61</f>
        <v>1109.5</v>
      </c>
      <c r="AI51">
        <f>'OECD EMPN'!AW61</f>
        <v>512.4</v>
      </c>
      <c r="AJ51">
        <f>'OECD EMPN'!AY61</f>
        <v>445.9</v>
      </c>
      <c r="AK51">
        <f>'OECD EMPN'!AZ61</f>
        <v>0</v>
      </c>
    </row>
    <row r="52" spans="1:37">
      <c r="A52" t="str">
        <f>'OECD EMPN'!A62</f>
        <v>MYS</v>
      </c>
      <c r="B52">
        <f>'OECD EMPN'!D62</f>
        <v>1566</v>
      </c>
      <c r="C52">
        <f>'OECD EMPN'!F62</f>
        <v>19.2</v>
      </c>
      <c r="D52">
        <f>'OECD EMPN'!G62</f>
        <v>38</v>
      </c>
      <c r="E52">
        <f>'OECD EMPN'!H62</f>
        <v>24.9</v>
      </c>
      <c r="F52">
        <f>'OECD EMPN'!J62</f>
        <v>320.60000000000002</v>
      </c>
      <c r="G52">
        <f>'OECD EMPN'!K62</f>
        <v>97.7</v>
      </c>
      <c r="H52">
        <f>'OECD EMPN'!M62</f>
        <v>121.3</v>
      </c>
      <c r="I52">
        <f>'OECD EMPN'!N62</f>
        <v>129</v>
      </c>
      <c r="J52">
        <f>'OECD EMPN'!P62</f>
        <v>26.7</v>
      </c>
      <c r="K52" s="21">
        <f>'OECD EMPN'!Q62</f>
        <v>153.9</v>
      </c>
      <c r="L52">
        <f>'OECD EMPN'!R62</f>
        <v>288</v>
      </c>
      <c r="M52">
        <f>'OECD EMPN'!S62</f>
        <v>110.8</v>
      </c>
      <c r="N52">
        <f>'OECD EMPN'!U62</f>
        <v>103.4</v>
      </c>
      <c r="O52">
        <f>'OECD EMPN'!V62</f>
        <v>146.9</v>
      </c>
      <c r="P52">
        <f>'OECD EMPN'!X62</f>
        <v>439.9</v>
      </c>
      <c r="Q52">
        <f>'OECD EMPN'!Y62</f>
        <v>105.8</v>
      </c>
      <c r="R52">
        <f>'OECD EMPN'!Z62</f>
        <v>104</v>
      </c>
      <c r="S52">
        <f>'OECD EMPN'!AB62</f>
        <v>111.2</v>
      </c>
      <c r="T52">
        <f>'OECD EMPN'!AC62</f>
        <v>56</v>
      </c>
      <c r="U52">
        <f>'OECD EMPN'!AD62</f>
        <v>182.9</v>
      </c>
      <c r="V52">
        <f>'OECD EMPN'!AE62</f>
        <v>160.1</v>
      </c>
      <c r="W52">
        <f>'OECD EMPN'!AF62</f>
        <v>1173.4000000000001</v>
      </c>
      <c r="X52">
        <f>'OECD EMPN'!AI62</f>
        <v>2765.6</v>
      </c>
      <c r="Y52">
        <f>'OECD EMPN'!AJ62</f>
        <v>689.2</v>
      </c>
      <c r="Z52">
        <f>'OECD EMPN'!AK62</f>
        <v>1540</v>
      </c>
      <c r="AA52">
        <f>'OECD EMPN'!AM62</f>
        <v>25.3</v>
      </c>
      <c r="AB52">
        <f>'OECD EMPN'!AN62</f>
        <v>88.4</v>
      </c>
      <c r="AC52">
        <f>'OECD EMPN'!AO62</f>
        <v>109.6</v>
      </c>
      <c r="AD52">
        <f>'OECD EMPN'!AP62</f>
        <v>372.1</v>
      </c>
      <c r="AE52">
        <f>'OECD EMPN'!AQ62</f>
        <v>82.1</v>
      </c>
      <c r="AF52">
        <f>'OECD EMPN'!AR62</f>
        <v>1181.2</v>
      </c>
      <c r="AG52">
        <f>'OECD EMPN'!AU62</f>
        <v>734.9</v>
      </c>
      <c r="AH52">
        <f>'OECD EMPN'!AV62</f>
        <v>937.6</v>
      </c>
      <c r="AI52">
        <f>'OECD EMPN'!AW62</f>
        <v>559.6</v>
      </c>
      <c r="AJ52">
        <f>'OECD EMPN'!AY62</f>
        <v>325.2</v>
      </c>
      <c r="AK52">
        <f>'OECD EMPN'!AZ62</f>
        <v>66.099999999999994</v>
      </c>
    </row>
    <row r="53" spans="1:37">
      <c r="A53" t="str">
        <f>'OECD EMPN'!A63</f>
        <v>MLT</v>
      </c>
      <c r="B53">
        <f>'OECD EMPN'!D63</f>
        <v>2.5</v>
      </c>
      <c r="C53">
        <f>'OECD EMPN'!F63</f>
        <v>0.1</v>
      </c>
      <c r="D53">
        <f>'OECD EMPN'!G63</f>
        <v>0.1</v>
      </c>
      <c r="E53">
        <f>'OECD EMPN'!H63</f>
        <v>0</v>
      </c>
      <c r="F53">
        <f>'OECD EMPN'!J63</f>
        <v>3.6</v>
      </c>
      <c r="G53">
        <f>'OECD EMPN'!K63</f>
        <v>0.7</v>
      </c>
      <c r="H53">
        <f>'OECD EMPN'!M63</f>
        <v>0.4</v>
      </c>
      <c r="I53">
        <f>'OECD EMPN'!N63</f>
        <v>1.6</v>
      </c>
      <c r="J53">
        <f>'OECD EMPN'!P63</f>
        <v>0</v>
      </c>
      <c r="K53" s="21">
        <f>'OECD EMPN'!Q63</f>
        <v>1.9</v>
      </c>
      <c r="L53">
        <f>'OECD EMPN'!R63</f>
        <v>2.2000000000000002</v>
      </c>
      <c r="M53">
        <f>'OECD EMPN'!S63</f>
        <v>1.4</v>
      </c>
      <c r="N53">
        <f>'OECD EMPN'!U63</f>
        <v>0</v>
      </c>
      <c r="O53">
        <f>'OECD EMPN'!V63</f>
        <v>1.6</v>
      </c>
      <c r="P53">
        <f>'OECD EMPN'!X63</f>
        <v>2.1</v>
      </c>
      <c r="Q53">
        <f>'OECD EMPN'!Y63</f>
        <v>0.5</v>
      </c>
      <c r="R53">
        <f>'OECD EMPN'!Z63</f>
        <v>0.2</v>
      </c>
      <c r="S53">
        <f>'OECD EMPN'!AB63</f>
        <v>0</v>
      </c>
      <c r="T53">
        <f>'OECD EMPN'!AC63</f>
        <v>1.3</v>
      </c>
      <c r="U53">
        <f>'OECD EMPN'!AD63</f>
        <v>5.9</v>
      </c>
      <c r="V53">
        <f>'OECD EMPN'!AE63</f>
        <v>2.2000000000000002</v>
      </c>
      <c r="W53">
        <f>'OECD EMPN'!AF63</f>
        <v>16.2</v>
      </c>
      <c r="X53">
        <f>'OECD EMPN'!AI63</f>
        <v>36</v>
      </c>
      <c r="Y53">
        <f>'OECD EMPN'!AJ63</f>
        <v>13.7</v>
      </c>
      <c r="Z53">
        <f>'OECD EMPN'!AK63</f>
        <v>18.899999999999999</v>
      </c>
      <c r="AA53">
        <f>'OECD EMPN'!AM63</f>
        <v>1.3</v>
      </c>
      <c r="AB53">
        <f>'OECD EMPN'!AN63</f>
        <v>3.4</v>
      </c>
      <c r="AC53">
        <f>'OECD EMPN'!AO63</f>
        <v>5.9</v>
      </c>
      <c r="AD53">
        <f>'OECD EMPN'!AP63</f>
        <v>12.9</v>
      </c>
      <c r="AE53">
        <f>'OECD EMPN'!AQ63</f>
        <v>3.1</v>
      </c>
      <c r="AF53">
        <f>'OECD EMPN'!AR63</f>
        <v>43.5</v>
      </c>
      <c r="AG53">
        <f>'OECD EMPN'!AU63</f>
        <v>18.2</v>
      </c>
      <c r="AH53">
        <f>'OECD EMPN'!AV63</f>
        <v>20</v>
      </c>
      <c r="AI53">
        <f>'OECD EMPN'!AW63</f>
        <v>20.6</v>
      </c>
      <c r="AJ53">
        <f>'OECD EMPN'!AY63</f>
        <v>16.7</v>
      </c>
      <c r="AK53">
        <f>'OECD EMPN'!AZ63</f>
        <v>0.9</v>
      </c>
    </row>
    <row r="54" spans="1:37">
      <c r="A54" t="str">
        <f>'OECD EMPN'!A64</f>
        <v>PER</v>
      </c>
      <c r="B54">
        <f>'OECD EMPN'!D64</f>
        <v>5304.4</v>
      </c>
      <c r="C54">
        <f>'OECD EMPN'!F64</f>
        <v>8.1</v>
      </c>
      <c r="D54">
        <f>'OECD EMPN'!G64</f>
        <v>124</v>
      </c>
      <c r="E54">
        <f>'OECD EMPN'!H64</f>
        <v>15</v>
      </c>
      <c r="F54">
        <f>'OECD EMPN'!J64</f>
        <v>382</v>
      </c>
      <c r="G54">
        <f>'OECD EMPN'!K64</f>
        <v>394.2</v>
      </c>
      <c r="H54">
        <f>'OECD EMPN'!M64</f>
        <v>52.2</v>
      </c>
      <c r="I54">
        <f>'OECD EMPN'!N64</f>
        <v>30.7</v>
      </c>
      <c r="J54">
        <f>'OECD EMPN'!P64</f>
        <v>4.8</v>
      </c>
      <c r="K54" s="21">
        <f>'OECD EMPN'!Q64</f>
        <v>32</v>
      </c>
      <c r="L54">
        <f>'OECD EMPN'!R64</f>
        <v>25.5</v>
      </c>
      <c r="M54">
        <f>'OECD EMPN'!S64</f>
        <v>54.6</v>
      </c>
      <c r="N54">
        <f>'OECD EMPN'!U64</f>
        <v>11.1</v>
      </c>
      <c r="O54">
        <f>'OECD EMPN'!V64</f>
        <v>104</v>
      </c>
      <c r="P54">
        <f>'OECD EMPN'!X64</f>
        <v>0.3</v>
      </c>
      <c r="Q54">
        <f>'OECD EMPN'!Y64</f>
        <v>9.4</v>
      </c>
      <c r="R54">
        <f>'OECD EMPN'!Z64</f>
        <v>14.1</v>
      </c>
      <c r="S54">
        <f>'OECD EMPN'!AB64</f>
        <v>7</v>
      </c>
      <c r="T54">
        <f>'OECD EMPN'!AC64</f>
        <v>4.5999999999999996</v>
      </c>
      <c r="U54">
        <f>'OECD EMPN'!AD64</f>
        <v>162.9</v>
      </c>
      <c r="V54">
        <f>'OECD EMPN'!AE64</f>
        <v>88.3</v>
      </c>
      <c r="W54">
        <f>'OECD EMPN'!AF64</f>
        <v>954.7</v>
      </c>
      <c r="X54">
        <f>'OECD EMPN'!AI64</f>
        <v>2761.1</v>
      </c>
      <c r="Y54">
        <f>'OECD EMPN'!AJ64</f>
        <v>1059.8</v>
      </c>
      <c r="Z54">
        <f>'OECD EMPN'!AK64</f>
        <v>899</v>
      </c>
      <c r="AA54">
        <f>'OECD EMPN'!AM64</f>
        <v>27.7</v>
      </c>
      <c r="AB54">
        <f>'OECD EMPN'!AN64</f>
        <v>51.3</v>
      </c>
      <c r="AC54">
        <f>'OECD EMPN'!AO64</f>
        <v>19.7</v>
      </c>
      <c r="AD54">
        <f>'OECD EMPN'!AP64</f>
        <v>123.1</v>
      </c>
      <c r="AE54">
        <f>'OECD EMPN'!AQ64</f>
        <v>20.3</v>
      </c>
      <c r="AF54">
        <f>'OECD EMPN'!AR64</f>
        <v>640.5</v>
      </c>
      <c r="AG54">
        <f>'OECD EMPN'!AU64</f>
        <v>620.5</v>
      </c>
      <c r="AH54">
        <f>'OECD EMPN'!AV64</f>
        <v>658.4</v>
      </c>
      <c r="AI54">
        <f>'OECD EMPN'!AW64</f>
        <v>362.1</v>
      </c>
      <c r="AJ54">
        <f>'OECD EMPN'!AY64</f>
        <v>456.3</v>
      </c>
      <c r="AK54">
        <f>'OECD EMPN'!AZ64</f>
        <v>253.5</v>
      </c>
    </row>
    <row r="55" spans="1:37">
      <c r="A55" t="str">
        <f>'OECD EMPN'!A65</f>
        <v>PHL</v>
      </c>
      <c r="B55">
        <f>'OECD EMPN'!D65</f>
        <v>9753.7000000000007</v>
      </c>
      <c r="C55">
        <f>'OECD EMPN'!F65</f>
        <v>5.9</v>
      </c>
      <c r="D55">
        <f>'OECD EMPN'!G65</f>
        <v>175</v>
      </c>
      <c r="E55">
        <f>'OECD EMPN'!H65</f>
        <v>3.1</v>
      </c>
      <c r="F55">
        <f>'OECD EMPN'!J65</f>
        <v>954.6</v>
      </c>
      <c r="G55">
        <f>'OECD EMPN'!K65</f>
        <v>493.5</v>
      </c>
      <c r="H55">
        <f>'OECD EMPN'!M65</f>
        <v>256.60000000000002</v>
      </c>
      <c r="I55">
        <f>'OECD EMPN'!N65</f>
        <v>143.6</v>
      </c>
      <c r="J55">
        <f>'OECD EMPN'!P65</f>
        <v>6.4</v>
      </c>
      <c r="K55" s="21">
        <f>'OECD EMPN'!Q65</f>
        <v>85.5</v>
      </c>
      <c r="L55">
        <f>'OECD EMPN'!R65</f>
        <v>100.3</v>
      </c>
      <c r="M55">
        <f>'OECD EMPN'!S65</f>
        <v>101.4</v>
      </c>
      <c r="N55">
        <f>'OECD EMPN'!U65</f>
        <v>44.5</v>
      </c>
      <c r="O55">
        <f>'OECD EMPN'!V65</f>
        <v>127.7</v>
      </c>
      <c r="P55">
        <f>'OECD EMPN'!X65</f>
        <v>403.5</v>
      </c>
      <c r="Q55">
        <f>'OECD EMPN'!Y65</f>
        <v>94.7</v>
      </c>
      <c r="R55">
        <f>'OECD EMPN'!Z65</f>
        <v>39.6</v>
      </c>
      <c r="S55">
        <f>'OECD EMPN'!AB65</f>
        <v>40.5</v>
      </c>
      <c r="T55">
        <f>'OECD EMPN'!AC65</f>
        <v>28.2</v>
      </c>
      <c r="U55">
        <f>'OECD EMPN'!AD65</f>
        <v>263</v>
      </c>
      <c r="V55">
        <f>'OECD EMPN'!AE65</f>
        <v>139.1</v>
      </c>
      <c r="W55">
        <f>'OECD EMPN'!AF65</f>
        <v>3699.6</v>
      </c>
      <c r="X55">
        <f>'OECD EMPN'!AI65</f>
        <v>8081.1</v>
      </c>
      <c r="Y55">
        <f>'OECD EMPN'!AJ65</f>
        <v>2932.3</v>
      </c>
      <c r="Z55">
        <f>'OECD EMPN'!AK65</f>
        <v>1468.2</v>
      </c>
      <c r="AA55">
        <f>'OECD EMPN'!AM65</f>
        <v>43.9</v>
      </c>
      <c r="AB55">
        <f>'OECD EMPN'!AN65</f>
        <v>156.6</v>
      </c>
      <c r="AC55">
        <f>'OECD EMPN'!AO65</f>
        <v>149.1</v>
      </c>
      <c r="AD55">
        <f>'OECD EMPN'!AP65</f>
        <v>555.79999999999995</v>
      </c>
      <c r="AE55">
        <f>'OECD EMPN'!AQ65</f>
        <v>192</v>
      </c>
      <c r="AF55">
        <f>'OECD EMPN'!AR65</f>
        <v>1869.2</v>
      </c>
      <c r="AG55">
        <f>'OECD EMPN'!AU65</f>
        <v>2563.3000000000002</v>
      </c>
      <c r="AH55">
        <f>'OECD EMPN'!AV65</f>
        <v>1286.0999999999999</v>
      </c>
      <c r="AI55">
        <f>'OECD EMPN'!AW65</f>
        <v>542.4</v>
      </c>
      <c r="AJ55">
        <f>'OECD EMPN'!AY65</f>
        <v>923.9</v>
      </c>
      <c r="AK55">
        <f>'OECD EMPN'!AZ65</f>
        <v>0</v>
      </c>
    </row>
    <row r="56" spans="1:37">
      <c r="A56" t="str">
        <f>'OECD EMPN'!A66</f>
        <v>ROU</v>
      </c>
      <c r="B56">
        <f>'OECD EMPN'!D66</f>
        <v>1827.3</v>
      </c>
      <c r="C56">
        <f>'OECD EMPN'!F66</f>
        <v>46.4</v>
      </c>
      <c r="D56">
        <f>'OECD EMPN'!G66</f>
        <v>10</v>
      </c>
      <c r="E56">
        <f>'OECD EMPN'!H66</f>
        <v>3.6</v>
      </c>
      <c r="F56">
        <f>'OECD EMPN'!J66</f>
        <v>217.7</v>
      </c>
      <c r="G56">
        <f>'OECD EMPN'!K66</f>
        <v>291.2</v>
      </c>
      <c r="H56">
        <f>'OECD EMPN'!M66</f>
        <v>62.5</v>
      </c>
      <c r="I56">
        <f>'OECD EMPN'!N66</f>
        <v>20.5</v>
      </c>
      <c r="J56">
        <f>'OECD EMPN'!P66</f>
        <v>9.4</v>
      </c>
      <c r="K56" s="21">
        <f>'OECD EMPN'!Q66</f>
        <v>31.8</v>
      </c>
      <c r="L56">
        <f>'OECD EMPN'!R66</f>
        <v>65.599999999999994</v>
      </c>
      <c r="M56">
        <f>'OECD EMPN'!S66</f>
        <v>44.3</v>
      </c>
      <c r="N56">
        <f>'OECD EMPN'!U66</f>
        <v>41.3</v>
      </c>
      <c r="O56">
        <f>'OECD EMPN'!V66</f>
        <v>99.8</v>
      </c>
      <c r="P56">
        <f>'OECD EMPN'!X66</f>
        <v>58</v>
      </c>
      <c r="Q56">
        <f>'OECD EMPN'!Y66</f>
        <v>88.4</v>
      </c>
      <c r="R56">
        <f>'OECD EMPN'!Z66</f>
        <v>61.2</v>
      </c>
      <c r="S56">
        <f>'OECD EMPN'!AB66</f>
        <v>198</v>
      </c>
      <c r="T56">
        <f>'OECD EMPN'!AC66</f>
        <v>58.5</v>
      </c>
      <c r="U56">
        <f>'OECD EMPN'!AD66</f>
        <v>137.19999999999999</v>
      </c>
      <c r="V56">
        <f>'OECD EMPN'!AE66</f>
        <v>210.9</v>
      </c>
      <c r="W56">
        <f>'OECD EMPN'!AF66</f>
        <v>737.1</v>
      </c>
      <c r="X56">
        <f>'OECD EMPN'!AI66</f>
        <v>1281.9000000000001</v>
      </c>
      <c r="Y56">
        <f>'OECD EMPN'!AJ66</f>
        <v>535.1</v>
      </c>
      <c r="Z56">
        <f>'OECD EMPN'!AK66</f>
        <v>201.4</v>
      </c>
      <c r="AA56">
        <f>'OECD EMPN'!AM66</f>
        <v>27.1</v>
      </c>
      <c r="AB56">
        <f>'OECD EMPN'!AN66</f>
        <v>53.2</v>
      </c>
      <c r="AC56">
        <f>'OECD EMPN'!AO66</f>
        <v>108.6</v>
      </c>
      <c r="AD56">
        <f>'OECD EMPN'!AP66</f>
        <v>104.5</v>
      </c>
      <c r="AE56">
        <f>'OECD EMPN'!AQ66</f>
        <v>29.7</v>
      </c>
      <c r="AF56">
        <f>'OECD EMPN'!AR66</f>
        <v>394.3</v>
      </c>
      <c r="AG56">
        <f>'OECD EMPN'!AU66</f>
        <v>422.3</v>
      </c>
      <c r="AH56">
        <f>'OECD EMPN'!AV66</f>
        <v>344.7</v>
      </c>
      <c r="AI56">
        <f>'OECD EMPN'!AW66</f>
        <v>410.8</v>
      </c>
      <c r="AJ56">
        <f>'OECD EMPN'!AY66</f>
        <v>237.8</v>
      </c>
      <c r="AK56">
        <f>'OECD EMPN'!AZ66</f>
        <v>0</v>
      </c>
    </row>
    <row r="57" spans="1:37">
      <c r="A57" t="str">
        <f>'OECD EMPN'!A67</f>
        <v>RUS</v>
      </c>
      <c r="B57">
        <f>'OECD EMPN'!D67</f>
        <v>4206</v>
      </c>
      <c r="C57">
        <f>'OECD EMPN'!F67</f>
        <v>928.3</v>
      </c>
      <c r="D57">
        <f>'OECD EMPN'!G67</f>
        <v>614.70000000000005</v>
      </c>
      <c r="E57">
        <f>'OECD EMPN'!H67</f>
        <v>68.599999999999994</v>
      </c>
      <c r="F57">
        <f>'OECD EMPN'!J67</f>
        <v>1582</v>
      </c>
      <c r="G57">
        <f>'OECD EMPN'!K67</f>
        <v>232.2</v>
      </c>
      <c r="H57">
        <f>'OECD EMPN'!M67</f>
        <v>208.4</v>
      </c>
      <c r="I57">
        <f>'OECD EMPN'!N67</f>
        <v>259.10000000000002</v>
      </c>
      <c r="J57">
        <f>'OECD EMPN'!P67</f>
        <v>244.7</v>
      </c>
      <c r="K57" s="21">
        <f>'OECD EMPN'!Q67</f>
        <v>754.5</v>
      </c>
      <c r="L57">
        <f>'OECD EMPN'!R67</f>
        <v>260.5</v>
      </c>
      <c r="M57">
        <f>'OECD EMPN'!S67</f>
        <v>556.1</v>
      </c>
      <c r="N57">
        <f>'OECD EMPN'!U67</f>
        <v>1011.7</v>
      </c>
      <c r="O57">
        <f>'OECD EMPN'!V67</f>
        <v>884.5</v>
      </c>
      <c r="P57">
        <f>'OECD EMPN'!X67</f>
        <v>723.9</v>
      </c>
      <c r="Q57">
        <f>'OECD EMPN'!Y67</f>
        <v>380.7</v>
      </c>
      <c r="R57">
        <f>'OECD EMPN'!Z67</f>
        <v>616.70000000000005</v>
      </c>
      <c r="S57">
        <f>'OECD EMPN'!AB67</f>
        <v>500</v>
      </c>
      <c r="T57">
        <f>'OECD EMPN'!AC67</f>
        <v>1181.8</v>
      </c>
      <c r="U57">
        <f>'OECD EMPN'!AD67</f>
        <v>544.79999999999995</v>
      </c>
      <c r="V57">
        <f>'OECD EMPN'!AE67</f>
        <v>2468.6999999999998</v>
      </c>
      <c r="W57">
        <f>'OECD EMPN'!AF67</f>
        <v>4716</v>
      </c>
      <c r="X57">
        <f>'OECD EMPN'!AI67</f>
        <v>11052.8</v>
      </c>
      <c r="Y57">
        <f>'OECD EMPN'!AJ67</f>
        <v>6127.5</v>
      </c>
      <c r="Z57">
        <f>'OECD EMPN'!AK67</f>
        <v>1661.9</v>
      </c>
      <c r="AA57">
        <f>'OECD EMPN'!AM67</f>
        <v>232.4</v>
      </c>
      <c r="AB57">
        <f>'OECD EMPN'!AN67</f>
        <v>614.20000000000005</v>
      </c>
      <c r="AC57">
        <f>'OECD EMPN'!AO67</f>
        <v>478.5</v>
      </c>
      <c r="AD57">
        <f>'OECD EMPN'!AP67</f>
        <v>1531.9</v>
      </c>
      <c r="AE57">
        <f>'OECD EMPN'!AQ67</f>
        <v>1254.8</v>
      </c>
      <c r="AF57">
        <f>'OECD EMPN'!AR67</f>
        <v>4246.8999999999996</v>
      </c>
      <c r="AG57">
        <f>'OECD EMPN'!AU67</f>
        <v>4982.6000000000004</v>
      </c>
      <c r="AH57">
        <f>'OECD EMPN'!AV67</f>
        <v>6660.7</v>
      </c>
      <c r="AI57">
        <f>'OECD EMPN'!AW67</f>
        <v>5467.5</v>
      </c>
      <c r="AJ57">
        <f>'OECD EMPN'!AY67</f>
        <v>2219.9</v>
      </c>
      <c r="AK57">
        <f>'OECD EMPN'!AZ67</f>
        <v>864.7</v>
      </c>
    </row>
    <row r="58" spans="1:37">
      <c r="A58" t="str">
        <f>'OECD EMPN'!A68</f>
        <v>SAU</v>
      </c>
      <c r="B58">
        <f>'OECD EMPN'!D68</f>
        <v>677.4</v>
      </c>
      <c r="C58">
        <f>'OECD EMPN'!F68</f>
        <v>105.1</v>
      </c>
      <c r="D58">
        <f>'OECD EMPN'!G68</f>
        <v>27</v>
      </c>
      <c r="E58">
        <f>'OECD EMPN'!H68</f>
        <v>33.9</v>
      </c>
      <c r="F58">
        <f>'OECD EMPN'!J68</f>
        <v>138.1</v>
      </c>
      <c r="G58">
        <f>'OECD EMPN'!K68</f>
        <v>104.5</v>
      </c>
      <c r="H58">
        <f>'OECD EMPN'!M68</f>
        <v>27.2</v>
      </c>
      <c r="I58">
        <f>'OECD EMPN'!N68</f>
        <v>34.5</v>
      </c>
      <c r="J58">
        <f>'OECD EMPN'!P68</f>
        <v>35.1</v>
      </c>
      <c r="K58" s="21">
        <f>'OECD EMPN'!Q68</f>
        <v>87.7</v>
      </c>
      <c r="L58">
        <f>'OECD EMPN'!R68</f>
        <v>25.1</v>
      </c>
      <c r="M58">
        <f>'OECD EMPN'!S68</f>
        <v>117.1</v>
      </c>
      <c r="N58">
        <f>'OECD EMPN'!U68</f>
        <v>45</v>
      </c>
      <c r="O58">
        <f>'OECD EMPN'!V68</f>
        <v>132</v>
      </c>
      <c r="P58">
        <f>'OECD EMPN'!X68</f>
        <v>2.7</v>
      </c>
      <c r="Q58">
        <f>'OECD EMPN'!Y68</f>
        <v>21.6</v>
      </c>
      <c r="R58">
        <f>'OECD EMPN'!Z68</f>
        <v>25.2</v>
      </c>
      <c r="S58">
        <f>'OECD EMPN'!AB68</f>
        <v>7.6</v>
      </c>
      <c r="T58">
        <f>'OECD EMPN'!AC68</f>
        <v>2.8</v>
      </c>
      <c r="U58">
        <f>'OECD EMPN'!AD68</f>
        <v>126.9</v>
      </c>
      <c r="V58">
        <f>'OECD EMPN'!AE68</f>
        <v>140.80000000000001</v>
      </c>
      <c r="W58">
        <f>'OECD EMPN'!AF68</f>
        <v>1598.8</v>
      </c>
      <c r="X58">
        <f>'OECD EMPN'!AI68</f>
        <v>1604.7</v>
      </c>
      <c r="Y58">
        <f>'OECD EMPN'!AJ68</f>
        <v>425.4</v>
      </c>
      <c r="Z58">
        <f>'OECD EMPN'!AK68</f>
        <v>357.8</v>
      </c>
      <c r="AA58">
        <f>'OECD EMPN'!AM68</f>
        <v>20.8</v>
      </c>
      <c r="AB58">
        <f>'OECD EMPN'!AN68</f>
        <v>89.1</v>
      </c>
      <c r="AC58">
        <f>'OECD EMPN'!AO68</f>
        <v>12.8</v>
      </c>
      <c r="AD58">
        <f>'OECD EMPN'!AP68</f>
        <v>136.6</v>
      </c>
      <c r="AE58">
        <f>'OECD EMPN'!AQ68</f>
        <v>467.7</v>
      </c>
      <c r="AF58">
        <f>'OECD EMPN'!AR68</f>
        <v>395.6</v>
      </c>
      <c r="AG58">
        <f>'OECD EMPN'!AU68</f>
        <v>1995.4</v>
      </c>
      <c r="AH58">
        <f>'OECD EMPN'!AV68</f>
        <v>1065.7</v>
      </c>
      <c r="AI58">
        <f>'OECD EMPN'!AW68</f>
        <v>699.3</v>
      </c>
      <c r="AJ58">
        <f>'OECD EMPN'!AY68</f>
        <v>382.9</v>
      </c>
      <c r="AK58">
        <f>'OECD EMPN'!AZ68</f>
        <v>948.9</v>
      </c>
    </row>
    <row r="59" spans="1:37">
      <c r="A59" t="str">
        <f>'OECD EMPN'!A69</f>
        <v>SGP</v>
      </c>
      <c r="B59">
        <f>'OECD EMPN'!D69</f>
        <v>9.1999999999999993</v>
      </c>
      <c r="C59">
        <f>'OECD EMPN'!F69</f>
        <v>0</v>
      </c>
      <c r="D59">
        <f>'OECD EMPN'!G69</f>
        <v>0</v>
      </c>
      <c r="E59">
        <f>'OECD EMPN'!H69</f>
        <v>0</v>
      </c>
      <c r="F59">
        <f>'OECD EMPN'!J69</f>
        <v>50</v>
      </c>
      <c r="G59">
        <f>'OECD EMPN'!K69</f>
        <v>2.2999999999999998</v>
      </c>
      <c r="H59">
        <f>'OECD EMPN'!M69</f>
        <v>2.9</v>
      </c>
      <c r="I59">
        <f>'OECD EMPN'!N69</f>
        <v>15.6</v>
      </c>
      <c r="J59">
        <f>'OECD EMPN'!P69</f>
        <v>8.5</v>
      </c>
      <c r="K59" s="21">
        <f>'OECD EMPN'!Q69</f>
        <v>50.3</v>
      </c>
      <c r="L59">
        <f>'OECD EMPN'!R69</f>
        <v>11</v>
      </c>
      <c r="M59">
        <f>'OECD EMPN'!S69</f>
        <v>4.7</v>
      </c>
      <c r="N59">
        <f>'OECD EMPN'!U69</f>
        <v>2.5</v>
      </c>
      <c r="O59">
        <f>'OECD EMPN'!V69</f>
        <v>26.5</v>
      </c>
      <c r="P59">
        <f>'OECD EMPN'!X69</f>
        <v>83.2</v>
      </c>
      <c r="Q59">
        <f>'OECD EMPN'!Y69</f>
        <v>9.1999999999999993</v>
      </c>
      <c r="R59">
        <f>'OECD EMPN'!Z69</f>
        <v>63.4</v>
      </c>
      <c r="S59">
        <f>'OECD EMPN'!AB69</f>
        <v>3.9</v>
      </c>
      <c r="T59">
        <f>'OECD EMPN'!AC69</f>
        <v>79.7</v>
      </c>
      <c r="U59">
        <f>'OECD EMPN'!AD69</f>
        <v>37.5</v>
      </c>
      <c r="V59">
        <f>'OECD EMPN'!AE69</f>
        <v>16.2</v>
      </c>
      <c r="W59">
        <f>'OECD EMPN'!AF69</f>
        <v>403.6</v>
      </c>
      <c r="X59">
        <f>'OECD EMPN'!AI69</f>
        <v>459.8</v>
      </c>
      <c r="Y59">
        <f>'OECD EMPN'!AJ69</f>
        <v>253.5</v>
      </c>
      <c r="Z59">
        <f>'OECD EMPN'!AK69</f>
        <v>247.7</v>
      </c>
      <c r="AA59">
        <f>'OECD EMPN'!AM69</f>
        <v>22.5</v>
      </c>
      <c r="AB59">
        <f>'OECD EMPN'!AN69</f>
        <v>17.5</v>
      </c>
      <c r="AC59">
        <f>'OECD EMPN'!AO69</f>
        <v>117.6</v>
      </c>
      <c r="AD59">
        <f>'OECD EMPN'!AP69</f>
        <v>204.2</v>
      </c>
      <c r="AE59">
        <f>'OECD EMPN'!AQ69</f>
        <v>74.400000000000006</v>
      </c>
      <c r="AF59">
        <f>'OECD EMPN'!AR69</f>
        <v>490</v>
      </c>
      <c r="AG59">
        <f>'OECD EMPN'!AU69</f>
        <v>222.7</v>
      </c>
      <c r="AH59">
        <f>'OECD EMPN'!AV69</f>
        <v>38.9</v>
      </c>
      <c r="AI59">
        <f>'OECD EMPN'!AW69</f>
        <v>177.1</v>
      </c>
      <c r="AJ59">
        <f>'OECD EMPN'!AY69</f>
        <v>204</v>
      </c>
      <c r="AK59">
        <f>'OECD EMPN'!AZ69</f>
        <v>192.6</v>
      </c>
    </row>
    <row r="60" spans="1:37">
      <c r="A60" t="str">
        <f>'OECD EMPN'!A70</f>
        <v>ZAF</v>
      </c>
      <c r="B60">
        <f>'OECD EMPN'!D70</f>
        <v>837.7</v>
      </c>
      <c r="C60">
        <f>'OECD EMPN'!F70</f>
        <v>67.599999999999994</v>
      </c>
      <c r="D60">
        <f>'OECD EMPN'!G70</f>
        <v>337.6</v>
      </c>
      <c r="E60">
        <f>'OECD EMPN'!H70</f>
        <v>15.4</v>
      </c>
      <c r="F60">
        <f>'OECD EMPN'!J70</f>
        <v>361.1</v>
      </c>
      <c r="G60">
        <f>'OECD EMPN'!K70</f>
        <v>211.6</v>
      </c>
      <c r="H60">
        <f>'OECD EMPN'!M70</f>
        <v>41.1</v>
      </c>
      <c r="I60">
        <f>'OECD EMPN'!N70</f>
        <v>93.2</v>
      </c>
      <c r="J60">
        <f>'OECD EMPN'!P70</f>
        <v>50.5</v>
      </c>
      <c r="K60" s="21">
        <f>'OECD EMPN'!Q70</f>
        <v>121</v>
      </c>
      <c r="L60">
        <f>'OECD EMPN'!R70</f>
        <v>69.599999999999994</v>
      </c>
      <c r="M60">
        <f>'OECD EMPN'!S70</f>
        <v>95.9</v>
      </c>
      <c r="N60">
        <f>'OECD EMPN'!U70</f>
        <v>73.099999999999994</v>
      </c>
      <c r="O60">
        <f>'OECD EMPN'!V70</f>
        <v>131.4</v>
      </c>
      <c r="P60">
        <f>'OECD EMPN'!X70</f>
        <v>26.5</v>
      </c>
      <c r="Q60">
        <f>'OECD EMPN'!Y70</f>
        <v>37.4</v>
      </c>
      <c r="R60">
        <f>'OECD EMPN'!Z70</f>
        <v>57.3</v>
      </c>
      <c r="S60">
        <f>'OECD EMPN'!AB70</f>
        <v>80.8</v>
      </c>
      <c r="T60">
        <f>'OECD EMPN'!AC70</f>
        <v>8.6999999999999993</v>
      </c>
      <c r="U60">
        <f>'OECD EMPN'!AD70</f>
        <v>62.8</v>
      </c>
      <c r="V60">
        <f>'OECD EMPN'!AE70</f>
        <v>123.3</v>
      </c>
      <c r="W60">
        <f>'OECD EMPN'!AF70</f>
        <v>1176.8</v>
      </c>
      <c r="X60">
        <f>'OECD EMPN'!AI70</f>
        <v>2566.4</v>
      </c>
      <c r="Y60">
        <f>'OECD EMPN'!AJ70</f>
        <v>861.1</v>
      </c>
      <c r="Z60">
        <f>'OECD EMPN'!AK70</f>
        <v>492.7</v>
      </c>
      <c r="AA60">
        <f>'OECD EMPN'!AM70</f>
        <v>44.6</v>
      </c>
      <c r="AB60">
        <f>'OECD EMPN'!AN70</f>
        <v>76.099999999999994</v>
      </c>
      <c r="AC60">
        <f>'OECD EMPN'!AO70</f>
        <v>116.5</v>
      </c>
      <c r="AD60">
        <f>'OECD EMPN'!AP70</f>
        <v>399.5</v>
      </c>
      <c r="AE60">
        <f>'OECD EMPN'!AQ70</f>
        <v>134.30000000000001</v>
      </c>
      <c r="AF60">
        <f>'OECD EMPN'!AR70</f>
        <v>1755</v>
      </c>
      <c r="AG60">
        <f>'OECD EMPN'!AU70</f>
        <v>815.2</v>
      </c>
      <c r="AH60">
        <f>'OECD EMPN'!AV70</f>
        <v>967.4</v>
      </c>
      <c r="AI60">
        <f>'OECD EMPN'!AW70</f>
        <v>977.4</v>
      </c>
      <c r="AJ60">
        <f>'OECD EMPN'!AY70</f>
        <v>782.3</v>
      </c>
      <c r="AK60">
        <f>'OECD EMPN'!AZ70</f>
        <v>1178.0999999999999</v>
      </c>
    </row>
    <row r="61" spans="1:37">
      <c r="A61" t="str">
        <f>'OECD EMPN'!A71</f>
        <v>TWN</v>
      </c>
      <c r="B61">
        <f>'OECD EMPN'!D71</f>
        <v>548</v>
      </c>
      <c r="C61">
        <f>'OECD EMPN'!F71</f>
        <v>1.3</v>
      </c>
      <c r="D61">
        <f>'OECD EMPN'!G71</f>
        <v>1.7</v>
      </c>
      <c r="E61">
        <f>'OECD EMPN'!H71</f>
        <v>1</v>
      </c>
      <c r="F61">
        <f>'OECD EMPN'!J71</f>
        <v>160.19999999999999</v>
      </c>
      <c r="G61">
        <f>'OECD EMPN'!K71</f>
        <v>167.1</v>
      </c>
      <c r="H61">
        <f>'OECD EMPN'!M71</f>
        <v>17.600000000000001</v>
      </c>
      <c r="I61">
        <f>'OECD EMPN'!N71</f>
        <v>114.2</v>
      </c>
      <c r="J61">
        <f>'OECD EMPN'!P71</f>
        <v>12.3</v>
      </c>
      <c r="K61" s="21">
        <f>'OECD EMPN'!Q71</f>
        <v>164.8</v>
      </c>
      <c r="L61">
        <f>'OECD EMPN'!R71</f>
        <v>191.5</v>
      </c>
      <c r="M61">
        <f>'OECD EMPN'!S71</f>
        <v>76.2</v>
      </c>
      <c r="N61">
        <f>'OECD EMPN'!U71</f>
        <v>119.7</v>
      </c>
      <c r="O61">
        <f>'OECD EMPN'!V71</f>
        <v>370.8</v>
      </c>
      <c r="P61">
        <f>'OECD EMPN'!X71</f>
        <v>918.8</v>
      </c>
      <c r="Q61">
        <f>'OECD EMPN'!Y71</f>
        <v>133.4</v>
      </c>
      <c r="R61">
        <f>'OECD EMPN'!Z71</f>
        <v>251.2</v>
      </c>
      <c r="S61">
        <f>'OECD EMPN'!AB71</f>
        <v>89</v>
      </c>
      <c r="T61">
        <f>'OECD EMPN'!AC71</f>
        <v>81.099999999999994</v>
      </c>
      <c r="U61">
        <f>'OECD EMPN'!AD71</f>
        <v>173.1</v>
      </c>
      <c r="V61">
        <f>'OECD EMPN'!AE71</f>
        <v>117</v>
      </c>
      <c r="W61">
        <f>'OECD EMPN'!AF71</f>
        <v>915</v>
      </c>
      <c r="X61">
        <f>'OECD EMPN'!AI71</f>
        <v>1899</v>
      </c>
      <c r="Y61">
        <f>'OECD EMPN'!AJ71</f>
        <v>455</v>
      </c>
      <c r="Z61">
        <f>'OECD EMPN'!AK71</f>
        <v>854</v>
      </c>
      <c r="AA61">
        <f>'OECD EMPN'!AM71</f>
        <v>68.2</v>
      </c>
      <c r="AB61">
        <f>'OECD EMPN'!AN71</f>
        <v>89.9</v>
      </c>
      <c r="AC61">
        <f>'OECD EMPN'!AO71</f>
        <v>107.9</v>
      </c>
      <c r="AD61">
        <f>'OECD EMPN'!AP71</f>
        <v>434</v>
      </c>
      <c r="AE61">
        <f>'OECD EMPN'!AQ71</f>
        <v>106</v>
      </c>
      <c r="AF61">
        <f>'OECD EMPN'!AR71</f>
        <v>680</v>
      </c>
      <c r="AG61">
        <f>'OECD EMPN'!AU71</f>
        <v>374</v>
      </c>
      <c r="AH61">
        <f>'OECD EMPN'!AV71</f>
        <v>657</v>
      </c>
      <c r="AI61">
        <f>'OECD EMPN'!AW71</f>
        <v>474</v>
      </c>
      <c r="AJ61">
        <f>'OECD EMPN'!AY71</f>
        <v>526.5</v>
      </c>
      <c r="AK61">
        <f>'OECD EMPN'!AZ71</f>
        <v>153.5</v>
      </c>
    </row>
    <row r="62" spans="1:37">
      <c r="A62" t="str">
        <f>'OECD EMPN'!A72</f>
        <v>THA</v>
      </c>
      <c r="B62">
        <f>'OECD EMPN'!D72</f>
        <v>11828.3</v>
      </c>
      <c r="C62">
        <f>'OECD EMPN'!F72</f>
        <v>15</v>
      </c>
      <c r="D62">
        <f>'OECD EMPN'!G72</f>
        <v>37.799999999999997</v>
      </c>
      <c r="E62">
        <f>'OECD EMPN'!H72</f>
        <v>21.8</v>
      </c>
      <c r="F62">
        <f>'OECD EMPN'!J72</f>
        <v>1505.1</v>
      </c>
      <c r="G62">
        <f>'OECD EMPN'!K72</f>
        <v>860.6</v>
      </c>
      <c r="H62">
        <f>'OECD EMPN'!M72</f>
        <v>220</v>
      </c>
      <c r="I62">
        <f>'OECD EMPN'!N72</f>
        <v>202</v>
      </c>
      <c r="J62">
        <f>'OECD EMPN'!P72</f>
        <v>35.4</v>
      </c>
      <c r="K62" s="21">
        <f>'OECD EMPN'!Q72</f>
        <v>242.1</v>
      </c>
      <c r="L62">
        <f>'OECD EMPN'!R72</f>
        <v>366.7</v>
      </c>
      <c r="M62">
        <f>'OECD EMPN'!S72</f>
        <v>245</v>
      </c>
      <c r="N62">
        <f>'OECD EMPN'!U72</f>
        <v>144.1</v>
      </c>
      <c r="O62">
        <f>'OECD EMPN'!V72</f>
        <v>367.6</v>
      </c>
      <c r="P62">
        <f>'OECD EMPN'!X72</f>
        <v>397.1</v>
      </c>
      <c r="Q62">
        <f>'OECD EMPN'!Y72</f>
        <v>189.2</v>
      </c>
      <c r="R62">
        <f>'OECD EMPN'!Z72</f>
        <v>145.1</v>
      </c>
      <c r="S62">
        <f>'OECD EMPN'!AB72</f>
        <v>382.8</v>
      </c>
      <c r="T62">
        <f>'OECD EMPN'!AC72</f>
        <v>63.1</v>
      </c>
      <c r="U62">
        <f>'OECD EMPN'!AD72</f>
        <v>619.5</v>
      </c>
      <c r="V62">
        <f>'OECD EMPN'!AE72</f>
        <v>221.6</v>
      </c>
      <c r="W62">
        <f>'OECD EMPN'!AF72</f>
        <v>2235.8000000000002</v>
      </c>
      <c r="X62">
        <f>'OECD EMPN'!AI72</f>
        <v>6286.2</v>
      </c>
      <c r="Y62">
        <f>'OECD EMPN'!AJ72</f>
        <v>1328.4</v>
      </c>
      <c r="Z62">
        <f>'OECD EMPN'!AK72</f>
        <v>2874.3</v>
      </c>
      <c r="AA62">
        <f>'OECD EMPN'!AM72</f>
        <v>74.7</v>
      </c>
      <c r="AB62">
        <f>'OECD EMPN'!AN72</f>
        <v>76.400000000000006</v>
      </c>
      <c r="AC62">
        <f>'OECD EMPN'!AO72</f>
        <v>71.400000000000006</v>
      </c>
      <c r="AD62">
        <f>'OECD EMPN'!AP72</f>
        <v>525.70000000000005</v>
      </c>
      <c r="AE62">
        <f>'OECD EMPN'!AQ72</f>
        <v>233.1</v>
      </c>
      <c r="AF62">
        <f>'OECD EMPN'!AR72</f>
        <v>920.4</v>
      </c>
      <c r="AG62">
        <f>'OECD EMPN'!AU72</f>
        <v>1645.8</v>
      </c>
      <c r="AH62">
        <f>'OECD EMPN'!AV72</f>
        <v>1212.7</v>
      </c>
      <c r="AI62">
        <f>'OECD EMPN'!AW72</f>
        <v>690.7</v>
      </c>
      <c r="AJ62">
        <f>'OECD EMPN'!AY72</f>
        <v>1163.7</v>
      </c>
      <c r="AK62">
        <f>'OECD EMPN'!AZ72</f>
        <v>231.1</v>
      </c>
    </row>
    <row r="63" spans="1:37">
      <c r="A63" t="str">
        <f>'OECD EMPN'!A73</f>
        <v>UKR</v>
      </c>
      <c r="B63">
        <f>'OECD EMPN'!D73</f>
        <v>2727</v>
      </c>
      <c r="C63">
        <f>'OECD EMPN'!F73</f>
        <v>164.1</v>
      </c>
      <c r="D63">
        <f>'OECD EMPN'!G73</f>
        <v>104.9</v>
      </c>
      <c r="E63">
        <f>'OECD EMPN'!H73</f>
        <v>5.7</v>
      </c>
      <c r="F63">
        <f>'OECD EMPN'!J73</f>
        <v>376.7</v>
      </c>
      <c r="G63">
        <f>'OECD EMPN'!K73</f>
        <v>93</v>
      </c>
      <c r="H63">
        <f>'OECD EMPN'!M73</f>
        <v>54.4</v>
      </c>
      <c r="I63">
        <f>'OECD EMPN'!N73</f>
        <v>52.5</v>
      </c>
      <c r="J63">
        <f>'OECD EMPN'!P73</f>
        <v>15.1</v>
      </c>
      <c r="K63" s="21">
        <f>'OECD EMPN'!Q73</f>
        <v>103.9</v>
      </c>
      <c r="L63">
        <f>'OECD EMPN'!R73</f>
        <v>60.5</v>
      </c>
      <c r="M63">
        <f>'OECD EMPN'!S73</f>
        <v>94.7</v>
      </c>
      <c r="N63">
        <f>'OECD EMPN'!U73</f>
        <v>134.9</v>
      </c>
      <c r="O63">
        <f>'OECD EMPN'!V73</f>
        <v>91.3</v>
      </c>
      <c r="P63">
        <f>'OECD EMPN'!X73</f>
        <v>30.6</v>
      </c>
      <c r="Q63">
        <f>'OECD EMPN'!Y73</f>
        <v>52.2</v>
      </c>
      <c r="R63">
        <f>'OECD EMPN'!Z73</f>
        <v>135.1</v>
      </c>
      <c r="S63">
        <f>'OECD EMPN'!AB73</f>
        <v>64.400000000000006</v>
      </c>
      <c r="T63">
        <f>'OECD EMPN'!AC73</f>
        <v>81.099999999999994</v>
      </c>
      <c r="U63">
        <f>'OECD EMPN'!AD73</f>
        <v>141.69999999999999</v>
      </c>
      <c r="V63">
        <f>'OECD EMPN'!AE73</f>
        <v>472.9</v>
      </c>
      <c r="W63">
        <f>'OECD EMPN'!AF73</f>
        <v>665.8</v>
      </c>
      <c r="X63">
        <f>'OECD EMPN'!AI73</f>
        <v>3656.5</v>
      </c>
      <c r="Y63">
        <f>'OECD EMPN'!AJ73</f>
        <v>977.3</v>
      </c>
      <c r="Z63">
        <f>'OECD EMPN'!AK73</f>
        <v>286</v>
      </c>
      <c r="AA63">
        <f>'OECD EMPN'!AM73</f>
        <v>55.6</v>
      </c>
      <c r="AB63">
        <f>'OECD EMPN'!AN73</f>
        <v>51.4</v>
      </c>
      <c r="AC63">
        <f>'OECD EMPN'!AO73</f>
        <v>177.3</v>
      </c>
      <c r="AD63">
        <f>'OECD EMPN'!AP73</f>
        <v>213</v>
      </c>
      <c r="AE63">
        <f>'OECD EMPN'!AQ73</f>
        <v>251.7</v>
      </c>
      <c r="AF63">
        <f>'OECD EMPN'!AR73</f>
        <v>724.3</v>
      </c>
      <c r="AG63">
        <f>'OECD EMPN'!AU73</f>
        <v>903.8</v>
      </c>
      <c r="AH63">
        <f>'OECD EMPN'!AV73</f>
        <v>1397.9</v>
      </c>
      <c r="AI63">
        <f>'OECD EMPN'!AW73</f>
        <v>937.4</v>
      </c>
      <c r="AJ63">
        <f>'OECD EMPN'!AY73</f>
        <v>366.9</v>
      </c>
      <c r="AK63">
        <f>'OECD EMPN'!AZ73</f>
        <v>193.7</v>
      </c>
    </row>
    <row r="64" spans="1:37">
      <c r="A64" t="str">
        <f>'OECD EMPN'!A74</f>
        <v>VNM</v>
      </c>
      <c r="B64">
        <f>'OECD EMPN'!D74</f>
        <v>17392.3</v>
      </c>
      <c r="C64">
        <f>'OECD EMPN'!F74</f>
        <v>71.8</v>
      </c>
      <c r="D64">
        <f>'OECD EMPN'!G74</f>
        <v>100.9</v>
      </c>
      <c r="E64">
        <f>'OECD EMPN'!H74</f>
        <v>3.5</v>
      </c>
      <c r="F64">
        <f>'OECD EMPN'!J74</f>
        <v>1280.3</v>
      </c>
      <c r="G64">
        <f>'OECD EMPN'!K74</f>
        <v>4682.8</v>
      </c>
      <c r="H64">
        <f>'OECD EMPN'!M74</f>
        <v>433.8</v>
      </c>
      <c r="I64">
        <f>'OECD EMPN'!N74</f>
        <v>264.7</v>
      </c>
      <c r="J64">
        <f>'OECD EMPN'!P74</f>
        <v>11.2</v>
      </c>
      <c r="K64" s="21">
        <f>'OECD EMPN'!Q74</f>
        <v>211.4</v>
      </c>
      <c r="L64">
        <f>'OECD EMPN'!R74</f>
        <v>294.89999999999998</v>
      </c>
      <c r="M64">
        <f>'OECD EMPN'!S74</f>
        <v>432.7</v>
      </c>
      <c r="N64">
        <f>'OECD EMPN'!U74</f>
        <v>150</v>
      </c>
      <c r="O64">
        <f>'OECD EMPN'!V74</f>
        <v>865.4</v>
      </c>
      <c r="P64">
        <f>'OECD EMPN'!X74</f>
        <v>943.8</v>
      </c>
      <c r="Q64">
        <f>'OECD EMPN'!Y74</f>
        <v>178.2</v>
      </c>
      <c r="R64">
        <f>'OECD EMPN'!Z74</f>
        <v>72.3</v>
      </c>
      <c r="S64">
        <f>'OECD EMPN'!AB74</f>
        <v>150.4</v>
      </c>
      <c r="T64">
        <f>'OECD EMPN'!AC74</f>
        <v>119</v>
      </c>
      <c r="U64">
        <f>'OECD EMPN'!AD74</f>
        <v>1274.5999999999999</v>
      </c>
      <c r="V64">
        <f>'OECD EMPN'!AE74</f>
        <v>336.7</v>
      </c>
      <c r="W64">
        <f>'OECD EMPN'!AF74</f>
        <v>4691.2</v>
      </c>
      <c r="X64">
        <f>'OECD EMPN'!AI74</f>
        <v>7307.9</v>
      </c>
      <c r="Y64">
        <f>'OECD EMPN'!AJ74</f>
        <v>1977.8</v>
      </c>
      <c r="Z64">
        <f>'OECD EMPN'!AK74</f>
        <v>2695.4</v>
      </c>
      <c r="AA64">
        <f>'OECD EMPN'!AM74</f>
        <v>82.9</v>
      </c>
      <c r="AB64">
        <f>'OECD EMPN'!AN74</f>
        <v>157.4</v>
      </c>
      <c r="AC64">
        <f>'OECD EMPN'!AO74</f>
        <v>105.2</v>
      </c>
      <c r="AD64">
        <f>'OECD EMPN'!AP74</f>
        <v>459.9</v>
      </c>
      <c r="AE64">
        <f>'OECD EMPN'!AQ74</f>
        <v>326.39999999999998</v>
      </c>
      <c r="AF64">
        <f>'OECD EMPN'!AR74</f>
        <v>721.5</v>
      </c>
      <c r="AG64">
        <f>'OECD EMPN'!AU74</f>
        <v>1438.3</v>
      </c>
      <c r="AH64">
        <f>'OECD EMPN'!AV74</f>
        <v>1985.2</v>
      </c>
      <c r="AI64">
        <f>'OECD EMPN'!AW74</f>
        <v>601.1</v>
      </c>
      <c r="AJ64">
        <f>'OECD EMPN'!AY74</f>
        <v>1293.3</v>
      </c>
      <c r="AK64">
        <f>'OECD EMPN'!AZ74</f>
        <v>211.9</v>
      </c>
    </row>
    <row r="65" spans="1:37">
      <c r="A65" t="str">
        <f>'OECD EMPN'!A75</f>
        <v>EU27_2020</v>
      </c>
      <c r="B65">
        <f>'OECD EMPN'!D75</f>
        <v>9363</v>
      </c>
      <c r="C65">
        <f>'OECD EMPN'!F75</f>
        <v>198.8</v>
      </c>
      <c r="D65">
        <f>'OECD EMPN'!G75</f>
        <v>253.6</v>
      </c>
      <c r="E65">
        <f>'OECD EMPN'!H75</f>
        <v>56.7</v>
      </c>
      <c r="F65">
        <f>'OECD EMPN'!J75</f>
        <v>4611.3999999999996</v>
      </c>
      <c r="G65">
        <f>'OECD EMPN'!K75</f>
        <v>1947.7</v>
      </c>
      <c r="H65">
        <f>'OECD EMPN'!M75</f>
        <v>961.4</v>
      </c>
      <c r="I65">
        <f>'OECD EMPN'!N75</f>
        <v>1192.5</v>
      </c>
      <c r="J65">
        <f>'OECD EMPN'!P75</f>
        <v>128.69999999999999</v>
      </c>
      <c r="K65" s="21">
        <f>'OECD EMPN'!Q75</f>
        <v>1728.8</v>
      </c>
      <c r="L65">
        <f>'OECD EMPN'!R75</f>
        <v>1592.6</v>
      </c>
      <c r="M65">
        <f>'OECD EMPN'!S75</f>
        <v>1166.3</v>
      </c>
      <c r="N65">
        <f>'OECD EMPN'!U75</f>
        <v>930.4</v>
      </c>
      <c r="O65">
        <f>'OECD EMPN'!V75</f>
        <v>3523</v>
      </c>
      <c r="P65">
        <f>'OECD EMPN'!X75</f>
        <v>1066</v>
      </c>
      <c r="Q65">
        <f>'OECD EMPN'!Y75</f>
        <v>1462.7</v>
      </c>
      <c r="R65">
        <f>'OECD EMPN'!Z75</f>
        <v>2886.5</v>
      </c>
      <c r="S65">
        <f>'OECD EMPN'!AB75</f>
        <v>2468.5</v>
      </c>
      <c r="T65">
        <f>'OECD EMPN'!AC75</f>
        <v>667.2</v>
      </c>
      <c r="U65">
        <f>'OECD EMPN'!AD75</f>
        <v>3345.2</v>
      </c>
      <c r="V65">
        <f>'OECD EMPN'!AE75</f>
        <v>2831.2</v>
      </c>
      <c r="W65">
        <f>'OECD EMPN'!AF75</f>
        <v>13495.8</v>
      </c>
      <c r="X65">
        <f>'OECD EMPN'!AI75</f>
        <v>29399.8</v>
      </c>
      <c r="Y65">
        <f>'OECD EMPN'!AJ75</f>
        <v>10928.6</v>
      </c>
      <c r="Z65">
        <f>'OECD EMPN'!AK75</f>
        <v>9416</v>
      </c>
      <c r="AA65">
        <f>'OECD EMPN'!AM75</f>
        <v>1267</v>
      </c>
      <c r="AB65">
        <f>'OECD EMPN'!AN75</f>
        <v>792.8</v>
      </c>
      <c r="AC65">
        <f>'OECD EMPN'!AO75</f>
        <v>4222.1000000000004</v>
      </c>
      <c r="AD65">
        <f>'OECD EMPN'!AP75</f>
        <v>4812.5</v>
      </c>
      <c r="AE65">
        <f>'OECD EMPN'!AQ75</f>
        <v>2155</v>
      </c>
      <c r="AF65">
        <f>'OECD EMPN'!AR75</f>
        <v>25800.5</v>
      </c>
      <c r="AG65">
        <f>'OECD EMPN'!AU75</f>
        <v>13646.8</v>
      </c>
      <c r="AH65">
        <f>'OECD EMPN'!AV75</f>
        <v>13757.7</v>
      </c>
      <c r="AI65">
        <f>'OECD EMPN'!AW75</f>
        <v>22009.9</v>
      </c>
      <c r="AJ65">
        <f>'OECD EMPN'!AY75</f>
        <v>8992.9</v>
      </c>
      <c r="AK65">
        <f>'OECD EMPN'!AZ75</f>
        <v>3376.2</v>
      </c>
    </row>
    <row r="66" spans="1:37">
      <c r="A66" t="str">
        <f>'OECD EMPN'!A76</f>
        <v>EU28</v>
      </c>
      <c r="B66">
        <f>'OECD EMPN'!D76</f>
        <v>9753.5</v>
      </c>
      <c r="C66">
        <f>'OECD EMPN'!F76</f>
        <v>214.8</v>
      </c>
      <c r="D66">
        <f>'OECD EMPN'!G76</f>
        <v>275.60000000000002</v>
      </c>
      <c r="E66">
        <f>'OECD EMPN'!H76</f>
        <v>80.599999999999994</v>
      </c>
      <c r="F66">
        <f>'OECD EMPN'!J76</f>
        <v>5046.3</v>
      </c>
      <c r="G66">
        <f>'OECD EMPN'!K76</f>
        <v>2055.8000000000002</v>
      </c>
      <c r="H66">
        <f>'OECD EMPN'!M76</f>
        <v>1043.9000000000001</v>
      </c>
      <c r="I66">
        <f>'OECD EMPN'!N76</f>
        <v>1332.7</v>
      </c>
      <c r="J66">
        <f>'OECD EMPN'!P76</f>
        <v>138.5</v>
      </c>
      <c r="K66" s="21">
        <f>'OECD EMPN'!Q76</f>
        <v>1869.5</v>
      </c>
      <c r="L66">
        <f>'OECD EMPN'!R76</f>
        <v>1746.4</v>
      </c>
      <c r="M66">
        <f>'OECD EMPN'!S76</f>
        <v>1258.7</v>
      </c>
      <c r="N66">
        <f>'OECD EMPN'!U76</f>
        <v>996.6</v>
      </c>
      <c r="O66">
        <f>'OECD EMPN'!V76</f>
        <v>3810.4</v>
      </c>
      <c r="P66">
        <f>'OECD EMPN'!X76</f>
        <v>1183.8</v>
      </c>
      <c r="Q66">
        <f>'OECD EMPN'!Y76</f>
        <v>1535.4</v>
      </c>
      <c r="R66">
        <f>'OECD EMPN'!Z76</f>
        <v>3062.8</v>
      </c>
      <c r="S66">
        <f>'OECD EMPN'!AB76</f>
        <v>2628.4</v>
      </c>
      <c r="T66">
        <f>'OECD EMPN'!AC76</f>
        <v>814.3</v>
      </c>
      <c r="U66">
        <f>'OECD EMPN'!AD76</f>
        <v>3641.6</v>
      </c>
      <c r="V66">
        <f>'OECD EMPN'!AE76</f>
        <v>3156.7</v>
      </c>
      <c r="W66">
        <f>'OECD EMPN'!AF76</f>
        <v>15696.9</v>
      </c>
      <c r="X66">
        <f>'OECD EMPN'!AI76</f>
        <v>34107.4</v>
      </c>
      <c r="Y66">
        <f>'OECD EMPN'!AJ76</f>
        <v>12542.3</v>
      </c>
      <c r="Z66">
        <f>'OECD EMPN'!AK76</f>
        <v>11563.7</v>
      </c>
      <c r="AA66">
        <f>'OECD EMPN'!AM76</f>
        <v>1625.5</v>
      </c>
      <c r="AB66">
        <f>'OECD EMPN'!AN76</f>
        <v>1013.6</v>
      </c>
      <c r="AC66">
        <f>'OECD EMPN'!AO76</f>
        <v>5073.8</v>
      </c>
      <c r="AD66">
        <f>'OECD EMPN'!AP76</f>
        <v>5879.7</v>
      </c>
      <c r="AE66">
        <f>'OECD EMPN'!AQ76</f>
        <v>2729.4</v>
      </c>
      <c r="AF66">
        <f>'OECD EMPN'!AR76</f>
        <v>31241.5</v>
      </c>
      <c r="AG66">
        <f>'OECD EMPN'!AU76</f>
        <v>15095</v>
      </c>
      <c r="AH66">
        <f>'OECD EMPN'!AV76</f>
        <v>16457.900000000001</v>
      </c>
      <c r="AI66">
        <f>'OECD EMPN'!AW76</f>
        <v>26129.4</v>
      </c>
      <c r="AJ66">
        <f>'OECD EMPN'!AY76</f>
        <v>10739.7</v>
      </c>
      <c r="AK66">
        <f>'OECD EMPN'!AZ76</f>
        <v>3422.1</v>
      </c>
    </row>
    <row r="67" spans="1:37">
      <c r="A67" t="str">
        <f>'OECD EMPN'!A77</f>
        <v>EU15</v>
      </c>
      <c r="B67">
        <f>'OECD EMPN'!D77</f>
        <v>4999.6000000000004</v>
      </c>
      <c r="C67">
        <f>'OECD EMPN'!F77</f>
        <v>30.5</v>
      </c>
      <c r="D67">
        <f>'OECD EMPN'!G77</f>
        <v>157.69999999999999</v>
      </c>
      <c r="E67">
        <f>'OECD EMPN'!H77</f>
        <v>37.799999999999997</v>
      </c>
      <c r="F67">
        <f>'OECD EMPN'!J77</f>
        <v>3708.6</v>
      </c>
      <c r="G67">
        <f>'OECD EMPN'!K77</f>
        <v>1224</v>
      </c>
      <c r="H67">
        <f>'OECD EMPN'!M77</f>
        <v>603.79999999999995</v>
      </c>
      <c r="I67">
        <f>'OECD EMPN'!N77</f>
        <v>1007.7</v>
      </c>
      <c r="J67">
        <f>'OECD EMPN'!P77</f>
        <v>89</v>
      </c>
      <c r="K67" s="21">
        <f>'OECD EMPN'!Q77</f>
        <v>1494.2</v>
      </c>
      <c r="L67">
        <f>'OECD EMPN'!R77</f>
        <v>1207.5</v>
      </c>
      <c r="M67">
        <f>'OECD EMPN'!S77</f>
        <v>879</v>
      </c>
      <c r="N67">
        <f>'OECD EMPN'!U77</f>
        <v>741.4</v>
      </c>
      <c r="O67">
        <f>'OECD EMPN'!V77</f>
        <v>2826.4</v>
      </c>
      <c r="P67">
        <f>'OECD EMPN'!X77</f>
        <v>878.1</v>
      </c>
      <c r="Q67">
        <f>'OECD EMPN'!Y77</f>
        <v>1030.5</v>
      </c>
      <c r="R67">
        <f>'OECD EMPN'!Z77</f>
        <v>2521.4</v>
      </c>
      <c r="S67">
        <f>'OECD EMPN'!AB77</f>
        <v>1693.3</v>
      </c>
      <c r="T67">
        <f>'OECD EMPN'!AC77</f>
        <v>604.79999999999995</v>
      </c>
      <c r="U67">
        <f>'OECD EMPN'!AD77</f>
        <v>2544.3000000000002</v>
      </c>
      <c r="V67">
        <f>'OECD EMPN'!AE77</f>
        <v>2158.1999999999998</v>
      </c>
      <c r="W67">
        <f>'OECD EMPN'!AF77</f>
        <v>12051.1</v>
      </c>
      <c r="X67">
        <f>'OECD EMPN'!AI77</f>
        <v>27425.3</v>
      </c>
      <c r="Y67">
        <f>'OECD EMPN'!AJ77</f>
        <v>9567.4</v>
      </c>
      <c r="Z67">
        <f>'OECD EMPN'!AK77</f>
        <v>10133.9</v>
      </c>
      <c r="AA67">
        <f>'OECD EMPN'!AM77</f>
        <v>1369.4</v>
      </c>
      <c r="AB67">
        <f>'OECD EMPN'!AN77</f>
        <v>769.3</v>
      </c>
      <c r="AC67">
        <f>'OECD EMPN'!AO77</f>
        <v>4184.3</v>
      </c>
      <c r="AD67">
        <f>'OECD EMPN'!AP77</f>
        <v>4922.8999999999996</v>
      </c>
      <c r="AE67">
        <f>'OECD EMPN'!AQ77</f>
        <v>2264.9</v>
      </c>
      <c r="AF67">
        <f>'OECD EMPN'!AR77</f>
        <v>27657.3</v>
      </c>
      <c r="AG67">
        <f>'OECD EMPN'!AU77</f>
        <v>12158.6</v>
      </c>
      <c r="AH67">
        <f>'OECD EMPN'!AV77</f>
        <v>13298.4</v>
      </c>
      <c r="AI67">
        <f>'OECD EMPN'!AW77</f>
        <v>23295.200000000001</v>
      </c>
      <c r="AJ67">
        <f>'OECD EMPN'!AY77</f>
        <v>9047.7000000000007</v>
      </c>
      <c r="AK67">
        <f>'OECD EMPN'!AZ77</f>
        <v>3358.8</v>
      </c>
    </row>
    <row r="68" spans="1:37">
      <c r="A68" t="str">
        <f>'OECD EMPN'!A78</f>
        <v>EU28XEU15</v>
      </c>
      <c r="B68">
        <f>'OECD EMPN'!D78</f>
        <v>4753.8999999999996</v>
      </c>
      <c r="C68">
        <f>'OECD EMPN'!F78</f>
        <v>184.4</v>
      </c>
      <c r="D68">
        <f>'OECD EMPN'!G78</f>
        <v>117.8</v>
      </c>
      <c r="E68">
        <f>'OECD EMPN'!H78</f>
        <v>42.8</v>
      </c>
      <c r="F68">
        <f>'OECD EMPN'!J78</f>
        <v>1337.7</v>
      </c>
      <c r="G68">
        <f>'OECD EMPN'!K78</f>
        <v>831.8</v>
      </c>
      <c r="H68">
        <f>'OECD EMPN'!M78</f>
        <v>440.1</v>
      </c>
      <c r="I68">
        <f>'OECD EMPN'!N78</f>
        <v>325</v>
      </c>
      <c r="J68">
        <f>'OECD EMPN'!P78</f>
        <v>49.5</v>
      </c>
      <c r="K68" s="21">
        <f>'OECD EMPN'!Q78</f>
        <v>375.3</v>
      </c>
      <c r="L68">
        <f>'OECD EMPN'!R78</f>
        <v>538.9</v>
      </c>
      <c r="M68">
        <f>'OECD EMPN'!S78</f>
        <v>379.7</v>
      </c>
      <c r="N68">
        <f>'OECD EMPN'!U78</f>
        <v>255.2</v>
      </c>
      <c r="O68">
        <f>'OECD EMPN'!V78</f>
        <v>984</v>
      </c>
      <c r="P68">
        <f>'OECD EMPN'!X78</f>
        <v>305.7</v>
      </c>
      <c r="Q68">
        <f>'OECD EMPN'!Y78</f>
        <v>504.9</v>
      </c>
      <c r="R68">
        <f>'OECD EMPN'!Z78</f>
        <v>541.29999999999995</v>
      </c>
      <c r="S68">
        <f>'OECD EMPN'!AB78</f>
        <v>935.1</v>
      </c>
      <c r="T68">
        <f>'OECD EMPN'!AC78</f>
        <v>209.5</v>
      </c>
      <c r="U68">
        <f>'OECD EMPN'!AD78</f>
        <v>1097.2</v>
      </c>
      <c r="V68">
        <f>'OECD EMPN'!AE78</f>
        <v>998.5</v>
      </c>
      <c r="W68">
        <f>'OECD EMPN'!AF78</f>
        <v>3645.8</v>
      </c>
      <c r="X68">
        <f>'OECD EMPN'!AI78</f>
        <v>6682.2</v>
      </c>
      <c r="Y68">
        <f>'OECD EMPN'!AJ78</f>
        <v>2974.9</v>
      </c>
      <c r="Z68">
        <f>'OECD EMPN'!AK78</f>
        <v>1429.8</v>
      </c>
      <c r="AA68">
        <f>'OECD EMPN'!AM78</f>
        <v>256.10000000000002</v>
      </c>
      <c r="AB68">
        <f>'OECD EMPN'!AN78</f>
        <v>244.4</v>
      </c>
      <c r="AC68">
        <f>'OECD EMPN'!AO78</f>
        <v>889.5</v>
      </c>
      <c r="AD68">
        <f>'OECD EMPN'!AP78</f>
        <v>956.7</v>
      </c>
      <c r="AE68">
        <f>'OECD EMPN'!AQ78</f>
        <v>464.5</v>
      </c>
      <c r="AF68">
        <f>'OECD EMPN'!AR78</f>
        <v>3584.2</v>
      </c>
      <c r="AG68">
        <f>'OECD EMPN'!AU78</f>
        <v>2936.4</v>
      </c>
      <c r="AH68">
        <f>'OECD EMPN'!AV78</f>
        <v>3159.6</v>
      </c>
      <c r="AI68">
        <f>'OECD EMPN'!AW78</f>
        <v>2834.2</v>
      </c>
      <c r="AJ68">
        <f>'OECD EMPN'!AY78</f>
        <v>1692</v>
      </c>
      <c r="AK68">
        <f>'OECD EMPN'!AZ78</f>
        <v>63.2</v>
      </c>
    </row>
    <row r="69" spans="1:37">
      <c r="A69" t="str">
        <f>'OECD EMPN'!A79</f>
        <v>EA19</v>
      </c>
      <c r="B69">
        <f>'OECD EMPN'!D79</f>
        <v>4761.3999999999996</v>
      </c>
      <c r="C69">
        <f>'OECD EMPN'!F79</f>
        <v>19.3</v>
      </c>
      <c r="D69">
        <f>'OECD EMPN'!G79</f>
        <v>137.1</v>
      </c>
      <c r="E69">
        <f>'OECD EMPN'!H79</f>
        <v>12.7</v>
      </c>
      <c r="F69">
        <f>'OECD EMPN'!J79</f>
        <v>3338.2</v>
      </c>
      <c r="G69">
        <f>'OECD EMPN'!K79</f>
        <v>1192.7</v>
      </c>
      <c r="H69">
        <f>'OECD EMPN'!M79</f>
        <v>582.29999999999995</v>
      </c>
      <c r="I69">
        <f>'OECD EMPN'!N79</f>
        <v>865.1</v>
      </c>
      <c r="J69">
        <f>'OECD EMPN'!P79</f>
        <v>80.400000000000006</v>
      </c>
      <c r="K69" s="21">
        <f>'OECD EMPN'!Q79</f>
        <v>1334</v>
      </c>
      <c r="L69">
        <f>'OECD EMPN'!R79</f>
        <v>1094.7</v>
      </c>
      <c r="M69">
        <f>'OECD EMPN'!S79</f>
        <v>804</v>
      </c>
      <c r="N69">
        <f>'OECD EMPN'!U79</f>
        <v>677.6</v>
      </c>
      <c r="O69">
        <f>'OECD EMPN'!V79</f>
        <v>2607.9</v>
      </c>
      <c r="P69">
        <f>'OECD EMPN'!X79</f>
        <v>757.1</v>
      </c>
      <c r="Q69">
        <f>'OECD EMPN'!Y79</f>
        <v>995.3</v>
      </c>
      <c r="R69">
        <f>'OECD EMPN'!Z79</f>
        <v>2292.4</v>
      </c>
      <c r="S69">
        <f>'OECD EMPN'!AB79</f>
        <v>1568.5</v>
      </c>
      <c r="T69">
        <f>'OECD EMPN'!AC79</f>
        <v>452.3</v>
      </c>
      <c r="U69">
        <f>'OECD EMPN'!AD79</f>
        <v>2322.8000000000002</v>
      </c>
      <c r="V69">
        <f>'OECD EMPN'!AE79</f>
        <v>1871.8</v>
      </c>
      <c r="W69">
        <f>'OECD EMPN'!AF79</f>
        <v>9811.2999999999993</v>
      </c>
      <c r="X69">
        <f>'OECD EMPN'!AI79</f>
        <v>22719.3</v>
      </c>
      <c r="Y69">
        <f>'OECD EMPN'!AJ79</f>
        <v>8003.1</v>
      </c>
      <c r="Z69">
        <f>'OECD EMPN'!AK79</f>
        <v>7969</v>
      </c>
      <c r="AA69">
        <f>'OECD EMPN'!AM79</f>
        <v>956.7</v>
      </c>
      <c r="AB69">
        <f>'OECD EMPN'!AN79</f>
        <v>554.4</v>
      </c>
      <c r="AC69">
        <f>'OECD EMPN'!AO79</f>
        <v>3300.2</v>
      </c>
      <c r="AD69">
        <f>'OECD EMPN'!AP79</f>
        <v>3822.9</v>
      </c>
      <c r="AE69">
        <f>'OECD EMPN'!AQ79</f>
        <v>1644</v>
      </c>
      <c r="AF69">
        <f>'OECD EMPN'!AR79</f>
        <v>21991.9</v>
      </c>
      <c r="AG69">
        <f>'OECD EMPN'!AU79</f>
        <v>10729.3</v>
      </c>
      <c r="AH69">
        <f>'OECD EMPN'!AV79</f>
        <v>10446</v>
      </c>
      <c r="AI69">
        <f>'OECD EMPN'!AW79</f>
        <v>18234.3</v>
      </c>
      <c r="AJ69">
        <f>'OECD EMPN'!AY79</f>
        <v>7216.1</v>
      </c>
      <c r="AK69">
        <f>'OECD EMPN'!AZ79</f>
        <v>3316.3</v>
      </c>
    </row>
    <row r="70" spans="1:37">
      <c r="A70" t="str">
        <f>'OECD EMPN'!A80</f>
        <v>G20</v>
      </c>
      <c r="B70">
        <f>'OECD EMPN'!D80</f>
        <v>502235.1</v>
      </c>
      <c r="C70">
        <f>'OECD EMPN'!F80</f>
        <v>7764.9</v>
      </c>
      <c r="D70">
        <f>'OECD EMPN'!G80</f>
        <v>5720</v>
      </c>
      <c r="E70">
        <f>'OECD EMPN'!H80</f>
        <v>1242.9000000000001</v>
      </c>
      <c r="F70">
        <f>'OECD EMPN'!J80</f>
        <v>38930</v>
      </c>
      <c r="G70">
        <f>'OECD EMPN'!K80</f>
        <v>42444.5</v>
      </c>
      <c r="H70">
        <f>'OECD EMPN'!M80</f>
        <v>8701.2000000000007</v>
      </c>
      <c r="I70">
        <f>'OECD EMPN'!N80</f>
        <v>10558.7</v>
      </c>
      <c r="J70">
        <f>'OECD EMPN'!P80</f>
        <v>2197.8000000000002</v>
      </c>
      <c r="K70" s="21">
        <f>'OECD EMPN'!Q80</f>
        <v>18386.2</v>
      </c>
      <c r="L70">
        <f>'OECD EMPN'!R80</f>
        <v>13142.7</v>
      </c>
      <c r="M70">
        <f>'OECD EMPN'!S80</f>
        <v>17439.599999999999</v>
      </c>
      <c r="N70">
        <f>'OECD EMPN'!U80</f>
        <v>11941</v>
      </c>
      <c r="O70">
        <f>'OECD EMPN'!V80</f>
        <v>21247.9</v>
      </c>
      <c r="P70">
        <f>'OECD EMPN'!X80</f>
        <v>19980.5</v>
      </c>
      <c r="Q70">
        <f>'OECD EMPN'!Y80</f>
        <v>15248.2</v>
      </c>
      <c r="R70">
        <f>'OECD EMPN'!Z80</f>
        <v>24193.9</v>
      </c>
      <c r="S70">
        <f>'OECD EMPN'!AB80</f>
        <v>16024.5</v>
      </c>
      <c r="T70">
        <f>'OECD EMPN'!AC80</f>
        <v>5952.5</v>
      </c>
      <c r="U70">
        <f>'OECD EMPN'!AD80</f>
        <v>30053.4</v>
      </c>
      <c r="V70">
        <f>'OECD EMPN'!AE80</f>
        <v>20000.7</v>
      </c>
      <c r="W70">
        <f>'OECD EMPN'!AF80</f>
        <v>175073.8</v>
      </c>
      <c r="X70">
        <f>'OECD EMPN'!AI80</f>
        <v>312407.8</v>
      </c>
      <c r="Y70">
        <f>'OECD EMPN'!AJ80</f>
        <v>98885.8</v>
      </c>
      <c r="Z70">
        <f>'OECD EMPN'!AK80</f>
        <v>89386.9</v>
      </c>
      <c r="AA70">
        <f>'OECD EMPN'!AM80</f>
        <v>7122.6</v>
      </c>
      <c r="AB70">
        <f>'OECD EMPN'!AN80</f>
        <v>6638.8</v>
      </c>
      <c r="AC70">
        <f>'OECD EMPN'!AO80</f>
        <v>23579.7</v>
      </c>
      <c r="AD70">
        <f>'OECD EMPN'!AP80</f>
        <v>40238</v>
      </c>
      <c r="AE70">
        <f>'OECD EMPN'!AQ80</f>
        <v>27291.5</v>
      </c>
      <c r="AF70">
        <f>'OECD EMPN'!AR80</f>
        <v>154674</v>
      </c>
      <c r="AG70">
        <f>'OECD EMPN'!AU80</f>
        <v>94006.1</v>
      </c>
      <c r="AH70">
        <f>'OECD EMPN'!AV80</f>
        <v>113867</v>
      </c>
      <c r="AI70">
        <f>'OECD EMPN'!AW80</f>
        <v>105636.9</v>
      </c>
      <c r="AJ70">
        <f>'OECD EMPN'!AY80</f>
        <v>108090.5</v>
      </c>
      <c r="AK70">
        <f>'OECD EMPN'!AZ80</f>
        <v>24033.599999999999</v>
      </c>
    </row>
    <row r="71" spans="1:37">
      <c r="A71" t="str">
        <f>'OECD EMPN'!A81</f>
        <v>E</v>
      </c>
      <c r="B71">
        <f>'OECD EMPN'!D81</f>
        <v>17295.7</v>
      </c>
      <c r="C71">
        <f>'OECD EMPN'!F81</f>
        <v>1340.5</v>
      </c>
      <c r="D71">
        <f>'OECD EMPN'!G81</f>
        <v>1008.3</v>
      </c>
      <c r="E71">
        <f>'OECD EMPN'!H81</f>
        <v>190.2</v>
      </c>
      <c r="F71">
        <f>'OECD EMPN'!J81</f>
        <v>7404.3</v>
      </c>
      <c r="G71">
        <f>'OECD EMPN'!K81</f>
        <v>2482.1999999999998</v>
      </c>
      <c r="H71">
        <f>'OECD EMPN'!M81</f>
        <v>1394.1</v>
      </c>
      <c r="I71">
        <f>'OECD EMPN'!N81</f>
        <v>1717.9</v>
      </c>
      <c r="J71">
        <f>'OECD EMPN'!P81</f>
        <v>543.5</v>
      </c>
      <c r="K71" s="21">
        <f>'OECD EMPN'!Q81</f>
        <v>2939.5</v>
      </c>
      <c r="L71">
        <f>'OECD EMPN'!R81</f>
        <v>2128.1999999999998</v>
      </c>
      <c r="M71">
        <f>'OECD EMPN'!S81</f>
        <v>1979.6</v>
      </c>
      <c r="N71">
        <f>'OECD EMPN'!U81</f>
        <v>2224.1</v>
      </c>
      <c r="O71">
        <f>'OECD EMPN'!V81</f>
        <v>4923.1000000000004</v>
      </c>
      <c r="P71">
        <f>'OECD EMPN'!X81</f>
        <v>2076.5</v>
      </c>
      <c r="Q71">
        <f>'OECD EMPN'!Y81</f>
        <v>2030.8</v>
      </c>
      <c r="R71">
        <f>'OECD EMPN'!Z81</f>
        <v>3963</v>
      </c>
      <c r="S71">
        <f>'OECD EMPN'!AB81</f>
        <v>3252</v>
      </c>
      <c r="T71">
        <f>'OECD EMPN'!AC81</f>
        <v>2118.4</v>
      </c>
      <c r="U71">
        <f>'OECD EMPN'!AD81</f>
        <v>4449.8999999999996</v>
      </c>
      <c r="V71">
        <f>'OECD EMPN'!AE81</f>
        <v>6304.2</v>
      </c>
      <c r="W71">
        <f>'OECD EMPN'!AF81</f>
        <v>22059.599999999999</v>
      </c>
      <c r="X71">
        <f>'OECD EMPN'!AI81</f>
        <v>50607.1</v>
      </c>
      <c r="Y71">
        <f>'OECD EMPN'!AJ81</f>
        <v>20354.8</v>
      </c>
      <c r="Z71">
        <f>'OECD EMPN'!AK81</f>
        <v>13929.7</v>
      </c>
      <c r="AA71">
        <f>'OECD EMPN'!AM81</f>
        <v>2009</v>
      </c>
      <c r="AB71">
        <f>'OECD EMPN'!AN81</f>
        <v>1782.2</v>
      </c>
      <c r="AC71">
        <f>'OECD EMPN'!AO81</f>
        <v>5954.7</v>
      </c>
      <c r="AD71">
        <f>'OECD EMPN'!AP81</f>
        <v>7973</v>
      </c>
      <c r="AE71">
        <f>'OECD EMPN'!AQ81</f>
        <v>4435.5</v>
      </c>
      <c r="AF71">
        <f>'OECD EMPN'!AR81</f>
        <v>37416.400000000001</v>
      </c>
      <c r="AG71">
        <f>'OECD EMPN'!AU81</f>
        <v>21578</v>
      </c>
      <c r="AH71">
        <f>'OECD EMPN'!AV81</f>
        <v>25602.1</v>
      </c>
      <c r="AI71">
        <f>'OECD EMPN'!AW81</f>
        <v>34226.1</v>
      </c>
      <c r="AJ71">
        <f>'OECD EMPN'!AY81</f>
        <v>13910.8</v>
      </c>
      <c r="AK71">
        <f>'OECD EMPN'!AZ81</f>
        <v>4538.1000000000004</v>
      </c>
    </row>
    <row r="72" spans="1:37">
      <c r="A72" t="str">
        <f>'OECD EMPN'!A82</f>
        <v>NAFTA</v>
      </c>
      <c r="B72">
        <f>'OECD EMPN'!D82</f>
        <v>5360.3</v>
      </c>
      <c r="C72">
        <f>'OECD EMPN'!F82</f>
        <v>279.8</v>
      </c>
      <c r="D72">
        <f>'OECD EMPN'!G82</f>
        <v>343</v>
      </c>
      <c r="E72">
        <f>'OECD EMPN'!H82</f>
        <v>417.6</v>
      </c>
      <c r="F72">
        <f>'OECD EMPN'!J82</f>
        <v>3450.6</v>
      </c>
      <c r="G72">
        <f>'OECD EMPN'!K82</f>
        <v>1017.4</v>
      </c>
      <c r="H72">
        <f>'OECD EMPN'!M82</f>
        <v>626.5</v>
      </c>
      <c r="I72">
        <f>'OECD EMPN'!N82</f>
        <v>1017.8</v>
      </c>
      <c r="J72">
        <f>'OECD EMPN'!P82</f>
        <v>134.69999999999999</v>
      </c>
      <c r="K72" s="21">
        <f>'OECD EMPN'!Q82</f>
        <v>1210.2</v>
      </c>
      <c r="L72">
        <f>'OECD EMPN'!R82</f>
        <v>1146.2</v>
      </c>
      <c r="M72">
        <f>'OECD EMPN'!S82</f>
        <v>681.9</v>
      </c>
      <c r="N72">
        <f>'OECD EMPN'!U82</f>
        <v>491.5</v>
      </c>
      <c r="O72">
        <f>'OECD EMPN'!V82</f>
        <v>1930.1</v>
      </c>
      <c r="P72">
        <f>'OECD EMPN'!X82</f>
        <v>2004</v>
      </c>
      <c r="Q72">
        <f>'OECD EMPN'!Y82</f>
        <v>722.2</v>
      </c>
      <c r="R72">
        <f>'OECD EMPN'!Z82</f>
        <v>1515.3</v>
      </c>
      <c r="S72">
        <f>'OECD EMPN'!AB82</f>
        <v>1861.2</v>
      </c>
      <c r="T72">
        <f>'OECD EMPN'!AC82</f>
        <v>866</v>
      </c>
      <c r="U72">
        <f>'OECD EMPN'!AD82</f>
        <v>1832.7</v>
      </c>
      <c r="V72">
        <f>'OECD EMPN'!AE82</f>
        <v>1439.2</v>
      </c>
      <c r="W72">
        <f>'OECD EMPN'!AF82</f>
        <v>14382.9</v>
      </c>
      <c r="X72">
        <f>'OECD EMPN'!AI82</f>
        <v>30948.9</v>
      </c>
      <c r="Y72">
        <f>'OECD EMPN'!AJ82</f>
        <v>10561.7</v>
      </c>
      <c r="Z72">
        <f>'OECD EMPN'!AK82</f>
        <v>14630.4</v>
      </c>
      <c r="AA72">
        <f>'OECD EMPN'!AM82</f>
        <v>1946.4</v>
      </c>
      <c r="AB72">
        <f>'OECD EMPN'!AN82</f>
        <v>926.9</v>
      </c>
      <c r="AC72">
        <f>'OECD EMPN'!AO82</f>
        <v>3486.5</v>
      </c>
      <c r="AD72">
        <f>'OECD EMPN'!AP82</f>
        <v>8222.6</v>
      </c>
      <c r="AE72">
        <f>'OECD EMPN'!AQ82</f>
        <v>3084</v>
      </c>
      <c r="AF72">
        <f>'OECD EMPN'!AR82</f>
        <v>28124.5</v>
      </c>
      <c r="AG72">
        <f>'OECD EMPN'!AU82</f>
        <v>17609.099999999999</v>
      </c>
      <c r="AH72">
        <f>'OECD EMPN'!AV82</f>
        <v>17890.599999999999</v>
      </c>
      <c r="AI72">
        <f>'OECD EMPN'!AW82</f>
        <v>24277.200000000001</v>
      </c>
      <c r="AJ72">
        <f>'OECD EMPN'!AY82</f>
        <v>9076.7000000000007</v>
      </c>
      <c r="AK72">
        <f>'OECD EMPN'!AZ82</f>
        <v>3537.8</v>
      </c>
    </row>
  </sheetData>
  <phoneticPr fontId="19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395E0-08D9-4E15-A9AF-592C351C1A09}">
  <dimension ref="A1:K6"/>
  <sheetViews>
    <sheetView workbookViewId="0"/>
  </sheetViews>
  <sheetFormatPr defaultRowHeight="16.5"/>
  <cols>
    <col min="2" max="2" width="26.25" customWidth="1"/>
    <col min="11" max="11" width="11" bestFit="1" customWidth="1"/>
  </cols>
  <sheetData>
    <row r="1" spans="1:11">
      <c r="A1" t="s">
        <v>1200</v>
      </c>
    </row>
    <row r="2" spans="1:11">
      <c r="B2" t="s">
        <v>1169</v>
      </c>
    </row>
    <row r="3" spans="1:11">
      <c r="B3" t="s">
        <v>1170</v>
      </c>
    </row>
    <row r="4" spans="1:11" ht="17.25" thickBot="1"/>
    <row r="5" spans="1:11">
      <c r="B5" s="4" t="s">
        <v>116</v>
      </c>
      <c r="C5" s="71" t="s">
        <v>112</v>
      </c>
      <c r="D5" s="72" t="s">
        <v>113</v>
      </c>
      <c r="E5" s="71" t="s">
        <v>1113</v>
      </c>
      <c r="F5" s="73" t="s">
        <v>1114</v>
      </c>
      <c r="G5" s="71" t="s">
        <v>1115</v>
      </c>
      <c r="H5" s="73" t="s">
        <v>1116</v>
      </c>
      <c r="I5" s="72" t="s">
        <v>1117</v>
      </c>
      <c r="J5" s="72" t="s">
        <v>1118</v>
      </c>
      <c r="K5" s="73" t="s">
        <v>1119</v>
      </c>
    </row>
    <row r="6" spans="1:11" ht="17.25" thickBot="1">
      <c r="B6" s="74" t="s">
        <v>1184</v>
      </c>
      <c r="C6" s="68">
        <v>270.65143294335809</v>
      </c>
      <c r="D6" s="69">
        <v>126.89114032466233</v>
      </c>
      <c r="E6" s="68">
        <v>1399.0963966132683</v>
      </c>
      <c r="F6" s="70">
        <v>2804.2150285444986</v>
      </c>
      <c r="G6" s="68">
        <v>8404.0067644680657</v>
      </c>
      <c r="H6" s="70">
        <v>1897.0135867349613</v>
      </c>
      <c r="I6" s="69">
        <v>5285.7095254540718</v>
      </c>
      <c r="J6" s="69">
        <v>703.06305168575625</v>
      </c>
      <c r="K6" s="70">
        <v>5163.3144871152326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1E7F-80B2-41F3-AFE5-32C1C7443D4A}">
  <dimension ref="A1:N19"/>
  <sheetViews>
    <sheetView topLeftCell="A2" workbookViewId="0">
      <selection activeCell="I9" sqref="I9"/>
    </sheetView>
  </sheetViews>
  <sheetFormatPr defaultColWidth="8.75" defaultRowHeight="16.5"/>
  <cols>
    <col min="1" max="1" width="14.875" customWidth="1"/>
    <col min="2" max="2" width="5.25" customWidth="1"/>
    <col min="3" max="6" width="14.125" customWidth="1"/>
    <col min="7" max="7" width="32.75" customWidth="1"/>
    <col min="8" max="14" width="14.125" customWidth="1"/>
  </cols>
  <sheetData>
    <row r="1" spans="1:14" hidden="1">
      <c r="A1" s="48" t="e">
        <f ca="1">DotStatQuery(B1)</f>
        <v>#NAME?</v>
      </c>
      <c r="B1" s="48" t="s">
        <v>1186</v>
      </c>
    </row>
    <row r="2" spans="1:14" ht="17.25" thickBot="1">
      <c r="A2" s="213" t="s">
        <v>1415</v>
      </c>
    </row>
    <row r="3" spans="1:14" ht="21.75" thickBot="1">
      <c r="A3" s="261" t="s">
        <v>5</v>
      </c>
      <c r="B3" s="262"/>
      <c r="C3" s="47" t="s">
        <v>1414</v>
      </c>
      <c r="D3" s="46"/>
      <c r="E3" s="46"/>
      <c r="F3" s="46"/>
      <c r="G3" s="189"/>
      <c r="H3" s="189"/>
      <c r="I3" s="46"/>
      <c r="J3" s="46"/>
      <c r="K3" s="46"/>
      <c r="L3" s="46"/>
      <c r="M3" s="181"/>
      <c r="N3" s="182"/>
    </row>
    <row r="4" spans="1:14" ht="24" customHeight="1">
      <c r="A4" s="259" t="s">
        <v>1158</v>
      </c>
      <c r="B4" s="260"/>
      <c r="C4" s="255" t="s">
        <v>1157</v>
      </c>
      <c r="D4" s="263"/>
      <c r="E4" s="255" t="s">
        <v>1156</v>
      </c>
      <c r="F4" s="256"/>
      <c r="G4" s="264" t="s">
        <v>1155</v>
      </c>
      <c r="H4" s="265"/>
      <c r="I4" s="256" t="s">
        <v>1154</v>
      </c>
      <c r="J4" s="263"/>
      <c r="K4" s="255" t="s">
        <v>1153</v>
      </c>
      <c r="L4" s="256"/>
      <c r="M4" s="257" t="s">
        <v>1152</v>
      </c>
      <c r="N4" s="258"/>
    </row>
    <row r="5" spans="1:14" ht="53.25" thickBot="1">
      <c r="A5" s="259" t="s">
        <v>99</v>
      </c>
      <c r="B5" s="260"/>
      <c r="C5" s="45" t="s">
        <v>1151</v>
      </c>
      <c r="D5" s="45" t="s">
        <v>1150</v>
      </c>
      <c r="E5" s="45" t="s">
        <v>1151</v>
      </c>
      <c r="F5" s="45" t="s">
        <v>1150</v>
      </c>
      <c r="G5" s="190" t="s">
        <v>1151</v>
      </c>
      <c r="H5" s="191" t="s">
        <v>1150</v>
      </c>
      <c r="I5" s="188" t="s">
        <v>1151</v>
      </c>
      <c r="J5" s="45" t="s">
        <v>1150</v>
      </c>
      <c r="K5" s="45" t="s">
        <v>1151</v>
      </c>
      <c r="L5" s="45" t="s">
        <v>1150</v>
      </c>
      <c r="M5" s="183" t="s">
        <v>1151</v>
      </c>
      <c r="N5" s="184" t="s">
        <v>1150</v>
      </c>
    </row>
    <row r="6" spans="1:14" ht="17.25" thickBot="1">
      <c r="A6" s="44" t="s">
        <v>4</v>
      </c>
      <c r="B6" s="42" t="s">
        <v>7</v>
      </c>
      <c r="M6" s="185"/>
      <c r="N6" s="186"/>
    </row>
    <row r="7" spans="1:14" s="236" customFormat="1" ht="17.25" thickBot="1">
      <c r="A7" s="229" t="s">
        <v>1136</v>
      </c>
      <c r="B7" s="230" t="s">
        <v>7</v>
      </c>
      <c r="C7" s="231">
        <v>174216572.716001</v>
      </c>
      <c r="D7" s="231">
        <v>30504400.2042474</v>
      </c>
      <c r="E7" s="231">
        <v>45831459.890140802</v>
      </c>
      <c r="F7" s="232">
        <v>15667675.299560299</v>
      </c>
      <c r="G7" s="233">
        <v>14186746.247377699</v>
      </c>
      <c r="H7" s="233">
        <v>4380310.7310625399</v>
      </c>
      <c r="I7" s="237">
        <v>28830143.013395101</v>
      </c>
      <c r="J7" s="238">
        <v>6670030.2404396599</v>
      </c>
      <c r="K7" s="238">
        <v>254677.291412538</v>
      </c>
      <c r="L7" s="239">
        <v>39053.694305540397</v>
      </c>
      <c r="M7" s="234">
        <v>222.30977624889701</v>
      </c>
      <c r="N7" s="235">
        <v>77.559864793243307</v>
      </c>
    </row>
    <row r="8" spans="1:14" ht="17.25" thickBot="1">
      <c r="A8" s="43" t="s">
        <v>1121</v>
      </c>
      <c r="B8" s="42" t="s">
        <v>7</v>
      </c>
      <c r="C8" s="8">
        <v>515221</v>
      </c>
      <c r="D8" s="8">
        <v>266206</v>
      </c>
      <c r="E8" s="8">
        <v>184192</v>
      </c>
      <c r="F8" s="8">
        <v>143569</v>
      </c>
      <c r="G8" s="8">
        <v>54606</v>
      </c>
      <c r="H8" s="8">
        <v>45877</v>
      </c>
      <c r="I8" s="8">
        <v>120465</v>
      </c>
      <c r="J8" s="8">
        <v>94460</v>
      </c>
      <c r="K8" s="8">
        <v>9121</v>
      </c>
      <c r="L8" s="180">
        <v>3232</v>
      </c>
      <c r="M8" s="187">
        <v>534</v>
      </c>
      <c r="N8" s="187">
        <v>286</v>
      </c>
    </row>
    <row r="9" spans="1:14" ht="17.25" thickBot="1">
      <c r="A9" s="39"/>
      <c r="I9" s="240" t="s">
        <v>1417</v>
      </c>
      <c r="M9" s="140"/>
      <c r="N9" s="140"/>
    </row>
    <row r="10" spans="1:14">
      <c r="A10" s="40"/>
    </row>
    <row r="11" spans="1:14">
      <c r="A11" s="41"/>
      <c r="B11" s="40"/>
    </row>
    <row r="12" spans="1:14">
      <c r="A12" s="41"/>
      <c r="B12" s="40"/>
    </row>
    <row r="13" spans="1:14" ht="17.25" thickBot="1"/>
    <row r="14" spans="1:14" ht="17.25" thickBot="1">
      <c r="C14" s="75" t="s">
        <v>1413</v>
      </c>
      <c r="D14" s="76"/>
      <c r="E14" s="76"/>
      <c r="F14" s="77"/>
      <c r="G14" s="216" t="s">
        <v>1412</v>
      </c>
      <c r="H14" s="217"/>
      <c r="I14" s="217"/>
      <c r="J14" s="218"/>
    </row>
    <row r="15" spans="1:14">
      <c r="A15" s="58"/>
      <c r="B15" s="65"/>
      <c r="C15" s="78" t="s">
        <v>105</v>
      </c>
      <c r="D15" s="78" t="s">
        <v>106</v>
      </c>
      <c r="E15" s="78" t="s">
        <v>17</v>
      </c>
      <c r="F15" s="79" t="s">
        <v>1171</v>
      </c>
      <c r="G15" s="219"/>
      <c r="H15" s="220" t="s">
        <v>105</v>
      </c>
      <c r="I15" s="220" t="s">
        <v>106</v>
      </c>
      <c r="J15" s="221"/>
    </row>
    <row r="16" spans="1:14">
      <c r="A16" s="80" t="s">
        <v>1172</v>
      </c>
      <c r="C16" s="81">
        <f>M8</f>
        <v>534</v>
      </c>
      <c r="D16" s="81">
        <f>N8</f>
        <v>286</v>
      </c>
      <c r="E16" s="81"/>
      <c r="F16" s="61" t="s">
        <v>1173</v>
      </c>
      <c r="G16" s="222" t="s">
        <v>1187</v>
      </c>
      <c r="H16" s="223">
        <f>G7</f>
        <v>14186746.247377699</v>
      </c>
      <c r="I16" s="223">
        <f>H7</f>
        <v>4380310.7310625399</v>
      </c>
      <c r="J16" s="224"/>
    </row>
    <row r="17" spans="1:10">
      <c r="A17" s="80" t="s">
        <v>1174</v>
      </c>
      <c r="C17" s="64">
        <f>C16/SUM(C16:D16)</f>
        <v>0.65121951219512197</v>
      </c>
      <c r="D17" s="64">
        <f>D16/SUM(C16:D16)</f>
        <v>0.34878048780487803</v>
      </c>
      <c r="E17" s="81"/>
      <c r="F17" s="61" t="s">
        <v>1175</v>
      </c>
      <c r="G17" s="222" t="s">
        <v>1188</v>
      </c>
      <c r="H17" s="225">
        <f>H16/SUM(H16:I16)</f>
        <v>0.76408158082625133</v>
      </c>
      <c r="I17" s="225">
        <f>I16/SUM(H16:I16)</f>
        <v>0.23591841917374867</v>
      </c>
      <c r="J17" s="224"/>
    </row>
    <row r="18" spans="1:10">
      <c r="A18" s="80" t="s">
        <v>1176</v>
      </c>
      <c r="E18" s="82">
        <f>'Filtered OECD Data'!K41</f>
        <v>818.5</v>
      </c>
      <c r="F18" s="61" t="s">
        <v>1177</v>
      </c>
      <c r="G18" s="222" t="s">
        <v>1189</v>
      </c>
      <c r="H18" s="160"/>
      <c r="I18" s="160"/>
      <c r="J18" s="224">
        <f>'Filtered OECD Data'!K24</f>
        <v>232.8</v>
      </c>
    </row>
    <row r="19" spans="1:10" ht="17.25" thickBot="1">
      <c r="A19" s="83" t="s">
        <v>1172</v>
      </c>
      <c r="B19" s="84"/>
      <c r="C19" s="85">
        <f>C17*E18*10^3</f>
        <v>533023.17073170724</v>
      </c>
      <c r="D19" s="85">
        <f>D17*E18*10^3</f>
        <v>285476.82926829264</v>
      </c>
      <c r="E19" s="84"/>
      <c r="F19" s="86" t="s">
        <v>1175</v>
      </c>
      <c r="G19" s="226" t="s">
        <v>1187</v>
      </c>
      <c r="H19" s="227">
        <f>H17*J18*10^3</f>
        <v>177878.1920163513</v>
      </c>
      <c r="I19" s="227">
        <f>I17*J18*10^3</f>
        <v>54921.807983648694</v>
      </c>
      <c r="J19" s="228"/>
    </row>
  </sheetData>
  <mergeCells count="9">
    <mergeCell ref="K4:L4"/>
    <mergeCell ref="M4:N4"/>
    <mergeCell ref="A5:B5"/>
    <mergeCell ref="A3:B3"/>
    <mergeCell ref="A4:B4"/>
    <mergeCell ref="C4:D4"/>
    <mergeCell ref="E4:F4"/>
    <mergeCell ref="G4:H4"/>
    <mergeCell ref="I4:J4"/>
  </mergeCells>
  <phoneticPr fontId="19" type="noConversion"/>
  <hyperlinks>
    <hyperlink ref="C4" r:id="rId1" display="http://localhost/OECDStat_Metadata/ShowMetadata.ashx?Dataset=STANI4_2020&amp;Coords=[VAR].[PROD]&amp;ShowOnWeb=true&amp;Lang=en" xr:uid="{08691B68-60FE-43A5-BB33-EABA9375922D}"/>
    <hyperlink ref="E4" r:id="rId2" display="http://localhost/OECDStat_Metadata/ShowMetadata.ashx?Dataset=STANI4_2020&amp;Coords=[VAR].[VALU]&amp;ShowOnWeb=true&amp;Lang=en" xr:uid="{1D7CF02F-0CD1-4827-819A-4706902A77F4}"/>
    <hyperlink ref="G4" r:id="rId3" display="http://localhost/OECDStat_Metadata/ShowMetadata.ashx?Dataset=STANI4_2020&amp;Coords=[VAR].[LABR]&amp;ShowOnWeb=true&amp;Lang=en" xr:uid="{CA53B61B-5D5F-4B98-9951-7B9D72DBC999}"/>
    <hyperlink ref="I4" r:id="rId4" display="http://localhost/OECDStat_Metadata/ShowMetadata.ashx?Dataset=STANI4_2020&amp;Coords=[VAR].[GOPS]&amp;ShowOnWeb=true&amp;Lang=en" xr:uid="{9734A552-F540-42BA-A0B9-501F1639375E}"/>
    <hyperlink ref="K4" r:id="rId5" display="http://localhost/OECDStat_Metadata/ShowMetadata.ashx?Dataset=STANI4_2020&amp;Coords=[VAR].[OTXS]&amp;ShowOnWeb=true&amp;Lang=en" xr:uid="{4D48862D-D7C1-4BC9-918A-B8B7034A569F}"/>
    <hyperlink ref="M4" r:id="rId6" display="http://localhost/OECDStat_Metadata/ShowMetadata.ashx?Dataset=STANI4_2020&amp;Coords=[VAR].[EMPN]&amp;ShowOnWeb=true&amp;Lang=en" xr:uid="{9F55EB02-D178-4025-A3D0-E89351675303}"/>
    <hyperlink ref="A7" r:id="rId7" display="http://localhost/OECDStat_Metadata/ShowMetadata.ashx?Dataset=STANI4_2020&amp;Coords=[LOCATION].[KOR]&amp;ShowOnWeb=true&amp;Lang=en" xr:uid="{7F842730-B01D-4F54-B951-727CC9DB06C9}"/>
    <hyperlink ref="A8" r:id="rId8" display="http://localhost/OECDStat_Metadata/ShowMetadata.ashx?Dataset=STANI4_2020&amp;Coords=[LOCATION].[USA]&amp;ShowOnWeb=true&amp;Lang=en" xr:uid="{64409B86-98D7-40DF-A395-F123D40500BE}"/>
    <hyperlink ref="A2" r:id="rId9" xr:uid="{7C953113-281D-4BCD-9589-7DBE3BCE26E2}"/>
  </hyperlinks>
  <pageMargins left="0.7" right="0.7" top="0.75" bottom="0.75" header="0.3" footer="0.3"/>
  <pageSetup orientation="portrait" r:id="rId10"/>
  <legacy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3A4D-F2DC-43B9-AEDC-C7DE31ABD650}">
  <dimension ref="B1:P29"/>
  <sheetViews>
    <sheetView topLeftCell="B1" workbookViewId="0">
      <selection activeCell="M8" sqref="M8"/>
    </sheetView>
  </sheetViews>
  <sheetFormatPr defaultRowHeight="16.5"/>
  <cols>
    <col min="2" max="3" width="70" customWidth="1"/>
    <col min="4" max="10" width="18" customWidth="1"/>
    <col min="12" max="12" width="11.875" bestFit="1" customWidth="1"/>
    <col min="13" max="13" width="10.875" bestFit="1" customWidth="1"/>
  </cols>
  <sheetData>
    <row r="1" spans="2:16">
      <c r="B1" s="201" t="s">
        <v>1395</v>
      </c>
    </row>
    <row r="2" spans="2:16">
      <c r="B2" s="149" t="s">
        <v>1396</v>
      </c>
    </row>
    <row r="3" spans="2:16" ht="17.25" thickBot="1"/>
    <row r="4" spans="2:16" ht="30" customHeight="1">
      <c r="B4" s="268" t="s">
        <v>1397</v>
      </c>
      <c r="C4" s="268" t="s">
        <v>1397</v>
      </c>
      <c r="D4" s="268" t="s">
        <v>1397</v>
      </c>
      <c r="E4" s="161" t="s">
        <v>6</v>
      </c>
      <c r="F4" s="161" t="s">
        <v>1398</v>
      </c>
      <c r="G4" s="161" t="s">
        <v>1399</v>
      </c>
      <c r="H4" s="161" t="s">
        <v>1400</v>
      </c>
      <c r="I4" s="161" t="s">
        <v>1401</v>
      </c>
      <c r="J4" s="161" t="s">
        <v>1402</v>
      </c>
      <c r="L4" s="264" t="s">
        <v>1155</v>
      </c>
      <c r="M4" s="265"/>
      <c r="O4" s="257" t="s">
        <v>1152</v>
      </c>
      <c r="P4" s="258"/>
    </row>
    <row r="5" spans="2:16" ht="95.25" thickBot="1">
      <c r="B5" s="162" t="s">
        <v>1403</v>
      </c>
      <c r="C5" s="162" t="s">
        <v>1404</v>
      </c>
      <c r="D5" s="164" t="s">
        <v>7</v>
      </c>
      <c r="E5" s="164" t="s">
        <v>7</v>
      </c>
      <c r="F5" s="164" t="s">
        <v>7</v>
      </c>
      <c r="G5" s="164" t="s">
        <v>7</v>
      </c>
      <c r="H5" s="164" t="s">
        <v>7</v>
      </c>
      <c r="I5" s="164" t="s">
        <v>7</v>
      </c>
      <c r="J5" s="164" t="s">
        <v>7</v>
      </c>
      <c r="L5" s="190" t="s">
        <v>1151</v>
      </c>
      <c r="M5" s="191" t="s">
        <v>1150</v>
      </c>
      <c r="O5" s="183" t="s">
        <v>1151</v>
      </c>
      <c r="P5" s="184" t="s">
        <v>1150</v>
      </c>
    </row>
    <row r="6" spans="2:16" ht="15" customHeight="1">
      <c r="B6" s="266" t="s">
        <v>1405</v>
      </c>
      <c r="C6" s="267"/>
      <c r="D6" s="267"/>
      <c r="E6" s="267"/>
      <c r="F6" s="267"/>
      <c r="G6" s="267"/>
      <c r="H6" s="267"/>
      <c r="I6" s="267"/>
      <c r="J6" s="202" t="s">
        <v>7</v>
      </c>
    </row>
    <row r="7" spans="2:16">
      <c r="B7" s="165" t="s">
        <v>126</v>
      </c>
      <c r="C7" s="165" t="s">
        <v>1406</v>
      </c>
      <c r="D7" s="203" t="s">
        <v>7</v>
      </c>
      <c r="E7" s="204">
        <v>10510969.9403829</v>
      </c>
      <c r="F7" s="204">
        <v>10873575.278968399</v>
      </c>
      <c r="G7" s="204">
        <v>11067728.858507499</v>
      </c>
      <c r="H7" s="204">
        <v>11953735.843357099</v>
      </c>
      <c r="I7" s="204">
        <v>13398067.2424339</v>
      </c>
      <c r="J7" s="204">
        <v>14186746.247377699</v>
      </c>
      <c r="L7" s="211">
        <f>J7</f>
        <v>14186746.247377699</v>
      </c>
      <c r="M7" s="211">
        <f>J8</f>
        <v>4380310.7310625399</v>
      </c>
      <c r="O7" s="212">
        <f>J10</f>
        <v>222.30977624889701</v>
      </c>
      <c r="P7" s="212">
        <f>J11</f>
        <v>77.559864793243307</v>
      </c>
    </row>
    <row r="8" spans="2:16">
      <c r="B8" s="165" t="s">
        <v>126</v>
      </c>
      <c r="C8" s="165" t="s">
        <v>1407</v>
      </c>
      <c r="D8" s="203" t="s">
        <v>7</v>
      </c>
      <c r="E8" s="204">
        <v>2268996.7578820102</v>
      </c>
      <c r="F8" s="204">
        <v>2537477.2024372001</v>
      </c>
      <c r="G8" s="204">
        <v>2810571.04910402</v>
      </c>
      <c r="H8" s="204">
        <v>3170976.8547465801</v>
      </c>
      <c r="I8" s="204">
        <v>3695947.7708513602</v>
      </c>
      <c r="J8" s="204">
        <v>4380310.7310625399</v>
      </c>
    </row>
    <row r="9" spans="2:16" ht="15" customHeight="1">
      <c r="B9" s="266" t="s">
        <v>1408</v>
      </c>
      <c r="C9" s="267"/>
      <c r="D9" s="267"/>
      <c r="E9" s="267"/>
      <c r="F9" s="267"/>
      <c r="G9" s="267"/>
      <c r="H9" s="267"/>
      <c r="I9" s="267"/>
      <c r="J9" s="202" t="s">
        <v>7</v>
      </c>
    </row>
    <row r="10" spans="2:16">
      <c r="B10" s="165" t="s">
        <v>1409</v>
      </c>
      <c r="C10" s="165" t="s">
        <v>1406</v>
      </c>
      <c r="D10" s="203" t="s">
        <v>7</v>
      </c>
      <c r="E10" s="210">
        <v>175.28485945607699</v>
      </c>
      <c r="F10" s="210">
        <v>178.807935048639</v>
      </c>
      <c r="G10" s="210">
        <v>180.43855915982499</v>
      </c>
      <c r="H10" s="210">
        <v>187.71554343783399</v>
      </c>
      <c r="I10" s="210">
        <v>219.66360179995499</v>
      </c>
      <c r="J10" s="210">
        <v>222.30977624889701</v>
      </c>
    </row>
    <row r="11" spans="2:16">
      <c r="B11" s="165" t="s">
        <v>1409</v>
      </c>
      <c r="C11" s="165" t="s">
        <v>1407</v>
      </c>
      <c r="D11" s="203" t="s">
        <v>7</v>
      </c>
      <c r="E11" s="210">
        <v>44.2319180723049</v>
      </c>
      <c r="F11" s="210">
        <v>46.883633101146899</v>
      </c>
      <c r="G11" s="210">
        <v>48.339110899189699</v>
      </c>
      <c r="H11" s="210">
        <v>52.130083962737501</v>
      </c>
      <c r="I11" s="210">
        <v>72.471082378546797</v>
      </c>
      <c r="J11" s="210">
        <v>77.559864793243307</v>
      </c>
    </row>
    <row r="13" spans="2:16">
      <c r="B13" s="206" t="s">
        <v>1410</v>
      </c>
      <c r="K13" s="207" t="s">
        <v>1395</v>
      </c>
    </row>
    <row r="17" spans="2:9">
      <c r="B17" s="201" t="s">
        <v>1411</v>
      </c>
    </row>
    <row r="18" spans="2:9">
      <c r="B18" s="149" t="s">
        <v>1396</v>
      </c>
    </row>
    <row r="19" spans="2:9">
      <c r="E19" s="208">
        <f>E7-E23</f>
        <v>1119180.9403828997</v>
      </c>
      <c r="F19" s="208">
        <f t="shared" ref="F19:H19" si="0">F7-F23</f>
        <v>1015178.2789683994</v>
      </c>
      <c r="G19" s="208">
        <f t="shared" si="0"/>
        <v>1089717.8585074991</v>
      </c>
      <c r="H19" s="208">
        <f t="shared" si="0"/>
        <v>1707588.8433570992</v>
      </c>
    </row>
    <row r="20" spans="2:9">
      <c r="B20" s="268" t="s">
        <v>1397</v>
      </c>
      <c r="C20" s="268" t="s">
        <v>1397</v>
      </c>
      <c r="D20" s="268" t="s">
        <v>1397</v>
      </c>
      <c r="E20" s="161" t="s">
        <v>6</v>
      </c>
      <c r="F20" s="161" t="s">
        <v>1398</v>
      </c>
      <c r="G20" s="161" t="s">
        <v>1399</v>
      </c>
      <c r="H20" s="161" t="s">
        <v>1400</v>
      </c>
    </row>
    <row r="21" spans="2:9">
      <c r="B21" s="162" t="s">
        <v>1403</v>
      </c>
      <c r="C21" s="162" t="s">
        <v>1404</v>
      </c>
      <c r="D21" s="164" t="s">
        <v>7</v>
      </c>
      <c r="E21" s="164" t="s">
        <v>7</v>
      </c>
      <c r="F21" s="164" t="s">
        <v>7</v>
      </c>
      <c r="G21" s="164" t="s">
        <v>7</v>
      </c>
      <c r="H21" s="164" t="s">
        <v>7</v>
      </c>
    </row>
    <row r="22" spans="2:9">
      <c r="B22" s="266" t="s">
        <v>1405</v>
      </c>
      <c r="C22" s="267"/>
      <c r="D22" s="267"/>
      <c r="E22" s="267"/>
      <c r="F22" s="267"/>
      <c r="G22" s="267"/>
      <c r="H22" s="202" t="s">
        <v>7</v>
      </c>
    </row>
    <row r="23" spans="2:9">
      <c r="B23" s="165" t="s">
        <v>126</v>
      </c>
      <c r="C23" s="165" t="s">
        <v>1406</v>
      </c>
      <c r="D23" s="203" t="s">
        <v>7</v>
      </c>
      <c r="E23" s="209">
        <v>9391789</v>
      </c>
      <c r="F23" s="209">
        <v>9858397</v>
      </c>
      <c r="G23" s="209">
        <v>9978011</v>
      </c>
      <c r="H23" s="209">
        <v>10246147</v>
      </c>
    </row>
    <row r="24" spans="2:9">
      <c r="B24" s="165" t="s">
        <v>126</v>
      </c>
      <c r="C24" s="165" t="s">
        <v>1407</v>
      </c>
      <c r="D24" s="203" t="s">
        <v>7</v>
      </c>
      <c r="E24" s="209">
        <v>1980796</v>
      </c>
      <c r="F24" s="209">
        <v>2290810</v>
      </c>
      <c r="G24" s="209">
        <v>2440603</v>
      </c>
      <c r="H24" s="209">
        <v>2738442</v>
      </c>
    </row>
    <row r="25" spans="2:9">
      <c r="B25" s="266" t="s">
        <v>1408</v>
      </c>
      <c r="C25" s="267"/>
      <c r="D25" s="267"/>
      <c r="E25" s="267"/>
      <c r="F25" s="267"/>
      <c r="G25" s="267"/>
      <c r="H25" s="202" t="s">
        <v>7</v>
      </c>
    </row>
    <row r="26" spans="2:9">
      <c r="B26" s="165" t="s">
        <v>1409</v>
      </c>
      <c r="C26" s="165" t="s">
        <v>1406</v>
      </c>
      <c r="D26" s="203" t="s">
        <v>7</v>
      </c>
      <c r="E26" s="205">
        <v>175.2</v>
      </c>
      <c r="F26" s="205">
        <v>178.7</v>
      </c>
      <c r="G26" s="205">
        <v>180.4</v>
      </c>
      <c r="H26" s="205">
        <v>187.7</v>
      </c>
    </row>
    <row r="27" spans="2:9">
      <c r="B27" s="165" t="s">
        <v>1409</v>
      </c>
      <c r="C27" s="165" t="s">
        <v>1407</v>
      </c>
      <c r="D27" s="203" t="s">
        <v>7</v>
      </c>
      <c r="E27" s="205">
        <v>44.2</v>
      </c>
      <c r="F27" s="205">
        <v>46.9</v>
      </c>
      <c r="G27" s="205">
        <v>48.3</v>
      </c>
      <c r="H27" s="205">
        <v>52.1</v>
      </c>
    </row>
    <row r="29" spans="2:9">
      <c r="B29" s="206" t="s">
        <v>1410</v>
      </c>
      <c r="I29" s="207" t="s">
        <v>1411</v>
      </c>
    </row>
  </sheetData>
  <mergeCells count="8">
    <mergeCell ref="B25:G25"/>
    <mergeCell ref="L4:M4"/>
    <mergeCell ref="O4:P4"/>
    <mergeCell ref="B4:D4"/>
    <mergeCell ref="B6:I6"/>
    <mergeCell ref="B9:I9"/>
    <mergeCell ref="B20:D20"/>
    <mergeCell ref="B22:G22"/>
  </mergeCells>
  <phoneticPr fontId="19" type="noConversion"/>
  <hyperlinks>
    <hyperlink ref="B13" r:id="rId1" xr:uid="{376C2164-0955-4B7A-8BD0-6420FA3878A6}"/>
    <hyperlink ref="B29" r:id="rId2" xr:uid="{6E9136BF-EF09-4E18-9330-7DFC4AD73B5A}"/>
    <hyperlink ref="L4" r:id="rId3" display="http://localhost/OECDStat_Metadata/ShowMetadata.ashx?Dataset=STANI4_2020&amp;Coords=[VAR].[LABR]&amp;ShowOnWeb=true&amp;Lang=en" xr:uid="{D2B33049-4242-4915-9256-1B8135A4F98B}"/>
    <hyperlink ref="O4" r:id="rId4" display="http://localhost/OECDStat_Metadata/ShowMetadata.ashx?Dataset=STANI4_2020&amp;Coords=[VAR].[EMPN]&amp;ShowOnWeb=true&amp;Lang=en" xr:uid="{0666DB05-3FFA-4ADE-9623-991540C92E1A}"/>
  </hyperlinks>
  <pageMargins left="0.7" right="0.7" top="0.75" bottom="0.75" header="0.3" footer="0.3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24BC-2F92-416E-AC1C-1CF95AF76421}">
  <sheetPr>
    <tabColor rgb="FFFF0000"/>
  </sheetPr>
  <dimension ref="A1:S469"/>
  <sheetViews>
    <sheetView topLeftCell="B1" workbookViewId="0">
      <selection activeCell="G32" sqref="G32"/>
    </sheetView>
  </sheetViews>
  <sheetFormatPr defaultRowHeight="16.5"/>
  <cols>
    <col min="1" max="1" width="11.5" customWidth="1"/>
    <col min="2" max="2" width="21.75" customWidth="1"/>
    <col min="3" max="3" width="42.625" customWidth="1"/>
    <col min="4" max="4" width="22.875" customWidth="1"/>
    <col min="5" max="5" width="29.125" customWidth="1"/>
    <col min="6" max="6" width="26.375" customWidth="1"/>
    <col min="7" max="7" width="49.5" customWidth="1"/>
    <col min="8" max="8" width="34.375" customWidth="1"/>
    <col min="9" max="9" width="20.875" customWidth="1"/>
    <col min="10" max="10" width="19.875" customWidth="1"/>
    <col min="11" max="11" width="23.375" customWidth="1"/>
    <col min="12" max="12" width="22.375" customWidth="1"/>
    <col min="13" max="13" width="20.25" customWidth="1"/>
    <col min="14" max="15" width="18.375" customWidth="1"/>
    <col min="16" max="16" width="23" customWidth="1"/>
    <col min="17" max="17" width="20.875" customWidth="1"/>
    <col min="18" max="18" width="19.125" customWidth="1"/>
    <col min="19" max="19" width="16.625" customWidth="1"/>
  </cols>
  <sheetData>
    <row r="1" spans="1:19">
      <c r="A1" s="1" t="s">
        <v>120</v>
      </c>
    </row>
    <row r="2" spans="1:19" ht="17.25" thickBot="1">
      <c r="A2" s="12" t="s">
        <v>139</v>
      </c>
    </row>
    <row r="3" spans="1:19" s="13" customFormat="1" ht="33.75" thickBot="1">
      <c r="A3" s="111" t="s">
        <v>158</v>
      </c>
      <c r="B3" s="112" t="s">
        <v>153</v>
      </c>
      <c r="C3" s="113" t="s">
        <v>150</v>
      </c>
      <c r="D3" s="114" t="s">
        <v>114</v>
      </c>
      <c r="E3" s="114" t="s">
        <v>109</v>
      </c>
      <c r="F3" s="115" t="s">
        <v>1003</v>
      </c>
      <c r="G3" s="114" t="s">
        <v>159</v>
      </c>
      <c r="H3" s="114" t="s">
        <v>161</v>
      </c>
      <c r="I3" s="115" t="s">
        <v>160</v>
      </c>
      <c r="J3" s="114" t="s">
        <v>140</v>
      </c>
      <c r="K3" s="114" t="s">
        <v>141</v>
      </c>
      <c r="L3" s="115" t="s">
        <v>154</v>
      </c>
      <c r="M3" s="114" t="s">
        <v>144</v>
      </c>
      <c r="N3" s="114" t="s">
        <v>143</v>
      </c>
      <c r="O3" s="115" t="s">
        <v>155</v>
      </c>
      <c r="P3" s="114" t="s">
        <v>145</v>
      </c>
      <c r="Q3" s="114" t="s">
        <v>146</v>
      </c>
      <c r="R3" s="114" t="s">
        <v>147</v>
      </c>
      <c r="S3" s="116" t="s">
        <v>157</v>
      </c>
    </row>
    <row r="4" spans="1:19">
      <c r="A4" s="91" t="s">
        <v>115</v>
      </c>
      <c r="B4" s="65"/>
      <c r="C4" s="92"/>
      <c r="D4" s="93" t="s">
        <v>119</v>
      </c>
      <c r="E4" s="93" t="s">
        <v>110</v>
      </c>
      <c r="F4" s="94">
        <v>212</v>
      </c>
      <c r="G4" s="93" t="s">
        <v>164</v>
      </c>
      <c r="H4" s="93">
        <v>3254</v>
      </c>
      <c r="I4" s="94">
        <v>325</v>
      </c>
      <c r="J4" s="95">
        <v>3272</v>
      </c>
      <c r="K4" s="95" t="s">
        <v>142</v>
      </c>
      <c r="L4" s="96"/>
      <c r="M4" s="65"/>
      <c r="N4" s="65"/>
      <c r="O4" s="92"/>
      <c r="P4" s="65"/>
      <c r="Q4" s="65"/>
      <c r="R4" s="65"/>
      <c r="S4" s="66"/>
    </row>
    <row r="5" spans="1:19">
      <c r="A5" s="97" t="s">
        <v>116</v>
      </c>
      <c r="C5" s="15"/>
      <c r="D5" s="18" t="s">
        <v>118</v>
      </c>
      <c r="E5" s="18" t="s">
        <v>117</v>
      </c>
      <c r="F5" s="14" t="s">
        <v>138</v>
      </c>
      <c r="G5" s="18">
        <v>20</v>
      </c>
      <c r="H5" s="18">
        <v>21</v>
      </c>
      <c r="I5" s="14" t="s">
        <v>163</v>
      </c>
      <c r="J5" s="4">
        <v>231</v>
      </c>
      <c r="K5" s="4">
        <v>239</v>
      </c>
      <c r="L5" s="17">
        <v>23</v>
      </c>
      <c r="M5">
        <v>241</v>
      </c>
      <c r="N5">
        <v>242</v>
      </c>
      <c r="O5" s="15">
        <v>24</v>
      </c>
      <c r="P5" s="4">
        <v>351</v>
      </c>
      <c r="Q5" s="4" t="s">
        <v>148</v>
      </c>
      <c r="R5" s="4" t="s">
        <v>149</v>
      </c>
      <c r="S5" s="98" t="s">
        <v>162</v>
      </c>
    </row>
    <row r="6" spans="1:19">
      <c r="A6" s="97" t="s">
        <v>123</v>
      </c>
      <c r="B6" s="99" t="s">
        <v>121</v>
      </c>
      <c r="C6" s="15" t="s">
        <v>152</v>
      </c>
      <c r="D6">
        <v>64800</v>
      </c>
      <c r="E6">
        <v>185400</v>
      </c>
      <c r="F6" s="15"/>
      <c r="G6">
        <f>815300-284200</f>
        <v>531100</v>
      </c>
      <c r="H6">
        <v>284200</v>
      </c>
      <c r="I6" s="15"/>
      <c r="J6">
        <v>93600</v>
      </c>
      <c r="K6">
        <f>404500-93600</f>
        <v>310900</v>
      </c>
      <c r="L6" s="15"/>
      <c r="M6">
        <f>83700+59200+66600</f>
        <v>209500</v>
      </c>
      <c r="N6">
        <f>62100+62700+57600</f>
        <v>182400</v>
      </c>
      <c r="O6" s="15"/>
      <c r="P6">
        <v>397500</v>
      </c>
      <c r="Q6">
        <v>119700</v>
      </c>
      <c r="R6">
        <v>50300</v>
      </c>
      <c r="S6" s="61"/>
    </row>
    <row r="7" spans="1:19">
      <c r="A7" s="100" t="s">
        <v>156</v>
      </c>
      <c r="B7" s="99" t="s">
        <v>129</v>
      </c>
      <c r="C7" s="15" t="s">
        <v>151</v>
      </c>
      <c r="D7" s="35">
        <f>D67*10^6</f>
        <v>46283000000</v>
      </c>
      <c r="E7" s="35">
        <f>D66*10^6</f>
        <v>478748000000</v>
      </c>
      <c r="F7" s="15"/>
      <c r="G7">
        <f>SUM(D304:D310,D315:D322)*10^6</f>
        <v>641440000000</v>
      </c>
      <c r="H7">
        <f>SUM(D311:D314)*10^6</f>
        <v>387948000000</v>
      </c>
      <c r="I7" s="15"/>
      <c r="J7" s="27">
        <f>D103*10^6</f>
        <v>30256000000</v>
      </c>
      <c r="K7" s="27">
        <f>SUM(D102,D104:D113)*10^6</f>
        <v>131513000000</v>
      </c>
      <c r="L7" s="15"/>
      <c r="M7" s="27">
        <f>SUM(D114:D115,D122)*10^6</f>
        <v>196668000000</v>
      </c>
      <c r="N7">
        <f>SUM(D116:D121,D123)*10^6</f>
        <v>122199000000</v>
      </c>
      <c r="O7" s="15"/>
      <c r="P7" s="27">
        <f>SUM(D74:D83)*10^6</f>
        <v>503221000000</v>
      </c>
      <c r="Q7" s="27">
        <f>D84*10^6</f>
        <v>117114000000</v>
      </c>
      <c r="R7" s="27">
        <f>D85*10^6</f>
        <v>19941000000</v>
      </c>
      <c r="S7" s="61"/>
    </row>
    <row r="8" spans="1:19">
      <c r="A8" s="100" t="s">
        <v>128</v>
      </c>
      <c r="B8" s="99" t="s">
        <v>135</v>
      </c>
      <c r="C8" s="15" t="s">
        <v>136</v>
      </c>
      <c r="D8" s="35"/>
      <c r="E8" s="19">
        <v>268953000000</v>
      </c>
      <c r="F8" s="16">
        <v>106189000000</v>
      </c>
      <c r="G8" s="19"/>
      <c r="H8" s="19"/>
      <c r="I8" s="16">
        <v>785526000000</v>
      </c>
      <c r="L8" s="34">
        <v>119118000000</v>
      </c>
      <c r="O8" s="34">
        <v>227114000000</v>
      </c>
      <c r="S8" s="101">
        <v>513760000000</v>
      </c>
    </row>
    <row r="9" spans="1:19">
      <c r="A9" s="100" t="s">
        <v>125</v>
      </c>
      <c r="B9" s="99" t="s">
        <v>133</v>
      </c>
      <c r="C9" s="15" t="str">
        <f>A9</f>
        <v>Value Added</v>
      </c>
      <c r="D9" s="102">
        <f>$F9*($D$7/$F$8)</f>
        <v>36250491039.561539</v>
      </c>
      <c r="E9" s="19">
        <f>I59*10^6</f>
        <v>257027000000</v>
      </c>
      <c r="F9" s="16">
        <f>I60*10^6</f>
        <v>83171000000</v>
      </c>
      <c r="G9" s="33">
        <f>$I9*(G$7/$I$8)</f>
        <v>434277660777.61908</v>
      </c>
      <c r="H9" s="33">
        <f>$I9*(H$7/$I$8)</f>
        <v>262654573995.00461</v>
      </c>
      <c r="I9" s="16">
        <f>I84*10^6</f>
        <v>531829000000</v>
      </c>
      <c r="J9" s="33">
        <f>$L9*(J$7/$L$8)</f>
        <v>19488930035.762856</v>
      </c>
      <c r="K9" s="33">
        <f>$L9*(K$7/$L$8)</f>
        <v>84712045736.160782</v>
      </c>
      <c r="L9" s="34">
        <f>I67*10^6</f>
        <v>76728000000</v>
      </c>
      <c r="M9" s="33">
        <f>$O9*(M$7/$O$8)</f>
        <v>72734098259.024109</v>
      </c>
      <c r="N9" s="33">
        <f>$O9*(N$7/$O$8)</f>
        <v>45193087198.499435</v>
      </c>
      <c r="O9" s="34">
        <f>I68*10^6</f>
        <v>83994000000</v>
      </c>
      <c r="P9" s="33">
        <f>$S9*(P$7/$S$8)</f>
        <v>437355428244.70569</v>
      </c>
      <c r="Q9" s="33">
        <f t="shared" ref="Q9" si="0">$S9*(Q$7/$S$8)</f>
        <v>101785187071.7845</v>
      </c>
      <c r="R9" s="33">
        <f>$S9*(R$7/$S$8)</f>
        <v>17330963124.805359</v>
      </c>
      <c r="S9" s="101">
        <f>I62*10^6</f>
        <v>446515000000</v>
      </c>
    </row>
    <row r="10" spans="1:19">
      <c r="A10" s="103" t="s">
        <v>126</v>
      </c>
      <c r="C10" s="15" t="str">
        <f t="shared" ref="C10:C12" si="1">A10</f>
        <v>Compensation of employees</v>
      </c>
      <c r="D10" s="102">
        <f t="shared" ref="D10:D12" si="2">$F10*($D$7/$F$8)</f>
        <v>9739614442.1738586</v>
      </c>
      <c r="E10" s="19">
        <f>J59*10^6</f>
        <v>29025000000</v>
      </c>
      <c r="F10" s="16">
        <f>J60*10^6</f>
        <v>22346000000</v>
      </c>
      <c r="G10" s="33">
        <f t="shared" ref="G10:H12" si="3">$I10*(G$7/$I$8)</f>
        <v>106884619172.37622</v>
      </c>
      <c r="H10" s="33">
        <f t="shared" si="3"/>
        <v>64644665500.569046</v>
      </c>
      <c r="I10" s="16">
        <f>J84*10^6</f>
        <v>130894000000</v>
      </c>
      <c r="J10" s="33">
        <f t="shared" ref="J10:K12" si="4">$L10*(J$7/$L$8)</f>
        <v>9552694840.4103489</v>
      </c>
      <c r="K10" s="33">
        <f t="shared" si="4"/>
        <v>41522460224.315392</v>
      </c>
      <c r="L10" s="34">
        <f>J67*10^6</f>
        <v>37609000000</v>
      </c>
      <c r="M10" s="33">
        <f t="shared" ref="M10:N12" si="5">$O10*(M$7/$O$8)</f>
        <v>34779773822.837875</v>
      </c>
      <c r="N10" s="33">
        <f t="shared" si="5"/>
        <v>21610295428.727425</v>
      </c>
      <c r="O10" s="34">
        <f>J68*10^6</f>
        <v>40164000000</v>
      </c>
      <c r="P10" s="33">
        <f t="shared" ref="P10:R12" si="6">$S10*(P$7/$S$8)</f>
        <v>95382398357.209595</v>
      </c>
      <c r="Q10" s="33">
        <f t="shared" si="6"/>
        <v>22198227421.364063</v>
      </c>
      <c r="R10" s="33">
        <f t="shared" si="6"/>
        <v>3779692035.1915293</v>
      </c>
      <c r="S10" s="101">
        <f>J62*10^6</f>
        <v>97380000000</v>
      </c>
    </row>
    <row r="11" spans="1:19">
      <c r="A11" s="103" t="s">
        <v>1108</v>
      </c>
      <c r="C11" s="15" t="str">
        <f t="shared" si="1"/>
        <v>Taxes on production and imports, less subsidies</v>
      </c>
      <c r="D11" s="102">
        <f t="shared" si="2"/>
        <v>3578804895.0456262</v>
      </c>
      <c r="E11" s="19">
        <f>K59*10^6</f>
        <v>49965000000</v>
      </c>
      <c r="F11" s="16">
        <f>K60*10^6</f>
        <v>8211000000</v>
      </c>
      <c r="G11" s="33">
        <f t="shared" si="3"/>
        <v>18912667231.893024</v>
      </c>
      <c r="H11" s="33">
        <f t="shared" si="3"/>
        <v>11438531160.012526</v>
      </c>
      <c r="I11" s="16">
        <f>K84*10^6</f>
        <v>23161000000</v>
      </c>
      <c r="J11" s="33">
        <f t="shared" si="4"/>
        <v>542544502.09036422</v>
      </c>
      <c r="K11" s="33">
        <f t="shared" si="4"/>
        <v>2358264645.1417923</v>
      </c>
      <c r="L11" s="34">
        <f>K67*10^6</f>
        <v>2136000000</v>
      </c>
      <c r="M11" s="33">
        <f t="shared" si="5"/>
        <v>2974517555.0604544</v>
      </c>
      <c r="N11" s="33">
        <f t="shared" si="5"/>
        <v>1848206473.4010234</v>
      </c>
      <c r="O11" s="34">
        <f>K68*10^6</f>
        <v>3435000000</v>
      </c>
      <c r="P11" s="33">
        <f t="shared" si="6"/>
        <v>77873097134.848953</v>
      </c>
      <c r="Q11" s="33">
        <f t="shared" si="6"/>
        <v>18123309436.312675</v>
      </c>
      <c r="R11" s="33">
        <f t="shared" si="6"/>
        <v>3085855777.0165057</v>
      </c>
      <c r="S11" s="101">
        <f>K62*10^6</f>
        <v>79504000000</v>
      </c>
    </row>
    <row r="12" spans="1:19" ht="17.25" thickBot="1">
      <c r="A12" s="104" t="s">
        <v>127</v>
      </c>
      <c r="C12" s="15" t="str">
        <f t="shared" si="1"/>
        <v>Gross operating surplus</v>
      </c>
      <c r="D12" s="105">
        <f t="shared" si="2"/>
        <v>22932071702.342049</v>
      </c>
      <c r="E12" s="106">
        <f>L59*10^6</f>
        <v>178036000000</v>
      </c>
      <c r="F12" s="107">
        <f>L60*10^6</f>
        <v>52614000000</v>
      </c>
      <c r="G12" s="108">
        <f t="shared" si="3"/>
        <v>308480374373.34985</v>
      </c>
      <c r="H12" s="108">
        <f t="shared" si="3"/>
        <v>186571377334.42303</v>
      </c>
      <c r="I12" s="107">
        <f>L84*10^6</f>
        <v>377774000000</v>
      </c>
      <c r="J12" s="108">
        <f t="shared" si="4"/>
        <v>9393690693.2621441</v>
      </c>
      <c r="K12" s="108">
        <f t="shared" si="4"/>
        <v>40831320866.703606</v>
      </c>
      <c r="L12" s="109">
        <f>L67*10^6</f>
        <v>36983000000</v>
      </c>
      <c r="M12" s="108">
        <f t="shared" si="5"/>
        <v>34979806881.125778</v>
      </c>
      <c r="N12" s="108">
        <f t="shared" si="5"/>
        <v>21734585296.370987</v>
      </c>
      <c r="O12" s="109">
        <f>L68*10^6</f>
        <v>40395000000</v>
      </c>
      <c r="P12" s="108">
        <f t="shared" si="6"/>
        <v>264099932752.64716</v>
      </c>
      <c r="Q12" s="108">
        <f t="shared" si="6"/>
        <v>61463650214.107758</v>
      </c>
      <c r="R12" s="108">
        <f t="shared" si="6"/>
        <v>10465415312.597322</v>
      </c>
      <c r="S12" s="110">
        <f>L62*10^6</f>
        <v>269631000000</v>
      </c>
    </row>
    <row r="13" spans="1:19">
      <c r="A13" s="49"/>
      <c r="B13" s="58"/>
      <c r="C13" s="66"/>
      <c r="D13" s="117"/>
      <c r="E13" s="118"/>
      <c r="F13" s="139"/>
      <c r="G13" s="130"/>
      <c r="H13" s="119"/>
      <c r="I13" s="139"/>
      <c r="J13" s="119"/>
      <c r="K13" s="119"/>
      <c r="L13" s="120"/>
      <c r="M13" s="130"/>
      <c r="N13" s="119"/>
      <c r="O13" s="121"/>
      <c r="P13" s="119"/>
      <c r="Q13" s="119"/>
      <c r="R13" s="119"/>
      <c r="S13" s="121"/>
    </row>
    <row r="14" spans="1:19">
      <c r="A14" s="51"/>
      <c r="B14" s="59"/>
      <c r="C14" s="61"/>
      <c r="F14" s="61"/>
      <c r="G14" s="62"/>
      <c r="I14" s="61"/>
      <c r="M14" s="59"/>
      <c r="O14" s="61"/>
      <c r="S14" s="61"/>
    </row>
    <row r="15" spans="1:19">
      <c r="B15" s="59"/>
      <c r="C15" s="122" t="s">
        <v>1163</v>
      </c>
      <c r="D15" s="12">
        <f>D6</f>
        <v>64800</v>
      </c>
      <c r="E15" s="12">
        <f>E6</f>
        <v>185400</v>
      </c>
      <c r="F15" s="122"/>
      <c r="G15" s="62">
        <f>G6</f>
        <v>531100</v>
      </c>
      <c r="H15" s="12">
        <f>H6</f>
        <v>284200</v>
      </c>
      <c r="I15" s="122"/>
      <c r="J15" s="12">
        <f>J6</f>
        <v>93600</v>
      </c>
      <c r="K15" s="12">
        <f>K6</f>
        <v>310900</v>
      </c>
      <c r="L15" s="12"/>
      <c r="M15" s="62">
        <f>M6</f>
        <v>209500</v>
      </c>
      <c r="N15" s="12">
        <f>N6</f>
        <v>182400</v>
      </c>
      <c r="O15" s="122"/>
      <c r="P15" s="12">
        <f>P6</f>
        <v>397500</v>
      </c>
      <c r="Q15" s="12">
        <f>Q6</f>
        <v>119700</v>
      </c>
      <c r="R15" s="12">
        <f>R6</f>
        <v>50300</v>
      </c>
      <c r="S15" s="122"/>
    </row>
    <row r="16" spans="1:19">
      <c r="B16" s="59"/>
      <c r="C16" s="122" t="s">
        <v>1164</v>
      </c>
      <c r="D16" s="123">
        <f>D15/SUM(D15:E15)</f>
        <v>0.25899280575539568</v>
      </c>
      <c r="E16" s="123">
        <f>E15/SUM(D15:E15)</f>
        <v>0.74100719424460426</v>
      </c>
      <c r="F16" s="122"/>
      <c r="G16" s="131">
        <f>G15/SUM(G15:H15)</f>
        <v>0.65141665644548019</v>
      </c>
      <c r="H16" s="123">
        <f>H15/SUM(G15:H15)</f>
        <v>0.34858334355451981</v>
      </c>
      <c r="I16" s="122"/>
      <c r="J16" s="123">
        <f>J15/SUM(J15:K15)</f>
        <v>0.23139678615574782</v>
      </c>
      <c r="K16" s="123">
        <f>K15/SUM(J15:K15)</f>
        <v>0.76860321384425212</v>
      </c>
      <c r="L16" s="12"/>
      <c r="M16" s="131">
        <f>M15/SUM(M15:N15)</f>
        <v>0.53457514672110229</v>
      </c>
      <c r="N16" s="123">
        <f>N15/SUM(M15:N15)</f>
        <v>0.46542485327889765</v>
      </c>
      <c r="O16" s="122"/>
      <c r="P16" s="123">
        <f>P15/SUM(P15:R15)</f>
        <v>0.70044052863436124</v>
      </c>
      <c r="Q16" s="123">
        <f>Q15/SUM(P15:R15)</f>
        <v>0.21092511013215859</v>
      </c>
      <c r="R16" s="123">
        <f>R15/SUM(P15:R15)</f>
        <v>8.8634361233480174E-2</v>
      </c>
      <c r="S16" s="122"/>
    </row>
    <row r="17" spans="2:19">
      <c r="B17" s="59"/>
      <c r="C17" s="67" t="s">
        <v>1165</v>
      </c>
      <c r="D17" s="124">
        <f>'OECD EMPN'!F51*10^3</f>
        <v>169600</v>
      </c>
      <c r="E17" s="63"/>
      <c r="F17" s="67"/>
      <c r="G17" s="132">
        <f>'OECD EMPN'!I51*10^3</f>
        <v>12585000</v>
      </c>
      <c r="H17" s="63"/>
      <c r="I17" s="67"/>
      <c r="J17" s="124">
        <f>'OECD EMPN'!S51*10^3</f>
        <v>415800</v>
      </c>
      <c r="K17" s="63"/>
      <c r="L17" s="63"/>
      <c r="M17" s="132">
        <f>'OECD EMPN'!T51*10^3</f>
        <v>1758300</v>
      </c>
      <c r="N17" s="63"/>
      <c r="O17" s="67"/>
      <c r="P17" s="124">
        <f>'OECD EMPN'!W51*10^3</f>
        <v>1457300</v>
      </c>
      <c r="Q17" s="63"/>
      <c r="R17" s="63"/>
      <c r="S17" s="67"/>
    </row>
    <row r="18" spans="2:19">
      <c r="B18" s="59"/>
      <c r="C18" s="122" t="s">
        <v>1166</v>
      </c>
      <c r="D18" s="60">
        <f>D17*D16</f>
        <v>43925.179856115108</v>
      </c>
      <c r="E18" s="60">
        <f>D17*E16</f>
        <v>125674.82014388488</v>
      </c>
      <c r="F18" s="122"/>
      <c r="G18" s="133">
        <f>G17*G16</f>
        <v>8198078.6213663686</v>
      </c>
      <c r="H18" s="60">
        <f>G17*H16</f>
        <v>4386921.3786336314</v>
      </c>
      <c r="I18" s="122"/>
      <c r="J18" s="60">
        <f>J17*J16</f>
        <v>96214.783683559945</v>
      </c>
      <c r="K18" s="60">
        <f>J17*K16</f>
        <v>319585.21631644003</v>
      </c>
      <c r="L18" s="12"/>
      <c r="M18" s="133">
        <f>M17*M16</f>
        <v>939943.48047971411</v>
      </c>
      <c r="N18" s="60">
        <f>M17*N16</f>
        <v>818356.51952028577</v>
      </c>
      <c r="O18" s="122"/>
      <c r="P18" s="60">
        <f>P17*P16</f>
        <v>1020751.9823788546</v>
      </c>
      <c r="Q18" s="60">
        <f>P17*Q16</f>
        <v>307381.16299559473</v>
      </c>
      <c r="R18" s="60">
        <f>R16*P17</f>
        <v>129166.85462555065</v>
      </c>
      <c r="S18" s="122"/>
    </row>
    <row r="19" spans="2:19">
      <c r="B19" s="59"/>
      <c r="C19" s="122" t="s">
        <v>1159</v>
      </c>
      <c r="D19" s="102">
        <f>D10</f>
        <v>9739614442.1738586</v>
      </c>
      <c r="E19" s="102">
        <f>E10</f>
        <v>29025000000</v>
      </c>
      <c r="F19" s="122"/>
      <c r="G19" s="134">
        <f>G10</f>
        <v>106884619172.37622</v>
      </c>
      <c r="H19" s="102">
        <f>H10</f>
        <v>64644665500.569046</v>
      </c>
      <c r="I19" s="122"/>
      <c r="J19" s="102">
        <f>J10</f>
        <v>9552694840.4103489</v>
      </c>
      <c r="K19" s="102">
        <f>K10</f>
        <v>41522460224.315392</v>
      </c>
      <c r="L19" s="12"/>
      <c r="M19" s="134">
        <f>M10</f>
        <v>34779773822.837875</v>
      </c>
      <c r="N19" s="102">
        <f>N10</f>
        <v>21610295428.727425</v>
      </c>
      <c r="O19" s="122"/>
      <c r="P19" s="102">
        <f>P10</f>
        <v>95382398357.209595</v>
      </c>
      <c r="Q19" s="102">
        <f>Q10</f>
        <v>22198227421.364063</v>
      </c>
      <c r="R19" s="102">
        <f>R10</f>
        <v>3779692035.1915293</v>
      </c>
      <c r="S19" s="122"/>
    </row>
    <row r="20" spans="2:19">
      <c r="B20" s="59"/>
      <c r="C20" s="122" t="s">
        <v>1160</v>
      </c>
      <c r="D20" s="125">
        <f>D19/D18</f>
        <v>221731.91946117766</v>
      </c>
      <c r="E20" s="125">
        <f>E19/E18</f>
        <v>230953.18510716251</v>
      </c>
      <c r="F20" s="122"/>
      <c r="G20" s="135">
        <f>G19/G18</f>
        <v>13037.764592035814</v>
      </c>
      <c r="H20" s="125">
        <f>H19/H18</f>
        <v>14735.770240929993</v>
      </c>
      <c r="I20" s="122"/>
      <c r="J20" s="125">
        <f>J19/J18</f>
        <v>99285.104374688744</v>
      </c>
      <c r="K20" s="125">
        <f>K19/K18</f>
        <v>129926.09828109687</v>
      </c>
      <c r="L20" s="12"/>
      <c r="M20" s="135">
        <f>M19/M18</f>
        <v>37001.984209824514</v>
      </c>
      <c r="N20" s="125">
        <f>N19/N18</f>
        <v>26406.944789045257</v>
      </c>
      <c r="O20" s="122"/>
      <c r="P20" s="125">
        <f>P19/P18</f>
        <v>93443.265361015176</v>
      </c>
      <c r="Q20" s="125">
        <f>Q19/Q18</f>
        <v>72217.266682936592</v>
      </c>
      <c r="R20" s="125">
        <f>R19/R18</f>
        <v>29262.0893041694</v>
      </c>
      <c r="S20" s="122"/>
    </row>
    <row r="21" spans="2:19">
      <c r="B21" s="59"/>
      <c r="C21" s="61"/>
      <c r="F21" s="61"/>
      <c r="G21" s="59"/>
      <c r="I21" s="61"/>
      <c r="M21" s="59"/>
      <c r="O21" s="61"/>
      <c r="S21" s="61"/>
    </row>
    <row r="22" spans="2:19">
      <c r="B22" s="59"/>
      <c r="C22" s="67" t="s">
        <v>1392</v>
      </c>
      <c r="D22" s="89">
        <f>'Emp Compensation Split'!C6</f>
        <v>270.65143294335809</v>
      </c>
      <c r="E22" s="89">
        <f>'Emp Compensation Split'!D6</f>
        <v>126.89114032466233</v>
      </c>
      <c r="F22" s="61"/>
      <c r="G22" s="136"/>
      <c r="H22" s="89"/>
      <c r="I22" s="67"/>
      <c r="J22" s="89">
        <f>'Emp Compensation Split'!F6</f>
        <v>2804.2150285444986</v>
      </c>
      <c r="K22" s="89">
        <f>'Emp Compensation Split'!G6</f>
        <v>8404.0067644680657</v>
      </c>
      <c r="L22" s="63"/>
      <c r="M22" s="136">
        <f>'Emp Compensation Split'!H6</f>
        <v>1897.0135867349613</v>
      </c>
      <c r="N22" s="89">
        <f>'Emp Compensation Split'!H6</f>
        <v>1897.0135867349613</v>
      </c>
      <c r="O22" s="67"/>
      <c r="P22" s="126">
        <f>'Emp Compensation Split'!I6</f>
        <v>5285.7095254540718</v>
      </c>
      <c r="Q22" s="126">
        <f>'Emp Compensation Split'!J6</f>
        <v>703.06305168575625</v>
      </c>
      <c r="R22" s="126">
        <f>'Emp Compensation Split'!K6</f>
        <v>5163.3144871152326</v>
      </c>
      <c r="S22" s="67"/>
    </row>
    <row r="23" spans="2:19">
      <c r="B23" s="59"/>
      <c r="C23" s="122" t="s">
        <v>1161</v>
      </c>
      <c r="D23" s="12">
        <v>1.19</v>
      </c>
      <c r="E23" s="12">
        <v>1.19</v>
      </c>
      <c r="F23" s="122"/>
      <c r="G23" s="62"/>
      <c r="H23" s="12"/>
      <c r="I23" s="122"/>
      <c r="J23" s="12">
        <v>1.19</v>
      </c>
      <c r="K23" s="12">
        <v>1.19</v>
      </c>
      <c r="L23" s="12"/>
      <c r="M23" s="62">
        <v>1.19</v>
      </c>
      <c r="N23" s="12">
        <v>1.19</v>
      </c>
      <c r="O23" s="122"/>
      <c r="P23" s="12">
        <v>1.19</v>
      </c>
      <c r="Q23" s="12">
        <v>1.19</v>
      </c>
      <c r="R23" s="12">
        <v>1.19</v>
      </c>
      <c r="S23" s="122"/>
    </row>
    <row r="24" spans="2:19">
      <c r="B24" s="141"/>
      <c r="C24" s="122" t="s">
        <v>1393</v>
      </c>
      <c r="D24" s="60">
        <f>D22*D23*10^6</f>
        <v>322075205.20259613</v>
      </c>
      <c r="E24" s="60">
        <f>E22*E23*10^6</f>
        <v>151000456.98634815</v>
      </c>
      <c r="F24" s="122"/>
      <c r="G24" s="133"/>
      <c r="H24" s="60"/>
      <c r="I24" s="122"/>
      <c r="J24" s="60">
        <f>J22*J23*10^6</f>
        <v>3337015883.9679532</v>
      </c>
      <c r="K24" s="60">
        <f>K22*K23*10^6</f>
        <v>10000768049.716999</v>
      </c>
      <c r="L24" s="12"/>
      <c r="M24" s="133">
        <f>M22*M23*10^6</f>
        <v>2257446168.2146039</v>
      </c>
      <c r="N24" s="60">
        <f>N22*N23*10^6</f>
        <v>2257446168.2146039</v>
      </c>
      <c r="O24" s="122"/>
      <c r="P24" s="60">
        <f>P22*P23*10^6</f>
        <v>6289994335.2903452</v>
      </c>
      <c r="Q24" s="60">
        <f>Q22*Q23*10^6</f>
        <v>836645031.50604987</v>
      </c>
      <c r="R24" s="60">
        <f>R22*R23*10^6</f>
        <v>6144344239.6671267</v>
      </c>
      <c r="S24" s="122"/>
    </row>
    <row r="25" spans="2:19">
      <c r="B25" s="59"/>
      <c r="C25" s="122" t="s">
        <v>1167</v>
      </c>
      <c r="D25" s="60">
        <f>D24/D20</f>
        <v>1452.5432602814194</v>
      </c>
      <c r="E25" s="60">
        <f>E24/E20</f>
        <v>653.81413517325507</v>
      </c>
      <c r="F25" s="122"/>
      <c r="G25" s="133"/>
      <c r="H25" s="60"/>
      <c r="I25" s="122"/>
      <c r="J25" s="60">
        <f>J24/J20</f>
        <v>33610.438393401899</v>
      </c>
      <c r="K25" s="60">
        <f>K24/K20</f>
        <v>76972.74205895263</v>
      </c>
      <c r="L25" s="12"/>
      <c r="M25" s="133">
        <f>M24/M20</f>
        <v>61008.786864333139</v>
      </c>
      <c r="N25" s="60">
        <f>N24/N20</f>
        <v>85486.836370070727</v>
      </c>
      <c r="O25" s="122"/>
      <c r="P25" s="60">
        <f>P24/P20</f>
        <v>67313.511690640793</v>
      </c>
      <c r="Q25" s="60">
        <f>Q24/Q20</f>
        <v>11585.11073507205</v>
      </c>
      <c r="R25" s="60">
        <f>R24/R20</f>
        <v>209976.26573409615</v>
      </c>
      <c r="S25" s="122"/>
    </row>
    <row r="26" spans="2:19">
      <c r="B26" s="59"/>
      <c r="C26" s="122" t="s">
        <v>1168</v>
      </c>
      <c r="D26" s="87">
        <f>D25/SUM(D25:E25)</f>
        <v>0.68959962037585554</v>
      </c>
      <c r="E26" s="87">
        <f>E25/SUM(D25:E25)</f>
        <v>0.31040037962414441</v>
      </c>
      <c r="F26" s="122"/>
      <c r="G26" s="137"/>
      <c r="H26" s="87"/>
      <c r="I26" s="122"/>
      <c r="J26" s="87">
        <f>J25/SUM(J25:K25)</f>
        <v>0.30393806956821223</v>
      </c>
      <c r="K26" s="87">
        <f>K25/SUM(J25:K25)</f>
        <v>0.69606193043178777</v>
      </c>
      <c r="L26" s="12"/>
      <c r="M26" s="137">
        <f>M25/SUM(M25:N25)</f>
        <v>0.41645467296121569</v>
      </c>
      <c r="N26" s="87">
        <f>N25/SUM(M25:N25)</f>
        <v>0.58354532703878426</v>
      </c>
      <c r="O26" s="122"/>
      <c r="P26" s="87">
        <f>P25/SUM(P25:R25)</f>
        <v>0.23301960277489459</v>
      </c>
      <c r="Q26" s="87">
        <f>Q25/SUM(P25:R25)</f>
        <v>4.0104250005500754E-2</v>
      </c>
      <c r="R26" s="87">
        <f>R25/SUM(P25:R25)</f>
        <v>0.72687614721960458</v>
      </c>
      <c r="S26" s="122"/>
    </row>
    <row r="27" spans="2:19" ht="17.25" thickBot="1">
      <c r="B27" s="142"/>
      <c r="C27" s="61"/>
      <c r="F27" s="61"/>
      <c r="G27" s="59"/>
      <c r="I27" s="61"/>
      <c r="M27" s="59"/>
      <c r="O27" s="61"/>
      <c r="S27" s="61"/>
    </row>
    <row r="28" spans="2:19" ht="17.25" thickBot="1">
      <c r="B28" s="143"/>
      <c r="C28" s="129" t="s">
        <v>1391</v>
      </c>
      <c r="D28" s="127">
        <f>'OECD EMPN'!F34*10^3</f>
        <v>1800</v>
      </c>
      <c r="E28" s="128"/>
      <c r="F28" s="128"/>
      <c r="G28" s="196">
        <f>('OECD Chem Pharma Split'!M$7/SUM('OECD Chem Pharma Split'!$M$7:$N$7))</f>
        <v>0.74135472826225879</v>
      </c>
      <c r="H28" s="197">
        <f>('OECD Chem Pharma Split'!N$7/SUM('OECD Chem Pharma Split'!$M$7:$N$7))</f>
        <v>0.25864527173774127</v>
      </c>
      <c r="I28" s="129"/>
      <c r="J28" s="127">
        <f>'OECD EMPN'!S34*10^3</f>
        <v>127200</v>
      </c>
      <c r="K28" s="128"/>
      <c r="L28" s="128"/>
      <c r="M28" s="138">
        <f>'OECD EMPN'!U34*10^3</f>
        <v>176200</v>
      </c>
      <c r="N28" s="128"/>
      <c r="O28" s="129"/>
      <c r="P28" s="127">
        <f>'OECD EMPN'!AE34*10^3</f>
        <v>226100</v>
      </c>
      <c r="Q28" s="128"/>
      <c r="R28" s="128"/>
      <c r="S28" s="129"/>
    </row>
    <row r="29" spans="2:19" ht="17.25" thickBot="1">
      <c r="C29" s="53" t="s">
        <v>1162</v>
      </c>
      <c r="D29" s="54">
        <f>D28*D26</f>
        <v>1241.27931667654</v>
      </c>
      <c r="E29" s="54">
        <f>D28*E26</f>
        <v>558.72068332345998</v>
      </c>
      <c r="F29" s="53"/>
      <c r="G29" s="198">
        <f>'Filtered OECD Data'!K24*1000*('OECD Chem Pharma Split'!M$7/SUM('OECD Chem Pharma Split'!$M$7:$N$7))</f>
        <v>172587.38073945386</v>
      </c>
      <c r="H29" s="199">
        <f>'Filtered OECD Data'!K24*1000*('OECD Chem Pharma Split'!N$7/SUM('OECD Chem Pharma Split'!$M$7:$N$7))</f>
        <v>60212.619260546169</v>
      </c>
      <c r="I29" s="53"/>
      <c r="J29" s="54">
        <f>J28*J26</f>
        <v>38660.922449076599</v>
      </c>
      <c r="K29" s="54">
        <f>J28*K26</f>
        <v>88539.077550923408</v>
      </c>
      <c r="L29" s="53"/>
      <c r="M29" s="54">
        <f>M28*M26</f>
        <v>73379.3133757662</v>
      </c>
      <c r="N29" s="54">
        <f>M28*N26</f>
        <v>102820.68662423379</v>
      </c>
      <c r="O29" s="53"/>
      <c r="P29" s="54">
        <f>P28*P26</f>
        <v>52685.732187403664</v>
      </c>
      <c r="Q29" s="54">
        <f>P28*Q26</f>
        <v>9067.5709262437213</v>
      </c>
      <c r="R29" s="54">
        <f>P28*R26</f>
        <v>164346.69688635258</v>
      </c>
      <c r="S29" s="53"/>
    </row>
    <row r="30" spans="2:19">
      <c r="G30" t="s">
        <v>1394</v>
      </c>
    </row>
    <row r="31" spans="2:19">
      <c r="G31" s="200"/>
      <c r="H31" s="89"/>
    </row>
    <row r="32" spans="2:19">
      <c r="G32" s="12"/>
      <c r="H32" s="12"/>
    </row>
    <row r="33" spans="2:8">
      <c r="B33" s="52"/>
      <c r="C33" s="52"/>
      <c r="G33" s="60"/>
      <c r="H33" s="60"/>
    </row>
    <row r="34" spans="2:8">
      <c r="G34" s="60"/>
      <c r="H34" s="60"/>
    </row>
    <row r="35" spans="2:8">
      <c r="D35" s="56"/>
      <c r="G35" s="87"/>
      <c r="H35" s="87"/>
    </row>
    <row r="36" spans="2:8">
      <c r="B36" s="50"/>
      <c r="C36" s="50"/>
    </row>
    <row r="37" spans="2:8">
      <c r="B37" s="50"/>
      <c r="G37" s="88"/>
      <c r="H37" s="63"/>
    </row>
    <row r="38" spans="2:8">
      <c r="B38" s="50"/>
      <c r="C38" s="50"/>
      <c r="G38" s="90"/>
      <c r="H38" s="90"/>
    </row>
    <row r="39" spans="2:8">
      <c r="B39" s="50"/>
      <c r="C39" s="50"/>
    </row>
    <row r="40" spans="2:8">
      <c r="B40" s="50"/>
      <c r="C40" s="50"/>
    </row>
    <row r="41" spans="2:8">
      <c r="B41" s="50"/>
      <c r="C41" s="50"/>
    </row>
    <row r="45" spans="2:8">
      <c r="B45" s="158" t="s">
        <v>151</v>
      </c>
      <c r="C45" s="160"/>
      <c r="G45" s="158" t="s">
        <v>1216</v>
      </c>
    </row>
    <row r="46" spans="2:8">
      <c r="B46" s="160" t="s">
        <v>165</v>
      </c>
      <c r="C46" s="160"/>
      <c r="G46" s="160" t="s">
        <v>165</v>
      </c>
    </row>
    <row r="47" spans="2:8">
      <c r="B47" s="160" t="s">
        <v>1217</v>
      </c>
      <c r="C47" s="160"/>
      <c r="G47" s="160" t="s">
        <v>1213</v>
      </c>
    </row>
    <row r="48" spans="2:8">
      <c r="B48" s="160" t="s">
        <v>167</v>
      </c>
      <c r="C48" s="160"/>
      <c r="G48" s="160" t="s">
        <v>167</v>
      </c>
    </row>
    <row r="49" spans="2:14">
      <c r="B49" s="160" t="s">
        <v>1214</v>
      </c>
      <c r="C49" s="160"/>
      <c r="G49" s="160" t="s">
        <v>1214</v>
      </c>
    </row>
    <row r="50" spans="2:14">
      <c r="B50" s="160" t="s">
        <v>1218</v>
      </c>
      <c r="C50" s="160"/>
      <c r="G50" s="160" t="s">
        <v>1215</v>
      </c>
    </row>
    <row r="51" spans="2:14">
      <c r="G51" s="159" t="s">
        <v>1212</v>
      </c>
      <c r="H51" s="1" t="s">
        <v>165</v>
      </c>
    </row>
    <row r="52" spans="2:14" ht="33">
      <c r="B52" s="11" t="s">
        <v>170</v>
      </c>
      <c r="C52" s="23"/>
      <c r="D52" s="155" t="s">
        <v>1201</v>
      </c>
      <c r="E52" s="11" t="s">
        <v>1008</v>
      </c>
      <c r="G52" s="23" t="s">
        <v>170</v>
      </c>
      <c r="H52" s="23"/>
      <c r="I52" s="31" t="s">
        <v>125</v>
      </c>
      <c r="J52" s="31" t="s">
        <v>1106</v>
      </c>
      <c r="K52" s="31" t="s">
        <v>1108</v>
      </c>
      <c r="L52" s="32" t="s">
        <v>127</v>
      </c>
    </row>
    <row r="53" spans="2:14">
      <c r="B53" t="s">
        <v>171</v>
      </c>
      <c r="C53" t="s">
        <v>172</v>
      </c>
      <c r="D53" s="156">
        <v>59627</v>
      </c>
      <c r="G53" t="s">
        <v>171</v>
      </c>
      <c r="H53" t="s">
        <v>1014</v>
      </c>
      <c r="I53" s="154">
        <v>27720707</v>
      </c>
      <c r="J53" s="154">
        <v>14209568</v>
      </c>
      <c r="K53" s="154">
        <v>1790300</v>
      </c>
      <c r="L53" s="154">
        <v>11720838</v>
      </c>
    </row>
    <row r="54" spans="2:14">
      <c r="B54" t="s">
        <v>173</v>
      </c>
      <c r="C54" t="s">
        <v>174</v>
      </c>
      <c r="D54" s="156">
        <v>96979</v>
      </c>
      <c r="G54" t="s">
        <v>173</v>
      </c>
      <c r="H54" t="s">
        <v>1015</v>
      </c>
      <c r="I54" s="154">
        <v>24615614</v>
      </c>
      <c r="J54" s="154">
        <v>11800620</v>
      </c>
      <c r="K54" s="154">
        <v>1838237</v>
      </c>
      <c r="L54" s="154">
        <v>10976756</v>
      </c>
      <c r="N54" s="35"/>
    </row>
    <row r="55" spans="2:14">
      <c r="B55" t="s">
        <v>175</v>
      </c>
      <c r="C55" t="s">
        <v>176</v>
      </c>
      <c r="D55" s="156">
        <v>21781</v>
      </c>
      <c r="G55" t="s">
        <v>175</v>
      </c>
      <c r="H55" t="s">
        <v>1016</v>
      </c>
      <c r="I55" s="154">
        <v>274177</v>
      </c>
      <c r="J55" s="154">
        <v>71495</v>
      </c>
      <c r="K55" s="154">
        <v>5949</v>
      </c>
      <c r="L55" s="154">
        <v>196734</v>
      </c>
      <c r="N55" s="35"/>
    </row>
    <row r="56" spans="2:14">
      <c r="B56" t="s">
        <v>177</v>
      </c>
      <c r="C56" t="s">
        <v>178</v>
      </c>
      <c r="D56" s="156">
        <v>27180</v>
      </c>
      <c r="G56" t="s">
        <v>177</v>
      </c>
      <c r="H56" t="s">
        <v>1017</v>
      </c>
      <c r="I56" s="154">
        <v>222303</v>
      </c>
      <c r="J56" s="154">
        <v>37618</v>
      </c>
      <c r="K56" s="154">
        <v>3344</v>
      </c>
      <c r="L56" s="154">
        <v>181341</v>
      </c>
      <c r="N56" s="35"/>
    </row>
    <row r="57" spans="2:14">
      <c r="B57" t="s">
        <v>179</v>
      </c>
      <c r="C57" t="s">
        <v>180</v>
      </c>
      <c r="D57" s="156">
        <v>28413</v>
      </c>
      <c r="G57" t="s">
        <v>179</v>
      </c>
      <c r="H57" t="s">
        <v>1018</v>
      </c>
      <c r="I57" s="154">
        <v>51875</v>
      </c>
      <c r="J57" s="154">
        <v>33877</v>
      </c>
      <c r="K57" s="154">
        <v>2605</v>
      </c>
      <c r="L57" s="154">
        <v>15393</v>
      </c>
    </row>
    <row r="58" spans="2:14">
      <c r="B58" t="s">
        <v>181</v>
      </c>
      <c r="C58" t="s">
        <v>182</v>
      </c>
      <c r="D58" s="156">
        <v>32287</v>
      </c>
      <c r="G58" t="s">
        <v>181</v>
      </c>
      <c r="H58" t="s">
        <v>1019</v>
      </c>
      <c r="I58" s="154">
        <v>411753</v>
      </c>
      <c r="J58" s="154">
        <v>87258</v>
      </c>
      <c r="K58" s="154">
        <v>60975</v>
      </c>
      <c r="L58" s="154">
        <v>263520</v>
      </c>
    </row>
    <row r="59" spans="2:14">
      <c r="B59" t="s">
        <v>183</v>
      </c>
      <c r="C59" t="s">
        <v>184</v>
      </c>
      <c r="D59" s="156">
        <v>47814</v>
      </c>
      <c r="G59" t="s">
        <v>183</v>
      </c>
      <c r="H59" s="21" t="s">
        <v>1020</v>
      </c>
      <c r="I59" s="154">
        <v>257027</v>
      </c>
      <c r="J59" s="154">
        <v>29025</v>
      </c>
      <c r="K59" s="154">
        <v>49965</v>
      </c>
      <c r="L59" s="154">
        <v>178036</v>
      </c>
    </row>
    <row r="60" spans="2:14">
      <c r="B60" t="s">
        <v>185</v>
      </c>
      <c r="C60" t="s">
        <v>186</v>
      </c>
      <c r="D60" s="156">
        <v>132577</v>
      </c>
      <c r="G60" t="s">
        <v>185</v>
      </c>
      <c r="H60" s="21" t="s">
        <v>1021</v>
      </c>
      <c r="I60" s="154">
        <v>83171</v>
      </c>
      <c r="J60" s="154">
        <v>22346</v>
      </c>
      <c r="K60" s="154">
        <v>8211</v>
      </c>
      <c r="L60" s="154">
        <v>52614</v>
      </c>
    </row>
    <row r="61" spans="2:14">
      <c r="B61" t="s">
        <v>187</v>
      </c>
      <c r="C61" t="s">
        <v>188</v>
      </c>
      <c r="D61" s="156">
        <v>64915</v>
      </c>
      <c r="G61" t="s">
        <v>187</v>
      </c>
      <c r="H61" t="s">
        <v>1022</v>
      </c>
      <c r="I61" s="154">
        <v>71555</v>
      </c>
      <c r="J61" s="154">
        <v>35886</v>
      </c>
      <c r="K61" s="154">
        <v>2799</v>
      </c>
      <c r="L61" s="154">
        <v>32869</v>
      </c>
    </row>
    <row r="62" spans="2:14">
      <c r="B62" t="s">
        <v>189</v>
      </c>
      <c r="C62" t="s">
        <v>190</v>
      </c>
      <c r="D62" s="156">
        <v>43769</v>
      </c>
      <c r="G62" t="s">
        <v>189</v>
      </c>
      <c r="H62" s="21" t="s">
        <v>1023</v>
      </c>
      <c r="I62" s="154">
        <v>446515</v>
      </c>
      <c r="J62" s="154">
        <v>97380</v>
      </c>
      <c r="K62" s="154">
        <v>79504</v>
      </c>
      <c r="L62" s="154">
        <v>269631</v>
      </c>
    </row>
    <row r="63" spans="2:14">
      <c r="B63" t="s">
        <v>191</v>
      </c>
      <c r="C63" t="s">
        <v>192</v>
      </c>
      <c r="D63" s="156">
        <v>26757</v>
      </c>
      <c r="G63" t="s">
        <v>191</v>
      </c>
      <c r="H63" t="s">
        <v>1024</v>
      </c>
      <c r="I63" s="154">
        <v>1220566</v>
      </c>
      <c r="J63" s="154">
        <v>744011</v>
      </c>
      <c r="K63" s="154">
        <v>14696</v>
      </c>
      <c r="L63" s="154">
        <v>461859</v>
      </c>
    </row>
    <row r="64" spans="2:14">
      <c r="B64" t="s">
        <v>193</v>
      </c>
      <c r="C64" t="s">
        <v>194</v>
      </c>
      <c r="D64" s="156">
        <v>9762</v>
      </c>
      <c r="G64" t="s">
        <v>193</v>
      </c>
      <c r="H64" t="s">
        <v>1025</v>
      </c>
      <c r="I64" s="154">
        <v>2840447</v>
      </c>
      <c r="J64" s="154">
        <v>1324936</v>
      </c>
      <c r="K64" s="154">
        <v>106078</v>
      </c>
      <c r="L64" s="154">
        <v>1409433</v>
      </c>
    </row>
    <row r="65" spans="2:12">
      <c r="B65" t="s">
        <v>195</v>
      </c>
      <c r="C65" t="s">
        <v>196</v>
      </c>
      <c r="D65" s="156">
        <v>29826</v>
      </c>
      <c r="G65" t="s">
        <v>195</v>
      </c>
      <c r="H65" t="s">
        <v>1026</v>
      </c>
      <c r="I65" s="154">
        <v>1511940</v>
      </c>
      <c r="J65" s="154">
        <v>876626</v>
      </c>
      <c r="K65" s="154">
        <v>41425</v>
      </c>
      <c r="L65" s="154">
        <v>593890</v>
      </c>
    </row>
    <row r="66" spans="2:12">
      <c r="B66" t="s">
        <v>197</v>
      </c>
      <c r="C66" s="28" t="s">
        <v>109</v>
      </c>
      <c r="D66" s="156">
        <v>478748</v>
      </c>
      <c r="E66" t="s">
        <v>1009</v>
      </c>
      <c r="G66" t="s">
        <v>197</v>
      </c>
      <c r="H66" t="s">
        <v>1027</v>
      </c>
      <c r="I66" s="154">
        <v>62098</v>
      </c>
      <c r="J66" s="154">
        <v>31750</v>
      </c>
      <c r="K66" s="154">
        <v>1105</v>
      </c>
      <c r="L66" s="154">
        <v>29243</v>
      </c>
    </row>
    <row r="67" spans="2:12">
      <c r="B67" t="s">
        <v>198</v>
      </c>
      <c r="C67" s="25" t="s">
        <v>199</v>
      </c>
      <c r="D67" s="156">
        <v>46283</v>
      </c>
      <c r="E67" t="s">
        <v>1010</v>
      </c>
      <c r="G67" t="s">
        <v>198</v>
      </c>
      <c r="H67" s="21" t="s">
        <v>1028</v>
      </c>
      <c r="I67" s="154">
        <v>76728</v>
      </c>
      <c r="J67" s="154">
        <v>37609</v>
      </c>
      <c r="K67" s="154">
        <v>2136</v>
      </c>
      <c r="L67" s="154">
        <v>36983</v>
      </c>
    </row>
    <row r="68" spans="2:12">
      <c r="B68" t="s">
        <v>200</v>
      </c>
      <c r="C68" t="s">
        <v>201</v>
      </c>
      <c r="D68" s="156">
        <v>16770</v>
      </c>
      <c r="G68" t="s">
        <v>200</v>
      </c>
      <c r="H68" s="21" t="s">
        <v>1029</v>
      </c>
      <c r="I68" s="154">
        <v>83994</v>
      </c>
      <c r="J68" s="154">
        <v>40164</v>
      </c>
      <c r="K68" s="154">
        <v>3435</v>
      </c>
      <c r="L68" s="154">
        <v>40395</v>
      </c>
    </row>
    <row r="69" spans="2:12">
      <c r="B69" t="s">
        <v>202</v>
      </c>
      <c r="C69" t="s">
        <v>203</v>
      </c>
      <c r="D69" s="156">
        <v>24322</v>
      </c>
      <c r="G69" t="s">
        <v>202</v>
      </c>
      <c r="H69" t="s">
        <v>1030</v>
      </c>
      <c r="I69" s="154">
        <v>188620</v>
      </c>
      <c r="J69" s="154">
        <v>122779</v>
      </c>
      <c r="K69" s="154">
        <v>4973</v>
      </c>
      <c r="L69" s="154">
        <v>60868</v>
      </c>
    </row>
    <row r="70" spans="2:12">
      <c r="B70" t="s">
        <v>204</v>
      </c>
      <c r="C70" t="s">
        <v>205</v>
      </c>
      <c r="D70" s="156">
        <v>25224</v>
      </c>
      <c r="G70" t="s">
        <v>204</v>
      </c>
      <c r="H70" t="s">
        <v>1031</v>
      </c>
      <c r="I70" s="154">
        <v>200393</v>
      </c>
      <c r="J70" s="154">
        <v>116527</v>
      </c>
      <c r="K70" s="154">
        <v>4986</v>
      </c>
      <c r="L70" s="154">
        <v>78880</v>
      </c>
    </row>
    <row r="71" spans="2:12">
      <c r="B71" t="s">
        <v>206</v>
      </c>
      <c r="C71" t="s">
        <v>207</v>
      </c>
      <c r="D71" s="156">
        <v>24309</v>
      </c>
      <c r="G71" t="s">
        <v>206</v>
      </c>
      <c r="H71" t="s">
        <v>1032</v>
      </c>
      <c r="I71" s="154">
        <v>308095</v>
      </c>
      <c r="J71" s="154">
        <v>197451</v>
      </c>
      <c r="K71" s="154">
        <v>11454</v>
      </c>
      <c r="L71" s="154">
        <v>99190</v>
      </c>
    </row>
    <row r="72" spans="2:12">
      <c r="B72" t="s">
        <v>208</v>
      </c>
      <c r="C72" t="s">
        <v>209</v>
      </c>
      <c r="D72" s="156">
        <v>13846</v>
      </c>
      <c r="G72" t="s">
        <v>208</v>
      </c>
      <c r="H72" t="s">
        <v>1033</v>
      </c>
      <c r="I72" s="154">
        <v>76111</v>
      </c>
      <c r="J72" s="154">
        <v>44972</v>
      </c>
      <c r="K72" s="154">
        <v>1228</v>
      </c>
      <c r="L72" s="154">
        <v>29911</v>
      </c>
    </row>
    <row r="73" spans="2:12">
      <c r="B73" t="s">
        <v>210</v>
      </c>
      <c r="C73" t="s">
        <v>211</v>
      </c>
      <c r="D73" s="156">
        <v>89956</v>
      </c>
      <c r="G73" t="s">
        <v>210</v>
      </c>
      <c r="H73" t="s">
        <v>1034</v>
      </c>
      <c r="I73" s="154">
        <v>176408</v>
      </c>
      <c r="J73" s="154">
        <v>93737</v>
      </c>
      <c r="K73" s="154">
        <v>5052</v>
      </c>
      <c r="L73" s="154">
        <v>77619</v>
      </c>
    </row>
    <row r="74" spans="2:12">
      <c r="B74" t="s">
        <v>212</v>
      </c>
      <c r="C74" s="29" t="s">
        <v>213</v>
      </c>
      <c r="D74" s="156">
        <v>4863</v>
      </c>
      <c r="E74" t="s">
        <v>1011</v>
      </c>
      <c r="G74" t="s">
        <v>212</v>
      </c>
      <c r="H74" t="s">
        <v>1035</v>
      </c>
      <c r="I74" s="154">
        <v>190302</v>
      </c>
      <c r="J74" s="154">
        <v>99450</v>
      </c>
      <c r="K74" s="154">
        <v>3977</v>
      </c>
      <c r="L74" s="154">
        <v>86875</v>
      </c>
    </row>
    <row r="75" spans="2:12">
      <c r="B75" t="s">
        <v>214</v>
      </c>
      <c r="C75" s="29" t="s">
        <v>215</v>
      </c>
      <c r="D75" s="156">
        <v>107312</v>
      </c>
      <c r="E75" t="s">
        <v>1011</v>
      </c>
      <c r="G75" t="s">
        <v>214</v>
      </c>
      <c r="H75" t="s">
        <v>1036</v>
      </c>
      <c r="I75" s="154">
        <v>32300</v>
      </c>
      <c r="J75" s="154">
        <v>24647</v>
      </c>
      <c r="K75" s="154">
        <v>569</v>
      </c>
      <c r="L75" s="154">
        <v>7084</v>
      </c>
    </row>
    <row r="76" spans="2:12">
      <c r="B76" t="s">
        <v>216</v>
      </c>
      <c r="C76" s="29" t="s">
        <v>217</v>
      </c>
      <c r="D76" s="156">
        <v>41160</v>
      </c>
      <c r="E76" t="s">
        <v>1011</v>
      </c>
      <c r="G76" t="s">
        <v>216</v>
      </c>
      <c r="H76" t="s">
        <v>1037</v>
      </c>
      <c r="I76" s="154">
        <v>116892</v>
      </c>
      <c r="J76" s="154">
        <v>67539</v>
      </c>
      <c r="K76" s="154">
        <v>2511</v>
      </c>
      <c r="L76" s="154">
        <v>46842</v>
      </c>
    </row>
    <row r="77" spans="2:12">
      <c r="B77" t="s">
        <v>218</v>
      </c>
      <c r="C77" s="29" t="s">
        <v>219</v>
      </c>
      <c r="D77" s="156">
        <v>2835</v>
      </c>
      <c r="E77" t="s">
        <v>1011</v>
      </c>
      <c r="G77" t="s">
        <v>218</v>
      </c>
      <c r="H77" t="s">
        <v>1038</v>
      </c>
      <c r="I77" s="154">
        <v>1328506</v>
      </c>
      <c r="J77" s="154">
        <v>448310</v>
      </c>
      <c r="K77" s="154">
        <v>64654</v>
      </c>
      <c r="L77" s="154">
        <v>815543</v>
      </c>
    </row>
    <row r="78" spans="2:12">
      <c r="B78" t="s">
        <v>220</v>
      </c>
      <c r="C78" s="29" t="s">
        <v>221</v>
      </c>
      <c r="D78" s="156">
        <v>11267</v>
      </c>
      <c r="E78" t="s">
        <v>1011</v>
      </c>
      <c r="G78" t="s">
        <v>220</v>
      </c>
      <c r="H78" t="s">
        <v>1039</v>
      </c>
      <c r="I78" s="154">
        <v>335201</v>
      </c>
      <c r="J78" s="154">
        <v>152510</v>
      </c>
      <c r="K78" s="154">
        <v>28655</v>
      </c>
      <c r="L78" s="154">
        <v>154036</v>
      </c>
    </row>
    <row r="79" spans="2:12">
      <c r="B79" t="s">
        <v>222</v>
      </c>
      <c r="C79" s="29" t="s">
        <v>223</v>
      </c>
      <c r="D79" s="156">
        <v>1557</v>
      </c>
      <c r="E79" t="s">
        <v>1011</v>
      </c>
      <c r="G79" t="s">
        <v>222</v>
      </c>
      <c r="H79" t="s">
        <v>1040</v>
      </c>
      <c r="I79" s="154">
        <v>16997</v>
      </c>
      <c r="J79" s="154">
        <v>12619</v>
      </c>
      <c r="K79" s="154">
        <v>783</v>
      </c>
      <c r="L79" s="154">
        <v>3595</v>
      </c>
    </row>
    <row r="80" spans="2:12">
      <c r="B80" t="s">
        <v>224</v>
      </c>
      <c r="C80" s="29" t="s">
        <v>225</v>
      </c>
      <c r="D80" s="156">
        <v>1883</v>
      </c>
      <c r="E80" t="s">
        <v>1011</v>
      </c>
      <c r="G80" t="s">
        <v>224</v>
      </c>
      <c r="H80" t="s">
        <v>1041</v>
      </c>
      <c r="I80" s="154">
        <v>12426</v>
      </c>
      <c r="J80" s="154">
        <v>7939</v>
      </c>
      <c r="K80" s="154">
        <v>392</v>
      </c>
      <c r="L80" s="154">
        <v>4094</v>
      </c>
    </row>
    <row r="81" spans="2:12">
      <c r="B81" t="s">
        <v>226</v>
      </c>
      <c r="C81" s="29" t="s">
        <v>227</v>
      </c>
      <c r="D81" s="156">
        <v>217</v>
      </c>
      <c r="E81" t="s">
        <v>1011</v>
      </c>
      <c r="G81" t="s">
        <v>226</v>
      </c>
      <c r="H81" t="s">
        <v>1042</v>
      </c>
      <c r="I81" s="154">
        <v>74729</v>
      </c>
      <c r="J81" s="154">
        <v>35559</v>
      </c>
      <c r="K81" s="154">
        <v>2440</v>
      </c>
      <c r="L81" s="154">
        <v>36729</v>
      </c>
    </row>
    <row r="82" spans="2:12">
      <c r="B82" t="s">
        <v>228</v>
      </c>
      <c r="C82" s="29" t="s">
        <v>229</v>
      </c>
      <c r="D82" s="156">
        <v>20089</v>
      </c>
      <c r="E82" t="s">
        <v>1011</v>
      </c>
      <c r="G82" t="s">
        <v>228</v>
      </c>
      <c r="H82" t="s">
        <v>1043</v>
      </c>
      <c r="I82" s="154">
        <v>42860</v>
      </c>
      <c r="J82" s="154">
        <v>26732</v>
      </c>
      <c r="K82" s="154">
        <v>1025</v>
      </c>
      <c r="L82" s="154">
        <v>15103</v>
      </c>
    </row>
    <row r="83" spans="2:12">
      <c r="B83" t="s">
        <v>230</v>
      </c>
      <c r="C83" s="29" t="s">
        <v>231</v>
      </c>
      <c r="D83" s="156">
        <v>312038</v>
      </c>
      <c r="E83" t="s">
        <v>1011</v>
      </c>
      <c r="G83" t="s">
        <v>230</v>
      </c>
      <c r="H83" t="s">
        <v>1044</v>
      </c>
      <c r="I83" s="154">
        <v>216782</v>
      </c>
      <c r="J83" s="154">
        <v>21465</v>
      </c>
      <c r="K83" s="154">
        <v>5398</v>
      </c>
      <c r="L83" s="154">
        <v>189919</v>
      </c>
    </row>
    <row r="84" spans="2:12">
      <c r="B84" t="s">
        <v>232</v>
      </c>
      <c r="C84" s="30" t="s">
        <v>233</v>
      </c>
      <c r="D84" s="156">
        <v>117114</v>
      </c>
      <c r="E84" t="s">
        <v>1012</v>
      </c>
      <c r="G84" t="s">
        <v>232</v>
      </c>
      <c r="H84" s="21" t="s">
        <v>1045</v>
      </c>
      <c r="I84" s="154">
        <v>531829</v>
      </c>
      <c r="J84" s="154">
        <v>130894</v>
      </c>
      <c r="K84" s="154">
        <v>23161</v>
      </c>
      <c r="L84" s="154">
        <v>377774</v>
      </c>
    </row>
    <row r="85" spans="2:12">
      <c r="B85" t="s">
        <v>234</v>
      </c>
      <c r="C85" s="10" t="s">
        <v>235</v>
      </c>
      <c r="D85" s="156">
        <v>19941</v>
      </c>
      <c r="E85" t="s">
        <v>1013</v>
      </c>
      <c r="G85" t="s">
        <v>234</v>
      </c>
      <c r="H85" t="s">
        <v>1046</v>
      </c>
      <c r="I85" s="154">
        <v>97682</v>
      </c>
      <c r="J85" s="154">
        <v>60593</v>
      </c>
      <c r="K85" s="154">
        <v>2798</v>
      </c>
      <c r="L85" s="154">
        <v>34291</v>
      </c>
    </row>
    <row r="86" spans="2:12">
      <c r="B86" t="s">
        <v>236</v>
      </c>
      <c r="C86" t="s">
        <v>237</v>
      </c>
      <c r="D86" s="156">
        <v>68388</v>
      </c>
      <c r="G86" t="s">
        <v>236</v>
      </c>
      <c r="H86" t="s">
        <v>1047</v>
      </c>
      <c r="I86" s="154">
        <v>1653014</v>
      </c>
      <c r="J86" s="154">
        <v>706712</v>
      </c>
      <c r="K86" s="154">
        <v>308064</v>
      </c>
      <c r="L86" s="154">
        <v>638238</v>
      </c>
    </row>
    <row r="87" spans="2:12">
      <c r="B87" t="s">
        <v>238</v>
      </c>
      <c r="C87" t="s">
        <v>239</v>
      </c>
      <c r="D87" s="156">
        <v>128618</v>
      </c>
      <c r="G87" t="s">
        <v>238</v>
      </c>
      <c r="H87" t="s">
        <v>1048</v>
      </c>
      <c r="I87" s="154">
        <v>1772380</v>
      </c>
      <c r="J87" s="154">
        <v>804744</v>
      </c>
      <c r="K87" s="154">
        <v>335877</v>
      </c>
      <c r="L87" s="154">
        <v>631759</v>
      </c>
    </row>
    <row r="88" spans="2:12">
      <c r="B88" t="s">
        <v>240</v>
      </c>
      <c r="C88" t="s">
        <v>241</v>
      </c>
      <c r="D88" s="156">
        <v>287017</v>
      </c>
      <c r="G88" t="s">
        <v>240</v>
      </c>
      <c r="H88" t="s">
        <v>1049</v>
      </c>
      <c r="I88" s="154">
        <v>943734</v>
      </c>
      <c r="J88" s="154">
        <v>543297</v>
      </c>
      <c r="K88" s="154">
        <v>53584</v>
      </c>
      <c r="L88" s="154">
        <v>346853</v>
      </c>
    </row>
    <row r="89" spans="2:12">
      <c r="B89" t="s">
        <v>242</v>
      </c>
      <c r="C89" t="s">
        <v>243</v>
      </c>
      <c r="D89" s="156">
        <v>77105</v>
      </c>
      <c r="G89" t="s">
        <v>242</v>
      </c>
      <c r="H89" t="s">
        <v>1050</v>
      </c>
      <c r="I89" s="154">
        <v>166618</v>
      </c>
      <c r="J89" s="154">
        <v>79083</v>
      </c>
      <c r="K89" s="154">
        <v>34940</v>
      </c>
      <c r="L89" s="154">
        <v>52595</v>
      </c>
    </row>
    <row r="90" spans="2:12">
      <c r="B90" t="s">
        <v>244</v>
      </c>
      <c r="C90" t="s">
        <v>245</v>
      </c>
      <c r="D90" s="156">
        <v>245386</v>
      </c>
      <c r="G90" t="s">
        <v>244</v>
      </c>
      <c r="H90" t="s">
        <v>1051</v>
      </c>
      <c r="I90" s="154">
        <v>53074</v>
      </c>
      <c r="J90" s="154">
        <v>23335</v>
      </c>
      <c r="K90" s="154">
        <v>-1450</v>
      </c>
      <c r="L90" s="154">
        <v>31189</v>
      </c>
    </row>
    <row r="91" spans="2:12">
      <c r="B91" t="s">
        <v>246</v>
      </c>
      <c r="C91" t="s">
        <v>247</v>
      </c>
      <c r="D91" s="156">
        <v>136565</v>
      </c>
      <c r="G91" t="s">
        <v>246</v>
      </c>
      <c r="H91" t="s">
        <v>1052</v>
      </c>
      <c r="I91" s="154">
        <v>24492</v>
      </c>
      <c r="J91" s="154">
        <v>9218</v>
      </c>
      <c r="K91" s="154">
        <v>1381</v>
      </c>
      <c r="L91" s="154">
        <v>13894</v>
      </c>
    </row>
    <row r="92" spans="2:12">
      <c r="B92" t="s">
        <v>248</v>
      </c>
      <c r="C92" t="s">
        <v>249</v>
      </c>
      <c r="D92" s="156">
        <v>377338</v>
      </c>
      <c r="G92" t="s">
        <v>248</v>
      </c>
      <c r="H92" t="s">
        <v>1053</v>
      </c>
      <c r="I92" s="154">
        <v>256635</v>
      </c>
      <c r="J92" s="154">
        <v>134032</v>
      </c>
      <c r="K92" s="154">
        <v>6219</v>
      </c>
      <c r="L92" s="154">
        <v>116384</v>
      </c>
    </row>
    <row r="93" spans="2:12">
      <c r="B93" t="s">
        <v>250</v>
      </c>
      <c r="C93" t="s">
        <v>251</v>
      </c>
      <c r="D93" s="156">
        <v>176533</v>
      </c>
      <c r="G93" t="s">
        <v>250</v>
      </c>
      <c r="H93" t="s">
        <v>1054</v>
      </c>
      <c r="I93" s="154">
        <v>68862</v>
      </c>
      <c r="J93" s="154">
        <v>33610</v>
      </c>
      <c r="K93" s="154">
        <v>2781</v>
      </c>
      <c r="L93" s="154">
        <v>32472</v>
      </c>
    </row>
    <row r="94" spans="2:12">
      <c r="B94" t="s">
        <v>252</v>
      </c>
      <c r="C94" t="s">
        <v>253</v>
      </c>
      <c r="D94" s="156">
        <v>140211</v>
      </c>
      <c r="G94" t="s">
        <v>252</v>
      </c>
      <c r="H94" t="s">
        <v>1055</v>
      </c>
      <c r="I94" s="154">
        <v>48704</v>
      </c>
      <c r="J94" s="154">
        <v>9996</v>
      </c>
      <c r="K94" s="154">
        <v>4745</v>
      </c>
      <c r="L94" s="154">
        <v>33964</v>
      </c>
    </row>
    <row r="95" spans="2:12">
      <c r="B95" t="s">
        <v>254</v>
      </c>
      <c r="C95" t="s">
        <v>255</v>
      </c>
      <c r="D95" s="156">
        <v>132415</v>
      </c>
      <c r="G95" t="s">
        <v>254</v>
      </c>
      <c r="H95" t="s">
        <v>1056</v>
      </c>
      <c r="I95" s="154">
        <v>207561</v>
      </c>
      <c r="J95" s="154">
        <v>142144</v>
      </c>
      <c r="K95" s="154">
        <v>3578</v>
      </c>
      <c r="L95" s="154">
        <v>61839</v>
      </c>
    </row>
    <row r="96" spans="2:12">
      <c r="B96" t="s">
        <v>256</v>
      </c>
      <c r="C96" t="s">
        <v>257</v>
      </c>
      <c r="D96" s="156">
        <v>378571</v>
      </c>
      <c r="G96" t="s">
        <v>256</v>
      </c>
      <c r="H96" t="s">
        <v>1057</v>
      </c>
      <c r="I96" s="154">
        <v>117788</v>
      </c>
      <c r="J96" s="154">
        <v>111880</v>
      </c>
      <c r="K96" s="154">
        <v>1390</v>
      </c>
      <c r="L96" s="154">
        <v>4517</v>
      </c>
    </row>
    <row r="97" spans="2:12">
      <c r="B97" t="s">
        <v>258</v>
      </c>
      <c r="C97" t="s">
        <v>259</v>
      </c>
      <c r="D97" s="156">
        <v>187756</v>
      </c>
      <c r="G97" t="s">
        <v>258</v>
      </c>
      <c r="H97" t="s">
        <v>1058</v>
      </c>
      <c r="I97" s="154">
        <v>1477938</v>
      </c>
      <c r="J97" s="154">
        <v>540316</v>
      </c>
      <c r="K97" s="154">
        <v>65447</v>
      </c>
      <c r="L97" s="154">
        <v>872176</v>
      </c>
    </row>
    <row r="98" spans="2:12">
      <c r="B98" t="s">
        <v>260</v>
      </c>
      <c r="C98" t="s">
        <v>261</v>
      </c>
      <c r="D98" s="156">
        <v>48887</v>
      </c>
      <c r="G98" t="s">
        <v>260</v>
      </c>
      <c r="H98" t="s">
        <v>1059</v>
      </c>
      <c r="I98" s="154">
        <v>401531</v>
      </c>
      <c r="J98" s="154">
        <v>175187</v>
      </c>
      <c r="K98" s="154">
        <v>7960</v>
      </c>
      <c r="L98" s="154">
        <v>218384</v>
      </c>
    </row>
    <row r="99" spans="2:12">
      <c r="B99" t="s">
        <v>262</v>
      </c>
      <c r="C99" t="s">
        <v>263</v>
      </c>
      <c r="D99" s="156">
        <v>38323</v>
      </c>
      <c r="G99" t="s">
        <v>262</v>
      </c>
      <c r="H99" t="s">
        <v>1060</v>
      </c>
      <c r="I99" s="154">
        <v>114002</v>
      </c>
      <c r="J99" s="154">
        <v>39810</v>
      </c>
      <c r="K99" s="154">
        <v>6720</v>
      </c>
      <c r="L99" s="154">
        <v>67472</v>
      </c>
    </row>
    <row r="100" spans="2:12">
      <c r="B100" t="s">
        <v>264</v>
      </c>
      <c r="C100" t="s">
        <v>265</v>
      </c>
      <c r="D100" s="156">
        <v>37495</v>
      </c>
      <c r="G100" t="s">
        <v>264</v>
      </c>
      <c r="H100" t="s">
        <v>1061</v>
      </c>
      <c r="I100" s="154">
        <v>492982</v>
      </c>
      <c r="J100" s="154">
        <v>122036</v>
      </c>
      <c r="K100" s="154">
        <v>42527</v>
      </c>
      <c r="L100" s="154">
        <v>328419</v>
      </c>
    </row>
    <row r="101" spans="2:12">
      <c r="B101" t="s">
        <v>266</v>
      </c>
      <c r="C101" t="s">
        <v>267</v>
      </c>
      <c r="D101" s="156">
        <v>44003</v>
      </c>
      <c r="G101" t="s">
        <v>266</v>
      </c>
      <c r="H101" t="s">
        <v>1062</v>
      </c>
      <c r="I101" s="154">
        <v>469423</v>
      </c>
      <c r="J101" s="154">
        <v>203282</v>
      </c>
      <c r="K101" s="154">
        <v>8240</v>
      </c>
      <c r="L101" s="154">
        <v>257901</v>
      </c>
    </row>
    <row r="102" spans="2:12">
      <c r="B102" t="s">
        <v>268</v>
      </c>
      <c r="C102" s="26" t="s">
        <v>269</v>
      </c>
      <c r="D102" s="156">
        <v>10515</v>
      </c>
      <c r="E102" t="s">
        <v>1004</v>
      </c>
      <c r="G102" t="s">
        <v>268</v>
      </c>
      <c r="H102" t="s">
        <v>1063</v>
      </c>
      <c r="I102" s="154">
        <v>5811618</v>
      </c>
      <c r="J102" s="154">
        <v>1276846</v>
      </c>
      <c r="K102" s="154">
        <v>468014</v>
      </c>
      <c r="L102" s="154">
        <v>4066757</v>
      </c>
    </row>
    <row r="103" spans="2:12">
      <c r="B103" t="s">
        <v>270</v>
      </c>
      <c r="C103" s="25" t="s">
        <v>271</v>
      </c>
      <c r="D103" s="156">
        <v>30256</v>
      </c>
      <c r="E103" t="s">
        <v>1005</v>
      </c>
      <c r="G103" t="s">
        <v>270</v>
      </c>
      <c r="H103" t="s">
        <v>1064</v>
      </c>
      <c r="I103" s="154">
        <v>2015595</v>
      </c>
      <c r="J103" s="154">
        <v>1062182</v>
      </c>
      <c r="K103" s="154">
        <v>78485</v>
      </c>
      <c r="L103" s="154">
        <v>874928</v>
      </c>
    </row>
    <row r="104" spans="2:12">
      <c r="B104" t="s">
        <v>272</v>
      </c>
      <c r="C104" s="26" t="s">
        <v>273</v>
      </c>
      <c r="D104" s="156">
        <v>10494</v>
      </c>
      <c r="E104" t="s">
        <v>1004</v>
      </c>
      <c r="G104" t="s">
        <v>272</v>
      </c>
      <c r="H104" t="s">
        <v>1065</v>
      </c>
      <c r="I104" s="154">
        <v>913432</v>
      </c>
      <c r="J104" s="154">
        <v>349473</v>
      </c>
      <c r="K104" s="154">
        <v>24116</v>
      </c>
      <c r="L104" s="154">
        <v>539842</v>
      </c>
    </row>
    <row r="105" spans="2:12">
      <c r="B105" t="s">
        <v>274</v>
      </c>
      <c r="C105" s="26" t="s">
        <v>275</v>
      </c>
      <c r="D105" s="156">
        <v>41645</v>
      </c>
      <c r="E105" t="s">
        <v>1004</v>
      </c>
      <c r="G105" t="s">
        <v>274</v>
      </c>
      <c r="H105" t="s">
        <v>1066</v>
      </c>
      <c r="I105" s="154">
        <v>362221</v>
      </c>
      <c r="J105" s="154">
        <v>337565</v>
      </c>
      <c r="K105" s="154">
        <v>8186</v>
      </c>
      <c r="L105" s="154">
        <v>16470</v>
      </c>
    </row>
    <row r="106" spans="2:12">
      <c r="B106" t="s">
        <v>276</v>
      </c>
      <c r="C106" s="26" t="s">
        <v>277</v>
      </c>
      <c r="D106" s="156">
        <v>8714</v>
      </c>
      <c r="E106" t="s">
        <v>1004</v>
      </c>
      <c r="G106" t="s">
        <v>276</v>
      </c>
      <c r="H106" t="s">
        <v>1067</v>
      </c>
      <c r="I106" s="154">
        <v>721127</v>
      </c>
      <c r="J106" s="154">
        <v>368999</v>
      </c>
      <c r="K106" s="154">
        <v>45374</v>
      </c>
      <c r="L106" s="154">
        <v>306754</v>
      </c>
    </row>
    <row r="107" spans="2:12">
      <c r="B107" t="s">
        <v>278</v>
      </c>
      <c r="C107" s="26" t="s">
        <v>279</v>
      </c>
      <c r="D107" s="156">
        <v>16685</v>
      </c>
      <c r="E107" t="s">
        <v>1004</v>
      </c>
      <c r="G107" t="s">
        <v>278</v>
      </c>
      <c r="H107" t="s">
        <v>1068</v>
      </c>
      <c r="I107" s="154">
        <v>18816</v>
      </c>
      <c r="J107" s="154">
        <v>6146</v>
      </c>
      <c r="K107" s="154">
        <v>809</v>
      </c>
      <c r="L107" s="154">
        <v>11861</v>
      </c>
    </row>
    <row r="108" spans="2:12">
      <c r="B108" t="s">
        <v>280</v>
      </c>
      <c r="C108" s="26" t="s">
        <v>281</v>
      </c>
      <c r="D108" s="156">
        <v>10700</v>
      </c>
      <c r="E108" t="s">
        <v>1004</v>
      </c>
      <c r="G108" t="s">
        <v>280</v>
      </c>
      <c r="H108" t="s">
        <v>1069</v>
      </c>
      <c r="I108" s="154">
        <v>3796022</v>
      </c>
      <c r="J108" s="154">
        <v>214664</v>
      </c>
      <c r="K108" s="154">
        <v>389529</v>
      </c>
      <c r="L108" s="154">
        <v>3191830</v>
      </c>
    </row>
    <row r="109" spans="2:12">
      <c r="B109" t="s">
        <v>282</v>
      </c>
      <c r="C109" s="26" t="s">
        <v>283</v>
      </c>
      <c r="D109" s="156">
        <v>4033</v>
      </c>
      <c r="E109" t="s">
        <v>1004</v>
      </c>
      <c r="G109" t="s">
        <v>282</v>
      </c>
      <c r="H109" t="s">
        <v>1070</v>
      </c>
      <c r="I109" s="154">
        <v>3447148</v>
      </c>
      <c r="J109" s="154">
        <v>164568</v>
      </c>
      <c r="K109" s="154">
        <v>360636</v>
      </c>
      <c r="L109" s="154">
        <v>2921944</v>
      </c>
    </row>
    <row r="110" spans="2:12">
      <c r="B110" t="s">
        <v>284</v>
      </c>
      <c r="C110" s="26" t="s">
        <v>285</v>
      </c>
      <c r="D110" s="156">
        <v>7048</v>
      </c>
      <c r="E110" t="s">
        <v>1004</v>
      </c>
      <c r="G110" t="s">
        <v>284</v>
      </c>
      <c r="H110" t="s">
        <v>1071</v>
      </c>
      <c r="I110" s="154">
        <v>348875</v>
      </c>
      <c r="J110" s="154">
        <v>50096</v>
      </c>
      <c r="K110" s="154">
        <v>28893</v>
      </c>
      <c r="L110" s="154">
        <v>269886</v>
      </c>
    </row>
    <row r="111" spans="2:12">
      <c r="B111" t="s">
        <v>286</v>
      </c>
      <c r="C111" s="26" t="s">
        <v>287</v>
      </c>
      <c r="D111" s="156">
        <v>4371</v>
      </c>
      <c r="E111" t="s">
        <v>1004</v>
      </c>
      <c r="G111" t="s">
        <v>286</v>
      </c>
      <c r="H111" t="s">
        <v>1072</v>
      </c>
      <c r="I111" s="154">
        <v>3611702</v>
      </c>
      <c r="J111" s="154">
        <v>2590723</v>
      </c>
      <c r="K111" s="154">
        <v>93115</v>
      </c>
      <c r="L111" s="154">
        <v>927864</v>
      </c>
    </row>
    <row r="112" spans="2:12">
      <c r="B112" t="s">
        <v>288</v>
      </c>
      <c r="C112" s="26" t="s">
        <v>289</v>
      </c>
      <c r="D112" s="156">
        <v>12168</v>
      </c>
      <c r="E112" t="s">
        <v>1004</v>
      </c>
      <c r="G112" t="s">
        <v>288</v>
      </c>
      <c r="H112" t="s">
        <v>1073</v>
      </c>
      <c r="I112" s="154">
        <v>2221972</v>
      </c>
      <c r="J112" s="154">
        <v>1516118</v>
      </c>
      <c r="K112" s="154">
        <v>59115</v>
      </c>
      <c r="L112" s="154">
        <v>646740</v>
      </c>
    </row>
    <row r="113" spans="2:12">
      <c r="B113" t="s">
        <v>290</v>
      </c>
      <c r="C113" s="26" t="s">
        <v>291</v>
      </c>
      <c r="D113" s="156">
        <v>5140</v>
      </c>
      <c r="E113" t="s">
        <v>1004</v>
      </c>
      <c r="G113" t="s">
        <v>290</v>
      </c>
      <c r="H113" t="s">
        <v>1074</v>
      </c>
      <c r="I113" s="154">
        <v>362744</v>
      </c>
      <c r="J113" s="154">
        <v>176101</v>
      </c>
      <c r="K113" s="154">
        <v>23759</v>
      </c>
      <c r="L113" s="154">
        <v>162885</v>
      </c>
    </row>
    <row r="114" spans="2:12">
      <c r="B114" t="s">
        <v>292</v>
      </c>
      <c r="C114" s="21" t="s">
        <v>293</v>
      </c>
      <c r="D114" s="156">
        <v>141825</v>
      </c>
      <c r="E114" t="s">
        <v>1006</v>
      </c>
      <c r="G114" t="s">
        <v>292</v>
      </c>
      <c r="H114" t="s">
        <v>1075</v>
      </c>
      <c r="I114" s="154">
        <v>489185</v>
      </c>
      <c r="J114" s="154">
        <v>417850</v>
      </c>
      <c r="K114" s="154">
        <v>11971</v>
      </c>
      <c r="L114" s="154">
        <v>59364</v>
      </c>
    </row>
    <row r="115" spans="2:12">
      <c r="B115" t="s">
        <v>294</v>
      </c>
      <c r="C115" s="21" t="s">
        <v>295</v>
      </c>
      <c r="D115" s="156">
        <v>35610</v>
      </c>
      <c r="E115" t="s">
        <v>1006</v>
      </c>
      <c r="G115" t="s">
        <v>294</v>
      </c>
      <c r="H115" t="s">
        <v>1076</v>
      </c>
      <c r="I115" s="154">
        <v>1370043</v>
      </c>
      <c r="J115" s="154">
        <v>922167</v>
      </c>
      <c r="K115" s="154">
        <v>23385</v>
      </c>
      <c r="L115" s="154">
        <v>424491</v>
      </c>
    </row>
    <row r="116" spans="2:12">
      <c r="B116" t="s">
        <v>296</v>
      </c>
      <c r="C116" s="10" t="s">
        <v>297</v>
      </c>
      <c r="D116" s="156">
        <v>7624</v>
      </c>
      <c r="E116" t="s">
        <v>1007</v>
      </c>
      <c r="G116" t="s">
        <v>296</v>
      </c>
      <c r="H116" t="s">
        <v>1077</v>
      </c>
      <c r="I116" s="154">
        <v>503129</v>
      </c>
      <c r="J116" s="154">
        <v>444212</v>
      </c>
      <c r="K116" s="154">
        <v>12748</v>
      </c>
      <c r="L116" s="154">
        <v>46170</v>
      </c>
    </row>
    <row r="117" spans="2:12">
      <c r="B117" t="s">
        <v>298</v>
      </c>
      <c r="C117" s="10" t="s">
        <v>299</v>
      </c>
      <c r="D117" s="156">
        <v>2872</v>
      </c>
      <c r="E117" t="s">
        <v>1007</v>
      </c>
      <c r="G117" t="s">
        <v>298</v>
      </c>
      <c r="H117" t="s">
        <v>1078</v>
      </c>
      <c r="I117" s="154">
        <v>886601</v>
      </c>
      <c r="J117" s="154">
        <v>630394</v>
      </c>
      <c r="K117" s="154">
        <v>21253</v>
      </c>
      <c r="L117" s="154">
        <v>234954</v>
      </c>
    </row>
    <row r="118" spans="2:12">
      <c r="B118" t="s">
        <v>300</v>
      </c>
      <c r="C118" s="10" t="s">
        <v>301</v>
      </c>
      <c r="D118" s="156">
        <v>33518</v>
      </c>
      <c r="E118" t="s">
        <v>1007</v>
      </c>
      <c r="G118" t="s">
        <v>300</v>
      </c>
      <c r="H118" t="s">
        <v>1079</v>
      </c>
      <c r="I118" s="154">
        <v>804531</v>
      </c>
      <c r="J118" s="154">
        <v>584803</v>
      </c>
      <c r="K118" s="154">
        <v>16050</v>
      </c>
      <c r="L118" s="154">
        <v>203677</v>
      </c>
    </row>
    <row r="119" spans="2:12">
      <c r="B119" t="s">
        <v>302</v>
      </c>
      <c r="C119" s="10" t="s">
        <v>303</v>
      </c>
      <c r="D119" s="156">
        <v>16662</v>
      </c>
      <c r="E119" t="s">
        <v>1007</v>
      </c>
      <c r="G119" t="s">
        <v>302</v>
      </c>
      <c r="H119" t="s">
        <v>1080</v>
      </c>
      <c r="I119" s="154">
        <v>82069</v>
      </c>
      <c r="J119" s="154">
        <v>45590</v>
      </c>
      <c r="K119" s="154">
        <v>5202</v>
      </c>
      <c r="L119" s="154">
        <v>31277</v>
      </c>
    </row>
    <row r="120" spans="2:12">
      <c r="B120" t="s">
        <v>304</v>
      </c>
      <c r="C120" s="10" t="s">
        <v>305</v>
      </c>
      <c r="D120" s="156">
        <v>33570</v>
      </c>
      <c r="E120" t="s">
        <v>1007</v>
      </c>
      <c r="G120" t="s">
        <v>304</v>
      </c>
      <c r="H120" t="s">
        <v>1081</v>
      </c>
      <c r="I120" s="154">
        <v>2350905</v>
      </c>
      <c r="J120" s="154">
        <v>1903573</v>
      </c>
      <c r="K120" s="154">
        <v>49068</v>
      </c>
      <c r="L120" s="154">
        <v>398264</v>
      </c>
    </row>
    <row r="121" spans="2:12">
      <c r="B121" t="s">
        <v>306</v>
      </c>
      <c r="C121" s="10" t="s">
        <v>307</v>
      </c>
      <c r="D121" s="156">
        <v>14104</v>
      </c>
      <c r="E121" t="s">
        <v>1007</v>
      </c>
      <c r="G121" t="s">
        <v>306</v>
      </c>
      <c r="H121" t="s">
        <v>1082</v>
      </c>
      <c r="I121" s="154">
        <v>312038</v>
      </c>
      <c r="J121" s="154">
        <v>252694</v>
      </c>
      <c r="K121" s="154">
        <v>12989</v>
      </c>
      <c r="L121" s="154">
        <v>46356</v>
      </c>
    </row>
    <row r="122" spans="2:12">
      <c r="B122" t="s">
        <v>308</v>
      </c>
      <c r="C122" s="21" t="s">
        <v>309</v>
      </c>
      <c r="D122" s="156">
        <v>19233</v>
      </c>
      <c r="E122" t="s">
        <v>1006</v>
      </c>
      <c r="G122" t="s">
        <v>308</v>
      </c>
      <c r="H122" t="s">
        <v>1083</v>
      </c>
      <c r="I122" s="154">
        <v>2038867</v>
      </c>
      <c r="J122" s="154">
        <v>1650879</v>
      </c>
      <c r="K122" s="154">
        <v>36079</v>
      </c>
      <c r="L122" s="154">
        <v>351909</v>
      </c>
    </row>
    <row r="123" spans="2:12">
      <c r="B123" t="s">
        <v>310</v>
      </c>
      <c r="C123" s="10" t="s">
        <v>311</v>
      </c>
      <c r="D123" s="156">
        <v>13849</v>
      </c>
      <c r="E123" t="s">
        <v>1007</v>
      </c>
      <c r="G123" t="s">
        <v>310</v>
      </c>
      <c r="H123" t="s">
        <v>1084</v>
      </c>
      <c r="I123" s="154">
        <v>1000523</v>
      </c>
      <c r="J123" s="154">
        <v>765615</v>
      </c>
      <c r="K123" s="154">
        <v>12621</v>
      </c>
      <c r="L123" s="154">
        <v>222286</v>
      </c>
    </row>
    <row r="124" spans="2:12">
      <c r="B124" t="s">
        <v>312</v>
      </c>
      <c r="C124" t="s">
        <v>313</v>
      </c>
      <c r="D124" s="156">
        <v>9412</v>
      </c>
      <c r="G124" t="s">
        <v>312</v>
      </c>
      <c r="H124" t="s">
        <v>1085</v>
      </c>
      <c r="I124" s="154">
        <v>840330</v>
      </c>
      <c r="J124" s="154">
        <v>700336</v>
      </c>
      <c r="K124" s="154">
        <v>28292</v>
      </c>
      <c r="L124" s="154">
        <v>111702</v>
      </c>
    </row>
    <row r="125" spans="2:12">
      <c r="B125" t="s">
        <v>314</v>
      </c>
      <c r="C125" t="s">
        <v>315</v>
      </c>
      <c r="D125" s="156">
        <v>12191</v>
      </c>
      <c r="G125" t="s">
        <v>314</v>
      </c>
      <c r="H125" t="s">
        <v>1086</v>
      </c>
      <c r="I125" s="154">
        <v>198014</v>
      </c>
      <c r="J125" s="154">
        <v>184927</v>
      </c>
      <c r="K125" s="154">
        <v>-4834</v>
      </c>
      <c r="L125" s="154">
        <v>17920</v>
      </c>
    </row>
    <row r="126" spans="2:12">
      <c r="B126" t="s">
        <v>316</v>
      </c>
      <c r="C126" t="s">
        <v>317</v>
      </c>
      <c r="D126" s="156">
        <v>14663</v>
      </c>
      <c r="G126" t="s">
        <v>316</v>
      </c>
      <c r="H126" t="s">
        <v>1087</v>
      </c>
      <c r="I126" s="154">
        <v>1211474</v>
      </c>
      <c r="J126" s="154">
        <v>697929</v>
      </c>
      <c r="K126" s="154">
        <v>163548</v>
      </c>
      <c r="L126" s="154">
        <v>349997</v>
      </c>
    </row>
    <row r="127" spans="2:12">
      <c r="B127" t="s">
        <v>318</v>
      </c>
      <c r="C127" t="s">
        <v>319</v>
      </c>
      <c r="D127" s="156">
        <v>10068</v>
      </c>
      <c r="G127" t="s">
        <v>318</v>
      </c>
      <c r="H127" t="s">
        <v>1088</v>
      </c>
      <c r="I127" s="154">
        <v>299724</v>
      </c>
      <c r="J127" s="154">
        <v>158184</v>
      </c>
      <c r="K127" s="154">
        <v>36485</v>
      </c>
      <c r="L127" s="154">
        <v>105055</v>
      </c>
    </row>
    <row r="128" spans="2:12">
      <c r="B128" t="s">
        <v>320</v>
      </c>
      <c r="C128" t="s">
        <v>321</v>
      </c>
      <c r="D128" s="156">
        <v>64043</v>
      </c>
      <c r="G128" t="s">
        <v>320</v>
      </c>
      <c r="H128" t="s">
        <v>1089</v>
      </c>
      <c r="I128" s="154">
        <v>171243</v>
      </c>
      <c r="J128" s="154">
        <v>82241</v>
      </c>
      <c r="K128" s="154">
        <v>10044</v>
      </c>
      <c r="L128" s="154">
        <v>78959</v>
      </c>
    </row>
    <row r="129" spans="2:12">
      <c r="B129" t="s">
        <v>322</v>
      </c>
      <c r="C129" t="s">
        <v>323</v>
      </c>
      <c r="D129" s="156">
        <v>59652</v>
      </c>
      <c r="G129" t="s">
        <v>322</v>
      </c>
      <c r="H129" t="s">
        <v>1090</v>
      </c>
      <c r="I129" s="154">
        <v>128481</v>
      </c>
      <c r="J129" s="154">
        <v>75943</v>
      </c>
      <c r="K129" s="154">
        <v>26441</v>
      </c>
      <c r="L129" s="154">
        <v>26096</v>
      </c>
    </row>
    <row r="130" spans="2:12">
      <c r="B130" t="s">
        <v>324</v>
      </c>
      <c r="C130" t="s">
        <v>325</v>
      </c>
      <c r="D130" s="156">
        <v>6046</v>
      </c>
      <c r="G130" t="s">
        <v>324</v>
      </c>
      <c r="H130" t="s">
        <v>1091</v>
      </c>
      <c r="I130" s="154">
        <v>911750</v>
      </c>
      <c r="J130" s="154">
        <v>539745</v>
      </c>
      <c r="K130" s="154">
        <v>127063</v>
      </c>
      <c r="L130" s="154">
        <v>244942</v>
      </c>
    </row>
    <row r="131" spans="2:12">
      <c r="B131" t="s">
        <v>326</v>
      </c>
      <c r="C131" t="s">
        <v>327</v>
      </c>
      <c r="D131" s="156">
        <v>8541</v>
      </c>
      <c r="G131" t="s">
        <v>326</v>
      </c>
      <c r="H131" t="s">
        <v>1092</v>
      </c>
      <c r="I131" s="154">
        <v>245561</v>
      </c>
      <c r="J131" s="154">
        <v>102291</v>
      </c>
      <c r="K131" s="154">
        <v>43204</v>
      </c>
      <c r="L131" s="154">
        <v>100066</v>
      </c>
    </row>
    <row r="132" spans="2:12">
      <c r="B132" t="s">
        <v>328</v>
      </c>
      <c r="C132" t="s">
        <v>329</v>
      </c>
      <c r="D132" s="156">
        <v>20343</v>
      </c>
      <c r="G132" t="s">
        <v>328</v>
      </c>
      <c r="H132" t="s">
        <v>1093</v>
      </c>
      <c r="I132" s="154">
        <v>666189</v>
      </c>
      <c r="J132" s="154">
        <v>437453</v>
      </c>
      <c r="K132" s="154">
        <v>83859</v>
      </c>
      <c r="L132" s="154">
        <v>144876</v>
      </c>
    </row>
    <row r="133" spans="2:12">
      <c r="B133" t="s">
        <v>330</v>
      </c>
      <c r="C133" t="s">
        <v>331</v>
      </c>
      <c r="D133" s="156">
        <v>10771</v>
      </c>
      <c r="G133" t="s">
        <v>330</v>
      </c>
      <c r="H133" t="s">
        <v>1094</v>
      </c>
      <c r="I133" s="154">
        <v>589391</v>
      </c>
      <c r="J133" s="154">
        <v>411400</v>
      </c>
      <c r="K133" s="154">
        <v>34318</v>
      </c>
      <c r="L133" s="154">
        <v>143672</v>
      </c>
    </row>
    <row r="134" spans="2:12">
      <c r="B134" t="s">
        <v>332</v>
      </c>
      <c r="C134" t="s">
        <v>333</v>
      </c>
      <c r="D134" s="156">
        <v>10494</v>
      </c>
      <c r="G134" t="s">
        <v>332</v>
      </c>
      <c r="H134" t="s">
        <v>1095</v>
      </c>
      <c r="I134" s="154">
        <v>3105093</v>
      </c>
      <c r="J134" s="154">
        <v>2408949</v>
      </c>
      <c r="K134" s="154">
        <v>-47937</v>
      </c>
      <c r="L134" s="154">
        <v>744082</v>
      </c>
    </row>
    <row r="135" spans="2:12">
      <c r="B135" t="s">
        <v>334</v>
      </c>
      <c r="C135" t="s">
        <v>335</v>
      </c>
      <c r="D135" s="156">
        <v>45185</v>
      </c>
      <c r="G135" t="s">
        <v>334</v>
      </c>
      <c r="H135" t="s">
        <v>1096</v>
      </c>
      <c r="I135" s="154">
        <v>998776</v>
      </c>
      <c r="J135" s="154">
        <v>634932</v>
      </c>
      <c r="K135" s="154">
        <v>-11496</v>
      </c>
      <c r="L135" s="154">
        <v>375341</v>
      </c>
    </row>
    <row r="136" spans="2:12">
      <c r="B136" t="s">
        <v>336</v>
      </c>
      <c r="C136" t="s">
        <v>337</v>
      </c>
      <c r="D136" s="156">
        <v>31178</v>
      </c>
      <c r="G136" t="s">
        <v>336</v>
      </c>
      <c r="H136" t="s">
        <v>1097</v>
      </c>
      <c r="I136" s="154">
        <v>929687</v>
      </c>
      <c r="J136" s="154">
        <v>564712</v>
      </c>
      <c r="K136" s="154" t="s">
        <v>1107</v>
      </c>
      <c r="L136" s="154">
        <v>364975</v>
      </c>
    </row>
    <row r="137" spans="2:12">
      <c r="B137" t="s">
        <v>338</v>
      </c>
      <c r="C137" t="s">
        <v>339</v>
      </c>
      <c r="D137" s="156">
        <v>33278</v>
      </c>
      <c r="G137" t="s">
        <v>338</v>
      </c>
      <c r="H137" t="s">
        <v>1098</v>
      </c>
      <c r="I137" s="154">
        <v>69089</v>
      </c>
      <c r="J137" s="154">
        <v>70220</v>
      </c>
      <c r="K137" s="154">
        <v>-11496</v>
      </c>
      <c r="L137" s="154">
        <v>10366</v>
      </c>
    </row>
    <row r="138" spans="2:12">
      <c r="B138" t="s">
        <v>340</v>
      </c>
      <c r="C138" t="s">
        <v>341</v>
      </c>
      <c r="D138" s="156">
        <v>6212</v>
      </c>
      <c r="G138" t="s">
        <v>340</v>
      </c>
      <c r="H138" t="s">
        <v>1099</v>
      </c>
      <c r="I138" s="154">
        <v>2106317</v>
      </c>
      <c r="J138" s="154">
        <v>1774017</v>
      </c>
      <c r="K138" s="154">
        <v>-36441</v>
      </c>
      <c r="L138" s="154">
        <v>368741</v>
      </c>
    </row>
    <row r="139" spans="2:12">
      <c r="B139" t="s">
        <v>342</v>
      </c>
      <c r="C139" t="s">
        <v>343</v>
      </c>
      <c r="D139" s="156">
        <v>30812</v>
      </c>
      <c r="G139" t="s">
        <v>342</v>
      </c>
      <c r="H139" t="s">
        <v>1100</v>
      </c>
      <c r="I139" s="154">
        <v>1945285</v>
      </c>
      <c r="J139" s="154">
        <v>1642001</v>
      </c>
      <c r="K139" s="154" t="s">
        <v>1107</v>
      </c>
      <c r="L139" s="154">
        <v>303285</v>
      </c>
    </row>
    <row r="140" spans="2:12">
      <c r="B140" t="s">
        <v>344</v>
      </c>
      <c r="C140" t="s">
        <v>345</v>
      </c>
      <c r="D140" s="156">
        <v>6177</v>
      </c>
      <c r="G140" t="s">
        <v>344</v>
      </c>
      <c r="H140" t="s">
        <v>1101</v>
      </c>
      <c r="I140" s="154">
        <v>161032</v>
      </c>
      <c r="J140" s="154">
        <v>132016</v>
      </c>
      <c r="K140" s="154">
        <v>-36441</v>
      </c>
      <c r="L140" s="154">
        <v>65456</v>
      </c>
    </row>
    <row r="141" spans="2:12">
      <c r="B141" t="s">
        <v>346</v>
      </c>
      <c r="C141" t="s">
        <v>347</v>
      </c>
      <c r="D141" s="156">
        <v>7198</v>
      </c>
      <c r="H141" t="s">
        <v>1102</v>
      </c>
      <c r="I141" s="20"/>
    </row>
    <row r="142" spans="2:12">
      <c r="B142" t="s">
        <v>348</v>
      </c>
      <c r="C142" t="s">
        <v>349</v>
      </c>
      <c r="D142" s="156">
        <v>24759</v>
      </c>
      <c r="G142" t="s">
        <v>346</v>
      </c>
      <c r="H142" t="s">
        <v>1103</v>
      </c>
      <c r="I142" s="154">
        <v>4746943</v>
      </c>
      <c r="J142" s="154">
        <v>2227699</v>
      </c>
      <c r="K142" s="154">
        <v>187699</v>
      </c>
      <c r="L142" s="154">
        <v>2331545</v>
      </c>
    </row>
    <row r="143" spans="2:12">
      <c r="B143" t="s">
        <v>350</v>
      </c>
      <c r="C143" t="s">
        <v>351</v>
      </c>
      <c r="D143" s="156">
        <v>20594</v>
      </c>
      <c r="G143" t="s">
        <v>348</v>
      </c>
      <c r="H143" t="s">
        <v>1104</v>
      </c>
      <c r="I143" s="154">
        <v>19868671</v>
      </c>
      <c r="J143" s="154">
        <v>9572920</v>
      </c>
      <c r="K143" s="154">
        <v>1650539</v>
      </c>
      <c r="L143" s="154">
        <v>8645211</v>
      </c>
    </row>
    <row r="144" spans="2:12">
      <c r="B144" t="s">
        <v>352</v>
      </c>
      <c r="C144" t="s">
        <v>353</v>
      </c>
      <c r="D144" s="156">
        <v>29975</v>
      </c>
    </row>
    <row r="145" spans="2:4">
      <c r="B145" t="s">
        <v>354</v>
      </c>
      <c r="C145" t="s">
        <v>355</v>
      </c>
      <c r="D145" s="156">
        <v>11039</v>
      </c>
    </row>
    <row r="146" spans="2:4">
      <c r="B146" t="s">
        <v>356</v>
      </c>
      <c r="C146" t="s">
        <v>357</v>
      </c>
      <c r="D146" s="156">
        <v>46878</v>
      </c>
    </row>
    <row r="147" spans="2:4">
      <c r="B147" t="s">
        <v>358</v>
      </c>
      <c r="C147" t="s">
        <v>359</v>
      </c>
      <c r="D147" s="156">
        <v>20525</v>
      </c>
    </row>
    <row r="148" spans="2:4">
      <c r="B148" t="s">
        <v>360</v>
      </c>
      <c r="C148" t="s">
        <v>361</v>
      </c>
      <c r="D148" s="156">
        <v>12745</v>
      </c>
    </row>
    <row r="149" spans="2:4">
      <c r="B149" t="s">
        <v>362</v>
      </c>
      <c r="C149" t="s">
        <v>363</v>
      </c>
      <c r="D149" s="156">
        <v>33406</v>
      </c>
    </row>
    <row r="150" spans="2:4">
      <c r="B150" t="s">
        <v>364</v>
      </c>
      <c r="C150" t="s">
        <v>365</v>
      </c>
      <c r="D150" s="156">
        <v>7102</v>
      </c>
    </row>
    <row r="151" spans="2:4">
      <c r="B151" t="s">
        <v>366</v>
      </c>
      <c r="C151" t="s">
        <v>367</v>
      </c>
      <c r="D151" s="156">
        <v>1337</v>
      </c>
    </row>
    <row r="152" spans="2:4">
      <c r="B152" t="s">
        <v>368</v>
      </c>
      <c r="C152" t="s">
        <v>369</v>
      </c>
      <c r="D152" s="156">
        <v>20663</v>
      </c>
    </row>
    <row r="153" spans="2:4">
      <c r="B153" t="s">
        <v>370</v>
      </c>
      <c r="C153" t="s">
        <v>371</v>
      </c>
      <c r="D153" s="156">
        <v>6297</v>
      </c>
    </row>
    <row r="154" spans="2:4">
      <c r="B154" t="s">
        <v>372</v>
      </c>
      <c r="C154" t="s">
        <v>373</v>
      </c>
      <c r="D154" s="156">
        <v>44005</v>
      </c>
    </row>
    <row r="155" spans="2:4">
      <c r="B155" t="s">
        <v>374</v>
      </c>
      <c r="C155" t="s">
        <v>375</v>
      </c>
      <c r="D155" s="156">
        <v>9057</v>
      </c>
    </row>
    <row r="156" spans="2:4">
      <c r="B156" t="s">
        <v>376</v>
      </c>
      <c r="C156" t="s">
        <v>377</v>
      </c>
      <c r="D156" s="156">
        <v>6952</v>
      </c>
    </row>
    <row r="157" spans="2:4">
      <c r="B157" t="s">
        <v>378</v>
      </c>
      <c r="C157" t="s">
        <v>379</v>
      </c>
      <c r="D157" s="156">
        <v>9061</v>
      </c>
    </row>
    <row r="158" spans="2:4">
      <c r="B158" t="s">
        <v>380</v>
      </c>
      <c r="C158" t="s">
        <v>381</v>
      </c>
      <c r="D158" s="156">
        <v>8662</v>
      </c>
    </row>
    <row r="159" spans="2:4">
      <c r="B159" t="s">
        <v>382</v>
      </c>
      <c r="C159" t="s">
        <v>383</v>
      </c>
      <c r="D159" s="156">
        <v>9607</v>
      </c>
    </row>
    <row r="160" spans="2:4">
      <c r="B160" t="s">
        <v>384</v>
      </c>
      <c r="C160" t="s">
        <v>385</v>
      </c>
      <c r="D160" s="156">
        <v>10421</v>
      </c>
    </row>
    <row r="161" spans="2:4">
      <c r="B161" t="s">
        <v>386</v>
      </c>
      <c r="C161" t="s">
        <v>387</v>
      </c>
      <c r="D161" s="156">
        <v>4043</v>
      </c>
    </row>
    <row r="162" spans="2:4">
      <c r="B162" t="s">
        <v>388</v>
      </c>
      <c r="C162" t="s">
        <v>389</v>
      </c>
      <c r="D162" s="156">
        <v>4572</v>
      </c>
    </row>
    <row r="163" spans="2:4">
      <c r="B163" t="s">
        <v>390</v>
      </c>
      <c r="C163" t="s">
        <v>391</v>
      </c>
      <c r="D163" s="156">
        <v>29138</v>
      </c>
    </row>
    <row r="164" spans="2:4">
      <c r="B164" t="s">
        <v>392</v>
      </c>
      <c r="C164" t="s">
        <v>393</v>
      </c>
      <c r="D164" s="156">
        <v>8379</v>
      </c>
    </row>
    <row r="165" spans="2:4">
      <c r="B165" t="s">
        <v>394</v>
      </c>
      <c r="C165" t="s">
        <v>395</v>
      </c>
      <c r="D165" s="156">
        <v>17042</v>
      </c>
    </row>
    <row r="166" spans="2:4">
      <c r="B166" t="s">
        <v>396</v>
      </c>
      <c r="C166" t="s">
        <v>397</v>
      </c>
      <c r="D166" s="156">
        <v>46139</v>
      </c>
    </row>
    <row r="167" spans="2:4">
      <c r="B167" t="s">
        <v>398</v>
      </c>
      <c r="C167" t="s">
        <v>399</v>
      </c>
      <c r="D167" s="156">
        <v>4344</v>
      </c>
    </row>
    <row r="168" spans="2:4">
      <c r="B168" t="s">
        <v>400</v>
      </c>
      <c r="C168" t="s">
        <v>401</v>
      </c>
      <c r="D168" s="156">
        <v>8738</v>
      </c>
    </row>
    <row r="169" spans="2:4">
      <c r="B169" t="s">
        <v>402</v>
      </c>
      <c r="C169" t="s">
        <v>403</v>
      </c>
      <c r="D169" s="156">
        <v>2816</v>
      </c>
    </row>
    <row r="170" spans="2:4">
      <c r="B170" t="s">
        <v>404</v>
      </c>
      <c r="C170" t="s">
        <v>405</v>
      </c>
      <c r="D170" s="156">
        <v>26779</v>
      </c>
    </row>
    <row r="171" spans="2:4">
      <c r="B171" t="s">
        <v>406</v>
      </c>
      <c r="C171" t="s">
        <v>407</v>
      </c>
      <c r="D171" s="156">
        <v>12241</v>
      </c>
    </row>
    <row r="172" spans="2:4">
      <c r="B172" t="s">
        <v>408</v>
      </c>
      <c r="C172" t="s">
        <v>409</v>
      </c>
      <c r="D172" s="156">
        <v>24136</v>
      </c>
    </row>
    <row r="173" spans="2:4">
      <c r="B173" t="s">
        <v>410</v>
      </c>
      <c r="C173" t="s">
        <v>411</v>
      </c>
      <c r="D173" s="156">
        <v>6301</v>
      </c>
    </row>
    <row r="174" spans="2:4">
      <c r="B174" t="s">
        <v>412</v>
      </c>
      <c r="C174" t="s">
        <v>413</v>
      </c>
      <c r="D174" s="156">
        <v>12906</v>
      </c>
    </row>
    <row r="175" spans="2:4">
      <c r="B175" t="s">
        <v>414</v>
      </c>
      <c r="C175" t="s">
        <v>415</v>
      </c>
      <c r="D175" s="156">
        <v>6219</v>
      </c>
    </row>
    <row r="176" spans="2:4">
      <c r="B176" t="s">
        <v>416</v>
      </c>
      <c r="C176" t="s">
        <v>417</v>
      </c>
      <c r="D176" s="156">
        <v>34643</v>
      </c>
    </row>
    <row r="177" spans="2:4">
      <c r="B177" t="s">
        <v>418</v>
      </c>
      <c r="C177" t="s">
        <v>419</v>
      </c>
      <c r="D177" s="156">
        <v>5373</v>
      </c>
    </row>
    <row r="178" spans="2:4">
      <c r="B178" t="s">
        <v>420</v>
      </c>
      <c r="C178" t="s">
        <v>421</v>
      </c>
      <c r="D178" s="156">
        <v>78252</v>
      </c>
    </row>
    <row r="179" spans="2:4">
      <c r="B179" t="s">
        <v>422</v>
      </c>
      <c r="C179" t="s">
        <v>423</v>
      </c>
      <c r="D179" s="156">
        <v>27935</v>
      </c>
    </row>
    <row r="180" spans="2:4">
      <c r="B180" t="s">
        <v>424</v>
      </c>
      <c r="C180" t="s">
        <v>425</v>
      </c>
      <c r="D180" s="156">
        <v>37499</v>
      </c>
    </row>
    <row r="181" spans="2:4">
      <c r="B181" t="s">
        <v>426</v>
      </c>
      <c r="C181" t="s">
        <v>427</v>
      </c>
      <c r="D181" s="156">
        <v>39880</v>
      </c>
    </row>
    <row r="182" spans="2:4">
      <c r="B182" t="s">
        <v>428</v>
      </c>
      <c r="C182" t="s">
        <v>429</v>
      </c>
      <c r="D182" s="156">
        <v>58930</v>
      </c>
    </row>
    <row r="183" spans="2:4">
      <c r="B183" t="s">
        <v>430</v>
      </c>
      <c r="C183" t="s">
        <v>431</v>
      </c>
      <c r="D183" s="156">
        <v>2474</v>
      </c>
    </row>
    <row r="184" spans="2:4">
      <c r="B184" t="s">
        <v>432</v>
      </c>
      <c r="C184" t="s">
        <v>433</v>
      </c>
      <c r="D184" s="156">
        <v>13534</v>
      </c>
    </row>
    <row r="185" spans="2:4">
      <c r="B185" t="s">
        <v>434</v>
      </c>
      <c r="C185" t="s">
        <v>435</v>
      </c>
      <c r="D185" s="156">
        <v>4601</v>
      </c>
    </row>
    <row r="186" spans="2:4">
      <c r="B186" t="s">
        <v>436</v>
      </c>
      <c r="C186" t="s">
        <v>437</v>
      </c>
      <c r="D186" s="156">
        <v>12476</v>
      </c>
    </row>
    <row r="187" spans="2:4">
      <c r="B187" t="s">
        <v>438</v>
      </c>
      <c r="C187" t="s">
        <v>439</v>
      </c>
      <c r="D187" s="156">
        <v>18971</v>
      </c>
    </row>
    <row r="188" spans="2:4">
      <c r="B188" t="s">
        <v>440</v>
      </c>
      <c r="C188" t="s">
        <v>441</v>
      </c>
      <c r="D188" s="156">
        <v>7939</v>
      </c>
    </row>
    <row r="189" spans="2:4">
      <c r="B189" t="s">
        <v>442</v>
      </c>
      <c r="C189" t="s">
        <v>443</v>
      </c>
      <c r="D189" s="156">
        <v>14283</v>
      </c>
    </row>
    <row r="190" spans="2:4">
      <c r="B190" t="s">
        <v>444</v>
      </c>
      <c r="C190" t="s">
        <v>445</v>
      </c>
      <c r="D190" s="156">
        <v>5629</v>
      </c>
    </row>
    <row r="191" spans="2:4">
      <c r="B191" t="s">
        <v>446</v>
      </c>
      <c r="C191" t="s">
        <v>447</v>
      </c>
      <c r="D191" s="156">
        <v>1983</v>
      </c>
    </row>
    <row r="192" spans="2:4">
      <c r="B192" t="s">
        <v>448</v>
      </c>
      <c r="C192" t="s">
        <v>449</v>
      </c>
      <c r="D192" s="156">
        <v>1002</v>
      </c>
    </row>
    <row r="193" spans="2:4">
      <c r="B193" t="s">
        <v>450</v>
      </c>
      <c r="C193" t="s">
        <v>451</v>
      </c>
      <c r="D193" s="156">
        <v>14122</v>
      </c>
    </row>
    <row r="194" spans="2:4">
      <c r="B194" t="s">
        <v>452</v>
      </c>
      <c r="C194" t="s">
        <v>453</v>
      </c>
      <c r="D194" s="156">
        <v>3734</v>
      </c>
    </row>
    <row r="195" spans="2:4">
      <c r="B195" t="s">
        <v>454</v>
      </c>
      <c r="C195" t="s">
        <v>455</v>
      </c>
      <c r="D195" s="156">
        <v>24529</v>
      </c>
    </row>
    <row r="196" spans="2:4">
      <c r="B196" t="s">
        <v>456</v>
      </c>
      <c r="C196" t="s">
        <v>457</v>
      </c>
      <c r="D196" s="156">
        <v>8044</v>
      </c>
    </row>
    <row r="197" spans="2:4">
      <c r="B197" t="s">
        <v>458</v>
      </c>
      <c r="C197" t="s">
        <v>459</v>
      </c>
      <c r="D197" s="156">
        <v>15162</v>
      </c>
    </row>
    <row r="198" spans="2:4">
      <c r="B198" t="s">
        <v>460</v>
      </c>
      <c r="C198" t="s">
        <v>461</v>
      </c>
      <c r="D198" s="156">
        <v>19904</v>
      </c>
    </row>
    <row r="199" spans="2:4">
      <c r="B199" t="s">
        <v>462</v>
      </c>
      <c r="C199" t="s">
        <v>463</v>
      </c>
      <c r="D199" s="156">
        <v>12575</v>
      </c>
    </row>
    <row r="200" spans="2:4">
      <c r="B200" t="s">
        <v>464</v>
      </c>
      <c r="C200" t="s">
        <v>465</v>
      </c>
      <c r="D200" s="156">
        <v>12051</v>
      </c>
    </row>
    <row r="201" spans="2:4">
      <c r="B201" t="s">
        <v>466</v>
      </c>
      <c r="C201" t="s">
        <v>467</v>
      </c>
      <c r="D201" s="156">
        <v>3921</v>
      </c>
    </row>
    <row r="202" spans="2:4">
      <c r="B202" t="s">
        <v>468</v>
      </c>
      <c r="C202" t="s">
        <v>469</v>
      </c>
      <c r="D202" s="156">
        <v>15353</v>
      </c>
    </row>
    <row r="203" spans="2:4">
      <c r="B203" t="s">
        <v>470</v>
      </c>
      <c r="C203" t="s">
        <v>471</v>
      </c>
      <c r="D203" s="156">
        <v>17405</v>
      </c>
    </row>
    <row r="204" spans="2:4">
      <c r="B204" t="s">
        <v>472</v>
      </c>
      <c r="C204" t="s">
        <v>473</v>
      </c>
      <c r="D204" s="156">
        <v>4156</v>
      </c>
    </row>
    <row r="205" spans="2:4">
      <c r="B205" t="s">
        <v>474</v>
      </c>
      <c r="C205" t="s">
        <v>475</v>
      </c>
      <c r="D205" s="156">
        <v>16148</v>
      </c>
    </row>
    <row r="206" spans="2:4">
      <c r="B206" t="s">
        <v>476</v>
      </c>
      <c r="C206" t="s">
        <v>477</v>
      </c>
      <c r="D206" s="156">
        <v>38025</v>
      </c>
    </row>
    <row r="207" spans="2:4">
      <c r="B207" t="s">
        <v>478</v>
      </c>
      <c r="C207" t="s">
        <v>479</v>
      </c>
      <c r="D207" s="156">
        <v>353946</v>
      </c>
    </row>
    <row r="208" spans="2:4">
      <c r="B208" t="s">
        <v>480</v>
      </c>
      <c r="C208" t="s">
        <v>481</v>
      </c>
      <c r="D208" s="156">
        <v>32781</v>
      </c>
    </row>
    <row r="209" spans="2:4">
      <c r="B209" t="s">
        <v>482</v>
      </c>
      <c r="C209" t="s">
        <v>483</v>
      </c>
      <c r="D209" s="156">
        <v>20137</v>
      </c>
    </row>
    <row r="210" spans="2:4">
      <c r="B210" t="s">
        <v>484</v>
      </c>
      <c r="C210" t="s">
        <v>485</v>
      </c>
      <c r="D210" s="156">
        <v>15252</v>
      </c>
    </row>
    <row r="211" spans="2:4">
      <c r="B211" t="s">
        <v>486</v>
      </c>
      <c r="C211" t="s">
        <v>487</v>
      </c>
      <c r="D211" s="156">
        <v>7578</v>
      </c>
    </row>
    <row r="212" spans="2:4">
      <c r="B212" t="s">
        <v>488</v>
      </c>
      <c r="C212" t="s">
        <v>489</v>
      </c>
      <c r="D212" s="156">
        <v>31892</v>
      </c>
    </row>
    <row r="213" spans="2:4">
      <c r="B213" t="s">
        <v>490</v>
      </c>
      <c r="C213" t="s">
        <v>491</v>
      </c>
      <c r="D213" s="156">
        <v>37442</v>
      </c>
    </row>
    <row r="214" spans="2:4">
      <c r="B214" t="s">
        <v>492</v>
      </c>
      <c r="C214" t="s">
        <v>493</v>
      </c>
      <c r="D214" s="156">
        <v>27952</v>
      </c>
    </row>
    <row r="215" spans="2:4">
      <c r="B215" t="s">
        <v>494</v>
      </c>
      <c r="C215" t="s">
        <v>495</v>
      </c>
      <c r="D215" s="156">
        <v>47675</v>
      </c>
    </row>
    <row r="216" spans="2:4">
      <c r="B216" t="s">
        <v>496</v>
      </c>
      <c r="C216" t="s">
        <v>497</v>
      </c>
      <c r="D216" s="156">
        <v>29761</v>
      </c>
    </row>
    <row r="217" spans="2:4">
      <c r="B217" t="s">
        <v>498</v>
      </c>
      <c r="C217" t="s">
        <v>499</v>
      </c>
      <c r="D217" s="156">
        <v>40552</v>
      </c>
    </row>
    <row r="218" spans="2:4">
      <c r="B218" t="s">
        <v>500</v>
      </c>
      <c r="C218" t="s">
        <v>501</v>
      </c>
      <c r="D218" s="156">
        <v>65730</v>
      </c>
    </row>
    <row r="219" spans="2:4">
      <c r="B219" t="s">
        <v>502</v>
      </c>
      <c r="C219" t="s">
        <v>503</v>
      </c>
      <c r="D219" s="156">
        <v>28384</v>
      </c>
    </row>
    <row r="220" spans="2:4">
      <c r="B220" t="s">
        <v>504</v>
      </c>
      <c r="C220" t="s">
        <v>505</v>
      </c>
      <c r="D220" s="156">
        <v>161150</v>
      </c>
    </row>
    <row r="221" spans="2:4">
      <c r="B221" t="s">
        <v>506</v>
      </c>
      <c r="C221" t="s">
        <v>507</v>
      </c>
      <c r="D221" s="156">
        <v>70851</v>
      </c>
    </row>
    <row r="222" spans="2:4">
      <c r="B222" t="s">
        <v>508</v>
      </c>
      <c r="C222" t="s">
        <v>509</v>
      </c>
      <c r="D222" s="156">
        <v>41222</v>
      </c>
    </row>
    <row r="223" spans="2:4">
      <c r="B223" t="s">
        <v>510</v>
      </c>
      <c r="C223" t="s">
        <v>511</v>
      </c>
      <c r="D223" s="156">
        <v>39478</v>
      </c>
    </row>
    <row r="224" spans="2:4">
      <c r="B224" t="s">
        <v>512</v>
      </c>
      <c r="C224" t="s">
        <v>513</v>
      </c>
      <c r="D224" s="156">
        <v>14902</v>
      </c>
    </row>
    <row r="225" spans="2:4">
      <c r="B225" t="s">
        <v>514</v>
      </c>
      <c r="C225" t="s">
        <v>515</v>
      </c>
      <c r="D225" s="156">
        <v>10616</v>
      </c>
    </row>
    <row r="226" spans="2:4">
      <c r="B226" t="s">
        <v>516</v>
      </c>
      <c r="C226" t="s">
        <v>517</v>
      </c>
      <c r="D226" s="156">
        <v>34193</v>
      </c>
    </row>
    <row r="227" spans="2:4">
      <c r="B227" t="s">
        <v>518</v>
      </c>
      <c r="C227" t="s">
        <v>519</v>
      </c>
      <c r="D227" s="156">
        <v>14598</v>
      </c>
    </row>
    <row r="228" spans="2:4">
      <c r="B228" t="s">
        <v>520</v>
      </c>
      <c r="C228" t="s">
        <v>521</v>
      </c>
      <c r="D228" s="156">
        <v>8442</v>
      </c>
    </row>
    <row r="229" spans="2:4">
      <c r="B229" t="s">
        <v>522</v>
      </c>
      <c r="C229" t="s">
        <v>523</v>
      </c>
      <c r="D229" s="156">
        <v>8281</v>
      </c>
    </row>
    <row r="230" spans="2:4">
      <c r="B230" t="s">
        <v>524</v>
      </c>
      <c r="C230" t="s">
        <v>525</v>
      </c>
      <c r="D230" s="156">
        <v>11111</v>
      </c>
    </row>
    <row r="231" spans="2:4">
      <c r="B231" t="s">
        <v>526</v>
      </c>
      <c r="C231" t="s">
        <v>527</v>
      </c>
      <c r="D231" s="156">
        <v>17672</v>
      </c>
    </row>
    <row r="232" spans="2:4">
      <c r="B232" t="s">
        <v>528</v>
      </c>
      <c r="C232" t="s">
        <v>529</v>
      </c>
      <c r="D232" s="156">
        <v>12172</v>
      </c>
    </row>
    <row r="233" spans="2:4">
      <c r="B233" t="s">
        <v>530</v>
      </c>
      <c r="C233" t="s">
        <v>531</v>
      </c>
      <c r="D233" s="156">
        <v>3372</v>
      </c>
    </row>
    <row r="234" spans="2:4">
      <c r="B234" t="s">
        <v>532</v>
      </c>
      <c r="C234" t="s">
        <v>533</v>
      </c>
      <c r="D234" s="156">
        <v>4915</v>
      </c>
    </row>
    <row r="235" spans="2:4">
      <c r="B235" t="s">
        <v>534</v>
      </c>
      <c r="C235" t="s">
        <v>535</v>
      </c>
      <c r="D235" s="156">
        <v>3575</v>
      </c>
    </row>
    <row r="236" spans="2:4">
      <c r="B236" t="s">
        <v>536</v>
      </c>
      <c r="C236" t="s">
        <v>537</v>
      </c>
      <c r="D236" s="156">
        <v>8961</v>
      </c>
    </row>
    <row r="237" spans="2:4">
      <c r="B237" t="s">
        <v>538</v>
      </c>
      <c r="C237" t="s">
        <v>539</v>
      </c>
      <c r="D237" s="156">
        <v>19770</v>
      </c>
    </row>
    <row r="238" spans="2:4">
      <c r="B238" t="s">
        <v>540</v>
      </c>
      <c r="C238" t="s">
        <v>541</v>
      </c>
      <c r="D238" s="156">
        <v>10494</v>
      </c>
    </row>
    <row r="239" spans="2:4">
      <c r="B239" t="s">
        <v>542</v>
      </c>
      <c r="C239" t="s">
        <v>543</v>
      </c>
      <c r="D239" s="156">
        <v>46590</v>
      </c>
    </row>
    <row r="240" spans="2:4">
      <c r="B240" t="s">
        <v>544</v>
      </c>
      <c r="C240" t="s">
        <v>545</v>
      </c>
      <c r="D240" s="156">
        <v>44744</v>
      </c>
    </row>
    <row r="241" spans="2:4">
      <c r="B241" t="s">
        <v>546</v>
      </c>
      <c r="C241" t="s">
        <v>547</v>
      </c>
      <c r="D241" s="156">
        <v>6060</v>
      </c>
    </row>
    <row r="242" spans="2:4">
      <c r="B242" t="s">
        <v>548</v>
      </c>
      <c r="C242" t="s">
        <v>549</v>
      </c>
      <c r="D242" s="156">
        <v>9623</v>
      </c>
    </row>
    <row r="243" spans="2:4">
      <c r="B243" t="s">
        <v>550</v>
      </c>
      <c r="C243" t="s">
        <v>551</v>
      </c>
      <c r="D243" s="156">
        <v>7993</v>
      </c>
    </row>
    <row r="244" spans="2:4">
      <c r="B244" t="s">
        <v>552</v>
      </c>
      <c r="C244" t="s">
        <v>553</v>
      </c>
      <c r="D244" s="156">
        <v>9182</v>
      </c>
    </row>
    <row r="245" spans="2:4">
      <c r="B245" t="s">
        <v>554</v>
      </c>
      <c r="C245" t="s">
        <v>555</v>
      </c>
      <c r="D245" s="156">
        <v>13346</v>
      </c>
    </row>
    <row r="246" spans="2:4">
      <c r="B246" t="s">
        <v>556</v>
      </c>
      <c r="C246" t="s">
        <v>557</v>
      </c>
      <c r="D246" s="156">
        <v>1604</v>
      </c>
    </row>
    <row r="247" spans="2:4">
      <c r="B247" t="s">
        <v>558</v>
      </c>
      <c r="C247" t="s">
        <v>559</v>
      </c>
      <c r="D247" s="156">
        <v>3077</v>
      </c>
    </row>
    <row r="248" spans="2:4">
      <c r="B248" t="s">
        <v>560</v>
      </c>
      <c r="C248" t="s">
        <v>561</v>
      </c>
      <c r="D248" s="156">
        <v>14963</v>
      </c>
    </row>
    <row r="249" spans="2:4">
      <c r="B249" t="s">
        <v>562</v>
      </c>
      <c r="C249" t="s">
        <v>563</v>
      </c>
      <c r="D249" s="156">
        <v>36434</v>
      </c>
    </row>
    <row r="250" spans="2:4">
      <c r="B250" t="s">
        <v>564</v>
      </c>
      <c r="C250" t="s">
        <v>565</v>
      </c>
      <c r="D250" s="156">
        <v>26641</v>
      </c>
    </row>
    <row r="251" spans="2:4">
      <c r="B251" t="s">
        <v>566</v>
      </c>
      <c r="C251" t="s">
        <v>567</v>
      </c>
      <c r="D251" s="156">
        <v>43836</v>
      </c>
    </row>
    <row r="252" spans="2:4">
      <c r="B252" t="s">
        <v>568</v>
      </c>
      <c r="C252" t="s">
        <v>569</v>
      </c>
      <c r="D252" s="156">
        <v>22023</v>
      </c>
    </row>
    <row r="253" spans="2:4">
      <c r="B253" t="s">
        <v>570</v>
      </c>
      <c r="C253" t="s">
        <v>571</v>
      </c>
      <c r="D253" s="156">
        <v>13151</v>
      </c>
    </row>
    <row r="254" spans="2:4">
      <c r="B254" t="s">
        <v>572</v>
      </c>
      <c r="C254" t="s">
        <v>573</v>
      </c>
      <c r="D254" s="156">
        <v>15612</v>
      </c>
    </row>
    <row r="255" spans="2:4">
      <c r="B255" t="s">
        <v>574</v>
      </c>
      <c r="C255" t="s">
        <v>575</v>
      </c>
      <c r="D255" s="156">
        <v>49242</v>
      </c>
    </row>
    <row r="256" spans="2:4">
      <c r="B256" t="s">
        <v>576</v>
      </c>
      <c r="C256" t="s">
        <v>577</v>
      </c>
      <c r="D256" s="156">
        <v>11491</v>
      </c>
    </row>
    <row r="257" spans="2:4">
      <c r="B257" t="s">
        <v>578</v>
      </c>
      <c r="C257" t="s">
        <v>579</v>
      </c>
      <c r="D257" s="156">
        <v>42273</v>
      </c>
    </row>
    <row r="258" spans="2:4">
      <c r="B258" t="s">
        <v>580</v>
      </c>
      <c r="C258" t="s">
        <v>581</v>
      </c>
      <c r="D258" s="156">
        <v>38305</v>
      </c>
    </row>
    <row r="259" spans="2:4">
      <c r="B259" t="s">
        <v>582</v>
      </c>
      <c r="C259" t="s">
        <v>583</v>
      </c>
      <c r="D259" s="156">
        <v>37660</v>
      </c>
    </row>
    <row r="260" spans="2:4">
      <c r="B260" t="s">
        <v>584</v>
      </c>
      <c r="C260" t="s">
        <v>585</v>
      </c>
      <c r="D260" s="156">
        <v>60871</v>
      </c>
    </row>
    <row r="261" spans="2:4">
      <c r="B261" t="s">
        <v>586</v>
      </c>
      <c r="C261" t="s">
        <v>587</v>
      </c>
      <c r="D261" s="156">
        <v>25398</v>
      </c>
    </row>
    <row r="262" spans="2:4">
      <c r="B262" t="s">
        <v>588</v>
      </c>
      <c r="C262" t="s">
        <v>589</v>
      </c>
      <c r="D262" s="156">
        <v>52070</v>
      </c>
    </row>
    <row r="263" spans="2:4">
      <c r="B263" t="s">
        <v>110</v>
      </c>
      <c r="C263" t="s">
        <v>590</v>
      </c>
      <c r="D263" s="156">
        <v>10237</v>
      </c>
    </row>
    <row r="264" spans="2:4">
      <c r="B264" t="s">
        <v>591</v>
      </c>
      <c r="C264" t="s">
        <v>592</v>
      </c>
      <c r="D264" s="156">
        <v>78711</v>
      </c>
    </row>
    <row r="265" spans="2:4">
      <c r="B265" t="s">
        <v>593</v>
      </c>
      <c r="C265" t="s">
        <v>594</v>
      </c>
      <c r="D265" s="156">
        <v>193754</v>
      </c>
    </row>
    <row r="266" spans="2:4">
      <c r="B266" t="s">
        <v>595</v>
      </c>
      <c r="C266" t="s">
        <v>596</v>
      </c>
      <c r="D266" s="156">
        <v>15163</v>
      </c>
    </row>
    <row r="267" spans="2:4">
      <c r="B267" t="s">
        <v>597</v>
      </c>
      <c r="C267" t="s">
        <v>598</v>
      </c>
      <c r="D267" s="156">
        <v>49397</v>
      </c>
    </row>
    <row r="268" spans="2:4">
      <c r="B268" t="s">
        <v>599</v>
      </c>
      <c r="C268" t="s">
        <v>600</v>
      </c>
      <c r="D268" s="156">
        <v>32510</v>
      </c>
    </row>
    <row r="269" spans="2:4">
      <c r="B269" t="s">
        <v>601</v>
      </c>
      <c r="C269" t="s">
        <v>602</v>
      </c>
      <c r="D269" s="156">
        <v>43106</v>
      </c>
    </row>
    <row r="270" spans="2:4">
      <c r="B270" t="s">
        <v>603</v>
      </c>
      <c r="C270" t="s">
        <v>604</v>
      </c>
      <c r="D270" s="156">
        <v>13475</v>
      </c>
    </row>
    <row r="271" spans="2:4">
      <c r="B271" t="s">
        <v>605</v>
      </c>
      <c r="C271" t="s">
        <v>606</v>
      </c>
      <c r="D271" s="156">
        <v>12344</v>
      </c>
    </row>
    <row r="272" spans="2:4">
      <c r="B272" t="s">
        <v>607</v>
      </c>
      <c r="C272" t="s">
        <v>608</v>
      </c>
      <c r="D272" s="156">
        <v>28245</v>
      </c>
    </row>
    <row r="273" spans="2:4">
      <c r="B273" t="s">
        <v>609</v>
      </c>
      <c r="C273" t="s">
        <v>610</v>
      </c>
      <c r="D273" s="156">
        <v>38769</v>
      </c>
    </row>
    <row r="274" spans="2:4">
      <c r="B274" t="s">
        <v>611</v>
      </c>
      <c r="C274" t="s">
        <v>612</v>
      </c>
      <c r="D274" s="156">
        <v>49108</v>
      </c>
    </row>
    <row r="275" spans="2:4">
      <c r="B275" t="s">
        <v>613</v>
      </c>
      <c r="C275" t="s">
        <v>614</v>
      </c>
      <c r="D275" s="156">
        <v>36857</v>
      </c>
    </row>
    <row r="276" spans="2:4">
      <c r="B276" t="s">
        <v>615</v>
      </c>
      <c r="C276" t="s">
        <v>616</v>
      </c>
      <c r="D276" s="156">
        <v>26505</v>
      </c>
    </row>
    <row r="277" spans="2:4">
      <c r="B277" t="s">
        <v>617</v>
      </c>
      <c r="C277" t="s">
        <v>618</v>
      </c>
      <c r="D277" s="156">
        <v>23547</v>
      </c>
    </row>
    <row r="278" spans="2:4">
      <c r="B278" t="s">
        <v>619</v>
      </c>
      <c r="C278" t="s">
        <v>620</v>
      </c>
      <c r="D278" s="156">
        <v>89506</v>
      </c>
    </row>
    <row r="279" spans="2:4">
      <c r="B279" t="s">
        <v>621</v>
      </c>
      <c r="C279" t="s">
        <v>622</v>
      </c>
      <c r="D279" s="156">
        <v>5988</v>
      </c>
    </row>
    <row r="280" spans="2:4">
      <c r="B280" t="s">
        <v>623</v>
      </c>
      <c r="C280" t="s">
        <v>624</v>
      </c>
      <c r="D280" s="156">
        <v>12548</v>
      </c>
    </row>
    <row r="281" spans="2:4">
      <c r="B281" t="s">
        <v>625</v>
      </c>
      <c r="C281" t="s">
        <v>626</v>
      </c>
      <c r="D281" s="156">
        <v>7067</v>
      </c>
    </row>
    <row r="282" spans="2:4">
      <c r="B282" t="s">
        <v>627</v>
      </c>
      <c r="C282" t="s">
        <v>628</v>
      </c>
      <c r="D282" s="156">
        <v>9044</v>
      </c>
    </row>
    <row r="283" spans="2:4">
      <c r="B283" t="s">
        <v>629</v>
      </c>
      <c r="C283" t="s">
        <v>630</v>
      </c>
      <c r="D283" s="156">
        <v>3846</v>
      </c>
    </row>
    <row r="284" spans="2:4">
      <c r="B284" t="s">
        <v>631</v>
      </c>
      <c r="C284" t="s">
        <v>632</v>
      </c>
      <c r="D284" s="156">
        <v>11431</v>
      </c>
    </row>
    <row r="285" spans="2:4">
      <c r="B285" t="s">
        <v>633</v>
      </c>
      <c r="C285" t="s">
        <v>634</v>
      </c>
      <c r="D285" s="156">
        <v>12767</v>
      </c>
    </row>
    <row r="286" spans="2:4">
      <c r="B286" t="s">
        <v>635</v>
      </c>
      <c r="C286" t="s">
        <v>636</v>
      </c>
      <c r="D286" s="156">
        <v>11077</v>
      </c>
    </row>
    <row r="287" spans="2:4">
      <c r="B287" t="s">
        <v>637</v>
      </c>
      <c r="C287" t="s">
        <v>638</v>
      </c>
      <c r="D287" s="156">
        <v>6966</v>
      </c>
    </row>
    <row r="288" spans="2:4">
      <c r="B288" t="s">
        <v>639</v>
      </c>
      <c r="C288" t="s">
        <v>640</v>
      </c>
      <c r="D288" s="156">
        <v>35409</v>
      </c>
    </row>
    <row r="289" spans="2:4">
      <c r="B289" t="s">
        <v>641</v>
      </c>
      <c r="C289" t="s">
        <v>642</v>
      </c>
      <c r="D289" s="156">
        <v>37302</v>
      </c>
    </row>
    <row r="290" spans="2:4">
      <c r="B290" t="s">
        <v>643</v>
      </c>
      <c r="C290" t="s">
        <v>644</v>
      </c>
      <c r="D290" s="156">
        <v>75000</v>
      </c>
    </row>
    <row r="291" spans="2:4">
      <c r="B291" t="s">
        <v>645</v>
      </c>
      <c r="C291" t="s">
        <v>646</v>
      </c>
      <c r="D291" s="156">
        <v>22980</v>
      </c>
    </row>
    <row r="292" spans="2:4">
      <c r="B292" t="s">
        <v>647</v>
      </c>
      <c r="C292" t="s">
        <v>648</v>
      </c>
      <c r="D292" s="156">
        <v>5023</v>
      </c>
    </row>
    <row r="293" spans="2:4">
      <c r="B293" t="s">
        <v>649</v>
      </c>
      <c r="C293" t="s">
        <v>650</v>
      </c>
      <c r="D293" s="156">
        <v>13654</v>
      </c>
    </row>
    <row r="294" spans="2:4">
      <c r="B294" t="s">
        <v>651</v>
      </c>
      <c r="C294" t="s">
        <v>652</v>
      </c>
      <c r="D294" s="156">
        <v>7021</v>
      </c>
    </row>
    <row r="295" spans="2:4">
      <c r="B295" t="s">
        <v>653</v>
      </c>
      <c r="C295" t="s">
        <v>654</v>
      </c>
      <c r="D295" s="156">
        <v>83382</v>
      </c>
    </row>
    <row r="296" spans="2:4">
      <c r="B296" t="s">
        <v>655</v>
      </c>
      <c r="C296" t="s">
        <v>656</v>
      </c>
      <c r="D296" s="156">
        <v>3412</v>
      </c>
    </row>
    <row r="297" spans="2:4">
      <c r="B297" t="s">
        <v>657</v>
      </c>
      <c r="C297" t="s">
        <v>658</v>
      </c>
      <c r="D297" s="156">
        <v>700089</v>
      </c>
    </row>
    <row r="298" spans="2:4">
      <c r="B298" t="s">
        <v>659</v>
      </c>
      <c r="C298" t="s">
        <v>660</v>
      </c>
      <c r="D298" s="156">
        <v>14948</v>
      </c>
    </row>
    <row r="299" spans="2:4">
      <c r="B299" t="s">
        <v>661</v>
      </c>
      <c r="C299" t="s">
        <v>662</v>
      </c>
      <c r="D299" s="156">
        <v>14388</v>
      </c>
    </row>
    <row r="300" spans="2:4">
      <c r="B300" t="s">
        <v>663</v>
      </c>
      <c r="C300" t="s">
        <v>664</v>
      </c>
      <c r="D300" s="156">
        <v>28307</v>
      </c>
    </row>
    <row r="301" spans="2:4">
      <c r="B301" t="s">
        <v>665</v>
      </c>
      <c r="C301" t="s">
        <v>666</v>
      </c>
      <c r="D301" s="20"/>
    </row>
    <row r="302" spans="2:4">
      <c r="B302" t="s">
        <v>667</v>
      </c>
      <c r="C302" t="s">
        <v>668</v>
      </c>
      <c r="D302" s="20"/>
    </row>
    <row r="303" spans="2:4">
      <c r="B303" t="s">
        <v>669</v>
      </c>
      <c r="C303" t="s">
        <v>670</v>
      </c>
      <c r="D303" s="20"/>
    </row>
    <row r="304" spans="2:4">
      <c r="B304" t="s">
        <v>671</v>
      </c>
      <c r="C304" s="21" t="s">
        <v>672</v>
      </c>
      <c r="D304" s="20">
        <v>76192</v>
      </c>
    </row>
    <row r="305" spans="2:4">
      <c r="B305" t="s">
        <v>673</v>
      </c>
      <c r="C305" s="21" t="s">
        <v>674</v>
      </c>
      <c r="D305" s="20">
        <v>12400</v>
      </c>
    </row>
    <row r="306" spans="2:4">
      <c r="B306" t="s">
        <v>675</v>
      </c>
      <c r="C306" s="21" t="s">
        <v>676</v>
      </c>
      <c r="D306" s="20">
        <v>6369</v>
      </c>
    </row>
    <row r="307" spans="2:4">
      <c r="B307" t="s">
        <v>677</v>
      </c>
      <c r="C307" s="21" t="s">
        <v>678</v>
      </c>
      <c r="D307" s="20">
        <v>37268</v>
      </c>
    </row>
    <row r="308" spans="2:4">
      <c r="B308" t="s">
        <v>679</v>
      </c>
      <c r="C308" s="21" t="s">
        <v>680</v>
      </c>
      <c r="D308" s="20">
        <v>142062</v>
      </c>
    </row>
    <row r="309" spans="2:4">
      <c r="B309" t="s">
        <v>681</v>
      </c>
      <c r="C309" s="21" t="s">
        <v>682</v>
      </c>
      <c r="D309" s="20">
        <v>109744</v>
      </c>
    </row>
    <row r="310" spans="2:4">
      <c r="B310" t="s">
        <v>683</v>
      </c>
      <c r="C310" s="21" t="s">
        <v>684</v>
      </c>
      <c r="D310" s="20">
        <v>14579</v>
      </c>
    </row>
    <row r="311" spans="2:4">
      <c r="B311" t="s">
        <v>685</v>
      </c>
      <c r="C311" s="22" t="s">
        <v>686</v>
      </c>
      <c r="D311" s="20">
        <v>25776</v>
      </c>
    </row>
    <row r="312" spans="2:4">
      <c r="B312" t="s">
        <v>687</v>
      </c>
      <c r="C312" s="22" t="s">
        <v>688</v>
      </c>
      <c r="D312" s="20">
        <v>259210</v>
      </c>
    </row>
    <row r="313" spans="2:4">
      <c r="B313" t="s">
        <v>689</v>
      </c>
      <c r="C313" s="22" t="s">
        <v>690</v>
      </c>
      <c r="D313" s="20">
        <v>27476</v>
      </c>
    </row>
    <row r="314" spans="2:4">
      <c r="B314" t="s">
        <v>691</v>
      </c>
      <c r="C314" s="22" t="s">
        <v>692</v>
      </c>
      <c r="D314" s="20">
        <v>75486</v>
      </c>
    </row>
    <row r="315" spans="2:4">
      <c r="B315" t="s">
        <v>693</v>
      </c>
      <c r="C315" s="21" t="s">
        <v>694</v>
      </c>
      <c r="D315" s="20">
        <v>29261</v>
      </c>
    </row>
    <row r="316" spans="2:4">
      <c r="B316" t="s">
        <v>695</v>
      </c>
      <c r="C316" s="21" t="s">
        <v>696</v>
      </c>
      <c r="D316" s="20">
        <v>19004</v>
      </c>
    </row>
    <row r="317" spans="2:4">
      <c r="B317" t="s">
        <v>697</v>
      </c>
      <c r="C317" s="21" t="s">
        <v>698</v>
      </c>
      <c r="D317" s="20">
        <v>31808</v>
      </c>
    </row>
    <row r="318" spans="2:4">
      <c r="B318" t="s">
        <v>699</v>
      </c>
      <c r="C318" s="21" t="s">
        <v>700</v>
      </c>
      <c r="D318" s="20">
        <v>18304</v>
      </c>
    </row>
    <row r="319" spans="2:4">
      <c r="B319" t="s">
        <v>701</v>
      </c>
      <c r="C319" s="21" t="s">
        <v>702</v>
      </c>
      <c r="D319" s="20">
        <v>45182</v>
      </c>
    </row>
    <row r="320" spans="2:4">
      <c r="B320" t="s">
        <v>703</v>
      </c>
      <c r="C320" s="21" t="s">
        <v>704</v>
      </c>
      <c r="D320" s="20">
        <v>47268</v>
      </c>
    </row>
    <row r="321" spans="2:4">
      <c r="B321" t="s">
        <v>705</v>
      </c>
      <c r="C321" s="21" t="s">
        <v>706</v>
      </c>
      <c r="D321" s="20">
        <v>4522</v>
      </c>
    </row>
    <row r="322" spans="2:4">
      <c r="B322" t="s">
        <v>707</v>
      </c>
      <c r="C322" s="21" t="s">
        <v>708</v>
      </c>
      <c r="D322" s="20">
        <v>47477</v>
      </c>
    </row>
    <row r="323" spans="2:4">
      <c r="B323" t="s">
        <v>709</v>
      </c>
      <c r="C323" t="s">
        <v>710</v>
      </c>
      <c r="D323" s="20">
        <v>47605</v>
      </c>
    </row>
    <row r="324" spans="2:4">
      <c r="B324" t="s">
        <v>711</v>
      </c>
      <c r="C324" t="s">
        <v>712</v>
      </c>
      <c r="D324" s="20">
        <v>27024</v>
      </c>
    </row>
    <row r="325" spans="2:4">
      <c r="B325" t="s">
        <v>713</v>
      </c>
      <c r="C325" t="s">
        <v>714</v>
      </c>
      <c r="D325" s="20">
        <v>4355</v>
      </c>
    </row>
    <row r="326" spans="2:4">
      <c r="B326" t="s">
        <v>715</v>
      </c>
      <c r="C326" t="s">
        <v>716</v>
      </c>
      <c r="D326" s="20">
        <v>11085</v>
      </c>
    </row>
    <row r="327" spans="2:4">
      <c r="B327" t="s">
        <v>717</v>
      </c>
      <c r="C327" t="s">
        <v>718</v>
      </c>
      <c r="D327" s="20">
        <v>13974</v>
      </c>
    </row>
    <row r="328" spans="2:4">
      <c r="B328" t="s">
        <v>719</v>
      </c>
      <c r="C328" t="s">
        <v>720</v>
      </c>
      <c r="D328" s="20">
        <v>15591</v>
      </c>
    </row>
    <row r="329" spans="2:4">
      <c r="B329" t="s">
        <v>721</v>
      </c>
      <c r="C329" t="s">
        <v>722</v>
      </c>
      <c r="D329" s="20">
        <v>128613</v>
      </c>
    </row>
    <row r="330" spans="2:4">
      <c r="B330" t="s">
        <v>723</v>
      </c>
      <c r="C330" t="s">
        <v>724</v>
      </c>
      <c r="D330" s="20">
        <v>24672</v>
      </c>
    </row>
    <row r="331" spans="2:4">
      <c r="B331" t="s">
        <v>725</v>
      </c>
      <c r="C331" t="s">
        <v>726</v>
      </c>
      <c r="D331" s="20">
        <v>6684</v>
      </c>
    </row>
    <row r="332" spans="2:4">
      <c r="B332" t="s">
        <v>727</v>
      </c>
      <c r="C332" t="s">
        <v>728</v>
      </c>
      <c r="D332" s="20">
        <v>19008</v>
      </c>
    </row>
    <row r="333" spans="2:4">
      <c r="B333" t="s">
        <v>729</v>
      </c>
      <c r="C333" t="s">
        <v>730</v>
      </c>
      <c r="D333" s="20">
        <v>213265</v>
      </c>
    </row>
    <row r="334" spans="2:4">
      <c r="B334" t="s">
        <v>731</v>
      </c>
      <c r="C334" t="s">
        <v>732</v>
      </c>
      <c r="D334" s="20">
        <v>259430</v>
      </c>
    </row>
    <row r="335" spans="2:4">
      <c r="B335" t="s">
        <v>733</v>
      </c>
      <c r="C335" t="s">
        <v>734</v>
      </c>
      <c r="D335" s="20">
        <v>335792</v>
      </c>
    </row>
    <row r="336" spans="2:4">
      <c r="B336" t="s">
        <v>735</v>
      </c>
      <c r="C336" t="s">
        <v>736</v>
      </c>
      <c r="D336" s="20">
        <v>272383</v>
      </c>
    </row>
    <row r="337" spans="2:4">
      <c r="B337" t="s">
        <v>737</v>
      </c>
      <c r="C337" t="s">
        <v>738</v>
      </c>
      <c r="D337" s="20">
        <v>415441</v>
      </c>
    </row>
    <row r="338" spans="2:4">
      <c r="B338" t="s">
        <v>739</v>
      </c>
      <c r="C338" t="s">
        <v>740</v>
      </c>
      <c r="D338" s="20">
        <v>314550</v>
      </c>
    </row>
    <row r="339" spans="2:4">
      <c r="B339" t="s">
        <v>741</v>
      </c>
      <c r="C339" t="s">
        <v>742</v>
      </c>
      <c r="D339" s="20">
        <v>239771</v>
      </c>
    </row>
    <row r="340" spans="2:4">
      <c r="B340" t="s">
        <v>743</v>
      </c>
      <c r="C340" t="s">
        <v>744</v>
      </c>
      <c r="D340" s="20">
        <v>200037</v>
      </c>
    </row>
    <row r="341" spans="2:4">
      <c r="B341" t="s">
        <v>745</v>
      </c>
      <c r="C341" t="s">
        <v>746</v>
      </c>
      <c r="D341" s="20">
        <v>455412</v>
      </c>
    </row>
    <row r="342" spans="2:4">
      <c r="B342" t="s">
        <v>747</v>
      </c>
      <c r="C342" t="s">
        <v>748</v>
      </c>
      <c r="D342" s="20">
        <v>52919</v>
      </c>
    </row>
    <row r="343" spans="2:4">
      <c r="B343" t="s">
        <v>749</v>
      </c>
      <c r="C343" t="s">
        <v>750</v>
      </c>
      <c r="D343" s="20">
        <v>81633</v>
      </c>
    </row>
    <row r="344" spans="2:4">
      <c r="B344" t="s">
        <v>751</v>
      </c>
      <c r="C344" t="s">
        <v>752</v>
      </c>
      <c r="D344" s="20">
        <v>540845</v>
      </c>
    </row>
    <row r="345" spans="2:4">
      <c r="B345" t="s">
        <v>753</v>
      </c>
      <c r="C345" t="s">
        <v>754</v>
      </c>
      <c r="D345" s="20">
        <v>344219</v>
      </c>
    </row>
    <row r="346" spans="2:4">
      <c r="B346" t="s">
        <v>755</v>
      </c>
      <c r="C346" t="s">
        <v>756</v>
      </c>
      <c r="D346" s="20">
        <v>310953</v>
      </c>
    </row>
    <row r="347" spans="2:4">
      <c r="B347" t="s">
        <v>757</v>
      </c>
      <c r="C347" t="s">
        <v>758</v>
      </c>
      <c r="D347" s="20">
        <v>200886</v>
      </c>
    </row>
    <row r="348" spans="2:4">
      <c r="B348" t="s">
        <v>759</v>
      </c>
      <c r="C348" t="s">
        <v>760</v>
      </c>
      <c r="D348" s="20">
        <v>150136</v>
      </c>
    </row>
    <row r="349" spans="2:4">
      <c r="B349" t="s">
        <v>761</v>
      </c>
      <c r="C349" t="s">
        <v>762</v>
      </c>
      <c r="D349" s="20">
        <v>156311</v>
      </c>
    </row>
    <row r="350" spans="2:4">
      <c r="B350" t="s">
        <v>763</v>
      </c>
      <c r="C350" t="s">
        <v>764</v>
      </c>
      <c r="D350" s="20">
        <v>173222</v>
      </c>
    </row>
    <row r="351" spans="2:4">
      <c r="B351" t="s">
        <v>765</v>
      </c>
      <c r="C351" t="s">
        <v>766</v>
      </c>
      <c r="D351" s="20">
        <v>634089</v>
      </c>
    </row>
    <row r="352" spans="2:4">
      <c r="B352" t="s">
        <v>767</v>
      </c>
      <c r="C352" t="s">
        <v>768</v>
      </c>
      <c r="D352" s="20">
        <v>79691</v>
      </c>
    </row>
    <row r="353" spans="2:4">
      <c r="B353" t="s">
        <v>769</v>
      </c>
      <c r="C353" t="s">
        <v>770</v>
      </c>
      <c r="D353" s="20">
        <v>33057</v>
      </c>
    </row>
    <row r="354" spans="2:4">
      <c r="B354" t="s">
        <v>771</v>
      </c>
      <c r="C354" t="s">
        <v>772</v>
      </c>
      <c r="D354" s="20">
        <v>50302</v>
      </c>
    </row>
    <row r="355" spans="2:4">
      <c r="B355" t="s">
        <v>773</v>
      </c>
      <c r="C355" t="s">
        <v>774</v>
      </c>
      <c r="D355" s="20">
        <v>99242</v>
      </c>
    </row>
    <row r="356" spans="2:4">
      <c r="B356" t="s">
        <v>775</v>
      </c>
      <c r="C356" t="s">
        <v>776</v>
      </c>
      <c r="D356" s="20">
        <v>311313</v>
      </c>
    </row>
    <row r="357" spans="2:4">
      <c r="B357" t="s">
        <v>777</v>
      </c>
      <c r="C357" t="s">
        <v>778</v>
      </c>
      <c r="D357" s="20">
        <v>91781</v>
      </c>
    </row>
    <row r="358" spans="2:4">
      <c r="B358" t="s">
        <v>779</v>
      </c>
      <c r="C358" t="s">
        <v>780</v>
      </c>
      <c r="D358" s="20">
        <v>71454</v>
      </c>
    </row>
    <row r="359" spans="2:4">
      <c r="B359" t="s">
        <v>781</v>
      </c>
      <c r="C359" t="s">
        <v>782</v>
      </c>
      <c r="D359" s="20">
        <v>529782</v>
      </c>
    </row>
    <row r="360" spans="2:4">
      <c r="B360" t="s">
        <v>783</v>
      </c>
      <c r="C360" t="s">
        <v>784</v>
      </c>
      <c r="D360" s="20">
        <v>145630</v>
      </c>
    </row>
    <row r="361" spans="2:4">
      <c r="B361" t="s">
        <v>785</v>
      </c>
      <c r="C361" t="s">
        <v>786</v>
      </c>
      <c r="D361" s="20">
        <v>71201</v>
      </c>
    </row>
    <row r="362" spans="2:4">
      <c r="B362" t="s">
        <v>787</v>
      </c>
      <c r="C362" t="s">
        <v>788</v>
      </c>
      <c r="D362" s="20">
        <v>199196</v>
      </c>
    </row>
    <row r="363" spans="2:4">
      <c r="B363" t="s">
        <v>789</v>
      </c>
      <c r="C363" t="s">
        <v>790</v>
      </c>
      <c r="D363" s="20">
        <v>149965</v>
      </c>
    </row>
    <row r="364" spans="2:4">
      <c r="B364" t="s">
        <v>791</v>
      </c>
      <c r="C364" t="s">
        <v>792</v>
      </c>
      <c r="D364" s="20">
        <v>180304</v>
      </c>
    </row>
    <row r="365" spans="2:4">
      <c r="B365" t="s">
        <v>793</v>
      </c>
      <c r="C365" t="s">
        <v>794</v>
      </c>
      <c r="D365" s="20">
        <v>23519</v>
      </c>
    </row>
    <row r="366" spans="2:4">
      <c r="B366" t="s">
        <v>795</v>
      </c>
      <c r="C366" t="s">
        <v>796</v>
      </c>
      <c r="D366" s="20">
        <v>29045</v>
      </c>
    </row>
    <row r="367" spans="2:4">
      <c r="B367" t="s">
        <v>797</v>
      </c>
      <c r="C367" t="s">
        <v>798</v>
      </c>
      <c r="D367" s="20">
        <v>38081</v>
      </c>
    </row>
    <row r="368" spans="2:4">
      <c r="B368" t="s">
        <v>799</v>
      </c>
      <c r="C368" t="s">
        <v>800</v>
      </c>
      <c r="D368" s="20">
        <v>9261</v>
      </c>
    </row>
    <row r="369" spans="2:4">
      <c r="B369" t="s">
        <v>801</v>
      </c>
      <c r="C369" t="s">
        <v>802</v>
      </c>
      <c r="D369" s="20">
        <v>491909</v>
      </c>
    </row>
    <row r="370" spans="2:4">
      <c r="B370" t="s">
        <v>803</v>
      </c>
      <c r="C370" t="s">
        <v>804</v>
      </c>
      <c r="D370" s="20">
        <v>171228</v>
      </c>
    </row>
    <row r="371" spans="2:4">
      <c r="B371" t="s">
        <v>805</v>
      </c>
      <c r="C371" t="s">
        <v>806</v>
      </c>
      <c r="D371" s="20">
        <v>30835</v>
      </c>
    </row>
    <row r="372" spans="2:4">
      <c r="B372" t="s">
        <v>807</v>
      </c>
      <c r="C372" t="s">
        <v>808</v>
      </c>
      <c r="D372" s="20">
        <v>117996</v>
      </c>
    </row>
    <row r="373" spans="2:4">
      <c r="B373" t="s">
        <v>809</v>
      </c>
      <c r="C373" t="s">
        <v>810</v>
      </c>
      <c r="D373" s="20">
        <v>112553</v>
      </c>
    </row>
    <row r="374" spans="2:4">
      <c r="B374" t="s">
        <v>811</v>
      </c>
      <c r="C374" t="s">
        <v>812</v>
      </c>
      <c r="D374" s="20">
        <v>335108</v>
      </c>
    </row>
    <row r="375" spans="2:4">
      <c r="B375" t="s">
        <v>813</v>
      </c>
      <c r="C375" t="s">
        <v>814</v>
      </c>
      <c r="D375" s="20">
        <v>313841</v>
      </c>
    </row>
    <row r="376" spans="2:4">
      <c r="B376" t="s">
        <v>815</v>
      </c>
      <c r="C376" t="s">
        <v>816</v>
      </c>
      <c r="D376" s="20">
        <v>57664</v>
      </c>
    </row>
    <row r="377" spans="2:4">
      <c r="B377" t="s">
        <v>817</v>
      </c>
      <c r="C377" t="s">
        <v>818</v>
      </c>
      <c r="D377" s="20">
        <v>376498</v>
      </c>
    </row>
    <row r="378" spans="2:4">
      <c r="B378" t="s">
        <v>819</v>
      </c>
      <c r="C378" t="s">
        <v>820</v>
      </c>
      <c r="D378" s="20">
        <v>397037</v>
      </c>
    </row>
    <row r="379" spans="2:4">
      <c r="B379" t="s">
        <v>821</v>
      </c>
      <c r="C379" t="s">
        <v>822</v>
      </c>
      <c r="D379" s="20">
        <v>12780</v>
      </c>
    </row>
    <row r="380" spans="2:4">
      <c r="B380" t="s">
        <v>823</v>
      </c>
      <c r="C380" t="s">
        <v>824</v>
      </c>
      <c r="D380" s="20">
        <v>404175</v>
      </c>
    </row>
    <row r="381" spans="2:4">
      <c r="B381" t="s">
        <v>825</v>
      </c>
      <c r="C381" t="s">
        <v>826</v>
      </c>
      <c r="D381" s="20">
        <v>967571</v>
      </c>
    </row>
    <row r="382" spans="2:4">
      <c r="B382" t="s">
        <v>827</v>
      </c>
      <c r="C382" t="s">
        <v>828</v>
      </c>
      <c r="D382" s="20">
        <v>516511</v>
      </c>
    </row>
    <row r="383" spans="2:4">
      <c r="B383" t="s">
        <v>829</v>
      </c>
      <c r="C383" t="s">
        <v>830</v>
      </c>
      <c r="D383" s="20">
        <v>311891</v>
      </c>
    </row>
    <row r="384" spans="2:4">
      <c r="B384" t="s">
        <v>831</v>
      </c>
      <c r="C384" t="s">
        <v>832</v>
      </c>
      <c r="D384" s="20">
        <v>118329</v>
      </c>
    </row>
    <row r="385" spans="2:4">
      <c r="B385" t="s">
        <v>833</v>
      </c>
      <c r="C385" t="s">
        <v>834</v>
      </c>
      <c r="D385" s="20">
        <v>713607</v>
      </c>
    </row>
    <row r="386" spans="2:4">
      <c r="B386" t="s">
        <v>835</v>
      </c>
      <c r="C386" t="s">
        <v>836</v>
      </c>
      <c r="D386" s="20">
        <v>546294</v>
      </c>
    </row>
    <row r="387" spans="2:4">
      <c r="B387" t="s">
        <v>837</v>
      </c>
      <c r="C387" t="s">
        <v>838</v>
      </c>
      <c r="D387" s="20">
        <v>205986</v>
      </c>
    </row>
    <row r="388" spans="2:4">
      <c r="B388" t="s">
        <v>839</v>
      </c>
      <c r="C388" t="s">
        <v>840</v>
      </c>
      <c r="D388" s="20">
        <v>2231384</v>
      </c>
    </row>
    <row r="389" spans="2:4">
      <c r="B389" t="s">
        <v>841</v>
      </c>
      <c r="C389" t="s">
        <v>842</v>
      </c>
      <c r="D389" s="20">
        <v>695935</v>
      </c>
    </row>
    <row r="390" spans="2:4">
      <c r="B390" t="s">
        <v>843</v>
      </c>
      <c r="C390" t="s">
        <v>844</v>
      </c>
      <c r="D390" s="20">
        <v>1970218</v>
      </c>
    </row>
    <row r="391" spans="2:4">
      <c r="B391" t="s">
        <v>845</v>
      </c>
      <c r="C391" t="s">
        <v>846</v>
      </c>
      <c r="D391" s="20">
        <v>99544</v>
      </c>
    </row>
    <row r="392" spans="2:4">
      <c r="B392" t="s">
        <v>847</v>
      </c>
      <c r="C392" t="s">
        <v>848</v>
      </c>
      <c r="D392" s="20">
        <v>138660</v>
      </c>
    </row>
    <row r="393" spans="2:4">
      <c r="B393" t="s">
        <v>849</v>
      </c>
      <c r="C393" t="s">
        <v>850</v>
      </c>
      <c r="D393" s="20">
        <v>38013</v>
      </c>
    </row>
    <row r="394" spans="2:4">
      <c r="B394" t="s">
        <v>851</v>
      </c>
      <c r="C394" t="s">
        <v>852</v>
      </c>
      <c r="D394" s="20">
        <v>378771</v>
      </c>
    </row>
    <row r="395" spans="2:4">
      <c r="B395" t="s">
        <v>853</v>
      </c>
      <c r="C395" t="s">
        <v>854</v>
      </c>
      <c r="D395" s="20">
        <v>447730</v>
      </c>
    </row>
    <row r="396" spans="2:4">
      <c r="B396" t="s">
        <v>855</v>
      </c>
      <c r="C396" t="s">
        <v>856</v>
      </c>
      <c r="D396" s="20">
        <v>270514</v>
      </c>
    </row>
    <row r="397" spans="2:4">
      <c r="B397" t="s">
        <v>857</v>
      </c>
      <c r="C397" t="s">
        <v>858</v>
      </c>
      <c r="D397" s="20">
        <v>364100</v>
      </c>
    </row>
    <row r="398" spans="2:4">
      <c r="B398" t="s">
        <v>859</v>
      </c>
      <c r="C398" t="s">
        <v>860</v>
      </c>
      <c r="D398" s="20">
        <v>71562</v>
      </c>
    </row>
    <row r="399" spans="2:4">
      <c r="B399" t="s">
        <v>861</v>
      </c>
      <c r="C399" t="s">
        <v>862</v>
      </c>
      <c r="D399" s="20">
        <v>240376</v>
      </c>
    </row>
    <row r="400" spans="2:4">
      <c r="B400" t="s">
        <v>863</v>
      </c>
      <c r="C400" t="s">
        <v>864</v>
      </c>
      <c r="D400" s="20">
        <v>459481</v>
      </c>
    </row>
    <row r="401" spans="2:4">
      <c r="B401" t="s">
        <v>865</v>
      </c>
      <c r="C401" t="s">
        <v>866</v>
      </c>
      <c r="D401" s="20">
        <v>381325</v>
      </c>
    </row>
    <row r="402" spans="2:4">
      <c r="B402" t="s">
        <v>867</v>
      </c>
      <c r="C402" t="s">
        <v>868</v>
      </c>
      <c r="D402" s="20">
        <v>83818</v>
      </c>
    </row>
    <row r="403" spans="2:4">
      <c r="B403" t="s">
        <v>869</v>
      </c>
      <c r="C403" t="s">
        <v>870</v>
      </c>
      <c r="D403" s="20">
        <v>484513</v>
      </c>
    </row>
    <row r="404" spans="2:4">
      <c r="B404" t="s">
        <v>871</v>
      </c>
      <c r="C404" t="s">
        <v>872</v>
      </c>
      <c r="D404" s="20">
        <v>201158</v>
      </c>
    </row>
    <row r="405" spans="2:4">
      <c r="B405" t="s">
        <v>873</v>
      </c>
      <c r="C405" t="s">
        <v>874</v>
      </c>
      <c r="D405" s="20">
        <v>58273</v>
      </c>
    </row>
    <row r="406" spans="2:4">
      <c r="B406" t="s">
        <v>875</v>
      </c>
      <c r="C406" t="s">
        <v>876</v>
      </c>
      <c r="D406" s="20">
        <v>18010</v>
      </c>
    </row>
    <row r="407" spans="2:4">
      <c r="B407" t="s">
        <v>877</v>
      </c>
      <c r="C407" t="s">
        <v>878</v>
      </c>
      <c r="D407" s="20">
        <v>71809</v>
      </c>
    </row>
    <row r="408" spans="2:4">
      <c r="B408" t="s">
        <v>879</v>
      </c>
      <c r="C408" t="s">
        <v>880</v>
      </c>
      <c r="D408" s="20">
        <v>146872</v>
      </c>
    </row>
    <row r="409" spans="2:4">
      <c r="B409" t="s">
        <v>881</v>
      </c>
      <c r="C409" t="s">
        <v>882</v>
      </c>
      <c r="D409" s="20">
        <v>784243</v>
      </c>
    </row>
    <row r="410" spans="2:4">
      <c r="B410" t="s">
        <v>883</v>
      </c>
      <c r="C410" t="s">
        <v>884</v>
      </c>
      <c r="D410" s="20">
        <v>495637</v>
      </c>
    </row>
    <row r="411" spans="2:4">
      <c r="B411" t="s">
        <v>885</v>
      </c>
      <c r="C411" t="s">
        <v>886</v>
      </c>
      <c r="D411" s="20">
        <v>331749</v>
      </c>
    </row>
    <row r="412" spans="2:4">
      <c r="B412" t="s">
        <v>887</v>
      </c>
      <c r="C412" t="s">
        <v>888</v>
      </c>
      <c r="D412" s="20">
        <v>99273</v>
      </c>
    </row>
    <row r="413" spans="2:4">
      <c r="B413" t="s">
        <v>889</v>
      </c>
      <c r="C413" t="s">
        <v>890</v>
      </c>
      <c r="D413" s="20">
        <v>34980</v>
      </c>
    </row>
    <row r="414" spans="2:4">
      <c r="B414" t="s">
        <v>891</v>
      </c>
      <c r="C414" t="s">
        <v>892</v>
      </c>
      <c r="D414" s="20">
        <v>99405</v>
      </c>
    </row>
    <row r="415" spans="2:4">
      <c r="B415" t="s">
        <v>893</v>
      </c>
      <c r="C415" t="s">
        <v>894</v>
      </c>
      <c r="D415" s="20">
        <v>92353</v>
      </c>
    </row>
    <row r="416" spans="2:4">
      <c r="B416" t="s">
        <v>895</v>
      </c>
      <c r="C416" t="s">
        <v>896</v>
      </c>
      <c r="D416" s="20">
        <v>83256</v>
      </c>
    </row>
    <row r="417" spans="2:4">
      <c r="B417" t="s">
        <v>897</v>
      </c>
      <c r="C417" t="s">
        <v>898</v>
      </c>
      <c r="D417" s="20">
        <v>89400</v>
      </c>
    </row>
    <row r="418" spans="2:4">
      <c r="B418" t="s">
        <v>899</v>
      </c>
      <c r="C418" t="s">
        <v>900</v>
      </c>
      <c r="D418" s="20">
        <v>166856</v>
      </c>
    </row>
    <row r="419" spans="2:4">
      <c r="B419" t="s">
        <v>901</v>
      </c>
      <c r="C419" t="s">
        <v>902</v>
      </c>
      <c r="D419" s="20">
        <v>66721</v>
      </c>
    </row>
    <row r="420" spans="2:4">
      <c r="B420" t="s">
        <v>903</v>
      </c>
      <c r="C420" t="s">
        <v>904</v>
      </c>
      <c r="D420" s="20">
        <v>278956</v>
      </c>
    </row>
    <row r="421" spans="2:4">
      <c r="B421" t="s">
        <v>905</v>
      </c>
      <c r="C421" t="s">
        <v>906</v>
      </c>
      <c r="D421" s="20">
        <v>127688</v>
      </c>
    </row>
    <row r="422" spans="2:4">
      <c r="B422" t="s">
        <v>907</v>
      </c>
      <c r="C422" t="s">
        <v>908</v>
      </c>
      <c r="D422" s="20">
        <v>657247</v>
      </c>
    </row>
    <row r="423" spans="2:4">
      <c r="B423" t="s">
        <v>909</v>
      </c>
      <c r="C423" t="s">
        <v>910</v>
      </c>
      <c r="D423" s="20">
        <v>173174</v>
      </c>
    </row>
    <row r="424" spans="2:4">
      <c r="B424" t="s">
        <v>911</v>
      </c>
      <c r="C424" t="s">
        <v>912</v>
      </c>
      <c r="D424" s="20">
        <v>163812</v>
      </c>
    </row>
    <row r="425" spans="2:4">
      <c r="B425" t="s">
        <v>913</v>
      </c>
      <c r="C425" t="s">
        <v>914</v>
      </c>
      <c r="D425" s="20">
        <v>229972</v>
      </c>
    </row>
    <row r="426" spans="2:4">
      <c r="B426" t="s">
        <v>915</v>
      </c>
      <c r="C426" t="s">
        <v>916</v>
      </c>
      <c r="D426" s="20">
        <v>70741</v>
      </c>
    </row>
    <row r="427" spans="2:4">
      <c r="B427" t="s">
        <v>917</v>
      </c>
      <c r="C427" t="s">
        <v>918</v>
      </c>
      <c r="D427" s="20">
        <v>131156</v>
      </c>
    </row>
    <row r="428" spans="2:4">
      <c r="B428" t="s">
        <v>919</v>
      </c>
      <c r="C428" t="s">
        <v>920</v>
      </c>
      <c r="D428" s="20">
        <v>48529</v>
      </c>
    </row>
    <row r="429" spans="2:4">
      <c r="B429" t="s">
        <v>921</v>
      </c>
      <c r="C429" t="s">
        <v>922</v>
      </c>
      <c r="D429" s="20">
        <v>1160859</v>
      </c>
    </row>
    <row r="430" spans="2:4">
      <c r="B430" t="s">
        <v>923</v>
      </c>
      <c r="C430" t="s">
        <v>924</v>
      </c>
      <c r="D430" s="20">
        <v>236970</v>
      </c>
    </row>
    <row r="431" spans="2:4">
      <c r="B431" t="s">
        <v>925</v>
      </c>
      <c r="C431" t="s">
        <v>926</v>
      </c>
      <c r="D431" s="20">
        <v>80133</v>
      </c>
    </row>
    <row r="432" spans="2:4">
      <c r="B432" t="s">
        <v>927</v>
      </c>
      <c r="C432" t="s">
        <v>928</v>
      </c>
      <c r="D432" s="20">
        <v>185873</v>
      </c>
    </row>
    <row r="433" spans="2:4">
      <c r="B433" t="s">
        <v>929</v>
      </c>
      <c r="C433" t="s">
        <v>930</v>
      </c>
      <c r="D433" s="20">
        <v>79919</v>
      </c>
    </row>
    <row r="434" spans="2:4">
      <c r="B434" t="s">
        <v>931</v>
      </c>
      <c r="C434" t="s">
        <v>932</v>
      </c>
      <c r="D434" s="20">
        <v>69079</v>
      </c>
    </row>
    <row r="435" spans="2:4">
      <c r="B435" t="s">
        <v>933</v>
      </c>
      <c r="C435" t="s">
        <v>934</v>
      </c>
      <c r="D435" s="20">
        <v>34863</v>
      </c>
    </row>
    <row r="436" spans="2:4">
      <c r="B436" t="s">
        <v>935</v>
      </c>
      <c r="C436" t="s">
        <v>936</v>
      </c>
      <c r="D436" s="20">
        <v>66863</v>
      </c>
    </row>
    <row r="437" spans="2:4">
      <c r="B437" t="s">
        <v>937</v>
      </c>
      <c r="C437" t="s">
        <v>938</v>
      </c>
      <c r="D437" s="20">
        <v>63657</v>
      </c>
    </row>
    <row r="438" spans="2:4">
      <c r="B438" t="s">
        <v>939</v>
      </c>
      <c r="C438" t="s">
        <v>940</v>
      </c>
      <c r="D438" s="20">
        <v>91530</v>
      </c>
    </row>
    <row r="439" spans="2:4">
      <c r="B439" t="s">
        <v>941</v>
      </c>
      <c r="C439" t="s">
        <v>942</v>
      </c>
      <c r="D439" s="20">
        <v>23965</v>
      </c>
    </row>
    <row r="440" spans="2:4">
      <c r="B440" t="s">
        <v>943</v>
      </c>
      <c r="C440" t="s">
        <v>944</v>
      </c>
      <c r="D440" s="20">
        <v>38248</v>
      </c>
    </row>
    <row r="441" spans="2:4">
      <c r="B441" t="s">
        <v>945</v>
      </c>
      <c r="C441" t="s">
        <v>946</v>
      </c>
      <c r="D441" s="20">
        <v>57083</v>
      </c>
    </row>
    <row r="442" spans="2:4">
      <c r="B442" t="s">
        <v>947</v>
      </c>
      <c r="C442" t="s">
        <v>948</v>
      </c>
      <c r="D442" s="20">
        <v>141501</v>
      </c>
    </row>
    <row r="443" spans="2:4">
      <c r="B443" t="s">
        <v>949</v>
      </c>
      <c r="C443" t="s">
        <v>950</v>
      </c>
      <c r="D443" s="20">
        <v>374518</v>
      </c>
    </row>
    <row r="444" spans="2:4">
      <c r="B444" t="s">
        <v>951</v>
      </c>
      <c r="C444" t="s">
        <v>952</v>
      </c>
      <c r="D444" s="20">
        <v>582648</v>
      </c>
    </row>
    <row r="445" spans="2:4">
      <c r="B445" t="s">
        <v>953</v>
      </c>
      <c r="C445" t="s">
        <v>954</v>
      </c>
      <c r="D445" s="20">
        <v>549518</v>
      </c>
    </row>
    <row r="446" spans="2:4">
      <c r="B446" t="s">
        <v>955</v>
      </c>
      <c r="C446" t="s">
        <v>956</v>
      </c>
      <c r="D446" s="20">
        <v>164189</v>
      </c>
    </row>
    <row r="447" spans="2:4">
      <c r="B447" t="s">
        <v>957</v>
      </c>
      <c r="C447" t="s">
        <v>958</v>
      </c>
      <c r="D447" s="20">
        <v>213668</v>
      </c>
    </row>
    <row r="448" spans="2:4">
      <c r="B448" t="s">
        <v>959</v>
      </c>
      <c r="C448" t="s">
        <v>960</v>
      </c>
      <c r="D448" s="20">
        <v>26141</v>
      </c>
    </row>
    <row r="449" spans="2:4">
      <c r="B449" t="s">
        <v>961</v>
      </c>
      <c r="C449" t="s">
        <v>962</v>
      </c>
      <c r="D449" s="20">
        <v>58460</v>
      </c>
    </row>
    <row r="450" spans="2:4">
      <c r="B450" t="s">
        <v>963</v>
      </c>
      <c r="C450" t="s">
        <v>964</v>
      </c>
      <c r="D450" s="20">
        <v>36479</v>
      </c>
    </row>
    <row r="451" spans="2:4">
      <c r="B451" t="s">
        <v>965</v>
      </c>
      <c r="C451" t="s">
        <v>966</v>
      </c>
      <c r="D451" s="20">
        <v>111233</v>
      </c>
    </row>
    <row r="452" spans="2:4">
      <c r="B452" t="s">
        <v>967</v>
      </c>
      <c r="C452" t="s">
        <v>968</v>
      </c>
      <c r="D452" s="20">
        <v>27323</v>
      </c>
    </row>
    <row r="453" spans="2:4">
      <c r="B453" t="s">
        <v>969</v>
      </c>
      <c r="C453" t="s">
        <v>970</v>
      </c>
      <c r="D453" s="20">
        <v>37937</v>
      </c>
    </row>
    <row r="454" spans="2:4">
      <c r="B454" t="s">
        <v>971</v>
      </c>
      <c r="C454" t="s">
        <v>972</v>
      </c>
      <c r="D454" s="20">
        <v>127135</v>
      </c>
    </row>
    <row r="455" spans="2:4">
      <c r="B455" t="s">
        <v>973</v>
      </c>
      <c r="C455" t="s">
        <v>974</v>
      </c>
      <c r="D455" s="20">
        <v>117205</v>
      </c>
    </row>
    <row r="456" spans="2:4">
      <c r="B456" t="s">
        <v>975</v>
      </c>
      <c r="C456" t="s">
        <v>976</v>
      </c>
      <c r="D456" s="20">
        <v>98068</v>
      </c>
    </row>
    <row r="457" spans="2:4">
      <c r="B457" t="s">
        <v>977</v>
      </c>
      <c r="C457" t="s">
        <v>978</v>
      </c>
      <c r="D457" s="20">
        <v>137428</v>
      </c>
    </row>
    <row r="458" spans="2:4">
      <c r="B458" t="s">
        <v>979</v>
      </c>
      <c r="C458" t="s">
        <v>980</v>
      </c>
      <c r="D458" s="20">
        <v>25456</v>
      </c>
    </row>
    <row r="459" spans="2:4">
      <c r="B459" t="s">
        <v>981</v>
      </c>
      <c r="C459" t="s">
        <v>982</v>
      </c>
      <c r="D459" s="20">
        <v>825955</v>
      </c>
    </row>
    <row r="460" spans="2:4">
      <c r="B460" t="s">
        <v>983</v>
      </c>
      <c r="C460" t="s">
        <v>984</v>
      </c>
      <c r="D460" s="20">
        <v>593971</v>
      </c>
    </row>
    <row r="461" spans="2:4">
      <c r="B461" t="s">
        <v>985</v>
      </c>
      <c r="C461" t="s">
        <v>986</v>
      </c>
      <c r="D461" s="20">
        <v>79639</v>
      </c>
    </row>
    <row r="462" spans="2:4">
      <c r="B462" t="s">
        <v>987</v>
      </c>
      <c r="C462" t="s">
        <v>988</v>
      </c>
      <c r="D462" s="20">
        <v>20646</v>
      </c>
    </row>
    <row r="463" spans="2:4">
      <c r="B463" t="s">
        <v>989</v>
      </c>
      <c r="C463" t="s">
        <v>990</v>
      </c>
      <c r="D463" s="20">
        <v>9369</v>
      </c>
    </row>
    <row r="464" spans="2:4">
      <c r="B464" t="s">
        <v>991</v>
      </c>
      <c r="C464" t="s">
        <v>992</v>
      </c>
      <c r="D464" s="20">
        <v>1377117</v>
      </c>
    </row>
    <row r="465" spans="2:4">
      <c r="B465" t="s">
        <v>993</v>
      </c>
      <c r="C465" t="s">
        <v>994</v>
      </c>
      <c r="D465" s="20">
        <v>436174</v>
      </c>
    </row>
    <row r="466" spans="2:4">
      <c r="B466" t="s">
        <v>995</v>
      </c>
      <c r="C466" t="s">
        <v>996</v>
      </c>
      <c r="D466" s="20">
        <v>1294734</v>
      </c>
    </row>
    <row r="467" spans="2:4">
      <c r="B467" t="s">
        <v>997</v>
      </c>
      <c r="C467" t="s">
        <v>998</v>
      </c>
      <c r="D467" s="20">
        <v>13862</v>
      </c>
    </row>
    <row r="468" spans="2:4">
      <c r="B468" t="s">
        <v>999</v>
      </c>
      <c r="C468" t="s">
        <v>1000</v>
      </c>
      <c r="D468" s="20">
        <v>81163</v>
      </c>
    </row>
    <row r="469" spans="2:4">
      <c r="B469" t="s">
        <v>1001</v>
      </c>
      <c r="C469" t="s">
        <v>1002</v>
      </c>
      <c r="D469" s="20">
        <v>364813</v>
      </c>
    </row>
  </sheetData>
  <phoneticPr fontId="19" type="noConversion"/>
  <hyperlinks>
    <hyperlink ref="B6" r:id="rId1" xr:uid="{350EB6D2-4E8A-4EFE-B402-EAABE0D875B3}"/>
    <hyperlink ref="B9" r:id="rId2" xr:uid="{185AD9A7-61B3-4DBB-B2E3-B1EFFA210EFB}"/>
    <hyperlink ref="B7" r:id="rId3" xr:uid="{DEE603B4-C494-4347-8CB7-5628B8CB2FE3}"/>
    <hyperlink ref="B8" r:id="rId4" xr:uid="{37EE3DDF-59F4-43F9-8CC8-61251017202E}"/>
  </hyperlinks>
  <pageMargins left="0.7" right="0.7" top="0.75" bottom="0.75" header="0.3" footer="0.3"/>
  <pageSetup orientation="portrait" r:id="rId5"/>
  <ignoredErrors>
    <ignoredError sqref="D4:E5" numberStoredAsText="1"/>
    <ignoredError sqref="P7" formulaRange="1"/>
  </ignoredErrors>
  <legacy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F2E9-9002-4F49-8164-7D38232BFF1E}">
  <dimension ref="A1:J425"/>
  <sheetViews>
    <sheetView workbookViewId="0"/>
  </sheetViews>
  <sheetFormatPr defaultRowHeight="16.5"/>
  <cols>
    <col min="1" max="1" width="5.875" customWidth="1"/>
    <col min="2" max="2" width="94.875" bestFit="1" customWidth="1"/>
    <col min="3" max="3" width="9.25" bestFit="1" customWidth="1"/>
    <col min="4" max="4" width="36.25" bestFit="1" customWidth="1"/>
    <col min="7" max="7" width="94.875" bestFit="1" customWidth="1"/>
  </cols>
  <sheetData>
    <row r="1" spans="1:10">
      <c r="A1" s="1" t="s">
        <v>151</v>
      </c>
    </row>
    <row r="2" spans="1:10">
      <c r="A2" t="s">
        <v>165</v>
      </c>
    </row>
    <row r="3" spans="1:10">
      <c r="A3" t="s">
        <v>166</v>
      </c>
    </row>
    <row r="4" spans="1:10">
      <c r="A4" t="s">
        <v>167</v>
      </c>
    </row>
    <row r="5" spans="1:10">
      <c r="A5" t="s">
        <v>168</v>
      </c>
    </row>
    <row r="6" spans="1:10">
      <c r="A6" t="s">
        <v>169</v>
      </c>
    </row>
    <row r="8" spans="1:10">
      <c r="A8" s="11" t="s">
        <v>170</v>
      </c>
      <c r="B8" s="23"/>
      <c r="C8" s="24" t="s">
        <v>6</v>
      </c>
      <c r="D8" s="11" t="s">
        <v>1008</v>
      </c>
      <c r="F8" t="s">
        <v>170</v>
      </c>
      <c r="I8" t="s">
        <v>6</v>
      </c>
      <c r="J8" t="s">
        <v>1201</v>
      </c>
    </row>
    <row r="9" spans="1:10">
      <c r="A9" t="s">
        <v>171</v>
      </c>
      <c r="B9" t="s">
        <v>172</v>
      </c>
      <c r="C9" s="20">
        <v>34314</v>
      </c>
      <c r="F9" t="s">
        <v>171</v>
      </c>
      <c r="G9" t="s">
        <v>172</v>
      </c>
      <c r="I9">
        <v>34313</v>
      </c>
      <c r="J9">
        <v>59627</v>
      </c>
    </row>
    <row r="10" spans="1:10">
      <c r="A10" t="s">
        <v>173</v>
      </c>
      <c r="B10" t="s">
        <v>174</v>
      </c>
      <c r="C10" s="20">
        <v>61876</v>
      </c>
      <c r="F10" t="s">
        <v>173</v>
      </c>
      <c r="G10" t="s">
        <v>174</v>
      </c>
      <c r="I10">
        <v>61841</v>
      </c>
      <c r="J10">
        <v>96979</v>
      </c>
    </row>
    <row r="11" spans="1:10">
      <c r="A11" t="s">
        <v>175</v>
      </c>
      <c r="B11" t="s">
        <v>176</v>
      </c>
      <c r="C11" s="20">
        <v>19404</v>
      </c>
      <c r="F11" t="s">
        <v>175</v>
      </c>
      <c r="G11" t="s">
        <v>176</v>
      </c>
      <c r="I11">
        <v>19369</v>
      </c>
      <c r="J11">
        <v>21781</v>
      </c>
    </row>
    <row r="12" spans="1:10">
      <c r="A12" t="s">
        <v>177</v>
      </c>
      <c r="B12" t="s">
        <v>178</v>
      </c>
      <c r="C12" s="20">
        <v>28308</v>
      </c>
      <c r="F12" t="s">
        <v>177</v>
      </c>
      <c r="G12" t="s">
        <v>178</v>
      </c>
      <c r="I12">
        <v>28273</v>
      </c>
      <c r="J12">
        <v>27180</v>
      </c>
    </row>
    <row r="13" spans="1:10">
      <c r="A13" t="s">
        <v>179</v>
      </c>
      <c r="B13" t="s">
        <v>180</v>
      </c>
      <c r="C13" s="20">
        <v>22098</v>
      </c>
      <c r="F13" t="s">
        <v>179</v>
      </c>
      <c r="G13" t="s">
        <v>180</v>
      </c>
      <c r="I13">
        <v>22063</v>
      </c>
      <c r="J13">
        <v>28413</v>
      </c>
    </row>
    <row r="14" spans="1:10">
      <c r="A14" t="s">
        <v>181</v>
      </c>
      <c r="B14" t="s">
        <v>182</v>
      </c>
      <c r="C14" s="20">
        <v>22767</v>
      </c>
      <c r="F14" t="s">
        <v>181</v>
      </c>
      <c r="G14" t="s">
        <v>182</v>
      </c>
      <c r="I14">
        <v>22727</v>
      </c>
      <c r="J14">
        <v>32287</v>
      </c>
    </row>
    <row r="15" spans="1:10">
      <c r="A15" t="s">
        <v>183</v>
      </c>
      <c r="B15" t="s">
        <v>184</v>
      </c>
      <c r="C15" s="20">
        <v>36867</v>
      </c>
      <c r="F15" t="s">
        <v>183</v>
      </c>
      <c r="G15" t="s">
        <v>184</v>
      </c>
      <c r="I15">
        <v>36847</v>
      </c>
      <c r="J15">
        <v>47814</v>
      </c>
    </row>
    <row r="16" spans="1:10">
      <c r="A16" t="s">
        <v>185</v>
      </c>
      <c r="B16" t="s">
        <v>186</v>
      </c>
      <c r="C16" s="20">
        <v>93695</v>
      </c>
      <c r="F16" t="s">
        <v>185</v>
      </c>
      <c r="G16" t="s">
        <v>186</v>
      </c>
      <c r="I16">
        <v>91752</v>
      </c>
      <c r="J16">
        <v>132577</v>
      </c>
    </row>
    <row r="17" spans="1:10">
      <c r="A17" t="s">
        <v>187</v>
      </c>
      <c r="B17" t="s">
        <v>188</v>
      </c>
      <c r="C17" s="20">
        <v>50423</v>
      </c>
      <c r="F17" t="s">
        <v>187</v>
      </c>
      <c r="G17" t="s">
        <v>188</v>
      </c>
      <c r="I17">
        <v>50361</v>
      </c>
      <c r="J17">
        <v>64915</v>
      </c>
    </row>
    <row r="18" spans="1:10">
      <c r="A18" t="s">
        <v>189</v>
      </c>
      <c r="B18" t="s">
        <v>190</v>
      </c>
      <c r="C18" s="20">
        <v>36649</v>
      </c>
      <c r="F18" t="s">
        <v>189</v>
      </c>
      <c r="G18" t="s">
        <v>190</v>
      </c>
      <c r="I18">
        <v>35617</v>
      </c>
      <c r="J18">
        <v>43769</v>
      </c>
    </row>
    <row r="19" spans="1:10">
      <c r="A19" t="s">
        <v>191</v>
      </c>
      <c r="B19" t="s">
        <v>192</v>
      </c>
      <c r="C19" s="20">
        <v>21437</v>
      </c>
      <c r="F19" t="s">
        <v>191</v>
      </c>
      <c r="G19" t="s">
        <v>192</v>
      </c>
      <c r="I19">
        <v>19524</v>
      </c>
      <c r="J19">
        <v>26757</v>
      </c>
    </row>
    <row r="20" spans="1:10">
      <c r="A20" t="s">
        <v>193</v>
      </c>
      <c r="B20" t="s">
        <v>194</v>
      </c>
      <c r="C20" s="20">
        <v>8667</v>
      </c>
      <c r="F20" t="s">
        <v>193</v>
      </c>
      <c r="G20" t="s">
        <v>194</v>
      </c>
      <c r="I20">
        <v>7658</v>
      </c>
      <c r="J20">
        <v>9762</v>
      </c>
    </row>
    <row r="21" spans="1:10">
      <c r="A21" t="s">
        <v>195</v>
      </c>
      <c r="B21" t="s">
        <v>196</v>
      </c>
      <c r="C21" s="20">
        <v>23422</v>
      </c>
      <c r="F21" t="s">
        <v>195</v>
      </c>
      <c r="G21" t="s">
        <v>196</v>
      </c>
      <c r="I21">
        <v>27552</v>
      </c>
      <c r="J21">
        <v>29826</v>
      </c>
    </row>
    <row r="22" spans="1:10">
      <c r="A22" t="s">
        <v>197</v>
      </c>
      <c r="B22" s="28" t="s">
        <v>109</v>
      </c>
      <c r="C22" s="20">
        <v>268953</v>
      </c>
      <c r="D22" t="s">
        <v>1009</v>
      </c>
      <c r="F22" t="s">
        <v>197</v>
      </c>
      <c r="G22" s="10" t="s">
        <v>109</v>
      </c>
      <c r="H22" s="10"/>
      <c r="I22" s="10">
        <v>241538</v>
      </c>
      <c r="J22" s="10">
        <v>478748</v>
      </c>
    </row>
    <row r="23" spans="1:10">
      <c r="A23" t="s">
        <v>198</v>
      </c>
      <c r="B23" s="25" t="s">
        <v>199</v>
      </c>
      <c r="C23" s="20">
        <v>40135</v>
      </c>
      <c r="D23" t="s">
        <v>1010</v>
      </c>
      <c r="F23" t="s">
        <v>198</v>
      </c>
      <c r="G23" s="10" t="s">
        <v>199</v>
      </c>
      <c r="H23" s="10"/>
      <c r="I23" s="10">
        <v>41430</v>
      </c>
      <c r="J23" s="10">
        <v>46283</v>
      </c>
    </row>
    <row r="24" spans="1:10">
      <c r="A24" t="s">
        <v>200</v>
      </c>
      <c r="B24" t="s">
        <v>201</v>
      </c>
      <c r="C24" s="20">
        <v>11643</v>
      </c>
      <c r="F24" t="s">
        <v>200</v>
      </c>
      <c r="G24" t="s">
        <v>201</v>
      </c>
      <c r="I24">
        <v>12458</v>
      </c>
      <c r="J24">
        <v>16770</v>
      </c>
    </row>
    <row r="25" spans="1:10">
      <c r="A25" t="s">
        <v>202</v>
      </c>
      <c r="B25" t="s">
        <v>203</v>
      </c>
      <c r="C25" s="20">
        <v>14089</v>
      </c>
      <c r="F25" t="s">
        <v>202</v>
      </c>
      <c r="G25" t="s">
        <v>203</v>
      </c>
      <c r="I25">
        <v>14364</v>
      </c>
      <c r="J25">
        <v>24322</v>
      </c>
    </row>
    <row r="26" spans="1:10">
      <c r="A26" t="s">
        <v>204</v>
      </c>
      <c r="B26" t="s">
        <v>205</v>
      </c>
      <c r="C26" s="20">
        <v>19415</v>
      </c>
      <c r="F26" t="s">
        <v>204</v>
      </c>
      <c r="G26" t="s">
        <v>205</v>
      </c>
      <c r="I26">
        <v>16897</v>
      </c>
      <c r="J26">
        <v>25224</v>
      </c>
    </row>
    <row r="27" spans="1:10">
      <c r="A27" t="s">
        <v>206</v>
      </c>
      <c r="B27" t="s">
        <v>207</v>
      </c>
      <c r="C27" s="20">
        <v>20908</v>
      </c>
      <c r="F27" t="s">
        <v>206</v>
      </c>
      <c r="G27" t="s">
        <v>207</v>
      </c>
      <c r="I27">
        <v>19290</v>
      </c>
      <c r="J27">
        <v>24309</v>
      </c>
    </row>
    <row r="28" spans="1:10">
      <c r="A28" t="s">
        <v>208</v>
      </c>
      <c r="B28" t="s">
        <v>209</v>
      </c>
      <c r="C28" s="20">
        <v>32318</v>
      </c>
      <c r="F28" t="s">
        <v>208</v>
      </c>
      <c r="G28" t="s">
        <v>209</v>
      </c>
      <c r="I28">
        <v>34074</v>
      </c>
      <c r="J28">
        <v>13846</v>
      </c>
    </row>
    <row r="29" spans="1:10">
      <c r="A29" t="s">
        <v>210</v>
      </c>
      <c r="B29" t="s">
        <v>211</v>
      </c>
      <c r="C29" s="20">
        <v>88512</v>
      </c>
      <c r="F29" t="s">
        <v>210</v>
      </c>
      <c r="G29" t="s">
        <v>211</v>
      </c>
      <c r="I29">
        <v>101400</v>
      </c>
      <c r="J29">
        <v>89956</v>
      </c>
    </row>
    <row r="30" spans="1:10">
      <c r="A30" t="s">
        <v>212</v>
      </c>
      <c r="B30" s="29" t="s">
        <v>213</v>
      </c>
      <c r="C30" s="20">
        <v>3124</v>
      </c>
      <c r="D30" t="s">
        <v>1011</v>
      </c>
      <c r="F30" s="10" t="s">
        <v>212</v>
      </c>
      <c r="G30" s="10" t="s">
        <v>213</v>
      </c>
      <c r="H30" s="10"/>
      <c r="I30" s="10">
        <v>3575</v>
      </c>
      <c r="J30" s="10">
        <v>4863</v>
      </c>
    </row>
    <row r="31" spans="1:10">
      <c r="A31" t="s">
        <v>214</v>
      </c>
      <c r="B31" s="29" t="s">
        <v>215</v>
      </c>
      <c r="C31" s="20">
        <v>103566</v>
      </c>
      <c r="D31" t="s">
        <v>1011</v>
      </c>
      <c r="F31" s="10" t="s">
        <v>214</v>
      </c>
      <c r="G31" s="10" t="s">
        <v>215</v>
      </c>
      <c r="H31" s="10"/>
      <c r="I31" s="10">
        <v>91611</v>
      </c>
      <c r="J31" s="10">
        <v>107312</v>
      </c>
    </row>
    <row r="32" spans="1:10">
      <c r="A32" t="s">
        <v>216</v>
      </c>
      <c r="B32" s="29" t="s">
        <v>217</v>
      </c>
      <c r="C32" s="20">
        <v>36820</v>
      </c>
      <c r="D32" t="s">
        <v>1011</v>
      </c>
      <c r="F32" s="10" t="s">
        <v>216</v>
      </c>
      <c r="G32" s="10" t="s">
        <v>217</v>
      </c>
      <c r="H32" s="10"/>
      <c r="I32" s="10">
        <v>34090</v>
      </c>
      <c r="J32" s="10">
        <v>41160</v>
      </c>
    </row>
    <row r="33" spans="1:10">
      <c r="A33" t="s">
        <v>218</v>
      </c>
      <c r="B33" s="29" t="s">
        <v>219</v>
      </c>
      <c r="C33" s="20">
        <v>749</v>
      </c>
      <c r="D33" t="s">
        <v>1011</v>
      </c>
      <c r="F33" s="10" t="s">
        <v>218</v>
      </c>
      <c r="G33" s="10" t="s">
        <v>219</v>
      </c>
      <c r="H33" s="10"/>
      <c r="I33" s="10">
        <v>1668</v>
      </c>
      <c r="J33" s="10">
        <v>2835</v>
      </c>
    </row>
    <row r="34" spans="1:10">
      <c r="A34" t="s">
        <v>220</v>
      </c>
      <c r="B34" s="29" t="s">
        <v>221</v>
      </c>
      <c r="C34" s="20">
        <v>6621</v>
      </c>
      <c r="D34" t="s">
        <v>1011</v>
      </c>
      <c r="F34" s="10" t="s">
        <v>220</v>
      </c>
      <c r="G34" s="10" t="s">
        <v>221</v>
      </c>
      <c r="H34" s="10"/>
      <c r="I34" s="10">
        <v>8042</v>
      </c>
      <c r="J34" s="10">
        <v>11267</v>
      </c>
    </row>
    <row r="35" spans="1:10">
      <c r="A35" t="s">
        <v>222</v>
      </c>
      <c r="B35" s="29" t="s">
        <v>223</v>
      </c>
      <c r="C35" s="20">
        <v>1416</v>
      </c>
      <c r="D35" t="s">
        <v>1011</v>
      </c>
      <c r="F35" s="10" t="s">
        <v>222</v>
      </c>
      <c r="G35" s="10" t="s">
        <v>223</v>
      </c>
      <c r="H35" s="10"/>
      <c r="I35" s="10">
        <v>1296</v>
      </c>
      <c r="J35" s="10">
        <v>1557</v>
      </c>
    </row>
    <row r="36" spans="1:10">
      <c r="A36" t="s">
        <v>224</v>
      </c>
      <c r="B36" s="29" t="s">
        <v>225</v>
      </c>
      <c r="C36" s="20">
        <v>1101</v>
      </c>
      <c r="D36" t="s">
        <v>1011</v>
      </c>
      <c r="F36" s="10" t="s">
        <v>224</v>
      </c>
      <c r="G36" s="10" t="s">
        <v>225</v>
      </c>
      <c r="H36" s="10"/>
      <c r="I36" s="10">
        <v>1353</v>
      </c>
      <c r="J36" s="10">
        <v>1883</v>
      </c>
    </row>
    <row r="37" spans="1:10">
      <c r="A37" t="s">
        <v>226</v>
      </c>
      <c r="B37" s="29" t="s">
        <v>227</v>
      </c>
      <c r="C37" s="20">
        <v>228</v>
      </c>
      <c r="D37" t="s">
        <v>1011</v>
      </c>
      <c r="F37" s="10" t="s">
        <v>226</v>
      </c>
      <c r="G37" s="10" t="s">
        <v>227</v>
      </c>
      <c r="H37" s="10"/>
      <c r="I37" s="10">
        <v>182</v>
      </c>
      <c r="J37" s="10">
        <v>217</v>
      </c>
    </row>
    <row r="38" spans="1:10">
      <c r="A38" t="s">
        <v>228</v>
      </c>
      <c r="B38" s="29" t="s">
        <v>229</v>
      </c>
      <c r="C38" s="20">
        <v>12770</v>
      </c>
      <c r="D38" t="s">
        <v>1011</v>
      </c>
      <c r="F38" s="10" t="s">
        <v>228</v>
      </c>
      <c r="G38" s="10" t="s">
        <v>229</v>
      </c>
      <c r="H38" s="10"/>
      <c r="I38" s="10">
        <v>14446</v>
      </c>
      <c r="J38" s="10">
        <v>20089</v>
      </c>
    </row>
    <row r="39" spans="1:10">
      <c r="A39" t="s">
        <v>230</v>
      </c>
      <c r="B39" s="29" t="s">
        <v>231</v>
      </c>
      <c r="C39" s="20">
        <v>246810</v>
      </c>
      <c r="D39" t="s">
        <v>1011</v>
      </c>
      <c r="F39" s="10" t="s">
        <v>230</v>
      </c>
      <c r="G39" s="10" t="s">
        <v>231</v>
      </c>
      <c r="H39" s="10"/>
      <c r="I39" s="10">
        <v>246470</v>
      </c>
      <c r="J39" s="10">
        <v>312038</v>
      </c>
    </row>
    <row r="40" spans="1:10">
      <c r="A40" t="s">
        <v>232</v>
      </c>
      <c r="B40" s="30" t="s">
        <v>233</v>
      </c>
      <c r="C40" s="20">
        <v>86048</v>
      </c>
      <c r="D40" t="s">
        <v>1012</v>
      </c>
      <c r="F40" s="10" t="s">
        <v>232</v>
      </c>
      <c r="G40" s="10" t="s">
        <v>233</v>
      </c>
      <c r="H40" s="10"/>
      <c r="I40" s="10">
        <v>75072</v>
      </c>
      <c r="J40" s="10">
        <v>117114</v>
      </c>
    </row>
    <row r="41" spans="1:10">
      <c r="A41" t="s">
        <v>234</v>
      </c>
      <c r="B41" s="10" t="s">
        <v>235</v>
      </c>
      <c r="C41" s="20">
        <v>14508</v>
      </c>
      <c r="D41" t="s">
        <v>1013</v>
      </c>
      <c r="F41" s="10" t="s">
        <v>234</v>
      </c>
      <c r="G41" s="10" t="s">
        <v>235</v>
      </c>
      <c r="H41" s="10"/>
      <c r="I41" s="10">
        <v>14521</v>
      </c>
      <c r="J41" s="10">
        <v>19941</v>
      </c>
    </row>
    <row r="42" spans="1:10">
      <c r="A42" t="s">
        <v>236</v>
      </c>
      <c r="B42" t="s">
        <v>237</v>
      </c>
      <c r="C42" s="20">
        <v>40117</v>
      </c>
      <c r="F42" t="s">
        <v>236</v>
      </c>
      <c r="G42" t="s">
        <v>237</v>
      </c>
      <c r="I42">
        <v>38713</v>
      </c>
      <c r="J42">
        <v>68388</v>
      </c>
    </row>
    <row r="43" spans="1:10">
      <c r="A43" t="s">
        <v>238</v>
      </c>
      <c r="B43" t="s">
        <v>239</v>
      </c>
      <c r="C43" s="20">
        <v>88209</v>
      </c>
      <c r="F43" t="s">
        <v>238</v>
      </c>
      <c r="G43" t="s">
        <v>239</v>
      </c>
      <c r="I43">
        <v>79846</v>
      </c>
      <c r="J43">
        <v>128618</v>
      </c>
    </row>
    <row r="44" spans="1:10">
      <c r="A44" t="s">
        <v>240</v>
      </c>
      <c r="B44" t="s">
        <v>241</v>
      </c>
      <c r="C44" s="20">
        <v>191101</v>
      </c>
      <c r="F44" t="s">
        <v>240</v>
      </c>
      <c r="G44" t="s">
        <v>241</v>
      </c>
      <c r="I44">
        <v>191954</v>
      </c>
      <c r="J44">
        <v>287017</v>
      </c>
    </row>
    <row r="45" spans="1:10">
      <c r="A45" t="s">
        <v>242</v>
      </c>
      <c r="B45" t="s">
        <v>243</v>
      </c>
      <c r="C45" s="20">
        <v>76959</v>
      </c>
      <c r="F45" t="s">
        <v>242</v>
      </c>
      <c r="G45" t="s">
        <v>243</v>
      </c>
      <c r="I45">
        <v>75867</v>
      </c>
      <c r="J45">
        <v>77105</v>
      </c>
    </row>
    <row r="46" spans="1:10">
      <c r="A46" t="s">
        <v>244</v>
      </c>
      <c r="B46" t="s">
        <v>245</v>
      </c>
      <c r="C46" s="20">
        <v>112928</v>
      </c>
      <c r="F46" t="s">
        <v>244</v>
      </c>
      <c r="G46" t="s">
        <v>245</v>
      </c>
      <c r="I46">
        <v>126071</v>
      </c>
      <c r="J46">
        <v>245386</v>
      </c>
    </row>
    <row r="47" spans="1:10">
      <c r="A47" t="s">
        <v>246</v>
      </c>
      <c r="B47" t="s">
        <v>247</v>
      </c>
      <c r="C47" s="20">
        <v>55962</v>
      </c>
      <c r="F47" t="s">
        <v>246</v>
      </c>
      <c r="G47" t="s">
        <v>247</v>
      </c>
      <c r="I47">
        <v>60844</v>
      </c>
      <c r="J47">
        <v>136565</v>
      </c>
    </row>
    <row r="48" spans="1:10">
      <c r="A48" t="s">
        <v>248</v>
      </c>
      <c r="B48" t="s">
        <v>249</v>
      </c>
      <c r="C48" s="20">
        <v>212844</v>
      </c>
      <c r="F48" t="s">
        <v>248</v>
      </c>
      <c r="G48" t="s">
        <v>249</v>
      </c>
      <c r="I48">
        <v>210533</v>
      </c>
      <c r="J48">
        <v>377338</v>
      </c>
    </row>
    <row r="49" spans="1:10">
      <c r="A49" t="s">
        <v>250</v>
      </c>
      <c r="B49" t="s">
        <v>251</v>
      </c>
      <c r="C49" s="20">
        <v>69028</v>
      </c>
      <c r="F49" t="s">
        <v>250</v>
      </c>
      <c r="G49" t="s">
        <v>251</v>
      </c>
      <c r="I49">
        <v>70201</v>
      </c>
      <c r="J49">
        <v>176533</v>
      </c>
    </row>
    <row r="50" spans="1:10">
      <c r="A50" t="s">
        <v>252</v>
      </c>
      <c r="B50" t="s">
        <v>253</v>
      </c>
      <c r="C50" s="20">
        <v>105415</v>
      </c>
      <c r="F50" t="s">
        <v>252</v>
      </c>
      <c r="G50" t="s">
        <v>253</v>
      </c>
      <c r="I50">
        <v>99311</v>
      </c>
      <c r="J50">
        <v>140211</v>
      </c>
    </row>
    <row r="51" spans="1:10">
      <c r="A51" t="s">
        <v>254</v>
      </c>
      <c r="B51" t="s">
        <v>255</v>
      </c>
      <c r="C51" s="20">
        <v>111108</v>
      </c>
      <c r="F51" t="s">
        <v>254</v>
      </c>
      <c r="G51" t="s">
        <v>255</v>
      </c>
      <c r="I51">
        <v>108068</v>
      </c>
      <c r="J51">
        <v>132415</v>
      </c>
    </row>
    <row r="52" spans="1:10">
      <c r="A52" t="s">
        <v>256</v>
      </c>
      <c r="B52" t="s">
        <v>257</v>
      </c>
      <c r="C52" s="20">
        <v>209093</v>
      </c>
      <c r="F52" t="s">
        <v>256</v>
      </c>
      <c r="G52" t="s">
        <v>257</v>
      </c>
      <c r="I52">
        <v>208611</v>
      </c>
      <c r="J52">
        <v>378571</v>
      </c>
    </row>
    <row r="53" spans="1:10">
      <c r="A53" t="s">
        <v>258</v>
      </c>
      <c r="B53" t="s">
        <v>259</v>
      </c>
      <c r="C53" s="20">
        <v>113347</v>
      </c>
      <c r="F53" t="s">
        <v>258</v>
      </c>
      <c r="G53" t="s">
        <v>259</v>
      </c>
      <c r="I53">
        <v>125445</v>
      </c>
      <c r="J53">
        <v>187756</v>
      </c>
    </row>
    <row r="54" spans="1:10">
      <c r="A54" t="s">
        <v>260</v>
      </c>
      <c r="B54" t="s">
        <v>261</v>
      </c>
      <c r="C54" s="20">
        <v>29072</v>
      </c>
      <c r="F54" t="s">
        <v>260</v>
      </c>
      <c r="G54" t="s">
        <v>261</v>
      </c>
      <c r="I54">
        <v>29435</v>
      </c>
      <c r="J54">
        <v>48887</v>
      </c>
    </row>
    <row r="55" spans="1:10">
      <c r="A55" t="s">
        <v>262</v>
      </c>
      <c r="B55" t="s">
        <v>263</v>
      </c>
      <c r="C55" s="20">
        <v>20986</v>
      </c>
      <c r="F55" t="s">
        <v>262</v>
      </c>
      <c r="G55" t="s">
        <v>263</v>
      </c>
      <c r="I55">
        <v>21021</v>
      </c>
      <c r="J55">
        <v>38323</v>
      </c>
    </row>
    <row r="56" spans="1:10">
      <c r="A56" t="s">
        <v>264</v>
      </c>
      <c r="B56" t="s">
        <v>265</v>
      </c>
      <c r="C56" s="20">
        <v>25586</v>
      </c>
      <c r="F56" t="s">
        <v>264</v>
      </c>
      <c r="G56" t="s">
        <v>265</v>
      </c>
      <c r="I56">
        <v>25406</v>
      </c>
      <c r="J56">
        <v>37495</v>
      </c>
    </row>
    <row r="57" spans="1:10">
      <c r="A57" t="s">
        <v>266</v>
      </c>
      <c r="B57" t="s">
        <v>267</v>
      </c>
      <c r="C57" s="20">
        <v>25364</v>
      </c>
      <c r="F57" t="s">
        <v>266</v>
      </c>
      <c r="G57" t="s">
        <v>267</v>
      </c>
      <c r="I57">
        <v>23945</v>
      </c>
      <c r="J57">
        <v>44003</v>
      </c>
    </row>
    <row r="58" spans="1:10">
      <c r="A58" t="s">
        <v>268</v>
      </c>
      <c r="B58" s="26" t="s">
        <v>269</v>
      </c>
      <c r="C58" s="20">
        <v>8343</v>
      </c>
      <c r="D58" t="s">
        <v>1004</v>
      </c>
      <c r="F58" s="10" t="s">
        <v>268</v>
      </c>
      <c r="G58" s="10" t="s">
        <v>269</v>
      </c>
      <c r="H58" s="10"/>
      <c r="I58" s="10">
        <v>8191</v>
      </c>
      <c r="J58" s="10">
        <v>10515</v>
      </c>
    </row>
    <row r="59" spans="1:10">
      <c r="A59" t="s">
        <v>270</v>
      </c>
      <c r="B59" s="25" t="s">
        <v>271</v>
      </c>
      <c r="C59" s="20">
        <v>25886</v>
      </c>
      <c r="D59" t="s">
        <v>1005</v>
      </c>
      <c r="F59" s="10" t="s">
        <v>270</v>
      </c>
      <c r="G59" s="10" t="s">
        <v>271</v>
      </c>
      <c r="H59" s="10"/>
      <c r="I59" s="10">
        <v>25488</v>
      </c>
      <c r="J59" s="10">
        <v>30256</v>
      </c>
    </row>
    <row r="60" spans="1:10">
      <c r="A60" t="s">
        <v>272</v>
      </c>
      <c r="B60" s="26" t="s">
        <v>273</v>
      </c>
      <c r="C60" s="20">
        <v>8215</v>
      </c>
      <c r="D60" t="s">
        <v>1004</v>
      </c>
      <c r="F60" s="10" t="s">
        <v>272</v>
      </c>
      <c r="G60" s="10" t="s">
        <v>273</v>
      </c>
      <c r="H60" s="10"/>
      <c r="I60" s="10">
        <v>8156</v>
      </c>
      <c r="J60" s="10">
        <v>10494</v>
      </c>
    </row>
    <row r="61" spans="1:10">
      <c r="A61" t="s">
        <v>274</v>
      </c>
      <c r="B61" s="26" t="s">
        <v>275</v>
      </c>
      <c r="C61" s="20">
        <v>27726</v>
      </c>
      <c r="D61" t="s">
        <v>1004</v>
      </c>
      <c r="F61" s="10" t="s">
        <v>274</v>
      </c>
      <c r="G61" s="10" t="s">
        <v>275</v>
      </c>
      <c r="H61" s="10"/>
      <c r="I61" s="10">
        <v>27865</v>
      </c>
      <c r="J61" s="10">
        <v>41645</v>
      </c>
    </row>
    <row r="62" spans="1:10">
      <c r="A62" t="s">
        <v>276</v>
      </c>
      <c r="B62" s="26" t="s">
        <v>277</v>
      </c>
      <c r="C62" s="20">
        <v>6454</v>
      </c>
      <c r="D62" t="s">
        <v>1004</v>
      </c>
      <c r="F62" s="10" t="s">
        <v>276</v>
      </c>
      <c r="G62" s="10" t="s">
        <v>277</v>
      </c>
      <c r="H62" s="10"/>
      <c r="I62" s="10">
        <v>6360</v>
      </c>
      <c r="J62" s="10">
        <v>8714</v>
      </c>
    </row>
    <row r="63" spans="1:10">
      <c r="A63" t="s">
        <v>278</v>
      </c>
      <c r="B63" s="26" t="s">
        <v>279</v>
      </c>
      <c r="C63" s="20">
        <v>11048</v>
      </c>
      <c r="D63" t="s">
        <v>1004</v>
      </c>
      <c r="F63" s="10" t="s">
        <v>278</v>
      </c>
      <c r="G63" s="10" t="s">
        <v>279</v>
      </c>
      <c r="H63" s="10"/>
      <c r="I63" s="10">
        <v>11312</v>
      </c>
      <c r="J63" s="10">
        <v>16685</v>
      </c>
    </row>
    <row r="64" spans="1:10">
      <c r="A64" t="s">
        <v>280</v>
      </c>
      <c r="B64" s="26" t="s">
        <v>281</v>
      </c>
      <c r="C64" s="20">
        <v>7478</v>
      </c>
      <c r="D64" t="s">
        <v>1004</v>
      </c>
      <c r="F64" s="10" t="s">
        <v>280</v>
      </c>
      <c r="G64" s="10" t="s">
        <v>281</v>
      </c>
      <c r="H64" s="10"/>
      <c r="I64" s="10">
        <v>7531</v>
      </c>
      <c r="J64" s="10">
        <v>10700</v>
      </c>
    </row>
    <row r="65" spans="1:10">
      <c r="A65" t="s">
        <v>282</v>
      </c>
      <c r="B65" s="26" t="s">
        <v>283</v>
      </c>
      <c r="C65" s="20">
        <v>5424</v>
      </c>
      <c r="D65" t="s">
        <v>1004</v>
      </c>
      <c r="F65" s="10" t="s">
        <v>282</v>
      </c>
      <c r="G65" s="10" t="s">
        <v>283</v>
      </c>
      <c r="H65" s="10"/>
      <c r="I65" s="10">
        <v>5455</v>
      </c>
      <c r="J65" s="10">
        <v>4033</v>
      </c>
    </row>
    <row r="66" spans="1:10">
      <c r="A66" t="s">
        <v>284</v>
      </c>
      <c r="B66" s="26" t="s">
        <v>285</v>
      </c>
      <c r="C66" s="20">
        <v>4452</v>
      </c>
      <c r="D66" t="s">
        <v>1004</v>
      </c>
      <c r="F66" s="10" t="s">
        <v>284</v>
      </c>
      <c r="G66" s="10" t="s">
        <v>285</v>
      </c>
      <c r="H66" s="10"/>
      <c r="I66" s="10">
        <v>4303</v>
      </c>
      <c r="J66" s="10">
        <v>7048</v>
      </c>
    </row>
    <row r="67" spans="1:10">
      <c r="A67" t="s">
        <v>286</v>
      </c>
      <c r="B67" s="26" t="s">
        <v>287</v>
      </c>
      <c r="C67" s="20">
        <v>3903</v>
      </c>
      <c r="D67" t="s">
        <v>1004</v>
      </c>
      <c r="F67" s="10" t="s">
        <v>286</v>
      </c>
      <c r="G67" s="10" t="s">
        <v>287</v>
      </c>
      <c r="H67" s="10"/>
      <c r="I67" s="10">
        <v>3964</v>
      </c>
      <c r="J67" s="10">
        <v>4371</v>
      </c>
    </row>
    <row r="68" spans="1:10">
      <c r="A68" t="s">
        <v>288</v>
      </c>
      <c r="B68" s="26" t="s">
        <v>289</v>
      </c>
      <c r="C68" s="20">
        <v>5966</v>
      </c>
      <c r="D68" t="s">
        <v>1004</v>
      </c>
      <c r="F68" s="10" t="s">
        <v>288</v>
      </c>
      <c r="G68" s="10" t="s">
        <v>289</v>
      </c>
      <c r="H68" s="10"/>
      <c r="I68" s="10">
        <v>5983</v>
      </c>
      <c r="J68" s="10">
        <v>12168</v>
      </c>
    </row>
    <row r="69" spans="1:10">
      <c r="A69" t="s">
        <v>290</v>
      </c>
      <c r="B69" s="26" t="s">
        <v>291</v>
      </c>
      <c r="C69" s="20">
        <v>4223</v>
      </c>
      <c r="D69" t="s">
        <v>1004</v>
      </c>
      <c r="F69" s="10" t="s">
        <v>290</v>
      </c>
      <c r="G69" s="10" t="s">
        <v>291</v>
      </c>
      <c r="H69" s="10"/>
      <c r="I69" s="10">
        <v>4264</v>
      </c>
      <c r="J69" s="10">
        <v>5140</v>
      </c>
    </row>
    <row r="70" spans="1:10">
      <c r="A70" t="s">
        <v>292</v>
      </c>
      <c r="B70" s="21" t="s">
        <v>293</v>
      </c>
      <c r="C70" s="20">
        <v>88262</v>
      </c>
      <c r="D70" t="s">
        <v>1006</v>
      </c>
      <c r="F70" s="10" t="s">
        <v>292</v>
      </c>
      <c r="G70" s="10" t="s">
        <v>293</v>
      </c>
      <c r="H70" s="10"/>
      <c r="I70" s="10">
        <v>88133</v>
      </c>
      <c r="J70" s="10">
        <v>141825</v>
      </c>
    </row>
    <row r="71" spans="1:10">
      <c r="A71" t="s">
        <v>294</v>
      </c>
      <c r="B71" s="21" t="s">
        <v>295</v>
      </c>
      <c r="C71" s="20">
        <v>20810</v>
      </c>
      <c r="D71" t="s">
        <v>1006</v>
      </c>
      <c r="F71" s="10" t="s">
        <v>294</v>
      </c>
      <c r="G71" s="10" t="s">
        <v>295</v>
      </c>
      <c r="H71" s="10"/>
      <c r="I71" s="10">
        <v>21845</v>
      </c>
      <c r="J71" s="10">
        <v>35610</v>
      </c>
    </row>
    <row r="72" spans="1:10">
      <c r="A72" t="s">
        <v>296</v>
      </c>
      <c r="B72" s="10" t="s">
        <v>297</v>
      </c>
      <c r="C72" s="20">
        <v>6183</v>
      </c>
      <c r="D72" t="s">
        <v>1007</v>
      </c>
      <c r="F72" s="10" t="s">
        <v>296</v>
      </c>
      <c r="G72" s="10" t="s">
        <v>297</v>
      </c>
      <c r="H72" s="10"/>
      <c r="I72" s="10">
        <v>6129</v>
      </c>
      <c r="J72" s="10">
        <v>7624</v>
      </c>
    </row>
    <row r="73" spans="1:10">
      <c r="A73" t="s">
        <v>298</v>
      </c>
      <c r="B73" s="10" t="s">
        <v>299</v>
      </c>
      <c r="C73" s="20">
        <v>5743</v>
      </c>
      <c r="D73" t="s">
        <v>1007</v>
      </c>
      <c r="F73" s="10" t="s">
        <v>298</v>
      </c>
      <c r="G73" s="10" t="s">
        <v>299</v>
      </c>
      <c r="H73" s="10"/>
      <c r="I73" s="10">
        <v>5809</v>
      </c>
      <c r="J73" s="10">
        <v>2872</v>
      </c>
    </row>
    <row r="74" spans="1:10">
      <c r="A74" t="s">
        <v>300</v>
      </c>
      <c r="B74" s="10" t="s">
        <v>301</v>
      </c>
      <c r="C74" s="20">
        <v>25691</v>
      </c>
      <c r="D74" t="s">
        <v>1007</v>
      </c>
      <c r="F74" s="10" t="s">
        <v>300</v>
      </c>
      <c r="G74" s="10" t="s">
        <v>301</v>
      </c>
      <c r="H74" s="10"/>
      <c r="I74" s="10">
        <v>25850</v>
      </c>
      <c r="J74" s="10">
        <v>33518</v>
      </c>
    </row>
    <row r="75" spans="1:10">
      <c r="A75" t="s">
        <v>302</v>
      </c>
      <c r="B75" s="10" t="s">
        <v>303</v>
      </c>
      <c r="C75" s="20">
        <v>10560</v>
      </c>
      <c r="D75" t="s">
        <v>1007</v>
      </c>
      <c r="F75" s="10" t="s">
        <v>302</v>
      </c>
      <c r="G75" s="10" t="s">
        <v>1202</v>
      </c>
      <c r="H75" s="10"/>
      <c r="I75" s="10">
        <v>10724</v>
      </c>
      <c r="J75" s="10">
        <v>16662</v>
      </c>
    </row>
    <row r="76" spans="1:10">
      <c r="A76" t="s">
        <v>304</v>
      </c>
      <c r="B76" s="10" t="s">
        <v>305</v>
      </c>
      <c r="C76" s="20">
        <v>19585</v>
      </c>
      <c r="D76" t="s">
        <v>1007</v>
      </c>
      <c r="F76" s="10" t="s">
        <v>304</v>
      </c>
      <c r="G76" s="10" t="s">
        <v>305</v>
      </c>
      <c r="H76" s="10"/>
      <c r="I76" s="10">
        <v>19716</v>
      </c>
      <c r="J76" s="10">
        <v>33570</v>
      </c>
    </row>
    <row r="77" spans="1:10">
      <c r="A77" t="s">
        <v>306</v>
      </c>
      <c r="B77" s="10" t="s">
        <v>307</v>
      </c>
      <c r="C77" s="20">
        <v>18298</v>
      </c>
      <c r="D77" t="s">
        <v>1007</v>
      </c>
      <c r="F77" s="10" t="s">
        <v>306</v>
      </c>
      <c r="G77" s="10" t="s">
        <v>307</v>
      </c>
      <c r="H77" s="10"/>
      <c r="I77" s="10">
        <v>18112</v>
      </c>
      <c r="J77" s="10">
        <v>14104</v>
      </c>
    </row>
    <row r="78" spans="1:10">
      <c r="A78" t="s">
        <v>308</v>
      </c>
      <c r="B78" s="21" t="s">
        <v>309</v>
      </c>
      <c r="C78" s="20">
        <v>17948</v>
      </c>
      <c r="D78" t="s">
        <v>1006</v>
      </c>
      <c r="F78" s="10" t="s">
        <v>308</v>
      </c>
      <c r="G78" s="10" t="s">
        <v>309</v>
      </c>
      <c r="H78" s="10"/>
      <c r="I78" s="10">
        <v>18240</v>
      </c>
      <c r="J78" s="10">
        <v>19233</v>
      </c>
    </row>
    <row r="79" spans="1:10">
      <c r="A79" t="s">
        <v>310</v>
      </c>
      <c r="B79" s="10" t="s">
        <v>311</v>
      </c>
      <c r="C79" s="20">
        <v>14034</v>
      </c>
      <c r="D79" t="s">
        <v>1007</v>
      </c>
      <c r="F79" s="10" t="s">
        <v>310</v>
      </c>
      <c r="G79" s="10" t="s">
        <v>311</v>
      </c>
      <c r="H79" s="10"/>
      <c r="I79" s="10">
        <v>13832</v>
      </c>
      <c r="J79" s="10">
        <v>13849</v>
      </c>
    </row>
    <row r="80" spans="1:10">
      <c r="A80" t="s">
        <v>312</v>
      </c>
      <c r="B80" t="s">
        <v>313</v>
      </c>
      <c r="C80" s="20">
        <v>7884</v>
      </c>
      <c r="F80" t="s">
        <v>312</v>
      </c>
      <c r="G80" t="s">
        <v>313</v>
      </c>
      <c r="I80">
        <v>7581</v>
      </c>
      <c r="J80">
        <v>9412</v>
      </c>
    </row>
    <row r="81" spans="1:10">
      <c r="A81" t="s">
        <v>314</v>
      </c>
      <c r="B81" t="s">
        <v>315</v>
      </c>
      <c r="C81" s="20">
        <v>13425</v>
      </c>
      <c r="F81" t="s">
        <v>314</v>
      </c>
      <c r="G81" t="s">
        <v>315</v>
      </c>
      <c r="I81">
        <v>13700</v>
      </c>
      <c r="J81">
        <v>12191</v>
      </c>
    </row>
    <row r="82" spans="1:10">
      <c r="A82" t="s">
        <v>316</v>
      </c>
      <c r="B82" t="s">
        <v>317</v>
      </c>
      <c r="C82" s="20">
        <v>11837</v>
      </c>
      <c r="F82" t="s">
        <v>316</v>
      </c>
      <c r="G82" t="s">
        <v>317</v>
      </c>
      <c r="I82">
        <v>11613</v>
      </c>
      <c r="J82">
        <v>14663</v>
      </c>
    </row>
    <row r="83" spans="1:10">
      <c r="A83" t="s">
        <v>318</v>
      </c>
      <c r="B83" t="s">
        <v>319</v>
      </c>
      <c r="C83" s="20">
        <v>10007</v>
      </c>
      <c r="F83" t="s">
        <v>318</v>
      </c>
      <c r="G83" t="s">
        <v>319</v>
      </c>
      <c r="I83">
        <v>10067</v>
      </c>
      <c r="J83">
        <v>10068</v>
      </c>
    </row>
    <row r="84" spans="1:10">
      <c r="A84" t="s">
        <v>320</v>
      </c>
      <c r="B84" t="s">
        <v>321</v>
      </c>
      <c r="C84" s="20">
        <v>45291</v>
      </c>
      <c r="F84" t="s">
        <v>320</v>
      </c>
      <c r="G84" t="s">
        <v>321</v>
      </c>
      <c r="I84">
        <v>46057</v>
      </c>
      <c r="J84">
        <v>64043</v>
      </c>
    </row>
    <row r="85" spans="1:10">
      <c r="A85" t="s">
        <v>322</v>
      </c>
      <c r="B85" t="s">
        <v>323</v>
      </c>
      <c r="C85" s="20">
        <v>40189</v>
      </c>
      <c r="F85" t="s">
        <v>322</v>
      </c>
      <c r="G85" t="s">
        <v>323</v>
      </c>
      <c r="I85">
        <v>40569</v>
      </c>
      <c r="J85">
        <v>59652</v>
      </c>
    </row>
    <row r="86" spans="1:10">
      <c r="A86" t="s">
        <v>324</v>
      </c>
      <c r="B86" t="s">
        <v>325</v>
      </c>
      <c r="C86" s="20">
        <v>7536</v>
      </c>
      <c r="F86" t="s">
        <v>324</v>
      </c>
      <c r="G86" t="s">
        <v>325</v>
      </c>
      <c r="I86">
        <v>8171</v>
      </c>
      <c r="J86">
        <v>6046</v>
      </c>
    </row>
    <row r="87" spans="1:10">
      <c r="A87" t="s">
        <v>326</v>
      </c>
      <c r="B87" t="s">
        <v>327</v>
      </c>
      <c r="C87" s="20">
        <v>9269</v>
      </c>
      <c r="F87" t="s">
        <v>326</v>
      </c>
      <c r="G87" t="s">
        <v>327</v>
      </c>
      <c r="I87">
        <v>9303</v>
      </c>
      <c r="J87">
        <v>8541</v>
      </c>
    </row>
    <row r="88" spans="1:10">
      <c r="A88" t="s">
        <v>328</v>
      </c>
      <c r="B88" t="s">
        <v>329</v>
      </c>
      <c r="C88" s="20">
        <v>18380</v>
      </c>
      <c r="F88" t="s">
        <v>328</v>
      </c>
      <c r="G88" t="s">
        <v>329</v>
      </c>
      <c r="I88">
        <v>18395</v>
      </c>
      <c r="J88">
        <v>20343</v>
      </c>
    </row>
    <row r="89" spans="1:10">
      <c r="A89" t="s">
        <v>330</v>
      </c>
      <c r="B89" t="s">
        <v>331</v>
      </c>
      <c r="C89" s="20">
        <v>8253</v>
      </c>
      <c r="F89" t="s">
        <v>330</v>
      </c>
      <c r="G89" t="s">
        <v>331</v>
      </c>
      <c r="I89">
        <v>8229</v>
      </c>
      <c r="J89">
        <v>10771</v>
      </c>
    </row>
    <row r="90" spans="1:10">
      <c r="A90" t="s">
        <v>332</v>
      </c>
      <c r="B90" t="s">
        <v>333</v>
      </c>
      <c r="C90" s="20">
        <v>8828</v>
      </c>
      <c r="F90" t="s">
        <v>332</v>
      </c>
      <c r="G90" t="s">
        <v>333</v>
      </c>
      <c r="I90">
        <v>8929</v>
      </c>
      <c r="J90">
        <v>10494</v>
      </c>
    </row>
    <row r="91" spans="1:10">
      <c r="A91" t="s">
        <v>334</v>
      </c>
      <c r="B91" t="s">
        <v>335</v>
      </c>
      <c r="C91" s="20">
        <v>39168</v>
      </c>
      <c r="F91" t="s">
        <v>334</v>
      </c>
      <c r="G91" t="s">
        <v>335</v>
      </c>
      <c r="I91">
        <v>39050</v>
      </c>
      <c r="J91">
        <v>45185</v>
      </c>
    </row>
    <row r="92" spans="1:10">
      <c r="A92" t="s">
        <v>336</v>
      </c>
      <c r="B92" t="s">
        <v>337</v>
      </c>
      <c r="C92" s="20">
        <v>28288</v>
      </c>
      <c r="F92" t="s">
        <v>336</v>
      </c>
      <c r="G92" t="s">
        <v>337</v>
      </c>
      <c r="I92">
        <v>28726</v>
      </c>
      <c r="J92">
        <v>31178</v>
      </c>
    </row>
    <row r="93" spans="1:10">
      <c r="A93" t="s">
        <v>338</v>
      </c>
      <c r="B93" t="s">
        <v>339</v>
      </c>
      <c r="C93" s="20">
        <v>27221</v>
      </c>
      <c r="F93" t="s">
        <v>338</v>
      </c>
      <c r="G93" t="s">
        <v>339</v>
      </c>
      <c r="I93">
        <v>27001</v>
      </c>
      <c r="J93">
        <v>33278</v>
      </c>
    </row>
    <row r="94" spans="1:10">
      <c r="A94" t="s">
        <v>340</v>
      </c>
      <c r="B94" t="s">
        <v>341</v>
      </c>
      <c r="C94" s="20">
        <v>4004</v>
      </c>
      <c r="F94" t="s">
        <v>340</v>
      </c>
      <c r="G94" t="s">
        <v>341</v>
      </c>
      <c r="I94">
        <v>4213</v>
      </c>
      <c r="J94">
        <v>6212</v>
      </c>
    </row>
    <row r="95" spans="1:10">
      <c r="A95" t="s">
        <v>342</v>
      </c>
      <c r="B95" t="s">
        <v>343</v>
      </c>
      <c r="C95" s="20">
        <v>28050</v>
      </c>
      <c r="F95" t="s">
        <v>342</v>
      </c>
      <c r="G95" t="s">
        <v>343</v>
      </c>
      <c r="I95">
        <v>28022</v>
      </c>
      <c r="J95">
        <v>30812</v>
      </c>
    </row>
    <row r="96" spans="1:10">
      <c r="A96" t="s">
        <v>344</v>
      </c>
      <c r="B96" t="s">
        <v>345</v>
      </c>
      <c r="C96" s="20">
        <v>6997</v>
      </c>
      <c r="F96" t="s">
        <v>344</v>
      </c>
      <c r="G96" t="s">
        <v>345</v>
      </c>
      <c r="I96">
        <v>6885</v>
      </c>
      <c r="J96">
        <v>6177</v>
      </c>
    </row>
    <row r="97" spans="1:10">
      <c r="A97" t="s">
        <v>346</v>
      </c>
      <c r="B97" t="s">
        <v>347</v>
      </c>
      <c r="C97" s="20">
        <v>7632</v>
      </c>
      <c r="F97" t="s">
        <v>346</v>
      </c>
      <c r="G97" t="s">
        <v>347</v>
      </c>
      <c r="I97">
        <v>7602</v>
      </c>
      <c r="J97">
        <v>7198</v>
      </c>
    </row>
    <row r="98" spans="1:10">
      <c r="A98" t="s">
        <v>348</v>
      </c>
      <c r="B98" t="s">
        <v>349</v>
      </c>
      <c r="C98" s="20">
        <v>13831</v>
      </c>
      <c r="F98" t="s">
        <v>348</v>
      </c>
      <c r="G98" t="s">
        <v>349</v>
      </c>
      <c r="I98">
        <v>13547</v>
      </c>
      <c r="J98">
        <v>24759</v>
      </c>
    </row>
    <row r="99" spans="1:10">
      <c r="A99" t="s">
        <v>350</v>
      </c>
      <c r="B99" t="s">
        <v>351</v>
      </c>
      <c r="C99" s="20">
        <v>15876</v>
      </c>
      <c r="F99" t="s">
        <v>350</v>
      </c>
      <c r="G99" t="s">
        <v>351</v>
      </c>
      <c r="I99">
        <v>15315</v>
      </c>
      <c r="J99">
        <v>20594</v>
      </c>
    </row>
    <row r="100" spans="1:10">
      <c r="A100" t="s">
        <v>352</v>
      </c>
      <c r="B100" t="s">
        <v>353</v>
      </c>
      <c r="C100" s="20">
        <v>30700</v>
      </c>
      <c r="F100" t="s">
        <v>352</v>
      </c>
      <c r="G100" t="s">
        <v>353</v>
      </c>
      <c r="I100">
        <v>31005</v>
      </c>
      <c r="J100">
        <v>29975</v>
      </c>
    </row>
    <row r="101" spans="1:10">
      <c r="A101" t="s">
        <v>354</v>
      </c>
      <c r="B101" t="s">
        <v>355</v>
      </c>
      <c r="C101" s="20">
        <v>9198</v>
      </c>
      <c r="F101" t="s">
        <v>354</v>
      </c>
      <c r="G101" t="s">
        <v>355</v>
      </c>
      <c r="I101">
        <v>8847</v>
      </c>
      <c r="J101">
        <v>11039</v>
      </c>
    </row>
    <row r="102" spans="1:10">
      <c r="A102" t="s">
        <v>356</v>
      </c>
      <c r="B102" t="s">
        <v>357</v>
      </c>
      <c r="C102" s="20">
        <v>28981</v>
      </c>
      <c r="F102" t="s">
        <v>356</v>
      </c>
      <c r="G102" t="s">
        <v>357</v>
      </c>
      <c r="I102">
        <v>30480</v>
      </c>
      <c r="J102">
        <v>46878</v>
      </c>
    </row>
    <row r="103" spans="1:10">
      <c r="A103" t="s">
        <v>358</v>
      </c>
      <c r="B103" t="s">
        <v>359</v>
      </c>
      <c r="C103" s="20">
        <v>21607</v>
      </c>
      <c r="F103" t="s">
        <v>358</v>
      </c>
      <c r="G103" t="s">
        <v>359</v>
      </c>
      <c r="I103">
        <v>21943</v>
      </c>
      <c r="J103">
        <v>20525</v>
      </c>
    </row>
    <row r="104" spans="1:10">
      <c r="A104" t="s">
        <v>360</v>
      </c>
      <c r="B104" t="s">
        <v>361</v>
      </c>
      <c r="C104" s="20">
        <v>6176</v>
      </c>
      <c r="F104" t="s">
        <v>360</v>
      </c>
      <c r="G104" t="s">
        <v>361</v>
      </c>
      <c r="I104">
        <v>6539</v>
      </c>
      <c r="J104">
        <v>12745</v>
      </c>
    </row>
    <row r="105" spans="1:10">
      <c r="A105" t="s">
        <v>362</v>
      </c>
      <c r="B105" t="s">
        <v>363</v>
      </c>
      <c r="C105" s="20">
        <v>26748</v>
      </c>
      <c r="F105" t="s">
        <v>362</v>
      </c>
      <c r="G105" t="s">
        <v>363</v>
      </c>
      <c r="I105">
        <v>26618</v>
      </c>
      <c r="J105">
        <v>33406</v>
      </c>
    </row>
    <row r="106" spans="1:10">
      <c r="A106" t="s">
        <v>364</v>
      </c>
      <c r="B106" t="s">
        <v>365</v>
      </c>
      <c r="C106" s="20">
        <v>4893</v>
      </c>
      <c r="F106" t="s">
        <v>364</v>
      </c>
      <c r="G106" t="s">
        <v>365</v>
      </c>
      <c r="I106">
        <v>5014</v>
      </c>
      <c r="J106">
        <v>7102</v>
      </c>
    </row>
    <row r="107" spans="1:10">
      <c r="A107" t="s">
        <v>366</v>
      </c>
      <c r="B107" t="s">
        <v>367</v>
      </c>
      <c r="C107" s="20">
        <v>2064</v>
      </c>
      <c r="F107" t="s">
        <v>366</v>
      </c>
      <c r="G107" t="s">
        <v>367</v>
      </c>
      <c r="I107">
        <v>2049</v>
      </c>
      <c r="J107">
        <v>1337</v>
      </c>
    </row>
    <row r="108" spans="1:10">
      <c r="A108" t="s">
        <v>368</v>
      </c>
      <c r="B108" t="s">
        <v>369</v>
      </c>
      <c r="C108" s="20">
        <v>21334</v>
      </c>
      <c r="F108" t="s">
        <v>368</v>
      </c>
      <c r="G108" t="s">
        <v>369</v>
      </c>
      <c r="I108">
        <v>21613</v>
      </c>
      <c r="J108">
        <v>20663</v>
      </c>
    </row>
    <row r="109" spans="1:10">
      <c r="A109" t="s">
        <v>370</v>
      </c>
      <c r="B109" t="s">
        <v>371</v>
      </c>
      <c r="C109" s="20">
        <v>4558</v>
      </c>
      <c r="F109" t="s">
        <v>370</v>
      </c>
      <c r="G109" t="s">
        <v>371</v>
      </c>
      <c r="I109">
        <v>4484</v>
      </c>
      <c r="J109">
        <v>6297</v>
      </c>
    </row>
    <row r="110" spans="1:10">
      <c r="A110" t="s">
        <v>372</v>
      </c>
      <c r="B110" t="s">
        <v>373</v>
      </c>
      <c r="C110" s="20">
        <v>32747</v>
      </c>
      <c r="F110" t="s">
        <v>372</v>
      </c>
      <c r="G110" t="s">
        <v>373</v>
      </c>
      <c r="I110">
        <v>33042</v>
      </c>
      <c r="J110">
        <v>44005</v>
      </c>
    </row>
    <row r="111" spans="1:10">
      <c r="A111" t="s">
        <v>374</v>
      </c>
      <c r="B111" t="s">
        <v>375</v>
      </c>
      <c r="C111" s="20">
        <v>6678</v>
      </c>
      <c r="F111" t="s">
        <v>374</v>
      </c>
      <c r="G111" t="s">
        <v>375</v>
      </c>
      <c r="I111">
        <v>6467</v>
      </c>
      <c r="J111">
        <v>9057</v>
      </c>
    </row>
    <row r="112" spans="1:10">
      <c r="A112" t="s">
        <v>376</v>
      </c>
      <c r="B112" t="s">
        <v>377</v>
      </c>
      <c r="C112" s="20">
        <v>6497</v>
      </c>
      <c r="F112" t="s">
        <v>376</v>
      </c>
      <c r="G112" t="s">
        <v>377</v>
      </c>
      <c r="I112">
        <v>6370</v>
      </c>
      <c r="J112">
        <v>6952</v>
      </c>
    </row>
    <row r="113" spans="1:10">
      <c r="A113" t="s">
        <v>378</v>
      </c>
      <c r="B113" t="s">
        <v>379</v>
      </c>
      <c r="C113" s="20">
        <v>8423</v>
      </c>
      <c r="F113" t="s">
        <v>378</v>
      </c>
      <c r="G113" t="s">
        <v>379</v>
      </c>
      <c r="I113">
        <v>8470</v>
      </c>
      <c r="J113">
        <v>9061</v>
      </c>
    </row>
    <row r="114" spans="1:10">
      <c r="A114" t="s">
        <v>380</v>
      </c>
      <c r="B114" t="s">
        <v>381</v>
      </c>
      <c r="C114" s="20">
        <v>8202</v>
      </c>
      <c r="F114" t="s">
        <v>380</v>
      </c>
      <c r="G114" t="s">
        <v>381</v>
      </c>
      <c r="I114">
        <v>7999</v>
      </c>
      <c r="J114">
        <v>8662</v>
      </c>
    </row>
    <row r="115" spans="1:10">
      <c r="A115" t="s">
        <v>382</v>
      </c>
      <c r="B115" t="s">
        <v>383</v>
      </c>
      <c r="C115" s="20">
        <v>9125</v>
      </c>
      <c r="F115" t="s">
        <v>382</v>
      </c>
      <c r="G115" t="s">
        <v>383</v>
      </c>
      <c r="I115">
        <v>8597</v>
      </c>
      <c r="J115">
        <v>9607</v>
      </c>
    </row>
    <row r="116" spans="1:10">
      <c r="A116" t="s">
        <v>384</v>
      </c>
      <c r="B116" t="s">
        <v>385</v>
      </c>
      <c r="C116" s="20">
        <v>15140</v>
      </c>
      <c r="F116" t="s">
        <v>384</v>
      </c>
      <c r="G116" t="s">
        <v>385</v>
      </c>
      <c r="I116">
        <v>15383</v>
      </c>
      <c r="J116">
        <v>10421</v>
      </c>
    </row>
    <row r="117" spans="1:10">
      <c r="A117" t="s">
        <v>386</v>
      </c>
      <c r="B117" t="s">
        <v>387</v>
      </c>
      <c r="C117" s="20">
        <v>3683</v>
      </c>
      <c r="F117" t="s">
        <v>386</v>
      </c>
      <c r="G117" t="s">
        <v>387</v>
      </c>
      <c r="I117">
        <v>3581</v>
      </c>
      <c r="J117">
        <v>4043</v>
      </c>
    </row>
    <row r="118" spans="1:10">
      <c r="A118" t="s">
        <v>388</v>
      </c>
      <c r="B118" t="s">
        <v>389</v>
      </c>
      <c r="C118" s="20">
        <v>4321</v>
      </c>
      <c r="F118" t="s">
        <v>388</v>
      </c>
      <c r="G118" t="s">
        <v>389</v>
      </c>
      <c r="I118">
        <v>4509</v>
      </c>
      <c r="J118">
        <v>4572</v>
      </c>
    </row>
    <row r="119" spans="1:10">
      <c r="A119" t="s">
        <v>390</v>
      </c>
      <c r="B119" t="s">
        <v>391</v>
      </c>
      <c r="C119" s="20">
        <v>27555</v>
      </c>
      <c r="F119" t="s">
        <v>390</v>
      </c>
      <c r="G119" t="s">
        <v>391</v>
      </c>
      <c r="I119">
        <v>27608</v>
      </c>
      <c r="J119">
        <v>29138</v>
      </c>
    </row>
    <row r="120" spans="1:10">
      <c r="A120" t="s">
        <v>392</v>
      </c>
      <c r="B120" t="s">
        <v>393</v>
      </c>
      <c r="C120" s="20">
        <v>10106</v>
      </c>
      <c r="F120" t="s">
        <v>392</v>
      </c>
      <c r="G120" t="s">
        <v>393</v>
      </c>
      <c r="I120">
        <v>9711</v>
      </c>
      <c r="J120">
        <v>8379</v>
      </c>
    </row>
    <row r="121" spans="1:10">
      <c r="A121" t="s">
        <v>394</v>
      </c>
      <c r="B121" t="s">
        <v>395</v>
      </c>
      <c r="C121" s="20">
        <v>16822</v>
      </c>
      <c r="F121" t="s">
        <v>394</v>
      </c>
      <c r="G121" t="s">
        <v>1203</v>
      </c>
      <c r="I121">
        <v>16722</v>
      </c>
      <c r="J121">
        <v>17042</v>
      </c>
    </row>
    <row r="122" spans="1:10">
      <c r="A122" t="s">
        <v>396</v>
      </c>
      <c r="B122" t="s">
        <v>397</v>
      </c>
      <c r="C122" s="20">
        <v>27754</v>
      </c>
      <c r="F122" t="s">
        <v>396</v>
      </c>
      <c r="G122" t="s">
        <v>397</v>
      </c>
      <c r="I122">
        <v>28327</v>
      </c>
      <c r="J122">
        <v>46139</v>
      </c>
    </row>
    <row r="123" spans="1:10">
      <c r="A123" t="s">
        <v>398</v>
      </c>
      <c r="B123" t="s">
        <v>399</v>
      </c>
      <c r="C123" s="20">
        <v>3250</v>
      </c>
      <c r="F123" t="s">
        <v>398</v>
      </c>
      <c r="G123" t="s">
        <v>399</v>
      </c>
      <c r="I123">
        <v>3162</v>
      </c>
      <c r="J123">
        <v>4344</v>
      </c>
    </row>
    <row r="124" spans="1:10">
      <c r="A124" t="s">
        <v>400</v>
      </c>
      <c r="B124" t="s">
        <v>401</v>
      </c>
      <c r="C124" s="20">
        <v>5866</v>
      </c>
      <c r="F124" t="s">
        <v>400</v>
      </c>
      <c r="G124" t="s">
        <v>401</v>
      </c>
      <c r="I124">
        <v>6147</v>
      </c>
      <c r="J124">
        <v>8738</v>
      </c>
    </row>
    <row r="125" spans="1:10">
      <c r="A125" t="s">
        <v>402</v>
      </c>
      <c r="B125" t="s">
        <v>403</v>
      </c>
      <c r="C125" s="20">
        <v>2845</v>
      </c>
      <c r="F125" t="s">
        <v>402</v>
      </c>
      <c r="G125" t="s">
        <v>403</v>
      </c>
      <c r="I125">
        <v>2828</v>
      </c>
      <c r="J125">
        <v>2816</v>
      </c>
    </row>
    <row r="126" spans="1:10">
      <c r="A126" t="s">
        <v>404</v>
      </c>
      <c r="B126" t="s">
        <v>405</v>
      </c>
      <c r="C126" s="20">
        <v>22220</v>
      </c>
      <c r="F126" t="s">
        <v>404</v>
      </c>
      <c r="G126" t="s">
        <v>405</v>
      </c>
      <c r="I126">
        <v>23118</v>
      </c>
      <c r="J126">
        <v>26779</v>
      </c>
    </row>
    <row r="127" spans="1:10">
      <c r="A127" t="s">
        <v>406</v>
      </c>
      <c r="B127" t="s">
        <v>407</v>
      </c>
      <c r="C127" s="20">
        <v>11611</v>
      </c>
      <c r="F127" t="s">
        <v>406</v>
      </c>
      <c r="G127" t="s">
        <v>407</v>
      </c>
      <c r="I127">
        <v>11303</v>
      </c>
      <c r="J127">
        <v>12241</v>
      </c>
    </row>
    <row r="128" spans="1:10">
      <c r="A128" t="s">
        <v>408</v>
      </c>
      <c r="B128" t="s">
        <v>409</v>
      </c>
      <c r="C128" s="20">
        <v>12846</v>
      </c>
      <c r="F128" t="s">
        <v>408</v>
      </c>
      <c r="G128" t="s">
        <v>409</v>
      </c>
      <c r="I128">
        <v>13919</v>
      </c>
      <c r="J128">
        <v>24136</v>
      </c>
    </row>
    <row r="129" spans="1:10">
      <c r="A129" t="s">
        <v>410</v>
      </c>
      <c r="B129" t="s">
        <v>411</v>
      </c>
      <c r="C129" s="20">
        <v>8291</v>
      </c>
      <c r="F129" t="s">
        <v>410</v>
      </c>
      <c r="G129" t="s">
        <v>411</v>
      </c>
      <c r="I129">
        <v>8112</v>
      </c>
      <c r="J129">
        <v>6301</v>
      </c>
    </row>
    <row r="130" spans="1:10">
      <c r="A130" t="s">
        <v>412</v>
      </c>
      <c r="B130" t="s">
        <v>413</v>
      </c>
      <c r="C130" s="20">
        <v>10778</v>
      </c>
      <c r="F130" t="s">
        <v>412</v>
      </c>
      <c r="G130" t="s">
        <v>413</v>
      </c>
      <c r="I130">
        <v>9851</v>
      </c>
      <c r="J130">
        <v>12906</v>
      </c>
    </row>
    <row r="131" spans="1:10">
      <c r="A131" t="s">
        <v>414</v>
      </c>
      <c r="B131" t="s">
        <v>415</v>
      </c>
      <c r="C131" s="20">
        <v>11850</v>
      </c>
      <c r="F131" t="s">
        <v>414</v>
      </c>
      <c r="G131" t="s">
        <v>415</v>
      </c>
      <c r="I131">
        <v>11888</v>
      </c>
      <c r="J131">
        <v>6219</v>
      </c>
    </row>
    <row r="132" spans="1:10">
      <c r="A132" t="s">
        <v>416</v>
      </c>
      <c r="B132" t="s">
        <v>417</v>
      </c>
      <c r="C132" s="20">
        <v>33887</v>
      </c>
      <c r="F132" t="s">
        <v>416</v>
      </c>
      <c r="G132" t="s">
        <v>417</v>
      </c>
      <c r="I132">
        <v>33937</v>
      </c>
      <c r="J132">
        <v>34643</v>
      </c>
    </row>
    <row r="133" spans="1:10">
      <c r="A133" t="s">
        <v>418</v>
      </c>
      <c r="B133" t="s">
        <v>419</v>
      </c>
      <c r="C133" s="20">
        <v>6694</v>
      </c>
      <c r="F133" t="s">
        <v>418</v>
      </c>
      <c r="G133" t="s">
        <v>419</v>
      </c>
      <c r="I133">
        <v>6635</v>
      </c>
      <c r="J133">
        <v>5373</v>
      </c>
    </row>
    <row r="134" spans="1:10">
      <c r="A134" t="s">
        <v>420</v>
      </c>
      <c r="B134" t="s">
        <v>421</v>
      </c>
      <c r="C134" s="20">
        <v>57088</v>
      </c>
      <c r="F134" t="s">
        <v>420</v>
      </c>
      <c r="G134" t="s">
        <v>421</v>
      </c>
      <c r="I134">
        <v>61144</v>
      </c>
      <c r="J134">
        <v>78252</v>
      </c>
    </row>
    <row r="135" spans="1:10">
      <c r="A135" t="s">
        <v>422</v>
      </c>
      <c r="B135" t="s">
        <v>423</v>
      </c>
      <c r="C135" s="20">
        <v>20663</v>
      </c>
      <c r="F135" t="s">
        <v>422</v>
      </c>
      <c r="G135" t="s">
        <v>423</v>
      </c>
      <c r="I135">
        <v>19257</v>
      </c>
      <c r="J135">
        <v>27935</v>
      </c>
    </row>
    <row r="136" spans="1:10">
      <c r="A136" t="s">
        <v>424</v>
      </c>
      <c r="B136" t="s">
        <v>425</v>
      </c>
      <c r="C136" s="20">
        <v>32586</v>
      </c>
      <c r="F136" t="s">
        <v>424</v>
      </c>
      <c r="G136" t="s">
        <v>425</v>
      </c>
      <c r="I136">
        <v>31426</v>
      </c>
      <c r="J136">
        <v>37499</v>
      </c>
    </row>
    <row r="137" spans="1:10">
      <c r="A137" t="s">
        <v>426</v>
      </c>
      <c r="B137" t="s">
        <v>427</v>
      </c>
      <c r="C137" s="20">
        <v>28912</v>
      </c>
      <c r="F137" t="s">
        <v>426</v>
      </c>
      <c r="G137" t="s">
        <v>427</v>
      </c>
      <c r="I137">
        <v>28956</v>
      </c>
      <c r="J137">
        <v>39880</v>
      </c>
    </row>
    <row r="138" spans="1:10">
      <c r="A138" t="s">
        <v>428</v>
      </c>
      <c r="B138" t="s">
        <v>429</v>
      </c>
      <c r="C138" s="20">
        <v>47917</v>
      </c>
      <c r="F138" t="s">
        <v>428</v>
      </c>
      <c r="G138" t="s">
        <v>429</v>
      </c>
      <c r="I138">
        <v>46564</v>
      </c>
      <c r="J138">
        <v>58930</v>
      </c>
    </row>
    <row r="139" spans="1:10">
      <c r="A139" t="s">
        <v>430</v>
      </c>
      <c r="B139" t="s">
        <v>431</v>
      </c>
      <c r="C139" s="20">
        <v>2618</v>
      </c>
      <c r="F139" t="s">
        <v>430</v>
      </c>
      <c r="G139" t="s">
        <v>431</v>
      </c>
      <c r="I139">
        <v>2946</v>
      </c>
      <c r="J139">
        <v>2474</v>
      </c>
    </row>
    <row r="140" spans="1:10">
      <c r="A140" t="s">
        <v>432</v>
      </c>
      <c r="B140" t="s">
        <v>433</v>
      </c>
      <c r="C140" s="20">
        <v>11888</v>
      </c>
      <c r="F140" t="s">
        <v>432</v>
      </c>
      <c r="G140" t="s">
        <v>433</v>
      </c>
      <c r="I140">
        <v>11578</v>
      </c>
      <c r="J140">
        <v>13534</v>
      </c>
    </row>
    <row r="141" spans="1:10">
      <c r="A141" t="s">
        <v>434</v>
      </c>
      <c r="B141" t="s">
        <v>435</v>
      </c>
      <c r="C141" s="20">
        <v>5417</v>
      </c>
      <c r="F141" t="s">
        <v>434</v>
      </c>
      <c r="G141" t="s">
        <v>435</v>
      </c>
      <c r="I141">
        <v>5761</v>
      </c>
      <c r="J141">
        <v>4601</v>
      </c>
    </row>
    <row r="142" spans="1:10">
      <c r="A142" t="s">
        <v>436</v>
      </c>
      <c r="B142" t="s">
        <v>437</v>
      </c>
      <c r="C142" s="20">
        <v>11523</v>
      </c>
      <c r="F142" t="s">
        <v>436</v>
      </c>
      <c r="G142" t="s">
        <v>437</v>
      </c>
      <c r="I142">
        <v>11349</v>
      </c>
      <c r="J142">
        <v>12476</v>
      </c>
    </row>
    <row r="143" spans="1:10">
      <c r="A143" t="s">
        <v>438</v>
      </c>
      <c r="B143" t="s">
        <v>439</v>
      </c>
      <c r="C143" s="20">
        <v>17491</v>
      </c>
      <c r="F143" t="s">
        <v>438</v>
      </c>
      <c r="G143" t="s">
        <v>439</v>
      </c>
      <c r="I143">
        <v>17220</v>
      </c>
      <c r="J143">
        <v>18971</v>
      </c>
    </row>
    <row r="144" spans="1:10">
      <c r="A144" t="s">
        <v>440</v>
      </c>
      <c r="B144" t="s">
        <v>441</v>
      </c>
      <c r="C144" s="20">
        <v>10002</v>
      </c>
      <c r="F144" t="s">
        <v>440</v>
      </c>
      <c r="G144" t="s">
        <v>441</v>
      </c>
      <c r="I144">
        <v>10494</v>
      </c>
      <c r="J144">
        <v>7939</v>
      </c>
    </row>
    <row r="145" spans="1:10">
      <c r="A145" t="s">
        <v>442</v>
      </c>
      <c r="B145" t="s">
        <v>443</v>
      </c>
      <c r="C145" s="20">
        <v>12072</v>
      </c>
      <c r="F145" t="s">
        <v>442</v>
      </c>
      <c r="G145" t="s">
        <v>443</v>
      </c>
      <c r="I145">
        <v>11101</v>
      </c>
      <c r="J145">
        <v>14283</v>
      </c>
    </row>
    <row r="146" spans="1:10">
      <c r="A146" t="s">
        <v>444</v>
      </c>
      <c r="B146" t="s">
        <v>445</v>
      </c>
      <c r="C146" s="20">
        <v>2914</v>
      </c>
      <c r="F146" t="s">
        <v>444</v>
      </c>
      <c r="G146" t="s">
        <v>445</v>
      </c>
      <c r="I146">
        <v>2913</v>
      </c>
      <c r="J146">
        <v>5629</v>
      </c>
    </row>
    <row r="147" spans="1:10">
      <c r="A147" t="s">
        <v>446</v>
      </c>
      <c r="B147" t="s">
        <v>447</v>
      </c>
      <c r="C147" s="20">
        <v>2916</v>
      </c>
      <c r="F147" t="s">
        <v>446</v>
      </c>
      <c r="G147" t="s">
        <v>447</v>
      </c>
      <c r="I147">
        <v>2403</v>
      </c>
      <c r="J147">
        <v>1983</v>
      </c>
    </row>
    <row r="148" spans="1:10">
      <c r="A148" t="s">
        <v>448</v>
      </c>
      <c r="B148" t="s">
        <v>449</v>
      </c>
      <c r="C148" s="20">
        <v>1052</v>
      </c>
      <c r="F148" t="s">
        <v>448</v>
      </c>
      <c r="G148" t="s">
        <v>449</v>
      </c>
      <c r="I148">
        <v>1067</v>
      </c>
      <c r="J148">
        <v>1002</v>
      </c>
    </row>
    <row r="149" spans="1:10">
      <c r="A149" t="s">
        <v>450</v>
      </c>
      <c r="B149" t="s">
        <v>451</v>
      </c>
      <c r="C149" s="20">
        <v>11324</v>
      </c>
      <c r="F149" t="s">
        <v>450</v>
      </c>
      <c r="G149" t="s">
        <v>451</v>
      </c>
      <c r="I149">
        <v>11042</v>
      </c>
      <c r="J149">
        <v>14122</v>
      </c>
    </row>
    <row r="150" spans="1:10">
      <c r="A150" t="s">
        <v>452</v>
      </c>
      <c r="B150" t="s">
        <v>453</v>
      </c>
      <c r="C150" s="20">
        <v>3539</v>
      </c>
      <c r="F150" t="s">
        <v>452</v>
      </c>
      <c r="G150" t="s">
        <v>453</v>
      </c>
      <c r="I150">
        <v>3542</v>
      </c>
      <c r="J150">
        <v>3734</v>
      </c>
    </row>
    <row r="151" spans="1:10">
      <c r="A151" t="s">
        <v>454</v>
      </c>
      <c r="B151" t="s">
        <v>455</v>
      </c>
      <c r="C151" s="20">
        <v>4775</v>
      </c>
      <c r="F151" t="s">
        <v>454</v>
      </c>
      <c r="G151" t="s">
        <v>1204</v>
      </c>
      <c r="I151">
        <v>17376</v>
      </c>
      <c r="J151">
        <v>24529</v>
      </c>
    </row>
    <row r="152" spans="1:10">
      <c r="A152" t="s">
        <v>456</v>
      </c>
      <c r="B152" t="s">
        <v>457</v>
      </c>
      <c r="C152" s="20">
        <v>3881</v>
      </c>
      <c r="F152" t="s">
        <v>456</v>
      </c>
      <c r="G152" t="s">
        <v>463</v>
      </c>
      <c r="I152">
        <v>5333</v>
      </c>
      <c r="J152">
        <v>8044</v>
      </c>
    </row>
    <row r="153" spans="1:10">
      <c r="A153" t="s">
        <v>458</v>
      </c>
      <c r="B153" t="s">
        <v>459</v>
      </c>
      <c r="C153" s="20">
        <v>3862</v>
      </c>
      <c r="F153" t="s">
        <v>458</v>
      </c>
      <c r="G153" t="s">
        <v>465</v>
      </c>
      <c r="I153">
        <v>10912</v>
      </c>
      <c r="J153">
        <v>15162</v>
      </c>
    </row>
    <row r="154" spans="1:10">
      <c r="A154" t="s">
        <v>460</v>
      </c>
      <c r="B154" t="s">
        <v>461</v>
      </c>
      <c r="C154" s="20">
        <v>5125</v>
      </c>
      <c r="F154" t="s">
        <v>460</v>
      </c>
      <c r="G154" t="s">
        <v>467</v>
      </c>
      <c r="I154">
        <v>11666</v>
      </c>
      <c r="J154">
        <v>19904</v>
      </c>
    </row>
    <row r="155" spans="1:10">
      <c r="A155" t="s">
        <v>462</v>
      </c>
      <c r="B155" t="s">
        <v>463</v>
      </c>
      <c r="C155" s="20">
        <v>5491</v>
      </c>
      <c r="F155" t="s">
        <v>462</v>
      </c>
      <c r="G155" t="s">
        <v>469</v>
      </c>
      <c r="I155">
        <v>11097</v>
      </c>
      <c r="J155">
        <v>12575</v>
      </c>
    </row>
    <row r="156" spans="1:10">
      <c r="A156" t="s">
        <v>464</v>
      </c>
      <c r="B156" t="s">
        <v>465</v>
      </c>
      <c r="C156" s="20">
        <v>10506</v>
      </c>
      <c r="F156" t="s">
        <v>464</v>
      </c>
      <c r="G156" t="s">
        <v>471</v>
      </c>
      <c r="I156">
        <v>8323</v>
      </c>
      <c r="J156">
        <v>12051</v>
      </c>
    </row>
    <row r="157" spans="1:10">
      <c r="A157" t="s">
        <v>466</v>
      </c>
      <c r="B157" t="s">
        <v>467</v>
      </c>
      <c r="C157" s="20">
        <v>11675</v>
      </c>
      <c r="F157" t="s">
        <v>466</v>
      </c>
      <c r="G157" t="s">
        <v>473</v>
      </c>
      <c r="I157">
        <v>3613</v>
      </c>
      <c r="J157">
        <v>3921</v>
      </c>
    </row>
    <row r="158" spans="1:10">
      <c r="A158" t="s">
        <v>468</v>
      </c>
      <c r="B158" t="s">
        <v>469</v>
      </c>
      <c r="C158" s="20">
        <v>10352</v>
      </c>
      <c r="F158" t="s">
        <v>468</v>
      </c>
      <c r="G158" t="s">
        <v>475</v>
      </c>
      <c r="I158">
        <v>14519</v>
      </c>
      <c r="J158">
        <v>15353</v>
      </c>
    </row>
    <row r="159" spans="1:10">
      <c r="A159" t="s">
        <v>470</v>
      </c>
      <c r="B159" t="s">
        <v>471</v>
      </c>
      <c r="C159" s="20">
        <v>8071</v>
      </c>
      <c r="F159" t="s">
        <v>470</v>
      </c>
      <c r="G159" t="s">
        <v>477</v>
      </c>
      <c r="I159">
        <v>14164</v>
      </c>
      <c r="J159">
        <v>17405</v>
      </c>
    </row>
    <row r="160" spans="1:10">
      <c r="A160" t="s">
        <v>472</v>
      </c>
      <c r="B160" t="s">
        <v>473</v>
      </c>
      <c r="C160" s="20">
        <v>3739</v>
      </c>
      <c r="F160" t="s">
        <v>472</v>
      </c>
      <c r="G160" t="s">
        <v>479</v>
      </c>
      <c r="I160">
        <v>3386</v>
      </c>
      <c r="J160">
        <v>4156</v>
      </c>
    </row>
    <row r="161" spans="1:10">
      <c r="A161" t="s">
        <v>474</v>
      </c>
      <c r="B161" t="s">
        <v>475</v>
      </c>
      <c r="C161" s="20">
        <v>14491</v>
      </c>
      <c r="F161" t="s">
        <v>474</v>
      </c>
      <c r="G161" t="s">
        <v>481</v>
      </c>
      <c r="I161">
        <v>11174</v>
      </c>
      <c r="J161">
        <v>16148</v>
      </c>
    </row>
    <row r="162" spans="1:10">
      <c r="A162" t="s">
        <v>476</v>
      </c>
      <c r="B162" t="s">
        <v>477</v>
      </c>
      <c r="C162" s="20">
        <v>13999</v>
      </c>
      <c r="F162" t="s">
        <v>476</v>
      </c>
      <c r="G162" t="s">
        <v>483</v>
      </c>
      <c r="I162">
        <v>57127</v>
      </c>
      <c r="J162">
        <v>38025</v>
      </c>
    </row>
    <row r="163" spans="1:10">
      <c r="A163" t="s">
        <v>478</v>
      </c>
      <c r="B163" t="s">
        <v>479</v>
      </c>
      <c r="C163" s="20">
        <v>3310</v>
      </c>
      <c r="F163" t="s">
        <v>478</v>
      </c>
      <c r="G163" t="s">
        <v>485</v>
      </c>
      <c r="I163">
        <v>229645</v>
      </c>
      <c r="J163">
        <v>353946</v>
      </c>
    </row>
    <row r="164" spans="1:10">
      <c r="A164" t="s">
        <v>480</v>
      </c>
      <c r="B164" t="s">
        <v>481</v>
      </c>
      <c r="C164" s="20">
        <v>10808</v>
      </c>
      <c r="F164" t="s">
        <v>480</v>
      </c>
      <c r="G164" t="s">
        <v>487</v>
      </c>
      <c r="I164">
        <v>34750</v>
      </c>
      <c r="J164">
        <v>32781</v>
      </c>
    </row>
    <row r="165" spans="1:10">
      <c r="A165" t="s">
        <v>482</v>
      </c>
      <c r="B165" t="s">
        <v>483</v>
      </c>
      <c r="C165" s="20">
        <v>67427</v>
      </c>
      <c r="F165" t="s">
        <v>482</v>
      </c>
      <c r="G165" t="s">
        <v>489</v>
      </c>
      <c r="I165">
        <v>14345</v>
      </c>
      <c r="J165">
        <v>20137</v>
      </c>
    </row>
    <row r="166" spans="1:10">
      <c r="A166" t="s">
        <v>484</v>
      </c>
      <c r="B166" t="s">
        <v>485</v>
      </c>
      <c r="C166" s="20">
        <v>267597</v>
      </c>
      <c r="F166" t="s">
        <v>484</v>
      </c>
      <c r="G166" t="s">
        <v>491</v>
      </c>
      <c r="I166">
        <v>10622</v>
      </c>
      <c r="J166">
        <v>15252</v>
      </c>
    </row>
    <row r="167" spans="1:10">
      <c r="A167" t="s">
        <v>486</v>
      </c>
      <c r="B167" t="s">
        <v>487</v>
      </c>
      <c r="C167" s="20">
        <v>35528</v>
      </c>
      <c r="F167" t="s">
        <v>486</v>
      </c>
      <c r="G167" t="s">
        <v>493</v>
      </c>
      <c r="I167">
        <v>4292</v>
      </c>
      <c r="J167">
        <v>7578</v>
      </c>
    </row>
    <row r="168" spans="1:10">
      <c r="A168" t="s">
        <v>488</v>
      </c>
      <c r="B168" t="s">
        <v>489</v>
      </c>
      <c r="C168" s="20">
        <v>14072</v>
      </c>
      <c r="F168" t="s">
        <v>488</v>
      </c>
      <c r="G168" t="s">
        <v>495</v>
      </c>
      <c r="I168">
        <v>14393</v>
      </c>
      <c r="J168">
        <v>31892</v>
      </c>
    </row>
    <row r="169" spans="1:10">
      <c r="A169" t="s">
        <v>490</v>
      </c>
      <c r="B169" t="s">
        <v>491</v>
      </c>
      <c r="C169" s="20">
        <v>10276</v>
      </c>
      <c r="F169" t="s">
        <v>490</v>
      </c>
      <c r="G169" t="s">
        <v>497</v>
      </c>
      <c r="I169">
        <v>36381</v>
      </c>
      <c r="J169">
        <v>37442</v>
      </c>
    </row>
    <row r="170" spans="1:10">
      <c r="A170" t="s">
        <v>492</v>
      </c>
      <c r="B170" t="s">
        <v>493</v>
      </c>
      <c r="C170" s="20">
        <v>4256</v>
      </c>
      <c r="F170" t="s">
        <v>492</v>
      </c>
      <c r="G170" t="s">
        <v>499</v>
      </c>
      <c r="I170">
        <v>25394</v>
      </c>
      <c r="J170">
        <v>27952</v>
      </c>
    </row>
    <row r="171" spans="1:10">
      <c r="A171" t="s">
        <v>494</v>
      </c>
      <c r="B171" t="s">
        <v>495</v>
      </c>
      <c r="C171" s="20">
        <v>14299</v>
      </c>
      <c r="F171" t="s">
        <v>494</v>
      </c>
      <c r="G171" t="s">
        <v>501</v>
      </c>
      <c r="I171">
        <v>39024</v>
      </c>
      <c r="J171">
        <v>47675</v>
      </c>
    </row>
    <row r="172" spans="1:10">
      <c r="A172" t="s">
        <v>496</v>
      </c>
      <c r="B172" t="s">
        <v>497</v>
      </c>
      <c r="C172" s="20">
        <v>34899</v>
      </c>
      <c r="F172" t="s">
        <v>496</v>
      </c>
      <c r="G172" t="s">
        <v>503</v>
      </c>
      <c r="I172">
        <v>32160</v>
      </c>
      <c r="J172">
        <v>29761</v>
      </c>
    </row>
    <row r="173" spans="1:10">
      <c r="A173" t="s">
        <v>498</v>
      </c>
      <c r="B173" t="s">
        <v>499</v>
      </c>
      <c r="C173" s="20">
        <v>25253</v>
      </c>
      <c r="F173" t="s">
        <v>498</v>
      </c>
      <c r="G173" t="s">
        <v>505</v>
      </c>
      <c r="I173">
        <v>37282</v>
      </c>
      <c r="J173">
        <v>40552</v>
      </c>
    </row>
    <row r="174" spans="1:10">
      <c r="A174" t="s">
        <v>500</v>
      </c>
      <c r="B174" t="s">
        <v>501</v>
      </c>
      <c r="C174" s="20">
        <v>38361</v>
      </c>
      <c r="F174" t="s">
        <v>500</v>
      </c>
      <c r="G174" t="s">
        <v>1205</v>
      </c>
      <c r="I174">
        <v>71480</v>
      </c>
      <c r="J174">
        <v>65730</v>
      </c>
    </row>
    <row r="175" spans="1:10">
      <c r="A175" t="s">
        <v>502</v>
      </c>
      <c r="B175" t="s">
        <v>503</v>
      </c>
      <c r="C175" s="20">
        <v>32361</v>
      </c>
      <c r="F175" t="s">
        <v>502</v>
      </c>
      <c r="G175" t="s">
        <v>509</v>
      </c>
      <c r="I175">
        <v>25784</v>
      </c>
      <c r="J175">
        <v>28384</v>
      </c>
    </row>
    <row r="176" spans="1:10">
      <c r="A176" t="s">
        <v>504</v>
      </c>
      <c r="B176" t="s">
        <v>505</v>
      </c>
      <c r="C176" s="20">
        <v>37764</v>
      </c>
      <c r="F176" t="s">
        <v>504</v>
      </c>
      <c r="G176" t="s">
        <v>511</v>
      </c>
      <c r="I176">
        <v>136010</v>
      </c>
      <c r="J176">
        <v>161150</v>
      </c>
    </row>
    <row r="177" spans="1:10">
      <c r="A177" t="s">
        <v>506</v>
      </c>
      <c r="B177" t="s">
        <v>507</v>
      </c>
      <c r="C177" s="20">
        <v>68959</v>
      </c>
      <c r="F177" t="s">
        <v>506</v>
      </c>
      <c r="G177" t="s">
        <v>513</v>
      </c>
      <c r="I177">
        <v>45061</v>
      </c>
      <c r="J177">
        <v>70851</v>
      </c>
    </row>
    <row r="178" spans="1:10">
      <c r="A178" t="s">
        <v>508</v>
      </c>
      <c r="B178" t="s">
        <v>509</v>
      </c>
      <c r="C178" s="20">
        <v>26026</v>
      </c>
      <c r="F178" t="s">
        <v>508</v>
      </c>
      <c r="G178" t="s">
        <v>515</v>
      </c>
      <c r="I178">
        <v>39119</v>
      </c>
      <c r="J178">
        <v>41222</v>
      </c>
    </row>
    <row r="179" spans="1:10">
      <c r="A179" t="s">
        <v>510</v>
      </c>
      <c r="B179" t="s">
        <v>511</v>
      </c>
      <c r="C179" s="20">
        <v>137534</v>
      </c>
      <c r="F179" t="s">
        <v>510</v>
      </c>
      <c r="G179" t="s">
        <v>517</v>
      </c>
      <c r="I179">
        <v>21143</v>
      </c>
      <c r="J179">
        <v>39478</v>
      </c>
    </row>
    <row r="180" spans="1:10">
      <c r="A180" t="s">
        <v>512</v>
      </c>
      <c r="B180" t="s">
        <v>513</v>
      </c>
      <c r="C180" s="20">
        <v>50032</v>
      </c>
      <c r="F180" t="s">
        <v>512</v>
      </c>
      <c r="G180" t="s">
        <v>519</v>
      </c>
      <c r="I180">
        <v>6440</v>
      </c>
      <c r="J180">
        <v>14902</v>
      </c>
    </row>
    <row r="181" spans="1:10">
      <c r="A181" t="s">
        <v>514</v>
      </c>
      <c r="B181" t="s">
        <v>515</v>
      </c>
      <c r="C181" s="20">
        <v>40127</v>
      </c>
      <c r="F181" t="s">
        <v>514</v>
      </c>
      <c r="G181" t="s">
        <v>521</v>
      </c>
      <c r="I181">
        <v>21968</v>
      </c>
      <c r="J181">
        <v>10616</v>
      </c>
    </row>
    <row r="182" spans="1:10">
      <c r="A182" t="s">
        <v>516</v>
      </c>
      <c r="B182" t="s">
        <v>517</v>
      </c>
      <c r="C182" s="20">
        <v>21738</v>
      </c>
      <c r="F182" t="s">
        <v>516</v>
      </c>
      <c r="G182" t="s">
        <v>523</v>
      </c>
      <c r="I182">
        <v>25969</v>
      </c>
      <c r="J182">
        <v>34193</v>
      </c>
    </row>
    <row r="183" spans="1:10">
      <c r="A183" t="s">
        <v>518</v>
      </c>
      <c r="B183" t="s">
        <v>519</v>
      </c>
      <c r="C183" s="20">
        <v>5902</v>
      </c>
      <c r="F183" t="s">
        <v>518</v>
      </c>
      <c r="G183" t="s">
        <v>525</v>
      </c>
      <c r="I183">
        <v>9189</v>
      </c>
      <c r="J183">
        <v>14598</v>
      </c>
    </row>
    <row r="184" spans="1:10">
      <c r="A184" t="s">
        <v>520</v>
      </c>
      <c r="B184" t="s">
        <v>521</v>
      </c>
      <c r="C184" s="20">
        <v>21968</v>
      </c>
      <c r="F184" t="s">
        <v>520</v>
      </c>
      <c r="G184" t="s">
        <v>527</v>
      </c>
      <c r="I184">
        <v>6739</v>
      </c>
      <c r="J184">
        <v>8442</v>
      </c>
    </row>
    <row r="185" spans="1:10">
      <c r="A185" t="s">
        <v>522</v>
      </c>
      <c r="B185" t="s">
        <v>523</v>
      </c>
      <c r="C185" s="20">
        <v>26079</v>
      </c>
      <c r="F185" t="s">
        <v>522</v>
      </c>
      <c r="G185" t="s">
        <v>529</v>
      </c>
      <c r="I185">
        <v>4729</v>
      </c>
      <c r="J185">
        <v>8281</v>
      </c>
    </row>
    <row r="186" spans="1:10">
      <c r="A186" t="s">
        <v>524</v>
      </c>
      <c r="B186" t="s">
        <v>525</v>
      </c>
      <c r="C186" s="20">
        <v>9645</v>
      </c>
      <c r="F186" t="s">
        <v>524</v>
      </c>
      <c r="G186" t="s">
        <v>531</v>
      </c>
      <c r="I186">
        <v>8966</v>
      </c>
      <c r="J186">
        <v>11111</v>
      </c>
    </row>
    <row r="187" spans="1:10">
      <c r="A187" t="s">
        <v>526</v>
      </c>
      <c r="B187" t="s">
        <v>527</v>
      </c>
      <c r="C187" s="20">
        <v>6712</v>
      </c>
      <c r="F187" t="s">
        <v>526</v>
      </c>
      <c r="G187" t="s">
        <v>533</v>
      </c>
      <c r="I187">
        <v>14980</v>
      </c>
      <c r="J187">
        <v>17672</v>
      </c>
    </row>
    <row r="188" spans="1:10">
      <c r="A188" t="s">
        <v>528</v>
      </c>
      <c r="B188" t="s">
        <v>529</v>
      </c>
      <c r="C188" s="20">
        <v>4176</v>
      </c>
      <c r="F188" t="s">
        <v>528</v>
      </c>
      <c r="G188" t="s">
        <v>535</v>
      </c>
      <c r="I188">
        <v>11519</v>
      </c>
      <c r="J188">
        <v>12172</v>
      </c>
    </row>
    <row r="189" spans="1:10">
      <c r="A189" t="s">
        <v>530</v>
      </c>
      <c r="B189" t="s">
        <v>531</v>
      </c>
      <c r="C189" s="20">
        <v>9213</v>
      </c>
      <c r="F189" t="s">
        <v>530</v>
      </c>
      <c r="G189" t="s">
        <v>537</v>
      </c>
      <c r="I189">
        <v>4270</v>
      </c>
      <c r="J189">
        <v>3372</v>
      </c>
    </row>
    <row r="190" spans="1:10">
      <c r="A190" t="s">
        <v>532</v>
      </c>
      <c r="B190" t="s">
        <v>533</v>
      </c>
      <c r="C190" s="20">
        <v>15041</v>
      </c>
      <c r="F190" t="s">
        <v>532</v>
      </c>
      <c r="G190" t="s">
        <v>539</v>
      </c>
      <c r="I190">
        <v>4725</v>
      </c>
      <c r="J190">
        <v>4915</v>
      </c>
    </row>
    <row r="191" spans="1:10">
      <c r="A191" t="s">
        <v>534</v>
      </c>
      <c r="B191" t="s">
        <v>535</v>
      </c>
      <c r="C191" s="20">
        <v>11419</v>
      </c>
      <c r="F191" t="s">
        <v>534</v>
      </c>
      <c r="G191" t="s">
        <v>541</v>
      </c>
      <c r="I191">
        <v>3361</v>
      </c>
      <c r="J191">
        <v>3575</v>
      </c>
    </row>
    <row r="192" spans="1:10">
      <c r="A192" t="s">
        <v>536</v>
      </c>
      <c r="B192" t="s">
        <v>537</v>
      </c>
      <c r="C192" s="20">
        <v>4252</v>
      </c>
      <c r="F192" t="s">
        <v>536</v>
      </c>
      <c r="G192" t="s">
        <v>543</v>
      </c>
      <c r="I192">
        <v>7471</v>
      </c>
      <c r="J192">
        <v>8961</v>
      </c>
    </row>
    <row r="193" spans="1:10">
      <c r="A193" t="s">
        <v>538</v>
      </c>
      <c r="B193" t="s">
        <v>539</v>
      </c>
      <c r="C193" s="20">
        <v>4806</v>
      </c>
      <c r="F193" t="s">
        <v>538</v>
      </c>
      <c r="G193" t="s">
        <v>545</v>
      </c>
      <c r="I193">
        <v>18195</v>
      </c>
      <c r="J193">
        <v>19770</v>
      </c>
    </row>
    <row r="194" spans="1:10">
      <c r="A194" t="s">
        <v>540</v>
      </c>
      <c r="B194" t="s">
        <v>541</v>
      </c>
      <c r="C194" s="20">
        <v>3237</v>
      </c>
      <c r="F194" t="s">
        <v>540</v>
      </c>
      <c r="G194" t="s">
        <v>547</v>
      </c>
      <c r="I194">
        <v>10258</v>
      </c>
      <c r="J194">
        <v>10494</v>
      </c>
    </row>
    <row r="195" spans="1:10">
      <c r="A195" t="s">
        <v>542</v>
      </c>
      <c r="B195" t="s">
        <v>543</v>
      </c>
      <c r="C195" s="20">
        <v>7431</v>
      </c>
      <c r="F195" t="s">
        <v>542</v>
      </c>
      <c r="G195" t="s">
        <v>549</v>
      </c>
      <c r="I195">
        <v>43518</v>
      </c>
      <c r="J195">
        <v>46590</v>
      </c>
    </row>
    <row r="196" spans="1:10">
      <c r="A196" t="s">
        <v>544</v>
      </c>
      <c r="B196" t="s">
        <v>545</v>
      </c>
      <c r="C196" s="20">
        <v>17274</v>
      </c>
      <c r="F196" t="s">
        <v>544</v>
      </c>
      <c r="G196" t="s">
        <v>551</v>
      </c>
      <c r="I196">
        <v>36761</v>
      </c>
      <c r="J196">
        <v>44744</v>
      </c>
    </row>
    <row r="197" spans="1:10">
      <c r="A197" t="s">
        <v>546</v>
      </c>
      <c r="B197" t="s">
        <v>547</v>
      </c>
      <c r="C197" s="20">
        <v>10328</v>
      </c>
      <c r="F197" t="s">
        <v>546</v>
      </c>
      <c r="G197" t="s">
        <v>553</v>
      </c>
      <c r="I197">
        <v>5214</v>
      </c>
      <c r="J197">
        <v>6060</v>
      </c>
    </row>
    <row r="198" spans="1:10">
      <c r="A198" t="s">
        <v>548</v>
      </c>
      <c r="B198" t="s">
        <v>549</v>
      </c>
      <c r="C198" s="20">
        <v>43172</v>
      </c>
      <c r="F198" t="s">
        <v>548</v>
      </c>
      <c r="G198" t="s">
        <v>555</v>
      </c>
      <c r="I198">
        <v>7633</v>
      </c>
      <c r="J198">
        <v>9623</v>
      </c>
    </row>
    <row r="199" spans="1:10">
      <c r="A199" t="s">
        <v>550</v>
      </c>
      <c r="B199" t="s">
        <v>551</v>
      </c>
      <c r="C199" s="20">
        <v>36144</v>
      </c>
      <c r="F199" t="s">
        <v>550</v>
      </c>
      <c r="G199" t="s">
        <v>557</v>
      </c>
      <c r="I199">
        <v>5891</v>
      </c>
      <c r="J199">
        <v>7993</v>
      </c>
    </row>
    <row r="200" spans="1:10">
      <c r="A200" t="s">
        <v>552</v>
      </c>
      <c r="B200" t="s">
        <v>553</v>
      </c>
      <c r="C200" s="20">
        <v>4994</v>
      </c>
      <c r="F200" t="s">
        <v>552</v>
      </c>
      <c r="G200" t="s">
        <v>559</v>
      </c>
      <c r="I200">
        <v>8173</v>
      </c>
      <c r="J200">
        <v>9182</v>
      </c>
    </row>
    <row r="201" spans="1:10">
      <c r="A201" t="s">
        <v>554</v>
      </c>
      <c r="B201" t="s">
        <v>555</v>
      </c>
      <c r="C201" s="20">
        <v>8110</v>
      </c>
      <c r="F201" t="s">
        <v>554</v>
      </c>
      <c r="G201" t="s">
        <v>561</v>
      </c>
      <c r="I201">
        <v>10519</v>
      </c>
      <c r="J201">
        <v>13346</v>
      </c>
    </row>
    <row r="202" spans="1:10">
      <c r="A202" t="s">
        <v>556</v>
      </c>
      <c r="B202" t="s">
        <v>557</v>
      </c>
      <c r="C202" s="20">
        <v>5774</v>
      </c>
      <c r="F202" t="s">
        <v>556</v>
      </c>
      <c r="G202" t="s">
        <v>563</v>
      </c>
      <c r="I202">
        <v>1849</v>
      </c>
      <c r="J202">
        <v>1604</v>
      </c>
    </row>
    <row r="203" spans="1:10">
      <c r="A203" t="s">
        <v>558</v>
      </c>
      <c r="B203" t="s">
        <v>559</v>
      </c>
      <c r="C203" s="20">
        <v>8080</v>
      </c>
      <c r="F203" t="s">
        <v>558</v>
      </c>
      <c r="G203" t="s">
        <v>565</v>
      </c>
      <c r="I203">
        <v>3078</v>
      </c>
      <c r="J203">
        <v>3077</v>
      </c>
    </row>
    <row r="204" spans="1:10">
      <c r="A204" t="s">
        <v>560</v>
      </c>
      <c r="B204" t="s">
        <v>561</v>
      </c>
      <c r="C204" s="20">
        <v>10355</v>
      </c>
      <c r="F204" t="s">
        <v>560</v>
      </c>
      <c r="G204" t="s">
        <v>567</v>
      </c>
      <c r="I204">
        <v>13943</v>
      </c>
      <c r="J204">
        <v>14963</v>
      </c>
    </row>
    <row r="205" spans="1:10">
      <c r="A205" t="s">
        <v>562</v>
      </c>
      <c r="B205" t="s">
        <v>563</v>
      </c>
      <c r="C205" s="20">
        <v>1624</v>
      </c>
      <c r="F205" t="s">
        <v>562</v>
      </c>
      <c r="G205" t="s">
        <v>569</v>
      </c>
      <c r="I205">
        <v>29951</v>
      </c>
      <c r="J205">
        <v>36434</v>
      </c>
    </row>
    <row r="206" spans="1:10">
      <c r="A206" t="s">
        <v>564</v>
      </c>
      <c r="B206" t="s">
        <v>565</v>
      </c>
      <c r="C206" s="20">
        <v>3179</v>
      </c>
      <c r="F206" t="s">
        <v>564</v>
      </c>
      <c r="G206" t="s">
        <v>571</v>
      </c>
      <c r="I206">
        <v>22414</v>
      </c>
      <c r="J206">
        <v>26641</v>
      </c>
    </row>
    <row r="207" spans="1:10">
      <c r="A207" t="s">
        <v>566</v>
      </c>
      <c r="B207" t="s">
        <v>567</v>
      </c>
      <c r="C207" s="20">
        <v>13946</v>
      </c>
      <c r="F207" t="s">
        <v>566</v>
      </c>
      <c r="G207" t="s">
        <v>573</v>
      </c>
      <c r="I207">
        <v>33906</v>
      </c>
      <c r="J207">
        <v>43836</v>
      </c>
    </row>
    <row r="208" spans="1:10">
      <c r="A208" t="s">
        <v>568</v>
      </c>
      <c r="B208" t="s">
        <v>569</v>
      </c>
      <c r="C208" s="20">
        <v>30899</v>
      </c>
      <c r="F208" t="s">
        <v>568</v>
      </c>
      <c r="G208" t="s">
        <v>575</v>
      </c>
      <c r="I208">
        <v>19474</v>
      </c>
      <c r="J208">
        <v>22023</v>
      </c>
    </row>
    <row r="209" spans="1:10">
      <c r="A209" t="s">
        <v>570</v>
      </c>
      <c r="B209" t="s">
        <v>571</v>
      </c>
      <c r="C209" s="20">
        <v>22672</v>
      </c>
      <c r="F209" t="s">
        <v>570</v>
      </c>
      <c r="G209" t="s">
        <v>577</v>
      </c>
      <c r="I209">
        <v>10243</v>
      </c>
      <c r="J209">
        <v>13151</v>
      </c>
    </row>
    <row r="210" spans="1:10">
      <c r="A210" t="s">
        <v>572</v>
      </c>
      <c r="B210" t="s">
        <v>573</v>
      </c>
      <c r="C210" s="20">
        <v>34308</v>
      </c>
      <c r="F210" t="s">
        <v>572</v>
      </c>
      <c r="G210" t="s">
        <v>579</v>
      </c>
      <c r="I210">
        <v>11089</v>
      </c>
      <c r="J210">
        <v>15612</v>
      </c>
    </row>
    <row r="211" spans="1:10">
      <c r="A211" t="s">
        <v>574</v>
      </c>
      <c r="B211" t="s">
        <v>575</v>
      </c>
      <c r="C211" s="20">
        <v>19639</v>
      </c>
      <c r="F211" t="s">
        <v>574</v>
      </c>
      <c r="G211" t="s">
        <v>581</v>
      </c>
      <c r="I211">
        <v>37368</v>
      </c>
      <c r="J211">
        <v>49242</v>
      </c>
    </row>
    <row r="212" spans="1:10">
      <c r="A212" t="s">
        <v>576</v>
      </c>
      <c r="B212" t="s">
        <v>577</v>
      </c>
      <c r="C212" s="20">
        <v>10510</v>
      </c>
      <c r="F212" t="s">
        <v>576</v>
      </c>
      <c r="G212" t="s">
        <v>583</v>
      </c>
      <c r="I212">
        <v>10085</v>
      </c>
      <c r="J212">
        <v>11491</v>
      </c>
    </row>
    <row r="213" spans="1:10">
      <c r="A213" t="s">
        <v>578</v>
      </c>
      <c r="B213" t="s">
        <v>579</v>
      </c>
      <c r="C213" s="20">
        <v>12012</v>
      </c>
      <c r="F213" t="s">
        <v>578</v>
      </c>
      <c r="G213" t="s">
        <v>585</v>
      </c>
      <c r="I213">
        <v>34445</v>
      </c>
      <c r="J213">
        <v>42273</v>
      </c>
    </row>
    <row r="214" spans="1:10">
      <c r="A214" t="s">
        <v>580</v>
      </c>
      <c r="B214" t="s">
        <v>581</v>
      </c>
      <c r="C214" s="20">
        <v>35390</v>
      </c>
      <c r="F214" t="s">
        <v>580</v>
      </c>
      <c r="G214" t="s">
        <v>587</v>
      </c>
      <c r="I214">
        <v>32439</v>
      </c>
      <c r="J214">
        <v>38305</v>
      </c>
    </row>
    <row r="215" spans="1:10">
      <c r="A215" t="s">
        <v>582</v>
      </c>
      <c r="B215" t="s">
        <v>583</v>
      </c>
      <c r="C215" s="20">
        <v>9839</v>
      </c>
      <c r="F215" t="s">
        <v>582</v>
      </c>
      <c r="G215" t="s">
        <v>589</v>
      </c>
      <c r="I215">
        <v>34554</v>
      </c>
      <c r="J215">
        <v>37660</v>
      </c>
    </row>
    <row r="216" spans="1:10">
      <c r="A216" t="s">
        <v>584</v>
      </c>
      <c r="B216" t="s">
        <v>585</v>
      </c>
      <c r="C216" s="20">
        <v>34461</v>
      </c>
      <c r="F216" t="s">
        <v>584</v>
      </c>
      <c r="G216" t="s">
        <v>590</v>
      </c>
      <c r="I216">
        <v>45197</v>
      </c>
      <c r="J216">
        <v>60871</v>
      </c>
    </row>
    <row r="217" spans="1:10">
      <c r="A217" t="s">
        <v>586</v>
      </c>
      <c r="B217" t="s">
        <v>587</v>
      </c>
      <c r="C217" s="20">
        <v>32490</v>
      </c>
      <c r="F217" t="s">
        <v>586</v>
      </c>
      <c r="G217" t="s">
        <v>592</v>
      </c>
      <c r="I217">
        <v>24919</v>
      </c>
      <c r="J217">
        <v>25398</v>
      </c>
    </row>
    <row r="218" spans="1:10">
      <c r="A218" t="s">
        <v>588</v>
      </c>
      <c r="B218" t="s">
        <v>589</v>
      </c>
      <c r="C218" s="20">
        <v>35271</v>
      </c>
      <c r="F218" t="s">
        <v>588</v>
      </c>
      <c r="G218" t="s">
        <v>594</v>
      </c>
      <c r="I218">
        <v>43153</v>
      </c>
      <c r="J218">
        <v>52070</v>
      </c>
    </row>
    <row r="219" spans="1:10">
      <c r="A219" t="s">
        <v>110</v>
      </c>
      <c r="B219" t="s">
        <v>590</v>
      </c>
      <c r="C219" s="20">
        <v>44820</v>
      </c>
      <c r="F219" t="s">
        <v>110</v>
      </c>
      <c r="G219" t="s">
        <v>596</v>
      </c>
      <c r="I219">
        <v>7617</v>
      </c>
      <c r="J219">
        <v>10237</v>
      </c>
    </row>
    <row r="220" spans="1:10">
      <c r="A220" t="s">
        <v>591</v>
      </c>
      <c r="B220" t="s">
        <v>592</v>
      </c>
      <c r="C220" s="20">
        <v>24834</v>
      </c>
      <c r="F220" t="s">
        <v>591</v>
      </c>
      <c r="G220" t="s">
        <v>598</v>
      </c>
      <c r="I220">
        <v>63809</v>
      </c>
      <c r="J220">
        <v>78711</v>
      </c>
    </row>
    <row r="221" spans="1:10">
      <c r="A221" t="s">
        <v>593</v>
      </c>
      <c r="B221" t="s">
        <v>594</v>
      </c>
      <c r="C221" s="20">
        <v>42935</v>
      </c>
      <c r="F221" t="s">
        <v>593</v>
      </c>
      <c r="G221" t="s">
        <v>600</v>
      </c>
      <c r="I221">
        <v>153529</v>
      </c>
      <c r="J221">
        <v>193754</v>
      </c>
    </row>
    <row r="222" spans="1:10">
      <c r="A222" t="s">
        <v>595</v>
      </c>
      <c r="B222" t="s">
        <v>596</v>
      </c>
      <c r="C222" s="20">
        <v>7409</v>
      </c>
      <c r="F222" t="s">
        <v>595</v>
      </c>
      <c r="G222" t="s">
        <v>602</v>
      </c>
      <c r="I222">
        <v>13275</v>
      </c>
      <c r="J222">
        <v>15163</v>
      </c>
    </row>
    <row r="223" spans="1:10">
      <c r="A223" t="s">
        <v>597</v>
      </c>
      <c r="B223" t="s">
        <v>598</v>
      </c>
      <c r="C223" s="20">
        <v>63516</v>
      </c>
      <c r="F223" t="s">
        <v>597</v>
      </c>
      <c r="G223" t="s">
        <v>604</v>
      </c>
      <c r="I223">
        <v>42564</v>
      </c>
      <c r="J223">
        <v>49397</v>
      </c>
    </row>
    <row r="224" spans="1:10">
      <c r="A224" t="s">
        <v>599</v>
      </c>
      <c r="B224" t="s">
        <v>600</v>
      </c>
      <c r="C224" s="20">
        <v>151763</v>
      </c>
      <c r="F224" t="s">
        <v>599</v>
      </c>
      <c r="G224" t="s">
        <v>606</v>
      </c>
      <c r="I224">
        <v>28230</v>
      </c>
      <c r="J224">
        <v>32510</v>
      </c>
    </row>
    <row r="225" spans="1:10">
      <c r="A225" t="s">
        <v>601</v>
      </c>
      <c r="B225" t="s">
        <v>602</v>
      </c>
      <c r="C225" s="20">
        <v>13437</v>
      </c>
      <c r="F225" t="s">
        <v>601</v>
      </c>
      <c r="G225" t="s">
        <v>608</v>
      </c>
      <c r="I225">
        <v>36454</v>
      </c>
      <c r="J225">
        <v>43106</v>
      </c>
    </row>
    <row r="226" spans="1:10">
      <c r="A226" t="s">
        <v>603</v>
      </c>
      <c r="B226" t="s">
        <v>604</v>
      </c>
      <c r="C226" s="20">
        <v>41588</v>
      </c>
      <c r="F226" t="s">
        <v>603</v>
      </c>
      <c r="G226" t="s">
        <v>610</v>
      </c>
      <c r="I226">
        <v>14072</v>
      </c>
      <c r="J226">
        <v>13475</v>
      </c>
    </row>
    <row r="227" spans="1:10">
      <c r="A227" t="s">
        <v>605</v>
      </c>
      <c r="B227" t="s">
        <v>606</v>
      </c>
      <c r="C227" s="20">
        <v>28299</v>
      </c>
      <c r="F227" t="s">
        <v>605</v>
      </c>
      <c r="G227" t="s">
        <v>612</v>
      </c>
      <c r="I227">
        <v>10075</v>
      </c>
      <c r="J227">
        <v>12344</v>
      </c>
    </row>
    <row r="228" spans="1:10">
      <c r="A228" t="s">
        <v>607</v>
      </c>
      <c r="B228" t="s">
        <v>608</v>
      </c>
      <c r="C228" s="20">
        <v>35923</v>
      </c>
      <c r="F228" t="s">
        <v>607</v>
      </c>
      <c r="G228" t="s">
        <v>614</v>
      </c>
      <c r="I228">
        <v>19067</v>
      </c>
      <c r="J228">
        <v>28245</v>
      </c>
    </row>
    <row r="229" spans="1:10">
      <c r="A229" t="s">
        <v>609</v>
      </c>
      <c r="B229" t="s">
        <v>610</v>
      </c>
      <c r="C229" s="20">
        <v>13989</v>
      </c>
      <c r="F229" t="s">
        <v>609</v>
      </c>
      <c r="G229" t="s">
        <v>616</v>
      </c>
      <c r="I229">
        <v>27288</v>
      </c>
      <c r="J229">
        <v>38769</v>
      </c>
    </row>
    <row r="230" spans="1:10">
      <c r="A230" t="s">
        <v>611</v>
      </c>
      <c r="B230" t="s">
        <v>612</v>
      </c>
      <c r="C230" s="20">
        <v>10059</v>
      </c>
      <c r="F230" t="s">
        <v>611</v>
      </c>
      <c r="G230" t="s">
        <v>618</v>
      </c>
      <c r="I230">
        <v>50233</v>
      </c>
      <c r="J230">
        <v>49108</v>
      </c>
    </row>
    <row r="231" spans="1:10">
      <c r="A231" t="s">
        <v>613</v>
      </c>
      <c r="B231" t="s">
        <v>614</v>
      </c>
      <c r="C231" s="20">
        <v>18967</v>
      </c>
      <c r="F231" t="s">
        <v>613</v>
      </c>
      <c r="G231" t="s">
        <v>620</v>
      </c>
      <c r="I231">
        <v>34055</v>
      </c>
      <c r="J231">
        <v>36857</v>
      </c>
    </row>
    <row r="232" spans="1:10">
      <c r="A232" t="s">
        <v>615</v>
      </c>
      <c r="B232" t="s">
        <v>616</v>
      </c>
      <c r="C232" s="20">
        <v>26996</v>
      </c>
      <c r="F232" t="s">
        <v>615</v>
      </c>
      <c r="G232" t="s">
        <v>622</v>
      </c>
      <c r="I232">
        <v>20822</v>
      </c>
      <c r="J232">
        <v>26505</v>
      </c>
    </row>
    <row r="233" spans="1:10">
      <c r="A233" t="s">
        <v>617</v>
      </c>
      <c r="B233" t="s">
        <v>618</v>
      </c>
      <c r="C233" s="20">
        <v>47738</v>
      </c>
      <c r="F233" t="s">
        <v>617</v>
      </c>
      <c r="G233" t="s">
        <v>624</v>
      </c>
      <c r="I233">
        <v>15500</v>
      </c>
      <c r="J233">
        <v>23547</v>
      </c>
    </row>
    <row r="234" spans="1:10">
      <c r="A234" t="s">
        <v>619</v>
      </c>
      <c r="B234" t="s">
        <v>620</v>
      </c>
      <c r="C234" s="20">
        <v>33801</v>
      </c>
      <c r="F234" t="s">
        <v>619</v>
      </c>
      <c r="G234" t="s">
        <v>1206</v>
      </c>
      <c r="I234">
        <v>55709</v>
      </c>
      <c r="J234">
        <v>89506</v>
      </c>
    </row>
    <row r="235" spans="1:10">
      <c r="A235" t="s">
        <v>621</v>
      </c>
      <c r="B235" t="s">
        <v>622</v>
      </c>
      <c r="C235" s="20">
        <v>20987</v>
      </c>
      <c r="F235" t="s">
        <v>621</v>
      </c>
      <c r="G235" t="s">
        <v>628</v>
      </c>
      <c r="I235">
        <v>7630</v>
      </c>
      <c r="J235">
        <v>5988</v>
      </c>
    </row>
    <row r="236" spans="1:10">
      <c r="A236" t="s">
        <v>623</v>
      </c>
      <c r="B236" t="s">
        <v>624</v>
      </c>
      <c r="C236" s="20">
        <v>17027</v>
      </c>
      <c r="F236" t="s">
        <v>623</v>
      </c>
      <c r="G236" t="s">
        <v>630</v>
      </c>
      <c r="I236">
        <v>13560</v>
      </c>
      <c r="J236">
        <v>12548</v>
      </c>
    </row>
    <row r="237" spans="1:10">
      <c r="A237" t="s">
        <v>625</v>
      </c>
      <c r="B237" t="s">
        <v>626</v>
      </c>
      <c r="C237" s="20">
        <v>55533</v>
      </c>
      <c r="F237" t="s">
        <v>625</v>
      </c>
      <c r="G237" t="s">
        <v>632</v>
      </c>
      <c r="I237">
        <v>7350</v>
      </c>
      <c r="J237">
        <v>7067</v>
      </c>
    </row>
    <row r="238" spans="1:10">
      <c r="A238" t="s">
        <v>627</v>
      </c>
      <c r="B238" t="s">
        <v>628</v>
      </c>
      <c r="C238" s="20">
        <v>7797</v>
      </c>
      <c r="F238" t="s">
        <v>627</v>
      </c>
      <c r="G238" t="s">
        <v>634</v>
      </c>
      <c r="I238">
        <v>9834</v>
      </c>
      <c r="J238">
        <v>9044</v>
      </c>
    </row>
    <row r="239" spans="1:10">
      <c r="A239" t="s">
        <v>629</v>
      </c>
      <c r="B239" t="s">
        <v>630</v>
      </c>
      <c r="C239" s="20">
        <v>13469</v>
      </c>
      <c r="F239" t="s">
        <v>629</v>
      </c>
      <c r="G239" t="s">
        <v>636</v>
      </c>
      <c r="I239">
        <v>4345</v>
      </c>
      <c r="J239">
        <v>3846</v>
      </c>
    </row>
    <row r="240" spans="1:10">
      <c r="A240" t="s">
        <v>631</v>
      </c>
      <c r="B240" t="s">
        <v>632</v>
      </c>
      <c r="C240" s="20">
        <v>7913</v>
      </c>
      <c r="F240" t="s">
        <v>631</v>
      </c>
      <c r="G240" t="s">
        <v>638</v>
      </c>
      <c r="I240">
        <v>10059</v>
      </c>
      <c r="J240">
        <v>11431</v>
      </c>
    </row>
    <row r="241" spans="1:10">
      <c r="A241" t="s">
        <v>633</v>
      </c>
      <c r="B241" t="s">
        <v>634</v>
      </c>
      <c r="C241" s="20">
        <v>9793</v>
      </c>
      <c r="F241" t="s">
        <v>633</v>
      </c>
      <c r="G241" t="s">
        <v>640</v>
      </c>
      <c r="I241">
        <v>11616</v>
      </c>
      <c r="J241">
        <v>12767</v>
      </c>
    </row>
    <row r="242" spans="1:10">
      <c r="A242" t="s">
        <v>635</v>
      </c>
      <c r="B242" t="s">
        <v>636</v>
      </c>
      <c r="C242" s="20">
        <v>4432</v>
      </c>
      <c r="F242" t="s">
        <v>635</v>
      </c>
      <c r="G242" t="s">
        <v>642</v>
      </c>
      <c r="I242">
        <v>6838</v>
      </c>
      <c r="J242">
        <v>11077</v>
      </c>
    </row>
    <row r="243" spans="1:10">
      <c r="A243" t="s">
        <v>637</v>
      </c>
      <c r="B243" t="s">
        <v>638</v>
      </c>
      <c r="C243" s="20">
        <v>10139</v>
      </c>
      <c r="F243" t="s">
        <v>637</v>
      </c>
      <c r="G243" t="s">
        <v>644</v>
      </c>
      <c r="I243">
        <v>6643</v>
      </c>
      <c r="J243">
        <v>6966</v>
      </c>
    </row>
    <row r="244" spans="1:10">
      <c r="A244" t="s">
        <v>639</v>
      </c>
      <c r="B244" t="s">
        <v>640</v>
      </c>
      <c r="C244" s="20">
        <v>11575</v>
      </c>
      <c r="F244" t="s">
        <v>639</v>
      </c>
      <c r="G244" t="s">
        <v>646</v>
      </c>
      <c r="I244">
        <v>43297</v>
      </c>
      <c r="J244">
        <v>35409</v>
      </c>
    </row>
    <row r="245" spans="1:10">
      <c r="A245" t="s">
        <v>641</v>
      </c>
      <c r="B245" t="s">
        <v>642</v>
      </c>
      <c r="C245" s="20">
        <v>7059</v>
      </c>
      <c r="F245" t="s">
        <v>641</v>
      </c>
      <c r="G245" t="s">
        <v>648</v>
      </c>
      <c r="I245">
        <v>30739</v>
      </c>
      <c r="J245">
        <v>37302</v>
      </c>
    </row>
    <row r="246" spans="1:10">
      <c r="A246" t="s">
        <v>643</v>
      </c>
      <c r="B246" t="s">
        <v>644</v>
      </c>
      <c r="C246" s="20">
        <v>6202</v>
      </c>
      <c r="F246" t="s">
        <v>643</v>
      </c>
      <c r="G246" t="s">
        <v>650</v>
      </c>
      <c r="I246">
        <v>59944</v>
      </c>
      <c r="J246">
        <v>75000</v>
      </c>
    </row>
    <row r="247" spans="1:10">
      <c r="A247" t="s">
        <v>645</v>
      </c>
      <c r="B247" t="s">
        <v>646</v>
      </c>
      <c r="C247" s="20">
        <v>44437</v>
      </c>
      <c r="F247" t="s">
        <v>645</v>
      </c>
      <c r="G247" t="s">
        <v>1207</v>
      </c>
      <c r="I247">
        <v>21445</v>
      </c>
      <c r="J247">
        <v>22980</v>
      </c>
    </row>
    <row r="248" spans="1:10">
      <c r="A248" t="s">
        <v>647</v>
      </c>
      <c r="B248" t="s">
        <v>648</v>
      </c>
      <c r="C248" s="20">
        <v>29952</v>
      </c>
      <c r="F248" t="s">
        <v>647</v>
      </c>
      <c r="G248" t="s">
        <v>654</v>
      </c>
      <c r="I248">
        <v>6320</v>
      </c>
      <c r="J248">
        <v>5023</v>
      </c>
    </row>
    <row r="249" spans="1:10">
      <c r="A249" t="s">
        <v>649</v>
      </c>
      <c r="B249" t="s">
        <v>650</v>
      </c>
      <c r="C249" s="20">
        <v>59159</v>
      </c>
      <c r="F249" t="s">
        <v>649</v>
      </c>
      <c r="G249" t="s">
        <v>656</v>
      </c>
      <c r="I249">
        <v>11709</v>
      </c>
      <c r="J249">
        <v>13654</v>
      </c>
    </row>
    <row r="250" spans="1:10">
      <c r="A250" t="s">
        <v>651</v>
      </c>
      <c r="B250" t="s">
        <v>652</v>
      </c>
      <c r="C250" s="20">
        <v>20873</v>
      </c>
      <c r="F250" t="s">
        <v>651</v>
      </c>
      <c r="G250" t="s">
        <v>658</v>
      </c>
      <c r="I250">
        <v>4404</v>
      </c>
      <c r="J250">
        <v>7021</v>
      </c>
    </row>
    <row r="251" spans="1:10">
      <c r="A251" t="s">
        <v>653</v>
      </c>
      <c r="B251" t="s">
        <v>654</v>
      </c>
      <c r="C251" s="20">
        <v>6152</v>
      </c>
      <c r="F251" t="s">
        <v>653</v>
      </c>
      <c r="G251" t="s">
        <v>660</v>
      </c>
      <c r="I251">
        <v>78851</v>
      </c>
      <c r="J251">
        <v>83382</v>
      </c>
    </row>
    <row r="252" spans="1:10">
      <c r="A252" t="s">
        <v>655</v>
      </c>
      <c r="B252" t="s">
        <v>656</v>
      </c>
      <c r="C252" s="20">
        <v>11383</v>
      </c>
      <c r="F252" t="s">
        <v>655</v>
      </c>
      <c r="G252" t="s">
        <v>662</v>
      </c>
      <c r="I252">
        <v>3559</v>
      </c>
      <c r="J252">
        <v>3412</v>
      </c>
    </row>
    <row r="253" spans="1:10">
      <c r="A253" t="s">
        <v>657</v>
      </c>
      <c r="B253" t="s">
        <v>658</v>
      </c>
      <c r="C253" s="20">
        <v>4732</v>
      </c>
      <c r="F253" t="s">
        <v>657</v>
      </c>
      <c r="G253" t="s">
        <v>664</v>
      </c>
      <c r="I253">
        <v>456936</v>
      </c>
      <c r="J253">
        <v>700089</v>
      </c>
    </row>
    <row r="254" spans="1:10">
      <c r="A254" t="s">
        <v>659</v>
      </c>
      <c r="B254" t="s">
        <v>660</v>
      </c>
      <c r="C254" s="20">
        <v>78433</v>
      </c>
      <c r="F254" t="s">
        <v>659</v>
      </c>
      <c r="G254" t="s">
        <v>666</v>
      </c>
      <c r="I254">
        <v>13529</v>
      </c>
      <c r="J254">
        <v>14948</v>
      </c>
    </row>
    <row r="255" spans="1:10">
      <c r="A255" t="s">
        <v>661</v>
      </c>
      <c r="B255" t="s">
        <v>662</v>
      </c>
      <c r="C255" s="20">
        <v>3763</v>
      </c>
      <c r="F255" t="s">
        <v>661</v>
      </c>
      <c r="G255" t="s">
        <v>668</v>
      </c>
      <c r="I255">
        <v>9201</v>
      </c>
      <c r="J255">
        <v>14388</v>
      </c>
    </row>
    <row r="256" spans="1:10">
      <c r="A256" t="s">
        <v>663</v>
      </c>
      <c r="B256" t="s">
        <v>664</v>
      </c>
      <c r="C256" s="20">
        <v>457760</v>
      </c>
      <c r="F256" t="s">
        <v>663</v>
      </c>
      <c r="G256" t="s">
        <v>670</v>
      </c>
      <c r="I256">
        <v>20714</v>
      </c>
      <c r="J256">
        <v>28307</v>
      </c>
    </row>
    <row r="257" spans="1:10">
      <c r="A257" t="s">
        <v>665</v>
      </c>
      <c r="B257" t="s">
        <v>666</v>
      </c>
      <c r="C257" s="20">
        <v>13419</v>
      </c>
    </row>
    <row r="258" spans="1:10">
      <c r="A258" t="s">
        <v>667</v>
      </c>
      <c r="B258" t="s">
        <v>668</v>
      </c>
      <c r="C258" s="20">
        <v>9115</v>
      </c>
    </row>
    <row r="259" spans="1:10">
      <c r="A259" t="s">
        <v>669</v>
      </c>
      <c r="B259" t="s">
        <v>670</v>
      </c>
      <c r="C259" s="20">
        <v>20551</v>
      </c>
    </row>
    <row r="260" spans="1:10">
      <c r="A260" t="s">
        <v>671</v>
      </c>
      <c r="B260" s="21" t="s">
        <v>672</v>
      </c>
      <c r="C260" s="20">
        <v>49895</v>
      </c>
      <c r="F260" s="10" t="s">
        <v>665</v>
      </c>
      <c r="G260" s="10" t="s">
        <v>672</v>
      </c>
      <c r="H260" s="10"/>
      <c r="I260" s="10">
        <v>50609</v>
      </c>
      <c r="J260" s="10">
        <v>76192</v>
      </c>
    </row>
    <row r="261" spans="1:10">
      <c r="A261" t="s">
        <v>673</v>
      </c>
      <c r="B261" s="21" t="s">
        <v>674</v>
      </c>
      <c r="C261" s="20">
        <v>7020</v>
      </c>
      <c r="F261" s="10" t="s">
        <v>667</v>
      </c>
      <c r="G261" s="10" t="s">
        <v>674</v>
      </c>
      <c r="H261" s="10"/>
      <c r="I261" s="10">
        <v>7272</v>
      </c>
      <c r="J261" s="10">
        <v>12400</v>
      </c>
    </row>
    <row r="262" spans="1:10">
      <c r="A262" t="s">
        <v>675</v>
      </c>
      <c r="B262" s="21" t="s">
        <v>676</v>
      </c>
      <c r="C262" s="20">
        <v>6964</v>
      </c>
      <c r="F262" s="10" t="s">
        <v>669</v>
      </c>
      <c r="G262" s="10" t="s">
        <v>676</v>
      </c>
      <c r="H262" s="10"/>
      <c r="I262" s="10">
        <v>7003</v>
      </c>
      <c r="J262" s="10">
        <v>6369</v>
      </c>
    </row>
    <row r="263" spans="1:10">
      <c r="A263" t="s">
        <v>677</v>
      </c>
      <c r="B263" s="21" t="s">
        <v>678</v>
      </c>
      <c r="C263" s="20">
        <v>31879</v>
      </c>
      <c r="F263" s="10" t="s">
        <v>671</v>
      </c>
      <c r="G263" s="10" t="s">
        <v>1208</v>
      </c>
      <c r="H263" s="10"/>
      <c r="I263" s="10">
        <v>31754</v>
      </c>
      <c r="J263" s="10">
        <v>37268</v>
      </c>
    </row>
    <row r="264" spans="1:10">
      <c r="A264" t="s">
        <v>679</v>
      </c>
      <c r="B264" s="21" t="s">
        <v>680</v>
      </c>
      <c r="C264" s="20">
        <v>117887</v>
      </c>
      <c r="F264" s="10" t="s">
        <v>673</v>
      </c>
      <c r="G264" s="10" t="s">
        <v>680</v>
      </c>
      <c r="H264" s="10"/>
      <c r="I264" s="10">
        <v>119710</v>
      </c>
      <c r="J264" s="10">
        <v>142062</v>
      </c>
    </row>
    <row r="265" spans="1:10">
      <c r="A265" t="s">
        <v>681</v>
      </c>
      <c r="B265" s="21" t="s">
        <v>682</v>
      </c>
      <c r="C265" s="20">
        <v>85442</v>
      </c>
      <c r="F265" s="10" t="s">
        <v>675</v>
      </c>
      <c r="G265" s="10" t="s">
        <v>682</v>
      </c>
      <c r="H265" s="10"/>
      <c r="I265" s="10">
        <v>85839</v>
      </c>
      <c r="J265" s="10">
        <v>109744</v>
      </c>
    </row>
    <row r="266" spans="1:10">
      <c r="A266" t="s">
        <v>683</v>
      </c>
      <c r="B266" s="21" t="s">
        <v>684</v>
      </c>
      <c r="C266" s="20">
        <v>14641</v>
      </c>
      <c r="F266" s="10" t="s">
        <v>677</v>
      </c>
      <c r="G266" s="10" t="s">
        <v>684</v>
      </c>
      <c r="H266" s="10"/>
      <c r="I266" s="10">
        <v>14697</v>
      </c>
      <c r="J266" s="10">
        <v>14579</v>
      </c>
    </row>
    <row r="267" spans="1:10">
      <c r="A267" t="s">
        <v>685</v>
      </c>
      <c r="B267" s="22" t="s">
        <v>686</v>
      </c>
      <c r="C267" s="20">
        <v>14749</v>
      </c>
      <c r="F267" s="10" t="s">
        <v>679</v>
      </c>
      <c r="G267" s="10" t="s">
        <v>686</v>
      </c>
      <c r="H267" s="10"/>
      <c r="I267" s="10">
        <v>15198</v>
      </c>
      <c r="J267" s="10">
        <v>25776</v>
      </c>
    </row>
    <row r="268" spans="1:10">
      <c r="A268" t="s">
        <v>687</v>
      </c>
      <c r="B268" s="22" t="s">
        <v>688</v>
      </c>
      <c r="C268" s="20">
        <v>208145</v>
      </c>
      <c r="F268" s="10" t="s">
        <v>681</v>
      </c>
      <c r="G268" s="10" t="s">
        <v>688</v>
      </c>
      <c r="H268" s="10"/>
      <c r="I268" s="10">
        <v>193830</v>
      </c>
      <c r="J268" s="10">
        <v>259210</v>
      </c>
    </row>
    <row r="269" spans="1:10">
      <c r="A269" t="s">
        <v>689</v>
      </c>
      <c r="B269" s="22" t="s">
        <v>690</v>
      </c>
      <c r="C269" s="20">
        <v>15995</v>
      </c>
      <c r="F269" s="10" t="s">
        <v>683</v>
      </c>
      <c r="G269" s="10" t="s">
        <v>690</v>
      </c>
      <c r="H269" s="10"/>
      <c r="I269" s="10">
        <v>16484</v>
      </c>
      <c r="J269" s="10">
        <v>27476</v>
      </c>
    </row>
    <row r="270" spans="1:10">
      <c r="A270" t="s">
        <v>691</v>
      </c>
      <c r="B270" s="22" t="s">
        <v>692</v>
      </c>
      <c r="C270" s="20">
        <v>30712</v>
      </c>
      <c r="F270" s="10" t="s">
        <v>685</v>
      </c>
      <c r="G270" s="10" t="s">
        <v>692</v>
      </c>
      <c r="H270" s="10"/>
      <c r="I270" s="10">
        <v>31817</v>
      </c>
      <c r="J270" s="10">
        <v>75486</v>
      </c>
    </row>
    <row r="271" spans="1:10">
      <c r="A271" t="s">
        <v>693</v>
      </c>
      <c r="B271" s="21" t="s">
        <v>694</v>
      </c>
      <c r="C271" s="20">
        <v>19911</v>
      </c>
      <c r="F271" s="10" t="s">
        <v>687</v>
      </c>
      <c r="G271" s="10" t="s">
        <v>694</v>
      </c>
      <c r="H271" s="10"/>
      <c r="I271" s="10">
        <v>20347</v>
      </c>
      <c r="J271" s="10">
        <v>29261</v>
      </c>
    </row>
    <row r="272" spans="1:10">
      <c r="A272" t="s">
        <v>695</v>
      </c>
      <c r="B272" s="21" t="s">
        <v>696</v>
      </c>
      <c r="C272" s="20">
        <v>15067</v>
      </c>
      <c r="F272" s="10" t="s">
        <v>689</v>
      </c>
      <c r="G272" s="10" t="s">
        <v>696</v>
      </c>
      <c r="H272" s="10"/>
      <c r="I272" s="10">
        <v>14967</v>
      </c>
      <c r="J272" s="10">
        <v>19004</v>
      </c>
    </row>
    <row r="273" spans="1:10">
      <c r="A273" t="s">
        <v>697</v>
      </c>
      <c r="B273" s="21" t="s">
        <v>698</v>
      </c>
      <c r="C273" s="20">
        <v>27773</v>
      </c>
      <c r="F273" s="10" t="s">
        <v>691</v>
      </c>
      <c r="G273" s="10" t="s">
        <v>698</v>
      </c>
      <c r="H273" s="10"/>
      <c r="I273" s="10">
        <v>27954</v>
      </c>
      <c r="J273" s="10">
        <v>31808</v>
      </c>
    </row>
    <row r="274" spans="1:10">
      <c r="A274" t="s">
        <v>699</v>
      </c>
      <c r="B274" s="21" t="s">
        <v>700</v>
      </c>
      <c r="C274" s="20">
        <v>12847</v>
      </c>
      <c r="F274" s="10" t="s">
        <v>693</v>
      </c>
      <c r="G274" s="10" t="s">
        <v>700</v>
      </c>
      <c r="H274" s="10"/>
      <c r="I274" s="10">
        <v>13031</v>
      </c>
      <c r="J274" s="10">
        <v>18304</v>
      </c>
    </row>
    <row r="275" spans="1:10">
      <c r="A275" t="s">
        <v>701</v>
      </c>
      <c r="B275" s="21" t="s">
        <v>702</v>
      </c>
      <c r="C275" s="20">
        <v>38140</v>
      </c>
      <c r="F275" s="10" t="s">
        <v>695</v>
      </c>
      <c r="G275" s="10" t="s">
        <v>702</v>
      </c>
      <c r="H275" s="10"/>
      <c r="I275" s="10">
        <v>39142</v>
      </c>
      <c r="J275" s="10">
        <v>45182</v>
      </c>
    </row>
    <row r="276" spans="1:10">
      <c r="A276" t="s">
        <v>703</v>
      </c>
      <c r="B276" s="21" t="s">
        <v>704</v>
      </c>
      <c r="C276" s="20">
        <v>42475</v>
      </c>
      <c r="F276" s="10" t="s">
        <v>697</v>
      </c>
      <c r="G276" s="10" t="s">
        <v>704</v>
      </c>
      <c r="H276" s="10"/>
      <c r="I276" s="10">
        <v>43096</v>
      </c>
      <c r="J276" s="10">
        <v>47268</v>
      </c>
    </row>
    <row r="277" spans="1:10">
      <c r="A277" t="s">
        <v>705</v>
      </c>
      <c r="B277" s="21" t="s">
        <v>706</v>
      </c>
      <c r="C277" s="20">
        <v>5006</v>
      </c>
      <c r="F277" s="10" t="s">
        <v>699</v>
      </c>
      <c r="G277" s="10" t="s">
        <v>706</v>
      </c>
      <c r="H277" s="10"/>
      <c r="I277" s="10">
        <v>5046</v>
      </c>
      <c r="J277" s="10">
        <v>4522</v>
      </c>
    </row>
    <row r="278" spans="1:10">
      <c r="A278" t="s">
        <v>707</v>
      </c>
      <c r="B278" s="21" t="s">
        <v>708</v>
      </c>
      <c r="C278" s="20">
        <v>40978</v>
      </c>
      <c r="F278" s="10" t="s">
        <v>701</v>
      </c>
      <c r="G278" s="10" t="s">
        <v>708</v>
      </c>
      <c r="H278" s="10"/>
      <c r="I278" s="10">
        <v>41978</v>
      </c>
      <c r="J278" s="10">
        <v>47477</v>
      </c>
    </row>
    <row r="279" spans="1:10">
      <c r="A279" t="s">
        <v>709</v>
      </c>
      <c r="B279" t="s">
        <v>710</v>
      </c>
      <c r="C279" s="20">
        <v>40444</v>
      </c>
      <c r="F279" t="s">
        <v>703</v>
      </c>
      <c r="G279" t="s">
        <v>710</v>
      </c>
      <c r="I279">
        <v>40703</v>
      </c>
      <c r="J279">
        <v>47605</v>
      </c>
    </row>
    <row r="280" spans="1:10">
      <c r="A280" t="s">
        <v>711</v>
      </c>
      <c r="B280" t="s">
        <v>712</v>
      </c>
      <c r="C280" s="20">
        <v>17753</v>
      </c>
      <c r="F280" t="s">
        <v>705</v>
      </c>
      <c r="G280" t="s">
        <v>712</v>
      </c>
      <c r="I280">
        <v>17573</v>
      </c>
      <c r="J280">
        <v>27024</v>
      </c>
    </row>
    <row r="281" spans="1:10">
      <c r="A281" t="s">
        <v>713</v>
      </c>
      <c r="B281" t="s">
        <v>714</v>
      </c>
      <c r="C281" s="20">
        <v>3844</v>
      </c>
      <c r="F281" t="s">
        <v>707</v>
      </c>
      <c r="G281" t="s">
        <v>714</v>
      </c>
      <c r="I281">
        <v>4005</v>
      </c>
      <c r="J281">
        <v>4355</v>
      </c>
    </row>
    <row r="282" spans="1:10">
      <c r="A282" t="s">
        <v>715</v>
      </c>
      <c r="B282" t="s">
        <v>716</v>
      </c>
      <c r="C282" s="20">
        <v>8354</v>
      </c>
      <c r="F282" t="s">
        <v>709</v>
      </c>
      <c r="G282" t="s">
        <v>716</v>
      </c>
      <c r="I282">
        <v>8392</v>
      </c>
      <c r="J282">
        <v>11085</v>
      </c>
    </row>
    <row r="283" spans="1:10">
      <c r="A283" t="s">
        <v>717</v>
      </c>
      <c r="B283" t="s">
        <v>718</v>
      </c>
      <c r="C283" s="20">
        <v>10613</v>
      </c>
      <c r="F283" t="s">
        <v>711</v>
      </c>
      <c r="G283" t="s">
        <v>718</v>
      </c>
      <c r="I283">
        <v>10512</v>
      </c>
      <c r="J283">
        <v>13974</v>
      </c>
    </row>
    <row r="284" spans="1:10">
      <c r="A284" t="s">
        <v>719</v>
      </c>
      <c r="B284" t="s">
        <v>720</v>
      </c>
      <c r="C284" s="20">
        <v>11961</v>
      </c>
      <c r="F284" t="s">
        <v>713</v>
      </c>
      <c r="G284" t="s">
        <v>720</v>
      </c>
      <c r="I284">
        <v>11961</v>
      </c>
      <c r="J284">
        <v>15591</v>
      </c>
    </row>
    <row r="285" spans="1:10">
      <c r="A285" t="s">
        <v>721</v>
      </c>
      <c r="B285" t="s">
        <v>722</v>
      </c>
      <c r="C285" s="20">
        <v>96787</v>
      </c>
      <c r="F285" t="s">
        <v>715</v>
      </c>
      <c r="G285" t="s">
        <v>722</v>
      </c>
      <c r="I285">
        <v>96500</v>
      </c>
      <c r="J285">
        <v>128613</v>
      </c>
    </row>
    <row r="286" spans="1:10">
      <c r="A286" t="s">
        <v>723</v>
      </c>
      <c r="B286" t="s">
        <v>724</v>
      </c>
      <c r="C286" s="20">
        <v>20488</v>
      </c>
      <c r="F286" t="s">
        <v>717</v>
      </c>
      <c r="G286" t="s">
        <v>724</v>
      </c>
      <c r="I286">
        <v>21231</v>
      </c>
      <c r="J286">
        <v>24672</v>
      </c>
    </row>
    <row r="287" spans="1:10">
      <c r="A287" t="s">
        <v>725</v>
      </c>
      <c r="B287" t="s">
        <v>726</v>
      </c>
      <c r="C287" s="20">
        <v>5369</v>
      </c>
      <c r="F287" t="s">
        <v>719</v>
      </c>
      <c r="G287" t="s">
        <v>726</v>
      </c>
      <c r="I287">
        <v>5275</v>
      </c>
      <c r="J287">
        <v>6684</v>
      </c>
    </row>
    <row r="288" spans="1:10">
      <c r="A288" t="s">
        <v>727</v>
      </c>
      <c r="B288" t="s">
        <v>728</v>
      </c>
      <c r="C288" s="20">
        <v>17928</v>
      </c>
      <c r="F288" t="s">
        <v>721</v>
      </c>
      <c r="G288" t="s">
        <v>728</v>
      </c>
      <c r="I288">
        <v>17945</v>
      </c>
      <c r="J288">
        <v>19008</v>
      </c>
    </row>
    <row r="289" spans="1:10">
      <c r="A289" t="s">
        <v>729</v>
      </c>
      <c r="B289" t="s">
        <v>730</v>
      </c>
      <c r="C289" s="20">
        <v>124484</v>
      </c>
      <c r="F289" t="s">
        <v>723</v>
      </c>
      <c r="G289" t="s">
        <v>730</v>
      </c>
      <c r="I289">
        <v>130271</v>
      </c>
      <c r="J289">
        <v>213265</v>
      </c>
    </row>
    <row r="290" spans="1:10">
      <c r="A290" t="s">
        <v>731</v>
      </c>
      <c r="B290" t="s">
        <v>732</v>
      </c>
      <c r="C290" s="20">
        <v>219053</v>
      </c>
      <c r="F290" t="s">
        <v>725</v>
      </c>
      <c r="G290" t="s">
        <v>732</v>
      </c>
      <c r="I290">
        <v>203545</v>
      </c>
      <c r="J290">
        <v>259430</v>
      </c>
    </row>
    <row r="291" spans="1:10">
      <c r="A291" t="s">
        <v>733</v>
      </c>
      <c r="B291" t="s">
        <v>734</v>
      </c>
      <c r="C291" s="20">
        <v>171121</v>
      </c>
      <c r="F291" t="s">
        <v>727</v>
      </c>
      <c r="G291" t="s">
        <v>734</v>
      </c>
      <c r="I291">
        <v>204931</v>
      </c>
      <c r="J291">
        <v>335792</v>
      </c>
    </row>
    <row r="292" spans="1:10">
      <c r="A292" t="s">
        <v>735</v>
      </c>
      <c r="B292" t="s">
        <v>736</v>
      </c>
      <c r="C292" s="20">
        <v>179070</v>
      </c>
      <c r="F292" t="s">
        <v>729</v>
      </c>
      <c r="G292" t="s">
        <v>736</v>
      </c>
      <c r="I292">
        <v>172925</v>
      </c>
      <c r="J292">
        <v>272383</v>
      </c>
    </row>
    <row r="293" spans="1:10">
      <c r="A293" t="s">
        <v>737</v>
      </c>
      <c r="B293" t="s">
        <v>738</v>
      </c>
      <c r="C293" s="20">
        <v>242634</v>
      </c>
      <c r="F293" t="s">
        <v>731</v>
      </c>
      <c r="G293" t="s">
        <v>738</v>
      </c>
      <c r="I293">
        <v>247893</v>
      </c>
      <c r="J293">
        <v>415441</v>
      </c>
    </row>
    <row r="294" spans="1:10">
      <c r="A294" t="s">
        <v>739</v>
      </c>
      <c r="B294" t="s">
        <v>740</v>
      </c>
      <c r="C294" s="20">
        <v>176440</v>
      </c>
      <c r="F294" t="s">
        <v>733</v>
      </c>
      <c r="G294" t="s">
        <v>740</v>
      </c>
      <c r="I294">
        <v>186295</v>
      </c>
      <c r="J294">
        <v>314550</v>
      </c>
    </row>
    <row r="295" spans="1:10">
      <c r="A295" t="s">
        <v>741</v>
      </c>
      <c r="B295" t="s">
        <v>742</v>
      </c>
      <c r="C295" s="20">
        <v>148392</v>
      </c>
      <c r="F295" t="s">
        <v>735</v>
      </c>
      <c r="G295" t="s">
        <v>742</v>
      </c>
      <c r="I295">
        <v>159095</v>
      </c>
      <c r="J295">
        <v>239771</v>
      </c>
    </row>
    <row r="296" spans="1:10">
      <c r="A296" t="s">
        <v>743</v>
      </c>
      <c r="B296" t="s">
        <v>744</v>
      </c>
      <c r="C296" s="20">
        <v>146367</v>
      </c>
      <c r="F296" t="s">
        <v>737</v>
      </c>
      <c r="G296" t="s">
        <v>744</v>
      </c>
      <c r="I296">
        <v>149996</v>
      </c>
      <c r="J296">
        <v>200037</v>
      </c>
    </row>
    <row r="297" spans="1:10">
      <c r="A297" t="s">
        <v>745</v>
      </c>
      <c r="B297" t="s">
        <v>746</v>
      </c>
      <c r="C297" s="20">
        <v>322061</v>
      </c>
      <c r="F297" t="s">
        <v>739</v>
      </c>
      <c r="G297" t="s">
        <v>746</v>
      </c>
      <c r="I297">
        <v>347564</v>
      </c>
      <c r="J297">
        <v>455412</v>
      </c>
    </row>
    <row r="298" spans="1:10">
      <c r="A298" t="s">
        <v>747</v>
      </c>
      <c r="B298" t="s">
        <v>748</v>
      </c>
      <c r="C298" s="20">
        <v>83011</v>
      </c>
      <c r="F298" t="s">
        <v>741</v>
      </c>
      <c r="G298" t="s">
        <v>748</v>
      </c>
      <c r="I298">
        <v>64266</v>
      </c>
      <c r="J298">
        <v>52919</v>
      </c>
    </row>
    <row r="299" spans="1:10">
      <c r="A299" t="s">
        <v>749</v>
      </c>
      <c r="B299" t="s">
        <v>750</v>
      </c>
      <c r="C299" s="20">
        <v>38123</v>
      </c>
      <c r="F299" t="s">
        <v>743</v>
      </c>
      <c r="G299" t="s">
        <v>750</v>
      </c>
      <c r="I299">
        <v>38123</v>
      </c>
      <c r="J299">
        <v>81633</v>
      </c>
    </row>
    <row r="300" spans="1:10">
      <c r="A300" t="s">
        <v>751</v>
      </c>
      <c r="B300" t="s">
        <v>752</v>
      </c>
      <c r="C300" s="20">
        <v>279078</v>
      </c>
      <c r="F300" t="s">
        <v>745</v>
      </c>
      <c r="G300" t="s">
        <v>752</v>
      </c>
      <c r="I300">
        <v>305602</v>
      </c>
      <c r="J300">
        <v>540845</v>
      </c>
    </row>
    <row r="301" spans="1:10">
      <c r="A301" t="s">
        <v>753</v>
      </c>
      <c r="B301" t="s">
        <v>754</v>
      </c>
      <c r="C301" s="20">
        <v>227964</v>
      </c>
      <c r="F301" t="s">
        <v>747</v>
      </c>
      <c r="G301" t="s">
        <v>754</v>
      </c>
      <c r="I301">
        <v>231482</v>
      </c>
      <c r="J301">
        <v>344219</v>
      </c>
    </row>
    <row r="302" spans="1:10">
      <c r="A302" t="s">
        <v>755</v>
      </c>
      <c r="B302" t="s">
        <v>756</v>
      </c>
      <c r="C302" s="20">
        <v>230215</v>
      </c>
      <c r="F302" t="s">
        <v>749</v>
      </c>
      <c r="G302" t="s">
        <v>756</v>
      </c>
      <c r="I302">
        <v>228827</v>
      </c>
      <c r="J302">
        <v>310953</v>
      </c>
    </row>
    <row r="303" spans="1:10">
      <c r="A303" t="s">
        <v>757</v>
      </c>
      <c r="B303" t="s">
        <v>758</v>
      </c>
      <c r="C303" s="20">
        <v>140227</v>
      </c>
      <c r="F303" t="s">
        <v>751</v>
      </c>
      <c r="G303" t="s">
        <v>758</v>
      </c>
      <c r="I303">
        <v>134176</v>
      </c>
      <c r="J303">
        <v>200886</v>
      </c>
    </row>
    <row r="304" spans="1:10">
      <c r="A304" t="s">
        <v>759</v>
      </c>
      <c r="B304" t="s">
        <v>760</v>
      </c>
      <c r="C304" s="20">
        <v>101522</v>
      </c>
      <c r="F304" t="s">
        <v>753</v>
      </c>
      <c r="G304" t="s">
        <v>760</v>
      </c>
      <c r="I304">
        <v>104216</v>
      </c>
      <c r="J304">
        <v>150136</v>
      </c>
    </row>
    <row r="305" spans="1:10">
      <c r="A305" t="s">
        <v>761</v>
      </c>
      <c r="B305" t="s">
        <v>762</v>
      </c>
      <c r="C305" s="20">
        <v>92474</v>
      </c>
      <c r="F305" t="s">
        <v>755</v>
      </c>
      <c r="G305" t="s">
        <v>762</v>
      </c>
      <c r="I305">
        <v>93833</v>
      </c>
      <c r="J305">
        <v>156311</v>
      </c>
    </row>
    <row r="306" spans="1:10">
      <c r="A306" t="s">
        <v>763</v>
      </c>
      <c r="B306" t="s">
        <v>764</v>
      </c>
      <c r="C306" s="20">
        <v>137915</v>
      </c>
      <c r="F306" t="s">
        <v>757</v>
      </c>
      <c r="G306" t="s">
        <v>764</v>
      </c>
      <c r="I306">
        <v>138374</v>
      </c>
      <c r="J306">
        <v>173222</v>
      </c>
    </row>
    <row r="307" spans="1:10">
      <c r="A307" t="s">
        <v>765</v>
      </c>
      <c r="B307" t="s">
        <v>766</v>
      </c>
      <c r="C307" s="20">
        <v>229646</v>
      </c>
      <c r="F307" t="s">
        <v>759</v>
      </c>
      <c r="G307" t="s">
        <v>766</v>
      </c>
      <c r="I307">
        <v>235988</v>
      </c>
      <c r="J307">
        <v>634089</v>
      </c>
    </row>
    <row r="308" spans="1:10">
      <c r="A308" t="s">
        <v>767</v>
      </c>
      <c r="B308" t="s">
        <v>768</v>
      </c>
      <c r="C308" s="20">
        <v>57722</v>
      </c>
      <c r="F308" t="s">
        <v>761</v>
      </c>
      <c r="G308" t="s">
        <v>768</v>
      </c>
      <c r="I308">
        <v>58468</v>
      </c>
      <c r="J308">
        <v>79691</v>
      </c>
    </row>
    <row r="309" spans="1:10">
      <c r="A309" t="s">
        <v>769</v>
      </c>
      <c r="B309" t="s">
        <v>770</v>
      </c>
      <c r="C309" s="20">
        <v>35581</v>
      </c>
      <c r="F309" t="s">
        <v>763</v>
      </c>
      <c r="G309" t="s">
        <v>770</v>
      </c>
      <c r="I309">
        <v>38066</v>
      </c>
      <c r="J309">
        <v>33057</v>
      </c>
    </row>
    <row r="310" spans="1:10">
      <c r="A310" t="s">
        <v>771</v>
      </c>
      <c r="B310" t="s">
        <v>772</v>
      </c>
      <c r="C310" s="20">
        <v>43933</v>
      </c>
      <c r="F310" t="s">
        <v>765</v>
      </c>
      <c r="G310" t="s">
        <v>772</v>
      </c>
      <c r="I310">
        <v>44558</v>
      </c>
      <c r="J310">
        <v>50302</v>
      </c>
    </row>
    <row r="311" spans="1:10">
      <c r="A311" t="s">
        <v>773</v>
      </c>
      <c r="B311" t="s">
        <v>774</v>
      </c>
      <c r="C311" s="20">
        <v>68922</v>
      </c>
      <c r="F311" t="s">
        <v>767</v>
      </c>
      <c r="G311" t="s">
        <v>774</v>
      </c>
      <c r="I311">
        <v>68398</v>
      </c>
      <c r="J311">
        <v>99242</v>
      </c>
    </row>
    <row r="312" spans="1:10">
      <c r="A312" t="s">
        <v>775</v>
      </c>
      <c r="B312" t="s">
        <v>776</v>
      </c>
      <c r="C312" s="20">
        <v>211318</v>
      </c>
      <c r="F312" t="s">
        <v>769</v>
      </c>
      <c r="G312" t="s">
        <v>776</v>
      </c>
      <c r="I312">
        <v>220666</v>
      </c>
      <c r="J312">
        <v>311313</v>
      </c>
    </row>
    <row r="313" spans="1:10">
      <c r="A313" t="s">
        <v>777</v>
      </c>
      <c r="B313" t="s">
        <v>778</v>
      </c>
      <c r="C313" s="20">
        <v>82025</v>
      </c>
      <c r="F313" t="s">
        <v>771</v>
      </c>
      <c r="G313" t="s">
        <v>778</v>
      </c>
      <c r="I313">
        <v>82483</v>
      </c>
      <c r="J313">
        <v>91781</v>
      </c>
    </row>
    <row r="314" spans="1:10">
      <c r="A314" t="s">
        <v>779</v>
      </c>
      <c r="B314" t="s">
        <v>780</v>
      </c>
      <c r="C314" s="20">
        <v>47194</v>
      </c>
      <c r="F314" t="s">
        <v>773</v>
      </c>
      <c r="G314" t="s">
        <v>780</v>
      </c>
      <c r="I314">
        <v>51721</v>
      </c>
      <c r="J314">
        <v>71454</v>
      </c>
    </row>
    <row r="315" spans="1:10">
      <c r="A315" t="s">
        <v>781</v>
      </c>
      <c r="B315" t="s">
        <v>782</v>
      </c>
      <c r="C315" s="20">
        <v>332550</v>
      </c>
      <c r="F315" t="s">
        <v>775</v>
      </c>
      <c r="G315" t="s">
        <v>782</v>
      </c>
      <c r="I315">
        <v>337243</v>
      </c>
      <c r="J315">
        <v>529782</v>
      </c>
    </row>
    <row r="316" spans="1:10">
      <c r="A316" t="s">
        <v>783</v>
      </c>
      <c r="B316" t="s">
        <v>784</v>
      </c>
      <c r="C316" s="20">
        <v>65769</v>
      </c>
      <c r="F316" t="s">
        <v>777</v>
      </c>
      <c r="G316" t="s">
        <v>784</v>
      </c>
      <c r="I316">
        <v>66925</v>
      </c>
      <c r="J316">
        <v>145630</v>
      </c>
    </row>
    <row r="317" spans="1:10">
      <c r="A317" t="s">
        <v>785</v>
      </c>
      <c r="B317" t="s">
        <v>786</v>
      </c>
      <c r="C317" s="20">
        <v>43699</v>
      </c>
      <c r="F317" t="s">
        <v>779</v>
      </c>
      <c r="G317" t="s">
        <v>786</v>
      </c>
      <c r="I317">
        <v>44193</v>
      </c>
      <c r="J317">
        <v>71201</v>
      </c>
    </row>
    <row r="318" spans="1:10">
      <c r="A318" t="s">
        <v>787</v>
      </c>
      <c r="B318" t="s">
        <v>788</v>
      </c>
      <c r="C318" s="20">
        <v>137453</v>
      </c>
      <c r="F318" t="s">
        <v>781</v>
      </c>
      <c r="G318" t="s">
        <v>788</v>
      </c>
      <c r="I318">
        <v>137816</v>
      </c>
      <c r="J318">
        <v>199196</v>
      </c>
    </row>
    <row r="319" spans="1:10">
      <c r="A319" t="s">
        <v>789</v>
      </c>
      <c r="B319" t="s">
        <v>790</v>
      </c>
      <c r="C319" s="20">
        <v>80430</v>
      </c>
      <c r="F319" t="s">
        <v>783</v>
      </c>
      <c r="G319" t="s">
        <v>790</v>
      </c>
      <c r="I319">
        <v>84185</v>
      </c>
      <c r="J319">
        <v>149965</v>
      </c>
    </row>
    <row r="320" spans="1:10">
      <c r="A320" t="s">
        <v>791</v>
      </c>
      <c r="B320" t="s">
        <v>792</v>
      </c>
      <c r="C320" s="20">
        <v>120074</v>
      </c>
      <c r="F320" t="s">
        <v>785</v>
      </c>
      <c r="G320" t="s">
        <v>792</v>
      </c>
      <c r="I320">
        <v>112236</v>
      </c>
      <c r="J320">
        <v>180304</v>
      </c>
    </row>
    <row r="321" spans="1:10">
      <c r="A321" t="s">
        <v>793</v>
      </c>
      <c r="B321" t="s">
        <v>794</v>
      </c>
      <c r="C321" s="20">
        <v>27110</v>
      </c>
      <c r="F321" t="s">
        <v>787</v>
      </c>
      <c r="G321" t="s">
        <v>794</v>
      </c>
      <c r="I321">
        <v>27303</v>
      </c>
      <c r="J321">
        <v>23519</v>
      </c>
    </row>
    <row r="322" spans="1:10">
      <c r="A322" t="s">
        <v>795</v>
      </c>
      <c r="B322" t="s">
        <v>796</v>
      </c>
      <c r="C322" s="20">
        <v>29340</v>
      </c>
      <c r="F322" t="s">
        <v>789</v>
      </c>
      <c r="G322" t="s">
        <v>796</v>
      </c>
      <c r="I322">
        <v>28826</v>
      </c>
      <c r="J322">
        <v>29045</v>
      </c>
    </row>
    <row r="323" spans="1:10">
      <c r="A323" t="s">
        <v>797</v>
      </c>
      <c r="B323" t="s">
        <v>798</v>
      </c>
      <c r="C323" s="20">
        <v>38375</v>
      </c>
      <c r="F323" t="s">
        <v>791</v>
      </c>
      <c r="G323" t="s">
        <v>798</v>
      </c>
      <c r="I323">
        <v>38137</v>
      </c>
      <c r="J323">
        <v>38081</v>
      </c>
    </row>
    <row r="324" spans="1:10">
      <c r="A324" t="s">
        <v>799</v>
      </c>
      <c r="B324" t="s">
        <v>800</v>
      </c>
      <c r="C324" s="20">
        <v>14438</v>
      </c>
      <c r="F324" t="s">
        <v>793</v>
      </c>
      <c r="G324" t="s">
        <v>800</v>
      </c>
      <c r="I324">
        <v>13170</v>
      </c>
      <c r="J324">
        <v>9261</v>
      </c>
    </row>
    <row r="325" spans="1:10">
      <c r="A325" t="s">
        <v>801</v>
      </c>
      <c r="B325" t="s">
        <v>802</v>
      </c>
      <c r="C325" s="20">
        <v>212383</v>
      </c>
      <c r="F325" t="s">
        <v>795</v>
      </c>
      <c r="G325" t="s">
        <v>802</v>
      </c>
      <c r="I325">
        <v>221339</v>
      </c>
      <c r="J325">
        <v>491909</v>
      </c>
    </row>
    <row r="326" spans="1:10">
      <c r="A326" t="s">
        <v>803</v>
      </c>
      <c r="B326" t="s">
        <v>804</v>
      </c>
      <c r="C326" s="20">
        <v>126697</v>
      </c>
      <c r="F326" t="s">
        <v>797</v>
      </c>
      <c r="G326" t="s">
        <v>804</v>
      </c>
      <c r="I326">
        <v>127224</v>
      </c>
      <c r="J326">
        <v>171228</v>
      </c>
    </row>
    <row r="327" spans="1:10">
      <c r="A327" t="s">
        <v>805</v>
      </c>
      <c r="B327" t="s">
        <v>806</v>
      </c>
      <c r="C327" s="20">
        <v>16643</v>
      </c>
      <c r="F327" t="s">
        <v>799</v>
      </c>
      <c r="G327" t="s">
        <v>806</v>
      </c>
      <c r="I327">
        <v>16359</v>
      </c>
      <c r="J327">
        <v>30835</v>
      </c>
    </row>
    <row r="328" spans="1:10">
      <c r="A328" t="s">
        <v>807</v>
      </c>
      <c r="B328" t="s">
        <v>808</v>
      </c>
      <c r="C328" s="20">
        <v>83920</v>
      </c>
      <c r="F328" t="s">
        <v>801</v>
      </c>
      <c r="G328" t="s">
        <v>808</v>
      </c>
      <c r="I328">
        <v>84301</v>
      </c>
      <c r="J328">
        <v>117996</v>
      </c>
    </row>
    <row r="329" spans="1:10">
      <c r="A329" t="s">
        <v>809</v>
      </c>
      <c r="B329" t="s">
        <v>810</v>
      </c>
      <c r="C329" s="20">
        <v>97373</v>
      </c>
      <c r="F329" t="s">
        <v>803</v>
      </c>
      <c r="G329" t="s">
        <v>810</v>
      </c>
      <c r="I329">
        <v>98392</v>
      </c>
      <c r="J329">
        <v>112553</v>
      </c>
    </row>
    <row r="330" spans="1:10">
      <c r="A330" t="s">
        <v>811</v>
      </c>
      <c r="B330" t="s">
        <v>812</v>
      </c>
      <c r="C330" s="20">
        <v>334092</v>
      </c>
      <c r="F330" t="s">
        <v>805</v>
      </c>
      <c r="G330" t="s">
        <v>812</v>
      </c>
      <c r="I330">
        <v>335408</v>
      </c>
      <c r="J330">
        <v>335108</v>
      </c>
    </row>
    <row r="331" spans="1:10">
      <c r="A331" t="s">
        <v>813</v>
      </c>
      <c r="B331" t="s">
        <v>814</v>
      </c>
      <c r="C331" s="20">
        <v>261627</v>
      </c>
      <c r="F331" t="s">
        <v>807</v>
      </c>
      <c r="G331" t="s">
        <v>814</v>
      </c>
      <c r="I331">
        <v>260333</v>
      </c>
      <c r="J331">
        <v>313841</v>
      </c>
    </row>
    <row r="332" spans="1:10">
      <c r="A332" t="s">
        <v>815</v>
      </c>
      <c r="B332" t="s">
        <v>816</v>
      </c>
      <c r="C332" s="20">
        <v>45066</v>
      </c>
      <c r="F332" t="s">
        <v>809</v>
      </c>
      <c r="G332" t="s">
        <v>816</v>
      </c>
      <c r="I332">
        <v>46164</v>
      </c>
      <c r="J332">
        <v>57664</v>
      </c>
    </row>
    <row r="333" spans="1:10">
      <c r="A333" t="s">
        <v>817</v>
      </c>
      <c r="B333" t="s">
        <v>818</v>
      </c>
      <c r="C333" s="20">
        <v>148620</v>
      </c>
      <c r="F333" t="s">
        <v>811</v>
      </c>
      <c r="G333" t="s">
        <v>818</v>
      </c>
      <c r="I333">
        <v>148039</v>
      </c>
      <c r="J333">
        <v>376498</v>
      </c>
    </row>
    <row r="334" spans="1:10">
      <c r="A334" t="s">
        <v>819</v>
      </c>
      <c r="B334" t="s">
        <v>820</v>
      </c>
      <c r="C334" s="20">
        <v>132937</v>
      </c>
      <c r="F334" t="s">
        <v>813</v>
      </c>
      <c r="G334" t="s">
        <v>820</v>
      </c>
      <c r="I334">
        <v>134075</v>
      </c>
      <c r="J334">
        <v>397037</v>
      </c>
    </row>
    <row r="335" spans="1:10">
      <c r="A335" t="s">
        <v>821</v>
      </c>
      <c r="B335" t="s">
        <v>822</v>
      </c>
      <c r="C335" s="20">
        <v>9245</v>
      </c>
      <c r="F335" t="s">
        <v>815</v>
      </c>
      <c r="G335" t="s">
        <v>822</v>
      </c>
      <c r="I335">
        <v>8406</v>
      </c>
      <c r="J335">
        <v>12780</v>
      </c>
    </row>
    <row r="336" spans="1:10">
      <c r="A336" t="s">
        <v>823</v>
      </c>
      <c r="B336" t="s">
        <v>824</v>
      </c>
      <c r="C336" s="20">
        <v>296293</v>
      </c>
      <c r="F336" t="s">
        <v>817</v>
      </c>
      <c r="G336" t="s">
        <v>824</v>
      </c>
      <c r="I336">
        <v>358207</v>
      </c>
      <c r="J336">
        <v>404175</v>
      </c>
    </row>
    <row r="337" spans="1:10">
      <c r="A337" t="s">
        <v>825</v>
      </c>
      <c r="B337" t="s">
        <v>826</v>
      </c>
      <c r="C337" s="20">
        <v>520425</v>
      </c>
      <c r="F337" t="s">
        <v>819</v>
      </c>
      <c r="G337" t="s">
        <v>826</v>
      </c>
      <c r="I337">
        <v>548035</v>
      </c>
      <c r="J337">
        <v>967571</v>
      </c>
    </row>
    <row r="338" spans="1:10">
      <c r="A338" t="s">
        <v>827</v>
      </c>
      <c r="B338" t="s">
        <v>828</v>
      </c>
      <c r="C338" s="20">
        <v>349439</v>
      </c>
      <c r="F338" t="s">
        <v>821</v>
      </c>
      <c r="G338" t="s">
        <v>828</v>
      </c>
      <c r="I338">
        <v>336547</v>
      </c>
      <c r="J338">
        <v>516511</v>
      </c>
    </row>
    <row r="339" spans="1:10">
      <c r="A339" t="s">
        <v>829</v>
      </c>
      <c r="B339" t="s">
        <v>830</v>
      </c>
      <c r="C339" s="20">
        <v>218793</v>
      </c>
      <c r="F339" t="s">
        <v>823</v>
      </c>
      <c r="G339" t="s">
        <v>830</v>
      </c>
      <c r="I339">
        <v>205540</v>
      </c>
      <c r="J339">
        <v>311891</v>
      </c>
    </row>
    <row r="340" spans="1:10">
      <c r="A340" t="s">
        <v>831</v>
      </c>
      <c r="B340" t="s">
        <v>832</v>
      </c>
      <c r="C340" s="20">
        <v>88034</v>
      </c>
      <c r="F340" t="s">
        <v>825</v>
      </c>
      <c r="G340" t="s">
        <v>832</v>
      </c>
      <c r="I340">
        <v>87124</v>
      </c>
      <c r="J340">
        <v>118329</v>
      </c>
    </row>
    <row r="341" spans="1:10">
      <c r="A341" t="s">
        <v>833</v>
      </c>
      <c r="B341" t="s">
        <v>834</v>
      </c>
      <c r="C341" s="20">
        <v>586732</v>
      </c>
      <c r="F341" t="s">
        <v>827</v>
      </c>
      <c r="G341" t="s">
        <v>834</v>
      </c>
      <c r="I341">
        <v>540911</v>
      </c>
      <c r="J341">
        <v>713607</v>
      </c>
    </row>
    <row r="342" spans="1:10">
      <c r="A342" t="s">
        <v>835</v>
      </c>
      <c r="B342" t="s">
        <v>836</v>
      </c>
      <c r="C342" s="20">
        <v>344723</v>
      </c>
      <c r="F342" t="s">
        <v>829</v>
      </c>
      <c r="G342" t="s">
        <v>836</v>
      </c>
      <c r="I342">
        <v>335288</v>
      </c>
      <c r="J342">
        <v>546294</v>
      </c>
    </row>
    <row r="343" spans="1:10">
      <c r="A343" t="s">
        <v>837</v>
      </c>
      <c r="B343" t="s">
        <v>838</v>
      </c>
      <c r="C343" s="20">
        <v>163544</v>
      </c>
      <c r="F343" t="s">
        <v>831</v>
      </c>
      <c r="G343" t="s">
        <v>838</v>
      </c>
      <c r="I343">
        <v>165114</v>
      </c>
      <c r="J343">
        <v>205986</v>
      </c>
    </row>
    <row r="344" spans="1:10">
      <c r="A344" t="s">
        <v>839</v>
      </c>
      <c r="B344" t="s">
        <v>840</v>
      </c>
      <c r="C344" s="20">
        <v>1416584</v>
      </c>
      <c r="F344" t="s">
        <v>833</v>
      </c>
      <c r="G344" t="s">
        <v>840</v>
      </c>
      <c r="I344">
        <v>1430947</v>
      </c>
      <c r="J344">
        <v>2231384</v>
      </c>
    </row>
    <row r="345" spans="1:10">
      <c r="A345" t="s">
        <v>841</v>
      </c>
      <c r="B345" t="s">
        <v>842</v>
      </c>
      <c r="C345" s="20">
        <v>530391</v>
      </c>
      <c r="F345" t="s">
        <v>835</v>
      </c>
      <c r="G345" t="s">
        <v>842</v>
      </c>
      <c r="I345">
        <v>454101</v>
      </c>
      <c r="J345">
        <v>695935</v>
      </c>
    </row>
    <row r="346" spans="1:10">
      <c r="A346" t="s">
        <v>843</v>
      </c>
      <c r="B346" t="s">
        <v>844</v>
      </c>
      <c r="C346" s="20">
        <v>1123901</v>
      </c>
      <c r="F346" t="s">
        <v>837</v>
      </c>
      <c r="G346" t="s">
        <v>844</v>
      </c>
      <c r="I346">
        <v>1148792</v>
      </c>
      <c r="J346">
        <v>1970218</v>
      </c>
    </row>
    <row r="347" spans="1:10">
      <c r="A347" t="s">
        <v>845</v>
      </c>
      <c r="B347" t="s">
        <v>846</v>
      </c>
      <c r="C347" s="20">
        <v>61256</v>
      </c>
      <c r="F347" t="s">
        <v>839</v>
      </c>
      <c r="G347" t="s">
        <v>846</v>
      </c>
      <c r="I347">
        <v>62485</v>
      </c>
      <c r="J347">
        <v>99544</v>
      </c>
    </row>
    <row r="348" spans="1:10">
      <c r="A348" t="s">
        <v>847</v>
      </c>
      <c r="B348" t="s">
        <v>848</v>
      </c>
      <c r="C348" s="20">
        <v>77621</v>
      </c>
      <c r="F348" t="s">
        <v>841</v>
      </c>
      <c r="G348" t="s">
        <v>848</v>
      </c>
      <c r="I348">
        <v>87772</v>
      </c>
      <c r="J348">
        <v>138660</v>
      </c>
    </row>
    <row r="349" spans="1:10">
      <c r="A349" t="s">
        <v>849</v>
      </c>
      <c r="B349" t="s">
        <v>850</v>
      </c>
      <c r="C349" s="20">
        <v>29242</v>
      </c>
      <c r="F349" t="s">
        <v>843</v>
      </c>
      <c r="G349" t="s">
        <v>850</v>
      </c>
      <c r="I349">
        <v>29586</v>
      </c>
      <c r="J349">
        <v>38013</v>
      </c>
    </row>
    <row r="350" spans="1:10">
      <c r="A350" t="s">
        <v>851</v>
      </c>
      <c r="B350" t="s">
        <v>852</v>
      </c>
      <c r="C350" s="20">
        <v>161188</v>
      </c>
      <c r="F350" t="s">
        <v>845</v>
      </c>
      <c r="G350" t="s">
        <v>852</v>
      </c>
      <c r="I350">
        <v>156217</v>
      </c>
      <c r="J350">
        <v>378771</v>
      </c>
    </row>
    <row r="351" spans="1:10">
      <c r="A351" t="s">
        <v>853</v>
      </c>
      <c r="B351" t="s">
        <v>854</v>
      </c>
      <c r="C351" s="20">
        <v>331383</v>
      </c>
      <c r="F351" t="s">
        <v>847</v>
      </c>
      <c r="G351" t="s">
        <v>854</v>
      </c>
      <c r="I351">
        <v>329038</v>
      </c>
      <c r="J351">
        <v>447730</v>
      </c>
    </row>
    <row r="352" spans="1:10">
      <c r="A352" t="s">
        <v>855</v>
      </c>
      <c r="B352" t="s">
        <v>856</v>
      </c>
      <c r="C352" s="20">
        <v>155017</v>
      </c>
      <c r="F352" t="s">
        <v>849</v>
      </c>
      <c r="G352" t="s">
        <v>856</v>
      </c>
      <c r="I352">
        <v>138153</v>
      </c>
      <c r="J352">
        <v>270514</v>
      </c>
    </row>
    <row r="353" spans="1:10">
      <c r="A353" t="s">
        <v>857</v>
      </c>
      <c r="B353" t="s">
        <v>858</v>
      </c>
      <c r="C353" s="20">
        <v>163308</v>
      </c>
      <c r="F353" t="s">
        <v>851</v>
      </c>
      <c r="G353" t="s">
        <v>858</v>
      </c>
      <c r="I353">
        <v>210536</v>
      </c>
      <c r="J353">
        <v>364100</v>
      </c>
    </row>
    <row r="354" spans="1:10">
      <c r="A354" t="s">
        <v>859</v>
      </c>
      <c r="B354" t="s">
        <v>860</v>
      </c>
      <c r="C354" s="20">
        <v>63364</v>
      </c>
      <c r="F354" t="s">
        <v>853</v>
      </c>
      <c r="G354" t="s">
        <v>860</v>
      </c>
      <c r="I354">
        <v>52863</v>
      </c>
      <c r="J354">
        <v>71562</v>
      </c>
    </row>
    <row r="355" spans="1:10">
      <c r="A355" t="s">
        <v>861</v>
      </c>
      <c r="B355" t="s">
        <v>862</v>
      </c>
      <c r="C355" s="20">
        <v>193482</v>
      </c>
      <c r="F355" t="s">
        <v>855</v>
      </c>
      <c r="G355" t="s">
        <v>862</v>
      </c>
      <c r="I355">
        <v>174056</v>
      </c>
      <c r="J355">
        <v>240376</v>
      </c>
    </row>
    <row r="356" spans="1:10">
      <c r="A356" t="s">
        <v>863</v>
      </c>
      <c r="B356" t="s">
        <v>864</v>
      </c>
      <c r="C356" s="20">
        <v>311584</v>
      </c>
      <c r="F356" t="s">
        <v>857</v>
      </c>
      <c r="G356" t="s">
        <v>864</v>
      </c>
      <c r="I356">
        <v>310846</v>
      </c>
      <c r="J356">
        <v>459481</v>
      </c>
    </row>
    <row r="357" spans="1:10">
      <c r="A357" t="s">
        <v>865</v>
      </c>
      <c r="B357" t="s">
        <v>866</v>
      </c>
      <c r="C357" s="20">
        <v>232966</v>
      </c>
      <c r="F357" t="s">
        <v>859</v>
      </c>
      <c r="G357" t="s">
        <v>866</v>
      </c>
      <c r="I357">
        <v>232610</v>
      </c>
      <c r="J357">
        <v>381325</v>
      </c>
    </row>
    <row r="358" spans="1:10">
      <c r="A358" t="s">
        <v>867</v>
      </c>
      <c r="B358" t="s">
        <v>868</v>
      </c>
      <c r="C358" s="20">
        <v>49844</v>
      </c>
      <c r="F358" t="s">
        <v>861</v>
      </c>
      <c r="G358" t="s">
        <v>868</v>
      </c>
      <c r="I358">
        <v>50454</v>
      </c>
      <c r="J358">
        <v>83818</v>
      </c>
    </row>
    <row r="359" spans="1:10">
      <c r="A359" t="s">
        <v>869</v>
      </c>
      <c r="B359" t="s">
        <v>870</v>
      </c>
      <c r="C359" s="20">
        <v>202086</v>
      </c>
      <c r="F359" t="s">
        <v>863</v>
      </c>
      <c r="G359" t="s">
        <v>870</v>
      </c>
      <c r="I359">
        <v>212382</v>
      </c>
      <c r="J359">
        <v>484513</v>
      </c>
    </row>
    <row r="360" spans="1:10">
      <c r="A360" t="s">
        <v>871</v>
      </c>
      <c r="B360" t="s">
        <v>872</v>
      </c>
      <c r="C360" s="20">
        <v>125875</v>
      </c>
      <c r="F360" t="s">
        <v>865</v>
      </c>
      <c r="G360" t="s">
        <v>872</v>
      </c>
      <c r="I360">
        <v>118382</v>
      </c>
      <c r="J360">
        <v>201158</v>
      </c>
    </row>
    <row r="361" spans="1:10">
      <c r="A361" t="s">
        <v>873</v>
      </c>
      <c r="B361" t="s">
        <v>874</v>
      </c>
      <c r="C361" s="20">
        <v>33044</v>
      </c>
      <c r="F361" t="s">
        <v>867</v>
      </c>
      <c r="G361" t="s">
        <v>874</v>
      </c>
      <c r="I361">
        <v>33458</v>
      </c>
      <c r="J361">
        <v>58273</v>
      </c>
    </row>
    <row r="362" spans="1:10">
      <c r="A362" t="s">
        <v>875</v>
      </c>
      <c r="B362" t="s">
        <v>876</v>
      </c>
      <c r="C362" s="20">
        <v>11848</v>
      </c>
      <c r="F362" t="s">
        <v>869</v>
      </c>
      <c r="G362" t="s">
        <v>876</v>
      </c>
      <c r="I362">
        <v>12049</v>
      </c>
      <c r="J362">
        <v>18010</v>
      </c>
    </row>
    <row r="363" spans="1:10">
      <c r="A363" t="s">
        <v>877</v>
      </c>
      <c r="B363" t="s">
        <v>878</v>
      </c>
      <c r="C363" s="20">
        <v>36577</v>
      </c>
      <c r="F363" t="s">
        <v>871</v>
      </c>
      <c r="G363" t="s">
        <v>878</v>
      </c>
      <c r="I363">
        <v>36325</v>
      </c>
      <c r="J363">
        <v>71809</v>
      </c>
    </row>
    <row r="364" spans="1:10">
      <c r="A364" t="s">
        <v>879</v>
      </c>
      <c r="B364" t="s">
        <v>880</v>
      </c>
      <c r="C364" s="20">
        <v>88795</v>
      </c>
      <c r="F364" t="s">
        <v>873</v>
      </c>
      <c r="G364" t="s">
        <v>880</v>
      </c>
      <c r="I364">
        <v>83542</v>
      </c>
      <c r="J364">
        <v>146872</v>
      </c>
    </row>
    <row r="365" spans="1:10">
      <c r="A365" t="s">
        <v>881</v>
      </c>
      <c r="B365" t="s">
        <v>882</v>
      </c>
      <c r="C365" s="20">
        <v>561730</v>
      </c>
      <c r="F365" t="s">
        <v>875</v>
      </c>
      <c r="G365" t="s">
        <v>882</v>
      </c>
      <c r="I365">
        <v>542310</v>
      </c>
      <c r="J365">
        <v>784243</v>
      </c>
    </row>
    <row r="366" spans="1:10">
      <c r="A366" t="s">
        <v>883</v>
      </c>
      <c r="B366" t="s">
        <v>884</v>
      </c>
      <c r="C366" s="20">
        <v>330772</v>
      </c>
      <c r="F366" t="s">
        <v>877</v>
      </c>
      <c r="G366" t="s">
        <v>884</v>
      </c>
      <c r="I366">
        <v>326227</v>
      </c>
      <c r="J366">
        <v>495637</v>
      </c>
    </row>
    <row r="367" spans="1:10">
      <c r="A367" t="s">
        <v>885</v>
      </c>
      <c r="B367" t="s">
        <v>886</v>
      </c>
      <c r="C367" s="20">
        <v>171767</v>
      </c>
      <c r="F367" t="s">
        <v>879</v>
      </c>
      <c r="G367" t="s">
        <v>886</v>
      </c>
      <c r="I367">
        <v>172023</v>
      </c>
      <c r="J367">
        <v>331749</v>
      </c>
    </row>
    <row r="368" spans="1:10">
      <c r="A368" t="s">
        <v>887</v>
      </c>
      <c r="B368" t="s">
        <v>888</v>
      </c>
      <c r="C368" s="20">
        <v>56592</v>
      </c>
      <c r="F368" t="s">
        <v>881</v>
      </c>
      <c r="G368" t="s">
        <v>888</v>
      </c>
      <c r="I368">
        <v>59238</v>
      </c>
      <c r="J368">
        <v>99273</v>
      </c>
    </row>
    <row r="369" spans="1:10">
      <c r="A369" t="s">
        <v>889</v>
      </c>
      <c r="B369" t="s">
        <v>890</v>
      </c>
      <c r="C369" s="20">
        <v>28243</v>
      </c>
      <c r="F369" t="s">
        <v>883</v>
      </c>
      <c r="G369" t="s">
        <v>890</v>
      </c>
      <c r="I369">
        <v>28031</v>
      </c>
      <c r="J369">
        <v>34980</v>
      </c>
    </row>
    <row r="370" spans="1:10">
      <c r="A370" t="s">
        <v>891</v>
      </c>
      <c r="B370" t="s">
        <v>892</v>
      </c>
      <c r="C370" s="20">
        <v>71905</v>
      </c>
      <c r="F370" t="s">
        <v>885</v>
      </c>
      <c r="G370" t="s">
        <v>892</v>
      </c>
      <c r="I370">
        <v>72525</v>
      </c>
      <c r="J370">
        <v>99405</v>
      </c>
    </row>
    <row r="371" spans="1:10">
      <c r="A371" t="s">
        <v>893</v>
      </c>
      <c r="B371" t="s">
        <v>894</v>
      </c>
      <c r="C371" s="20">
        <v>44806</v>
      </c>
      <c r="F371" t="s">
        <v>887</v>
      </c>
      <c r="G371" t="s">
        <v>894</v>
      </c>
      <c r="I371">
        <v>46550</v>
      </c>
      <c r="J371">
        <v>92353</v>
      </c>
    </row>
    <row r="372" spans="1:10">
      <c r="A372" t="s">
        <v>895</v>
      </c>
      <c r="B372" t="s">
        <v>896</v>
      </c>
      <c r="C372" s="20">
        <v>56610</v>
      </c>
      <c r="F372" t="s">
        <v>889</v>
      </c>
      <c r="G372" t="s">
        <v>896</v>
      </c>
      <c r="I372">
        <v>55133</v>
      </c>
      <c r="J372">
        <v>83256</v>
      </c>
    </row>
    <row r="373" spans="1:10">
      <c r="A373" t="s">
        <v>897</v>
      </c>
      <c r="B373" t="s">
        <v>898</v>
      </c>
      <c r="C373" s="20">
        <v>47162</v>
      </c>
      <c r="F373" t="s">
        <v>891</v>
      </c>
      <c r="G373" t="s">
        <v>898</v>
      </c>
      <c r="I373">
        <v>49513</v>
      </c>
      <c r="J373">
        <v>89400</v>
      </c>
    </row>
    <row r="374" spans="1:10">
      <c r="A374" t="s">
        <v>899</v>
      </c>
      <c r="B374" t="s">
        <v>900</v>
      </c>
      <c r="C374" s="20">
        <v>89811</v>
      </c>
      <c r="F374" t="s">
        <v>893</v>
      </c>
      <c r="G374" t="s">
        <v>900</v>
      </c>
      <c r="I374">
        <v>96436</v>
      </c>
      <c r="J374">
        <v>166856</v>
      </c>
    </row>
    <row r="375" spans="1:10">
      <c r="A375" t="s">
        <v>901</v>
      </c>
      <c r="B375" t="s">
        <v>902</v>
      </c>
      <c r="C375" s="20">
        <v>43618</v>
      </c>
      <c r="F375" t="s">
        <v>895</v>
      </c>
      <c r="G375" t="s">
        <v>902</v>
      </c>
      <c r="I375">
        <v>43715</v>
      </c>
      <c r="J375">
        <v>66721</v>
      </c>
    </row>
    <row r="376" spans="1:10">
      <c r="A376" t="s">
        <v>903</v>
      </c>
      <c r="B376" t="s">
        <v>904</v>
      </c>
      <c r="C376" s="20">
        <v>225344</v>
      </c>
      <c r="F376" t="s">
        <v>897</v>
      </c>
      <c r="G376" t="s">
        <v>904</v>
      </c>
      <c r="I376">
        <v>225935</v>
      </c>
      <c r="J376">
        <v>278956</v>
      </c>
    </row>
    <row r="377" spans="1:10">
      <c r="A377" t="s">
        <v>905</v>
      </c>
      <c r="B377" t="s">
        <v>906</v>
      </c>
      <c r="C377" s="20">
        <v>72133</v>
      </c>
      <c r="F377" t="s">
        <v>899</v>
      </c>
      <c r="G377" t="s">
        <v>906</v>
      </c>
      <c r="I377">
        <v>70045</v>
      </c>
      <c r="J377">
        <v>127688</v>
      </c>
    </row>
    <row r="378" spans="1:10">
      <c r="A378" t="s">
        <v>907</v>
      </c>
      <c r="B378" t="s">
        <v>908</v>
      </c>
      <c r="C378" s="20">
        <v>465471</v>
      </c>
      <c r="F378" t="s">
        <v>901</v>
      </c>
      <c r="G378" t="s">
        <v>908</v>
      </c>
      <c r="I378">
        <v>456634</v>
      </c>
      <c r="J378">
        <v>657247</v>
      </c>
    </row>
    <row r="379" spans="1:10">
      <c r="A379" t="s">
        <v>909</v>
      </c>
      <c r="B379" t="s">
        <v>910</v>
      </c>
      <c r="C379" s="20">
        <v>116720</v>
      </c>
      <c r="F379" t="s">
        <v>903</v>
      </c>
      <c r="G379" t="s">
        <v>910</v>
      </c>
      <c r="I379">
        <v>117771</v>
      </c>
      <c r="J379">
        <v>173174</v>
      </c>
    </row>
    <row r="380" spans="1:10">
      <c r="A380" t="s">
        <v>911</v>
      </c>
      <c r="B380" t="s">
        <v>912</v>
      </c>
      <c r="C380" s="20">
        <v>99000</v>
      </c>
      <c r="F380" t="s">
        <v>905</v>
      </c>
      <c r="G380" t="s">
        <v>912</v>
      </c>
      <c r="I380">
        <v>96438</v>
      </c>
      <c r="J380">
        <v>163812</v>
      </c>
    </row>
    <row r="381" spans="1:10">
      <c r="A381" t="s">
        <v>913</v>
      </c>
      <c r="B381" t="s">
        <v>914</v>
      </c>
      <c r="C381" s="20">
        <v>110970</v>
      </c>
      <c r="F381" t="s">
        <v>907</v>
      </c>
      <c r="G381" t="s">
        <v>914</v>
      </c>
      <c r="I381">
        <v>127661</v>
      </c>
      <c r="J381">
        <v>229972</v>
      </c>
    </row>
    <row r="382" spans="1:10">
      <c r="A382" t="s">
        <v>915</v>
      </c>
      <c r="B382" t="s">
        <v>916</v>
      </c>
      <c r="C382" s="20">
        <v>53964</v>
      </c>
      <c r="F382" t="s">
        <v>909</v>
      </c>
      <c r="G382" t="s">
        <v>916</v>
      </c>
      <c r="I382">
        <v>51967</v>
      </c>
      <c r="J382">
        <v>70741</v>
      </c>
    </row>
    <row r="383" spans="1:10">
      <c r="A383" t="s">
        <v>917</v>
      </c>
      <c r="B383" t="s">
        <v>918</v>
      </c>
      <c r="C383" s="20">
        <v>75155</v>
      </c>
      <c r="F383" t="s">
        <v>911</v>
      </c>
      <c r="G383" t="s">
        <v>918</v>
      </c>
      <c r="I383">
        <v>75054</v>
      </c>
      <c r="J383">
        <v>131156</v>
      </c>
    </row>
    <row r="384" spans="1:10">
      <c r="A384" t="s">
        <v>919</v>
      </c>
      <c r="B384" t="s">
        <v>920</v>
      </c>
      <c r="C384" s="20">
        <v>35396</v>
      </c>
      <c r="F384" t="s">
        <v>913</v>
      </c>
      <c r="G384" t="s">
        <v>920</v>
      </c>
      <c r="I384">
        <v>33146</v>
      </c>
      <c r="J384">
        <v>48529</v>
      </c>
    </row>
    <row r="385" spans="1:10">
      <c r="A385" t="s">
        <v>921</v>
      </c>
      <c r="B385" t="s">
        <v>922</v>
      </c>
      <c r="C385" s="20">
        <v>813054</v>
      </c>
      <c r="F385" t="s">
        <v>915</v>
      </c>
      <c r="G385" t="s">
        <v>922</v>
      </c>
      <c r="I385">
        <v>789410</v>
      </c>
      <c r="J385">
        <v>1160859</v>
      </c>
    </row>
    <row r="386" spans="1:10">
      <c r="A386" t="s">
        <v>923</v>
      </c>
      <c r="B386" t="s">
        <v>924</v>
      </c>
      <c r="C386" s="20">
        <v>184319</v>
      </c>
      <c r="F386" t="s">
        <v>917</v>
      </c>
      <c r="G386" t="s">
        <v>924</v>
      </c>
      <c r="I386">
        <v>182302</v>
      </c>
      <c r="J386">
        <v>236970</v>
      </c>
    </row>
    <row r="387" spans="1:10">
      <c r="A387" t="s">
        <v>925</v>
      </c>
      <c r="B387" t="s">
        <v>926</v>
      </c>
      <c r="C387" s="20">
        <v>46401</v>
      </c>
      <c r="F387" t="s">
        <v>919</v>
      </c>
      <c r="G387" t="s">
        <v>926</v>
      </c>
      <c r="I387">
        <v>48733</v>
      </c>
      <c r="J387">
        <v>80133</v>
      </c>
    </row>
    <row r="388" spans="1:10">
      <c r="A388" t="s">
        <v>927</v>
      </c>
      <c r="B388" t="s">
        <v>928</v>
      </c>
      <c r="C388" s="20">
        <v>93433</v>
      </c>
      <c r="F388" t="s">
        <v>921</v>
      </c>
      <c r="G388" t="s">
        <v>928</v>
      </c>
      <c r="I388">
        <v>98363</v>
      </c>
      <c r="J388">
        <v>185873</v>
      </c>
    </row>
    <row r="389" spans="1:10">
      <c r="A389" t="s">
        <v>929</v>
      </c>
      <c r="B389" t="s">
        <v>930</v>
      </c>
      <c r="C389" s="20">
        <v>48681</v>
      </c>
      <c r="F389" t="s">
        <v>923</v>
      </c>
      <c r="G389" t="s">
        <v>930</v>
      </c>
      <c r="I389">
        <v>48467</v>
      </c>
      <c r="J389">
        <v>79919</v>
      </c>
    </row>
    <row r="390" spans="1:10">
      <c r="A390" t="s">
        <v>931</v>
      </c>
      <c r="B390" t="s">
        <v>932</v>
      </c>
      <c r="C390" s="20">
        <v>45458</v>
      </c>
      <c r="F390" t="s">
        <v>925</v>
      </c>
      <c r="G390" t="s">
        <v>932</v>
      </c>
      <c r="I390">
        <v>48581</v>
      </c>
      <c r="J390">
        <v>69079</v>
      </c>
    </row>
    <row r="391" spans="1:10">
      <c r="A391" t="s">
        <v>933</v>
      </c>
      <c r="B391" t="s">
        <v>934</v>
      </c>
      <c r="C391" s="20">
        <v>22884</v>
      </c>
      <c r="F391" t="s">
        <v>927</v>
      </c>
      <c r="G391" t="s">
        <v>934</v>
      </c>
      <c r="I391">
        <v>24414</v>
      </c>
      <c r="J391">
        <v>34863</v>
      </c>
    </row>
    <row r="392" spans="1:10">
      <c r="A392" t="s">
        <v>935</v>
      </c>
      <c r="B392" t="s">
        <v>936</v>
      </c>
      <c r="C392" s="20">
        <v>45096</v>
      </c>
      <c r="F392" t="s">
        <v>929</v>
      </c>
      <c r="G392" t="s">
        <v>936</v>
      </c>
      <c r="I392">
        <v>44981</v>
      </c>
      <c r="J392">
        <v>66863</v>
      </c>
    </row>
    <row r="393" spans="1:10">
      <c r="A393" t="s">
        <v>937</v>
      </c>
      <c r="B393" t="s">
        <v>938</v>
      </c>
      <c r="C393" s="20">
        <v>41997</v>
      </c>
      <c r="F393" t="s">
        <v>931</v>
      </c>
      <c r="G393" t="s">
        <v>938</v>
      </c>
      <c r="I393">
        <v>41576</v>
      </c>
      <c r="J393">
        <v>63657</v>
      </c>
    </row>
    <row r="394" spans="1:10">
      <c r="A394" t="s">
        <v>939</v>
      </c>
      <c r="B394" t="s">
        <v>940</v>
      </c>
      <c r="C394" s="20">
        <v>44265</v>
      </c>
      <c r="F394" t="s">
        <v>933</v>
      </c>
      <c r="G394" t="s">
        <v>940</v>
      </c>
      <c r="I394">
        <v>45609</v>
      </c>
      <c r="J394">
        <v>91530</v>
      </c>
    </row>
    <row r="395" spans="1:10">
      <c r="A395" t="s">
        <v>941</v>
      </c>
      <c r="B395" t="s">
        <v>942</v>
      </c>
      <c r="C395" s="20">
        <v>14730</v>
      </c>
      <c r="F395" t="s">
        <v>935</v>
      </c>
      <c r="G395" t="s">
        <v>942</v>
      </c>
      <c r="I395">
        <v>17509</v>
      </c>
      <c r="J395">
        <v>23965</v>
      </c>
    </row>
    <row r="396" spans="1:10">
      <c r="A396" t="s">
        <v>943</v>
      </c>
      <c r="B396" t="s">
        <v>944</v>
      </c>
      <c r="C396" s="20">
        <v>18301</v>
      </c>
      <c r="F396" t="s">
        <v>937</v>
      </c>
      <c r="G396" t="s">
        <v>944</v>
      </c>
      <c r="I396">
        <v>18596</v>
      </c>
      <c r="J396">
        <v>38248</v>
      </c>
    </row>
    <row r="397" spans="1:10">
      <c r="A397" t="s">
        <v>945</v>
      </c>
      <c r="B397" t="s">
        <v>946</v>
      </c>
      <c r="C397" s="20">
        <v>35926</v>
      </c>
      <c r="F397" t="s">
        <v>939</v>
      </c>
      <c r="G397" t="s">
        <v>946</v>
      </c>
      <c r="I397">
        <v>34976</v>
      </c>
      <c r="J397">
        <v>57083</v>
      </c>
    </row>
    <row r="398" spans="1:10">
      <c r="A398" t="s">
        <v>947</v>
      </c>
      <c r="B398" t="s">
        <v>948</v>
      </c>
      <c r="C398" s="20">
        <v>81758</v>
      </c>
      <c r="F398" t="s">
        <v>941</v>
      </c>
      <c r="G398" t="s">
        <v>948</v>
      </c>
      <c r="I398">
        <v>83961</v>
      </c>
      <c r="J398">
        <v>141501</v>
      </c>
    </row>
    <row r="399" spans="1:10">
      <c r="A399" t="s">
        <v>949</v>
      </c>
      <c r="B399" t="s">
        <v>950</v>
      </c>
      <c r="C399" s="20">
        <v>258628</v>
      </c>
      <c r="F399" t="s">
        <v>943</v>
      </c>
      <c r="G399" t="s">
        <v>950</v>
      </c>
      <c r="I399">
        <v>258602</v>
      </c>
      <c r="J399">
        <v>374518</v>
      </c>
    </row>
    <row r="400" spans="1:10">
      <c r="A400" t="s">
        <v>951</v>
      </c>
      <c r="B400" t="s">
        <v>952</v>
      </c>
      <c r="C400" s="20">
        <v>336211</v>
      </c>
      <c r="F400" t="s">
        <v>945</v>
      </c>
      <c r="G400" t="s">
        <v>952</v>
      </c>
      <c r="I400">
        <v>338913</v>
      </c>
      <c r="J400">
        <v>582648</v>
      </c>
    </row>
    <row r="401" spans="1:10">
      <c r="A401" t="s">
        <v>953</v>
      </c>
      <c r="B401" t="s">
        <v>954</v>
      </c>
      <c r="C401" s="20">
        <v>303694</v>
      </c>
      <c r="F401" t="s">
        <v>947</v>
      </c>
      <c r="G401" t="s">
        <v>954</v>
      </c>
      <c r="I401">
        <v>303187</v>
      </c>
      <c r="J401">
        <v>549518</v>
      </c>
    </row>
    <row r="402" spans="1:10">
      <c r="A402" t="s">
        <v>955</v>
      </c>
      <c r="B402" t="s">
        <v>956</v>
      </c>
      <c r="C402" s="20">
        <v>98573</v>
      </c>
      <c r="F402" t="s">
        <v>949</v>
      </c>
      <c r="G402" t="s">
        <v>956</v>
      </c>
      <c r="I402">
        <v>97187</v>
      </c>
      <c r="J402">
        <v>164189</v>
      </c>
    </row>
    <row r="403" spans="1:10">
      <c r="A403" t="s">
        <v>957</v>
      </c>
      <c r="B403" t="s">
        <v>958</v>
      </c>
      <c r="C403" s="20">
        <v>120747</v>
      </c>
      <c r="F403" t="s">
        <v>951</v>
      </c>
      <c r="G403" t="s">
        <v>958</v>
      </c>
      <c r="I403">
        <v>120275</v>
      </c>
      <c r="J403">
        <v>213668</v>
      </c>
    </row>
    <row r="404" spans="1:10">
      <c r="A404" t="s">
        <v>959</v>
      </c>
      <c r="B404" t="s">
        <v>960</v>
      </c>
      <c r="C404" s="20">
        <v>22166</v>
      </c>
      <c r="F404" t="s">
        <v>953</v>
      </c>
      <c r="G404" t="s">
        <v>960</v>
      </c>
      <c r="I404">
        <v>22500</v>
      </c>
      <c r="J404">
        <v>26141</v>
      </c>
    </row>
    <row r="405" spans="1:10">
      <c r="A405" t="s">
        <v>961</v>
      </c>
      <c r="B405" t="s">
        <v>962</v>
      </c>
      <c r="C405" s="20">
        <v>37604</v>
      </c>
      <c r="F405" t="s">
        <v>955</v>
      </c>
      <c r="G405" t="s">
        <v>962</v>
      </c>
      <c r="I405">
        <v>39190</v>
      </c>
      <c r="J405">
        <v>58460</v>
      </c>
    </row>
    <row r="406" spans="1:10">
      <c r="A406" t="s">
        <v>963</v>
      </c>
      <c r="B406" t="s">
        <v>964</v>
      </c>
      <c r="C406" s="20">
        <v>22329</v>
      </c>
      <c r="F406" t="s">
        <v>957</v>
      </c>
      <c r="G406" t="s">
        <v>964</v>
      </c>
      <c r="I406">
        <v>22537</v>
      </c>
      <c r="J406">
        <v>36479</v>
      </c>
    </row>
    <row r="407" spans="1:10">
      <c r="A407" t="s">
        <v>965</v>
      </c>
      <c r="B407" t="s">
        <v>966</v>
      </c>
      <c r="C407" s="20">
        <v>80111</v>
      </c>
      <c r="F407" t="s">
        <v>959</v>
      </c>
      <c r="G407" t="s">
        <v>966</v>
      </c>
      <c r="I407">
        <v>75585</v>
      </c>
      <c r="J407">
        <v>111233</v>
      </c>
    </row>
    <row r="408" spans="1:10">
      <c r="A408" t="s">
        <v>967</v>
      </c>
      <c r="B408" t="s">
        <v>968</v>
      </c>
      <c r="C408" s="20">
        <v>20088</v>
      </c>
      <c r="F408" t="s">
        <v>961</v>
      </c>
      <c r="G408" t="s">
        <v>968</v>
      </c>
      <c r="I408">
        <v>21834</v>
      </c>
      <c r="J408">
        <v>27323</v>
      </c>
    </row>
    <row r="409" spans="1:10">
      <c r="A409" t="s">
        <v>969</v>
      </c>
      <c r="B409" t="s">
        <v>970</v>
      </c>
      <c r="C409" s="20">
        <v>28962</v>
      </c>
      <c r="F409" t="s">
        <v>963</v>
      </c>
      <c r="G409" t="s">
        <v>970</v>
      </c>
      <c r="I409">
        <v>28993</v>
      </c>
      <c r="J409">
        <v>37937</v>
      </c>
    </row>
    <row r="410" spans="1:10">
      <c r="A410" t="s">
        <v>971</v>
      </c>
      <c r="B410" t="s">
        <v>972</v>
      </c>
      <c r="C410" s="20">
        <v>62899</v>
      </c>
      <c r="F410" t="s">
        <v>965</v>
      </c>
      <c r="G410" t="s">
        <v>972</v>
      </c>
      <c r="I410">
        <v>62335</v>
      </c>
      <c r="J410">
        <v>127135</v>
      </c>
    </row>
    <row r="411" spans="1:10">
      <c r="A411" t="s">
        <v>973</v>
      </c>
      <c r="B411" t="s">
        <v>974</v>
      </c>
      <c r="C411" s="20">
        <v>93020</v>
      </c>
      <c r="F411" t="s">
        <v>967</v>
      </c>
      <c r="G411" t="s">
        <v>974</v>
      </c>
      <c r="I411">
        <v>94614</v>
      </c>
      <c r="J411">
        <v>117205</v>
      </c>
    </row>
    <row r="412" spans="1:10">
      <c r="A412" t="s">
        <v>975</v>
      </c>
      <c r="B412" t="s">
        <v>976</v>
      </c>
      <c r="C412" s="20">
        <v>57520</v>
      </c>
      <c r="F412" t="s">
        <v>969</v>
      </c>
      <c r="G412" t="s">
        <v>976</v>
      </c>
      <c r="I412">
        <v>55530</v>
      </c>
      <c r="J412">
        <v>98068</v>
      </c>
    </row>
    <row r="413" spans="1:10">
      <c r="A413" t="s">
        <v>977</v>
      </c>
      <c r="B413" t="s">
        <v>978</v>
      </c>
      <c r="C413" s="20">
        <v>75682</v>
      </c>
      <c r="F413" t="s">
        <v>971</v>
      </c>
      <c r="G413" t="s">
        <v>978</v>
      </c>
      <c r="I413">
        <v>85974</v>
      </c>
      <c r="J413">
        <v>137428</v>
      </c>
    </row>
    <row r="414" spans="1:10">
      <c r="A414" t="s">
        <v>979</v>
      </c>
      <c r="B414" t="s">
        <v>980</v>
      </c>
      <c r="C414" s="20">
        <v>21314</v>
      </c>
      <c r="F414" t="s">
        <v>973</v>
      </c>
      <c r="G414" t="s">
        <v>980</v>
      </c>
      <c r="I414">
        <v>21314</v>
      </c>
      <c r="J414">
        <v>25456</v>
      </c>
    </row>
    <row r="415" spans="1:10">
      <c r="A415" t="s">
        <v>981</v>
      </c>
      <c r="B415" t="s">
        <v>982</v>
      </c>
      <c r="C415" s="20">
        <v>613306</v>
      </c>
      <c r="F415" t="s">
        <v>975</v>
      </c>
      <c r="G415" t="s">
        <v>982</v>
      </c>
      <c r="I415">
        <v>610655</v>
      </c>
      <c r="J415">
        <v>825955</v>
      </c>
    </row>
    <row r="416" spans="1:10">
      <c r="A416" t="s">
        <v>983</v>
      </c>
      <c r="B416" t="s">
        <v>984</v>
      </c>
      <c r="C416" s="20">
        <v>390322</v>
      </c>
      <c r="F416" t="s">
        <v>977</v>
      </c>
      <c r="G416" t="s">
        <v>984</v>
      </c>
      <c r="I416">
        <v>389942</v>
      </c>
      <c r="J416">
        <v>593971</v>
      </c>
    </row>
    <row r="417" spans="1:10">
      <c r="A417" t="s">
        <v>985</v>
      </c>
      <c r="B417" t="s">
        <v>986</v>
      </c>
      <c r="C417" s="20">
        <v>62768</v>
      </c>
      <c r="F417" t="s">
        <v>979</v>
      </c>
      <c r="G417" t="s">
        <v>986</v>
      </c>
      <c r="I417">
        <v>69802</v>
      </c>
      <c r="J417">
        <v>79639</v>
      </c>
    </row>
    <row r="418" spans="1:10">
      <c r="A418" t="s">
        <v>987</v>
      </c>
      <c r="B418" t="s">
        <v>988</v>
      </c>
      <c r="C418" s="20">
        <v>13843</v>
      </c>
      <c r="F418" t="s">
        <v>981</v>
      </c>
      <c r="G418" t="s">
        <v>988</v>
      </c>
      <c r="I418">
        <v>14954</v>
      </c>
      <c r="J418">
        <v>20646</v>
      </c>
    </row>
    <row r="419" spans="1:10">
      <c r="A419" t="s">
        <v>989</v>
      </c>
      <c r="B419" t="s">
        <v>990</v>
      </c>
      <c r="C419" s="20">
        <v>17451</v>
      </c>
      <c r="F419" t="s">
        <v>983</v>
      </c>
      <c r="G419" t="s">
        <v>990</v>
      </c>
      <c r="I419">
        <v>13377</v>
      </c>
      <c r="J419">
        <v>9369</v>
      </c>
    </row>
    <row r="420" spans="1:10">
      <c r="A420" t="s">
        <v>991</v>
      </c>
      <c r="B420" t="s">
        <v>992</v>
      </c>
      <c r="C420" s="20">
        <v>974593</v>
      </c>
      <c r="F420" t="s">
        <v>985</v>
      </c>
      <c r="G420" t="s">
        <v>1209</v>
      </c>
      <c r="I420">
        <v>973945</v>
      </c>
      <c r="J420">
        <v>1377117</v>
      </c>
    </row>
    <row r="421" spans="1:10">
      <c r="A421" t="s">
        <v>993</v>
      </c>
      <c r="B421" t="s">
        <v>994</v>
      </c>
      <c r="C421" s="20">
        <v>286138</v>
      </c>
      <c r="F421" t="s">
        <v>987</v>
      </c>
      <c r="G421" t="s">
        <v>1210</v>
      </c>
      <c r="I421">
        <v>283634</v>
      </c>
      <c r="J421">
        <v>436174</v>
      </c>
    </row>
    <row r="422" spans="1:10">
      <c r="A422" t="s">
        <v>995</v>
      </c>
      <c r="B422" t="s">
        <v>996</v>
      </c>
      <c r="C422" s="20">
        <v>879668</v>
      </c>
      <c r="F422" t="s">
        <v>989</v>
      </c>
      <c r="G422" t="s">
        <v>1211</v>
      </c>
      <c r="I422">
        <v>882649</v>
      </c>
      <c r="J422">
        <v>1294734</v>
      </c>
    </row>
    <row r="423" spans="1:10">
      <c r="A423" t="s">
        <v>997</v>
      </c>
      <c r="B423" t="s">
        <v>998</v>
      </c>
      <c r="C423" s="20">
        <v>16399</v>
      </c>
      <c r="F423" t="s">
        <v>991</v>
      </c>
      <c r="G423" t="s">
        <v>998</v>
      </c>
      <c r="I423">
        <v>16507</v>
      </c>
      <c r="J423">
        <v>13862</v>
      </c>
    </row>
    <row r="424" spans="1:10">
      <c r="A424" t="s">
        <v>999</v>
      </c>
      <c r="B424" t="s">
        <v>1000</v>
      </c>
      <c r="C424" s="20">
        <v>62898</v>
      </c>
      <c r="F424" t="s">
        <v>993</v>
      </c>
      <c r="G424" t="s">
        <v>1000</v>
      </c>
      <c r="I424">
        <v>63575</v>
      </c>
      <c r="J424">
        <v>81163</v>
      </c>
    </row>
    <row r="425" spans="1:10">
      <c r="A425" t="s">
        <v>1001</v>
      </c>
      <c r="B425" t="s">
        <v>1002</v>
      </c>
      <c r="C425" s="20">
        <v>248131</v>
      </c>
      <c r="F425" t="s">
        <v>995</v>
      </c>
      <c r="G425" t="s">
        <v>1002</v>
      </c>
      <c r="I425">
        <v>252220</v>
      </c>
      <c r="J425">
        <v>364813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7AB43-A3E2-4166-9E1D-B701CDB77FA9}">
  <dimension ref="A1:N93"/>
  <sheetViews>
    <sheetView workbookViewId="0"/>
  </sheetViews>
  <sheetFormatPr defaultRowHeight="16.5"/>
  <cols>
    <col min="1" max="1" width="11.625" bestFit="1" customWidth="1"/>
    <col min="2" max="2" width="68.875" bestFit="1" customWidth="1"/>
    <col min="3" max="3" width="13.25" customWidth="1"/>
    <col min="4" max="4" width="21.625" customWidth="1"/>
    <col min="5" max="5" width="48" customWidth="1"/>
    <col min="6" max="6" width="24.25" customWidth="1"/>
    <col min="7" max="8" width="9" customWidth="1"/>
    <col min="10" max="10" width="68.875" bestFit="1" customWidth="1"/>
    <col min="11" max="11" width="13.25" bestFit="1" customWidth="1"/>
    <col min="12" max="12" width="21.625" bestFit="1" customWidth="1"/>
    <col min="13" max="13" width="48" bestFit="1" customWidth="1"/>
    <col min="14" max="14" width="24.25" bestFit="1" customWidth="1"/>
  </cols>
  <sheetData>
    <row r="1" spans="1:14">
      <c r="A1" s="1" t="s">
        <v>1105</v>
      </c>
      <c r="B1" s="1" t="s">
        <v>165</v>
      </c>
      <c r="I1">
        <v>2023</v>
      </c>
    </row>
    <row r="2" spans="1:14">
      <c r="A2" s="23" t="s">
        <v>170</v>
      </c>
      <c r="B2" s="23"/>
      <c r="C2" s="24" t="s">
        <v>125</v>
      </c>
      <c r="D2" s="24" t="s">
        <v>1106</v>
      </c>
      <c r="E2" s="24" t="s">
        <v>1108</v>
      </c>
      <c r="F2" s="24" t="s">
        <v>127</v>
      </c>
      <c r="I2" t="s">
        <v>170</v>
      </c>
      <c r="K2" s="24" t="s">
        <v>125</v>
      </c>
      <c r="L2" s="24" t="s">
        <v>1106</v>
      </c>
      <c r="M2" s="24" t="s">
        <v>1108</v>
      </c>
      <c r="N2" s="24" t="s">
        <v>127</v>
      </c>
    </row>
    <row r="3" spans="1:14">
      <c r="A3" t="s">
        <v>171</v>
      </c>
      <c r="B3" t="s">
        <v>1014</v>
      </c>
      <c r="C3" s="20">
        <v>18238301</v>
      </c>
      <c r="D3" s="20">
        <v>9709535</v>
      </c>
      <c r="E3" s="20">
        <v>1217959</v>
      </c>
      <c r="F3" s="20">
        <v>7310806</v>
      </c>
      <c r="I3" t="s">
        <v>171</v>
      </c>
      <c r="J3" t="s">
        <v>1014</v>
      </c>
      <c r="K3" s="20">
        <v>27720707</v>
      </c>
      <c r="L3" s="20">
        <v>14209568</v>
      </c>
      <c r="M3" s="20">
        <v>1790300</v>
      </c>
      <c r="N3" s="20">
        <v>11720838</v>
      </c>
    </row>
    <row r="4" spans="1:14">
      <c r="A4" t="s">
        <v>173</v>
      </c>
      <c r="B4" t="s">
        <v>1015</v>
      </c>
      <c r="C4" s="20">
        <v>15898859</v>
      </c>
      <c r="D4" s="20">
        <v>7863213</v>
      </c>
      <c r="E4" s="20">
        <v>1242490</v>
      </c>
      <c r="F4" s="20">
        <v>6793156</v>
      </c>
      <c r="I4" t="s">
        <v>173</v>
      </c>
      <c r="J4" t="s">
        <v>1015</v>
      </c>
      <c r="K4" s="20">
        <v>24615614</v>
      </c>
      <c r="L4" s="20">
        <v>11800620</v>
      </c>
      <c r="M4" s="20">
        <v>1838237</v>
      </c>
      <c r="N4" s="20">
        <v>10976756</v>
      </c>
    </row>
    <row r="5" spans="1:14">
      <c r="A5" t="s">
        <v>175</v>
      </c>
      <c r="B5" t="s">
        <v>1016</v>
      </c>
      <c r="C5" s="20">
        <v>182283</v>
      </c>
      <c r="D5" s="20">
        <v>50616</v>
      </c>
      <c r="E5" s="20">
        <v>2314</v>
      </c>
      <c r="F5" s="20">
        <v>129354</v>
      </c>
      <c r="I5" t="s">
        <v>175</v>
      </c>
      <c r="J5" t="s">
        <v>1016</v>
      </c>
      <c r="K5" s="20">
        <v>274177</v>
      </c>
      <c r="L5" s="20">
        <v>71495</v>
      </c>
      <c r="M5" s="20">
        <v>5949</v>
      </c>
      <c r="N5" s="20">
        <v>196734</v>
      </c>
    </row>
    <row r="6" spans="1:14">
      <c r="A6" t="s">
        <v>177</v>
      </c>
      <c r="B6" t="s">
        <v>1017</v>
      </c>
      <c r="C6" s="20">
        <v>147384</v>
      </c>
      <c r="D6" s="20">
        <v>27205</v>
      </c>
      <c r="E6" s="20">
        <v>789</v>
      </c>
      <c r="F6" s="20">
        <v>119390</v>
      </c>
      <c r="I6" t="s">
        <v>177</v>
      </c>
      <c r="J6" t="s">
        <v>1017</v>
      </c>
      <c r="K6" s="20">
        <v>222303</v>
      </c>
      <c r="L6" s="20">
        <v>37618</v>
      </c>
      <c r="M6" s="20">
        <v>3344</v>
      </c>
      <c r="N6" s="20">
        <v>181341</v>
      </c>
    </row>
    <row r="7" spans="1:14">
      <c r="A7" t="s">
        <v>179</v>
      </c>
      <c r="B7" t="s">
        <v>1018</v>
      </c>
      <c r="C7" s="20">
        <v>34899</v>
      </c>
      <c r="D7" s="20">
        <v>23410</v>
      </c>
      <c r="E7" s="20">
        <v>1525</v>
      </c>
      <c r="F7" s="20">
        <v>9964</v>
      </c>
      <c r="I7" t="s">
        <v>179</v>
      </c>
      <c r="J7" t="s">
        <v>1018</v>
      </c>
      <c r="K7" s="20">
        <v>51875</v>
      </c>
      <c r="L7" s="20">
        <v>33877</v>
      </c>
      <c r="M7" s="20">
        <v>2605</v>
      </c>
      <c r="N7" s="20">
        <v>15393</v>
      </c>
    </row>
    <row r="8" spans="1:14">
      <c r="A8" t="s">
        <v>181</v>
      </c>
      <c r="B8" t="s">
        <v>1019</v>
      </c>
      <c r="C8" s="20">
        <v>261774</v>
      </c>
      <c r="D8" s="20">
        <v>91867</v>
      </c>
      <c r="E8" s="20">
        <v>40072</v>
      </c>
      <c r="F8" s="20">
        <v>129835</v>
      </c>
      <c r="I8" t="s">
        <v>181</v>
      </c>
      <c r="J8" t="s">
        <v>1019</v>
      </c>
      <c r="K8" s="20">
        <v>411753</v>
      </c>
      <c r="L8" s="20">
        <v>87258</v>
      </c>
      <c r="M8" s="20">
        <v>60975</v>
      </c>
      <c r="N8" s="20">
        <v>263520</v>
      </c>
    </row>
    <row r="9" spans="1:14">
      <c r="A9" t="s">
        <v>183</v>
      </c>
      <c r="B9" s="21" t="s">
        <v>1020</v>
      </c>
      <c r="C9" s="20">
        <v>158231</v>
      </c>
      <c r="D9" s="20">
        <v>38814</v>
      </c>
      <c r="E9" s="20">
        <v>32690</v>
      </c>
      <c r="F9" s="20">
        <v>86727</v>
      </c>
      <c r="I9" t="s">
        <v>183</v>
      </c>
      <c r="J9" s="10" t="s">
        <v>1020</v>
      </c>
      <c r="K9" s="20">
        <v>257027</v>
      </c>
      <c r="L9" s="20">
        <v>29025</v>
      </c>
      <c r="M9" s="20">
        <v>49965</v>
      </c>
      <c r="N9" s="20">
        <v>178036</v>
      </c>
    </row>
    <row r="10" spans="1:14">
      <c r="A10" t="s">
        <v>185</v>
      </c>
      <c r="B10" s="21" t="s">
        <v>1021</v>
      </c>
      <c r="C10" s="20">
        <v>49994</v>
      </c>
      <c r="D10" s="20">
        <v>18055</v>
      </c>
      <c r="E10" s="20">
        <v>4968</v>
      </c>
      <c r="F10" s="20">
        <v>26971</v>
      </c>
      <c r="I10" t="s">
        <v>185</v>
      </c>
      <c r="J10" s="10" t="s">
        <v>1021</v>
      </c>
      <c r="K10" s="20">
        <v>83171</v>
      </c>
      <c r="L10" s="20">
        <v>22346</v>
      </c>
      <c r="M10" s="20">
        <v>8211</v>
      </c>
      <c r="N10" s="20">
        <v>52614</v>
      </c>
    </row>
    <row r="11" spans="1:14">
      <c r="A11" t="s">
        <v>187</v>
      </c>
      <c r="B11" t="s">
        <v>1022</v>
      </c>
      <c r="C11" s="20">
        <v>53550</v>
      </c>
      <c r="D11" s="20">
        <v>34998</v>
      </c>
      <c r="E11" s="20">
        <v>2415</v>
      </c>
      <c r="F11" s="20">
        <v>16137</v>
      </c>
      <c r="I11" t="s">
        <v>187</v>
      </c>
      <c r="J11" t="s">
        <v>1022</v>
      </c>
      <c r="K11" s="20">
        <v>71555</v>
      </c>
      <c r="L11" s="20">
        <v>35886</v>
      </c>
      <c r="M11" s="20">
        <v>2799</v>
      </c>
      <c r="N11" s="20">
        <v>32869</v>
      </c>
    </row>
    <row r="12" spans="1:14">
      <c r="A12" t="s">
        <v>189</v>
      </c>
      <c r="B12" s="21" t="s">
        <v>1023</v>
      </c>
      <c r="C12" s="20">
        <v>299232</v>
      </c>
      <c r="D12" s="20">
        <v>77628</v>
      </c>
      <c r="E12" s="20">
        <v>59011</v>
      </c>
      <c r="F12" s="20">
        <v>162593</v>
      </c>
      <c r="I12" t="s">
        <v>189</v>
      </c>
      <c r="J12" s="10" t="s">
        <v>1023</v>
      </c>
      <c r="K12" s="20">
        <v>446515</v>
      </c>
      <c r="L12" s="20">
        <v>97380</v>
      </c>
      <c r="M12" s="20">
        <v>79504</v>
      </c>
      <c r="N12" s="20">
        <v>269631</v>
      </c>
    </row>
    <row r="13" spans="1:14">
      <c r="A13" t="s">
        <v>191</v>
      </c>
      <c r="B13" t="s">
        <v>1024</v>
      </c>
      <c r="C13" s="20">
        <v>694943</v>
      </c>
      <c r="D13" s="20">
        <v>458477</v>
      </c>
      <c r="E13" s="20">
        <v>8976</v>
      </c>
      <c r="F13" s="20">
        <v>227490</v>
      </c>
      <c r="I13" t="s">
        <v>191</v>
      </c>
      <c r="J13" t="s">
        <v>1024</v>
      </c>
      <c r="K13" s="20">
        <v>1220566</v>
      </c>
      <c r="L13" s="20">
        <v>744011</v>
      </c>
      <c r="M13" s="20">
        <v>14696</v>
      </c>
      <c r="N13" s="20">
        <v>461859</v>
      </c>
    </row>
    <row r="14" spans="1:14">
      <c r="A14" t="s">
        <v>193</v>
      </c>
      <c r="B14" t="s">
        <v>1025</v>
      </c>
      <c r="C14" s="20">
        <v>2129592</v>
      </c>
      <c r="D14" s="20">
        <v>1006425</v>
      </c>
      <c r="E14" s="20">
        <v>85526</v>
      </c>
      <c r="F14" s="20">
        <v>1037641</v>
      </c>
      <c r="I14" t="s">
        <v>193</v>
      </c>
      <c r="J14" t="s">
        <v>1025</v>
      </c>
      <c r="K14" s="20">
        <v>2840447</v>
      </c>
      <c r="L14" s="20">
        <v>1324936</v>
      </c>
      <c r="M14" s="20">
        <v>106078</v>
      </c>
      <c r="N14" s="20">
        <v>1409433</v>
      </c>
    </row>
    <row r="15" spans="1:14">
      <c r="A15" t="s">
        <v>195</v>
      </c>
      <c r="B15" t="s">
        <v>1026</v>
      </c>
      <c r="C15" s="20">
        <v>1183755</v>
      </c>
      <c r="D15" s="20">
        <v>662696</v>
      </c>
      <c r="E15" s="20">
        <v>30260</v>
      </c>
      <c r="F15" s="20">
        <v>490800</v>
      </c>
      <c r="I15" t="s">
        <v>195</v>
      </c>
      <c r="J15" t="s">
        <v>1026</v>
      </c>
      <c r="K15" s="20">
        <v>1511940</v>
      </c>
      <c r="L15" s="20">
        <v>876626</v>
      </c>
      <c r="M15" s="20">
        <v>41425</v>
      </c>
      <c r="N15" s="20">
        <v>593890</v>
      </c>
    </row>
    <row r="16" spans="1:14">
      <c r="A16" t="s">
        <v>197</v>
      </c>
      <c r="B16" t="s">
        <v>1027</v>
      </c>
      <c r="C16" s="20">
        <v>32485</v>
      </c>
      <c r="D16" s="20">
        <v>20428</v>
      </c>
      <c r="E16" s="20">
        <v>704</v>
      </c>
      <c r="F16" s="20">
        <v>11353</v>
      </c>
      <c r="I16" t="s">
        <v>197</v>
      </c>
      <c r="J16" t="s">
        <v>1027</v>
      </c>
      <c r="K16" s="20">
        <v>62098</v>
      </c>
      <c r="L16" s="20">
        <v>31750</v>
      </c>
      <c r="M16" s="20">
        <v>1105</v>
      </c>
      <c r="N16" s="20">
        <v>29243</v>
      </c>
    </row>
    <row r="17" spans="1:14">
      <c r="A17" t="s">
        <v>198</v>
      </c>
      <c r="B17" s="21" t="s">
        <v>1028</v>
      </c>
      <c r="C17" s="20">
        <v>54661</v>
      </c>
      <c r="D17" s="20">
        <v>27080</v>
      </c>
      <c r="E17" s="20">
        <v>1446</v>
      </c>
      <c r="F17" s="20">
        <v>26135</v>
      </c>
      <c r="I17" t="s">
        <v>198</v>
      </c>
      <c r="J17" s="10" t="s">
        <v>1028</v>
      </c>
      <c r="K17" s="20">
        <v>76728</v>
      </c>
      <c r="L17" s="20">
        <v>37609</v>
      </c>
      <c r="M17" s="20">
        <v>2136</v>
      </c>
      <c r="N17" s="20">
        <v>36983</v>
      </c>
    </row>
    <row r="18" spans="1:14">
      <c r="A18" t="s">
        <v>200</v>
      </c>
      <c r="B18" s="21" t="s">
        <v>1029</v>
      </c>
      <c r="C18" s="20">
        <v>60066</v>
      </c>
      <c r="D18" s="20">
        <v>31636</v>
      </c>
      <c r="E18" s="20">
        <v>2483</v>
      </c>
      <c r="F18" s="20">
        <v>25947</v>
      </c>
      <c r="I18" t="s">
        <v>200</v>
      </c>
      <c r="J18" s="10" t="s">
        <v>1029</v>
      </c>
      <c r="K18" s="20">
        <v>83994</v>
      </c>
      <c r="L18" s="20">
        <v>40164</v>
      </c>
      <c r="M18" s="20">
        <v>3435</v>
      </c>
      <c r="N18" s="20">
        <v>40395</v>
      </c>
    </row>
    <row r="19" spans="1:14">
      <c r="A19" t="s">
        <v>202</v>
      </c>
      <c r="B19" t="s">
        <v>1030</v>
      </c>
      <c r="C19" s="20">
        <v>147361</v>
      </c>
      <c r="D19" s="20">
        <v>97092</v>
      </c>
      <c r="E19" s="20">
        <v>3374</v>
      </c>
      <c r="F19" s="20">
        <v>46896</v>
      </c>
      <c r="I19" t="s">
        <v>202</v>
      </c>
      <c r="J19" t="s">
        <v>1030</v>
      </c>
      <c r="K19" s="20">
        <v>188620</v>
      </c>
      <c r="L19" s="20">
        <v>122779</v>
      </c>
      <c r="M19" s="20">
        <v>4973</v>
      </c>
      <c r="N19" s="20">
        <v>60868</v>
      </c>
    </row>
    <row r="20" spans="1:14">
      <c r="A20" t="s">
        <v>204</v>
      </c>
      <c r="B20" t="s">
        <v>1031</v>
      </c>
      <c r="C20" s="20">
        <v>152472</v>
      </c>
      <c r="D20" s="20">
        <v>94664</v>
      </c>
      <c r="E20" s="20">
        <v>3548</v>
      </c>
      <c r="F20" s="20">
        <v>54260</v>
      </c>
      <c r="I20" t="s">
        <v>204</v>
      </c>
      <c r="J20" t="s">
        <v>1031</v>
      </c>
      <c r="K20" s="20">
        <v>200393</v>
      </c>
      <c r="L20" s="20">
        <v>116527</v>
      </c>
      <c r="M20" s="20">
        <v>4986</v>
      </c>
      <c r="N20" s="20">
        <v>78880</v>
      </c>
    </row>
    <row r="21" spans="1:14">
      <c r="A21" t="s">
        <v>206</v>
      </c>
      <c r="B21" t="s">
        <v>1032</v>
      </c>
      <c r="C21" s="20">
        <v>267323</v>
      </c>
      <c r="D21" s="20">
        <v>137529</v>
      </c>
      <c r="E21" s="20">
        <v>8570</v>
      </c>
      <c r="F21" s="20">
        <v>121224</v>
      </c>
      <c r="I21" t="s">
        <v>206</v>
      </c>
      <c r="J21" t="s">
        <v>1032</v>
      </c>
      <c r="K21" s="20">
        <v>308095</v>
      </c>
      <c r="L21" s="20">
        <v>197451</v>
      </c>
      <c r="M21" s="20">
        <v>11454</v>
      </c>
      <c r="N21" s="20">
        <v>99190</v>
      </c>
    </row>
    <row r="22" spans="1:14">
      <c r="A22" t="s">
        <v>208</v>
      </c>
      <c r="B22" t="s">
        <v>1033</v>
      </c>
      <c r="C22" s="20">
        <v>63631</v>
      </c>
      <c r="D22" s="20">
        <v>34671</v>
      </c>
      <c r="E22" s="20">
        <v>879</v>
      </c>
      <c r="F22" s="20">
        <v>28080</v>
      </c>
      <c r="I22" t="s">
        <v>208</v>
      </c>
      <c r="J22" t="s">
        <v>1033</v>
      </c>
      <c r="K22" s="20">
        <v>76111</v>
      </c>
      <c r="L22" s="20">
        <v>44972</v>
      </c>
      <c r="M22" s="20">
        <v>1228</v>
      </c>
      <c r="N22" s="20">
        <v>29911</v>
      </c>
    </row>
    <row r="23" spans="1:14">
      <c r="A23" t="s">
        <v>210</v>
      </c>
      <c r="B23" t="s">
        <v>1034</v>
      </c>
      <c r="C23" s="20">
        <v>146240</v>
      </c>
      <c r="D23" s="20">
        <v>69905</v>
      </c>
      <c r="E23" s="20">
        <v>3414</v>
      </c>
      <c r="F23" s="20">
        <v>72921</v>
      </c>
      <c r="I23" t="s">
        <v>210</v>
      </c>
      <c r="J23" t="s">
        <v>1034</v>
      </c>
      <c r="K23" s="20">
        <v>176408</v>
      </c>
      <c r="L23" s="20">
        <v>93737</v>
      </c>
      <c r="M23" s="20">
        <v>5052</v>
      </c>
      <c r="N23" s="20">
        <v>77619</v>
      </c>
    </row>
    <row r="24" spans="1:14">
      <c r="A24" t="s">
        <v>212</v>
      </c>
      <c r="B24" t="s">
        <v>1035</v>
      </c>
      <c r="C24" s="20">
        <v>149076</v>
      </c>
      <c r="D24" s="20">
        <v>77790</v>
      </c>
      <c r="E24" s="20">
        <v>2485</v>
      </c>
      <c r="F24" s="20">
        <v>68800</v>
      </c>
      <c r="I24" t="s">
        <v>212</v>
      </c>
      <c r="J24" t="s">
        <v>1035</v>
      </c>
      <c r="K24" s="20">
        <v>190302</v>
      </c>
      <c r="L24" s="20">
        <v>99450</v>
      </c>
      <c r="M24" s="20">
        <v>3977</v>
      </c>
      <c r="N24" s="20">
        <v>86875</v>
      </c>
    </row>
    <row r="25" spans="1:14">
      <c r="A25" t="s">
        <v>214</v>
      </c>
      <c r="B25" t="s">
        <v>1036</v>
      </c>
      <c r="C25" s="20">
        <v>29141</v>
      </c>
      <c r="D25" s="20">
        <v>20277</v>
      </c>
      <c r="E25" s="20">
        <v>387</v>
      </c>
      <c r="F25" s="20">
        <v>8477</v>
      </c>
      <c r="I25" t="s">
        <v>214</v>
      </c>
      <c r="J25" t="s">
        <v>1036</v>
      </c>
      <c r="K25" s="20">
        <v>32300</v>
      </c>
      <c r="L25" s="20">
        <v>24647</v>
      </c>
      <c r="M25" s="20">
        <v>569</v>
      </c>
      <c r="N25" s="20">
        <v>7084</v>
      </c>
    </row>
    <row r="26" spans="1:14">
      <c r="A26" t="s">
        <v>216</v>
      </c>
      <c r="B26" t="s">
        <v>1037</v>
      </c>
      <c r="C26" s="20">
        <v>81299</v>
      </c>
      <c r="D26" s="20">
        <v>51622</v>
      </c>
      <c r="E26" s="20">
        <v>2969</v>
      </c>
      <c r="F26" s="20">
        <v>26708</v>
      </c>
      <c r="I26" t="s">
        <v>216</v>
      </c>
      <c r="J26" t="s">
        <v>1037</v>
      </c>
      <c r="K26" s="20">
        <v>116892</v>
      </c>
      <c r="L26" s="20">
        <v>67539</v>
      </c>
      <c r="M26" s="20">
        <v>2511</v>
      </c>
      <c r="N26" s="20">
        <v>46842</v>
      </c>
    </row>
    <row r="27" spans="1:14">
      <c r="A27" t="s">
        <v>218</v>
      </c>
      <c r="B27" t="s">
        <v>1038</v>
      </c>
      <c r="C27" s="20">
        <v>945837</v>
      </c>
      <c r="D27" s="20">
        <v>343730</v>
      </c>
      <c r="E27" s="20">
        <v>55266</v>
      </c>
      <c r="F27" s="20">
        <v>546841</v>
      </c>
      <c r="I27" t="s">
        <v>218</v>
      </c>
      <c r="J27" t="s">
        <v>1038</v>
      </c>
      <c r="K27" s="20">
        <v>1328506</v>
      </c>
      <c r="L27" s="20">
        <v>448310</v>
      </c>
      <c r="M27" s="20">
        <v>64654</v>
      </c>
      <c r="N27" s="20">
        <v>815543</v>
      </c>
    </row>
    <row r="28" spans="1:14">
      <c r="A28" t="s">
        <v>220</v>
      </c>
      <c r="B28" t="s">
        <v>1039</v>
      </c>
      <c r="C28" s="20">
        <v>261724</v>
      </c>
      <c r="D28" s="20">
        <v>103480</v>
      </c>
      <c r="E28" s="20">
        <v>30122</v>
      </c>
      <c r="F28" s="20">
        <v>128122</v>
      </c>
      <c r="I28" t="s">
        <v>220</v>
      </c>
      <c r="J28" t="s">
        <v>1039</v>
      </c>
      <c r="K28" s="20">
        <v>335201</v>
      </c>
      <c r="L28" s="20">
        <v>152510</v>
      </c>
      <c r="M28" s="20">
        <v>28655</v>
      </c>
      <c r="N28" s="20">
        <v>154036</v>
      </c>
    </row>
    <row r="29" spans="1:14">
      <c r="A29" t="s">
        <v>222</v>
      </c>
      <c r="B29" t="s">
        <v>1040</v>
      </c>
      <c r="C29" s="20">
        <v>17936</v>
      </c>
      <c r="D29" s="20">
        <v>12017</v>
      </c>
      <c r="E29" s="20">
        <v>571</v>
      </c>
      <c r="F29" s="20">
        <v>5348</v>
      </c>
      <c r="I29" t="s">
        <v>222</v>
      </c>
      <c r="J29" t="s">
        <v>1040</v>
      </c>
      <c r="K29" s="20">
        <v>16997</v>
      </c>
      <c r="L29" s="20">
        <v>12619</v>
      </c>
      <c r="M29" s="20">
        <v>783</v>
      </c>
      <c r="N29" s="20">
        <v>3595</v>
      </c>
    </row>
    <row r="30" spans="1:14">
      <c r="A30" t="s">
        <v>224</v>
      </c>
      <c r="B30" t="s">
        <v>1041</v>
      </c>
      <c r="C30" s="20">
        <v>9694</v>
      </c>
      <c r="D30" s="20">
        <v>8174</v>
      </c>
      <c r="E30" s="20">
        <v>290</v>
      </c>
      <c r="F30" s="20">
        <v>1230</v>
      </c>
      <c r="I30" t="s">
        <v>224</v>
      </c>
      <c r="J30" t="s">
        <v>1041</v>
      </c>
      <c r="K30" s="20">
        <v>12426</v>
      </c>
      <c r="L30" s="20">
        <v>7939</v>
      </c>
      <c r="M30" s="20">
        <v>392</v>
      </c>
      <c r="N30" s="20">
        <v>4094</v>
      </c>
    </row>
    <row r="31" spans="1:14">
      <c r="A31" t="s">
        <v>226</v>
      </c>
      <c r="B31" t="s">
        <v>1042</v>
      </c>
      <c r="C31" s="20">
        <v>59668</v>
      </c>
      <c r="D31" s="20">
        <v>30172</v>
      </c>
      <c r="E31" s="20">
        <v>1736</v>
      </c>
      <c r="F31" s="20">
        <v>27760</v>
      </c>
      <c r="I31" t="s">
        <v>226</v>
      </c>
      <c r="J31" t="s">
        <v>1042</v>
      </c>
      <c r="K31" s="20">
        <v>74729</v>
      </c>
      <c r="L31" s="20">
        <v>35559</v>
      </c>
      <c r="M31" s="20">
        <v>2440</v>
      </c>
      <c r="N31" s="20">
        <v>36729</v>
      </c>
    </row>
    <row r="32" spans="1:14">
      <c r="A32" t="s">
        <v>228</v>
      </c>
      <c r="B32" t="s">
        <v>1043</v>
      </c>
      <c r="C32" s="20">
        <v>40211</v>
      </c>
      <c r="D32" s="20">
        <v>26028</v>
      </c>
      <c r="E32" s="20">
        <v>762</v>
      </c>
      <c r="F32" s="20">
        <v>13421</v>
      </c>
      <c r="I32" t="s">
        <v>228</v>
      </c>
      <c r="J32" t="s">
        <v>1043</v>
      </c>
      <c r="K32" s="20">
        <v>42860</v>
      </c>
      <c r="L32" s="20">
        <v>26732</v>
      </c>
      <c r="M32" s="20">
        <v>1025</v>
      </c>
      <c r="N32" s="20">
        <v>15103</v>
      </c>
    </row>
    <row r="33" spans="1:14">
      <c r="A33" t="s">
        <v>230</v>
      </c>
      <c r="B33" t="s">
        <v>1044</v>
      </c>
      <c r="C33" s="20">
        <v>145371</v>
      </c>
      <c r="D33" s="20">
        <v>19815</v>
      </c>
      <c r="E33" s="20">
        <v>3677</v>
      </c>
      <c r="F33" s="20">
        <v>121879</v>
      </c>
      <c r="I33" t="s">
        <v>230</v>
      </c>
      <c r="J33" t="s">
        <v>1044</v>
      </c>
      <c r="K33" s="20">
        <v>216782</v>
      </c>
      <c r="L33" s="20">
        <v>21465</v>
      </c>
      <c r="M33" s="20">
        <v>5398</v>
      </c>
      <c r="N33" s="20">
        <v>189919</v>
      </c>
    </row>
    <row r="34" spans="1:14">
      <c r="A34" t="s">
        <v>232</v>
      </c>
      <c r="B34" s="21" t="s">
        <v>1045</v>
      </c>
      <c r="C34" s="20">
        <v>332981</v>
      </c>
      <c r="D34" s="20">
        <v>100482</v>
      </c>
      <c r="E34" s="20">
        <v>16292</v>
      </c>
      <c r="F34" s="20">
        <v>216206</v>
      </c>
      <c r="I34" t="s">
        <v>232</v>
      </c>
      <c r="J34" s="10" t="s">
        <v>1045</v>
      </c>
      <c r="K34" s="20">
        <v>531829</v>
      </c>
      <c r="L34" s="20">
        <v>130894</v>
      </c>
      <c r="M34" s="20">
        <v>23161</v>
      </c>
      <c r="N34" s="20">
        <v>377774</v>
      </c>
    </row>
    <row r="35" spans="1:14">
      <c r="A35" t="s">
        <v>234</v>
      </c>
      <c r="B35" t="s">
        <v>1046</v>
      </c>
      <c r="C35" s="20">
        <v>78252</v>
      </c>
      <c r="D35" s="20">
        <v>43560</v>
      </c>
      <c r="E35" s="20">
        <v>1817</v>
      </c>
      <c r="F35" s="20">
        <v>32875</v>
      </c>
      <c r="I35" t="s">
        <v>234</v>
      </c>
      <c r="J35" t="s">
        <v>1046</v>
      </c>
      <c r="K35" s="20">
        <v>97682</v>
      </c>
      <c r="L35" s="20">
        <v>60593</v>
      </c>
      <c r="M35" s="20">
        <v>2798</v>
      </c>
      <c r="N35" s="20">
        <v>34291</v>
      </c>
    </row>
    <row r="36" spans="1:14">
      <c r="A36" t="s">
        <v>236</v>
      </c>
      <c r="B36" t="s">
        <v>1047</v>
      </c>
      <c r="C36" s="20">
        <v>1142867</v>
      </c>
      <c r="D36" s="20">
        <v>509809</v>
      </c>
      <c r="E36" s="20">
        <v>210383</v>
      </c>
      <c r="F36" s="20">
        <v>422674</v>
      </c>
      <c r="I36" t="s">
        <v>236</v>
      </c>
      <c r="J36" t="s">
        <v>1047</v>
      </c>
      <c r="K36" s="20">
        <v>1653014</v>
      </c>
      <c r="L36" s="20">
        <v>706712</v>
      </c>
      <c r="M36" s="20">
        <v>308064</v>
      </c>
      <c r="N36" s="20">
        <v>638238</v>
      </c>
    </row>
    <row r="37" spans="1:14">
      <c r="A37" t="s">
        <v>238</v>
      </c>
      <c r="B37" t="s">
        <v>1048</v>
      </c>
      <c r="C37" s="20">
        <v>1020079</v>
      </c>
      <c r="D37" s="20">
        <v>573627</v>
      </c>
      <c r="E37" s="20">
        <v>216863</v>
      </c>
      <c r="F37" s="20">
        <v>229589</v>
      </c>
      <c r="I37" t="s">
        <v>238</v>
      </c>
      <c r="J37" t="s">
        <v>1048</v>
      </c>
      <c r="K37" s="20">
        <v>1772380</v>
      </c>
      <c r="L37" s="20">
        <v>804744</v>
      </c>
      <c r="M37" s="20">
        <v>335877</v>
      </c>
      <c r="N37" s="20">
        <v>631759</v>
      </c>
    </row>
    <row r="38" spans="1:14">
      <c r="A38" t="s">
        <v>240</v>
      </c>
      <c r="B38" t="s">
        <v>1049</v>
      </c>
      <c r="C38" s="20">
        <v>565836</v>
      </c>
      <c r="D38" s="20">
        <v>320031</v>
      </c>
      <c r="E38" s="20">
        <v>34977</v>
      </c>
      <c r="F38" s="20">
        <v>210828</v>
      </c>
      <c r="I38" t="s">
        <v>240</v>
      </c>
      <c r="J38" t="s">
        <v>1049</v>
      </c>
      <c r="K38" s="20">
        <v>943734</v>
      </c>
      <c r="L38" s="20">
        <v>543297</v>
      </c>
      <c r="M38" s="20">
        <v>53584</v>
      </c>
      <c r="N38" s="20">
        <v>346853</v>
      </c>
    </row>
    <row r="39" spans="1:14">
      <c r="A39" t="s">
        <v>242</v>
      </c>
      <c r="B39" t="s">
        <v>1050</v>
      </c>
      <c r="C39" s="20">
        <v>117693</v>
      </c>
      <c r="D39" s="20">
        <v>48445</v>
      </c>
      <c r="E39" s="20">
        <v>22055</v>
      </c>
      <c r="F39" s="20">
        <v>47193</v>
      </c>
      <c r="I39" t="s">
        <v>242</v>
      </c>
      <c r="J39" t="s">
        <v>1050</v>
      </c>
      <c r="K39" s="20">
        <v>166618</v>
      </c>
      <c r="L39" s="20">
        <v>79083</v>
      </c>
      <c r="M39" s="20">
        <v>34940</v>
      </c>
      <c r="N39" s="20">
        <v>52595</v>
      </c>
    </row>
    <row r="40" spans="1:14">
      <c r="A40" t="s">
        <v>244</v>
      </c>
      <c r="B40" t="s">
        <v>1051</v>
      </c>
      <c r="C40" s="20">
        <v>44301</v>
      </c>
      <c r="D40" s="20">
        <v>24226</v>
      </c>
      <c r="E40" s="20">
        <v>208</v>
      </c>
      <c r="F40" s="20">
        <v>19867</v>
      </c>
      <c r="I40" t="s">
        <v>244</v>
      </c>
      <c r="J40" t="s">
        <v>1051</v>
      </c>
      <c r="K40" s="20">
        <v>53074</v>
      </c>
      <c r="L40" s="20">
        <v>23335</v>
      </c>
      <c r="M40" s="20">
        <v>-1450</v>
      </c>
      <c r="N40" s="20">
        <v>31189</v>
      </c>
    </row>
    <row r="41" spans="1:14">
      <c r="A41" t="s">
        <v>246</v>
      </c>
      <c r="B41" t="s">
        <v>1052</v>
      </c>
      <c r="C41" s="20">
        <v>15792</v>
      </c>
      <c r="D41" s="20">
        <v>7322</v>
      </c>
      <c r="E41" s="20">
        <v>867</v>
      </c>
      <c r="F41" s="20">
        <v>7603</v>
      </c>
      <c r="I41" t="s">
        <v>246</v>
      </c>
      <c r="J41" t="s">
        <v>1052</v>
      </c>
      <c r="K41" s="20">
        <v>24492</v>
      </c>
      <c r="L41" s="20">
        <v>9218</v>
      </c>
      <c r="M41" s="20">
        <v>1381</v>
      </c>
      <c r="N41" s="20">
        <v>13894</v>
      </c>
    </row>
    <row r="42" spans="1:14">
      <c r="A42" t="s">
        <v>248</v>
      </c>
      <c r="B42" t="s">
        <v>1053</v>
      </c>
      <c r="C42" s="20">
        <v>149029</v>
      </c>
      <c r="D42" s="20">
        <v>92014</v>
      </c>
      <c r="E42" s="20">
        <v>4144</v>
      </c>
      <c r="F42" s="20">
        <v>52871</v>
      </c>
      <c r="I42" t="s">
        <v>248</v>
      </c>
      <c r="J42" t="s">
        <v>1053</v>
      </c>
      <c r="K42" s="20">
        <v>256635</v>
      </c>
      <c r="L42" s="20">
        <v>134032</v>
      </c>
      <c r="M42" s="20">
        <v>6219</v>
      </c>
      <c r="N42" s="20">
        <v>116384</v>
      </c>
    </row>
    <row r="43" spans="1:14">
      <c r="A43" t="s">
        <v>250</v>
      </c>
      <c r="B43" t="s">
        <v>1054</v>
      </c>
      <c r="C43" s="20">
        <v>42197</v>
      </c>
      <c r="D43" s="20">
        <v>19815</v>
      </c>
      <c r="E43" s="20">
        <v>1708</v>
      </c>
      <c r="F43" s="20">
        <v>20673</v>
      </c>
      <c r="I43" t="s">
        <v>250</v>
      </c>
      <c r="J43" t="s">
        <v>1054</v>
      </c>
      <c r="K43" s="20">
        <v>68862</v>
      </c>
      <c r="L43" s="20">
        <v>33610</v>
      </c>
      <c r="M43" s="20">
        <v>2781</v>
      </c>
      <c r="N43" s="20">
        <v>32472</v>
      </c>
    </row>
    <row r="44" spans="1:14">
      <c r="A44" t="s">
        <v>252</v>
      </c>
      <c r="B44" t="s">
        <v>1055</v>
      </c>
      <c r="C44" s="20">
        <v>36810</v>
      </c>
      <c r="D44" s="20">
        <v>7146</v>
      </c>
      <c r="E44" s="20">
        <v>2951</v>
      </c>
      <c r="F44" s="20">
        <v>26712</v>
      </c>
      <c r="I44" t="s">
        <v>252</v>
      </c>
      <c r="J44" t="s">
        <v>1055</v>
      </c>
      <c r="K44" s="20">
        <v>48704</v>
      </c>
      <c r="L44" s="20">
        <v>9996</v>
      </c>
      <c r="M44" s="20">
        <v>4745</v>
      </c>
      <c r="N44" s="20">
        <v>33964</v>
      </c>
    </row>
    <row r="45" spans="1:14">
      <c r="A45" t="s">
        <v>254</v>
      </c>
      <c r="B45" t="s">
        <v>1056</v>
      </c>
      <c r="C45" s="20">
        <v>108074</v>
      </c>
      <c r="D45" s="20">
        <v>77801</v>
      </c>
      <c r="E45" s="20">
        <v>2263</v>
      </c>
      <c r="F45" s="20">
        <v>28010</v>
      </c>
      <c r="I45" t="s">
        <v>254</v>
      </c>
      <c r="J45" t="s">
        <v>1056</v>
      </c>
      <c r="K45" s="20">
        <v>207561</v>
      </c>
      <c r="L45" s="20">
        <v>142144</v>
      </c>
      <c r="M45" s="20">
        <v>3578</v>
      </c>
      <c r="N45" s="20">
        <v>61839</v>
      </c>
    </row>
    <row r="46" spans="1:14">
      <c r="A46" t="s">
        <v>256</v>
      </c>
      <c r="B46" t="s">
        <v>1057</v>
      </c>
      <c r="C46" s="20">
        <v>51940</v>
      </c>
      <c r="D46" s="20">
        <v>43261</v>
      </c>
      <c r="E46" s="20">
        <v>781</v>
      </c>
      <c r="F46" s="20">
        <v>7898</v>
      </c>
      <c r="I46" t="s">
        <v>256</v>
      </c>
      <c r="J46" t="s">
        <v>1057</v>
      </c>
      <c r="K46" s="20">
        <v>117788</v>
      </c>
      <c r="L46" s="20">
        <v>111880</v>
      </c>
      <c r="M46" s="20">
        <v>1390</v>
      </c>
      <c r="N46" s="20">
        <v>4517</v>
      </c>
    </row>
    <row r="47" spans="1:14">
      <c r="A47" t="s">
        <v>258</v>
      </c>
      <c r="B47" t="s">
        <v>1058</v>
      </c>
      <c r="C47" s="20">
        <v>906938</v>
      </c>
      <c r="D47" s="20">
        <v>318675</v>
      </c>
      <c r="E47" s="20">
        <v>55293</v>
      </c>
      <c r="F47" s="20">
        <v>532970</v>
      </c>
      <c r="I47" t="s">
        <v>258</v>
      </c>
      <c r="J47" t="s">
        <v>1058</v>
      </c>
      <c r="K47" s="20">
        <v>1477938</v>
      </c>
      <c r="L47" s="20">
        <v>540316</v>
      </c>
      <c r="M47" s="20">
        <v>65447</v>
      </c>
      <c r="N47" s="20">
        <v>872176</v>
      </c>
    </row>
    <row r="48" spans="1:14">
      <c r="A48" t="s">
        <v>260</v>
      </c>
      <c r="B48" t="s">
        <v>1059</v>
      </c>
      <c r="C48" s="20">
        <v>223597</v>
      </c>
      <c r="D48" s="20">
        <v>114787</v>
      </c>
      <c r="E48" s="20">
        <v>5467</v>
      </c>
      <c r="F48" s="20">
        <v>103343</v>
      </c>
      <c r="I48" t="s">
        <v>260</v>
      </c>
      <c r="J48" t="s">
        <v>1059</v>
      </c>
      <c r="K48" s="20">
        <v>401531</v>
      </c>
      <c r="L48" s="20">
        <v>175187</v>
      </c>
      <c r="M48" s="20">
        <v>7960</v>
      </c>
      <c r="N48" s="20">
        <v>218384</v>
      </c>
    </row>
    <row r="49" spans="1:14">
      <c r="A49" t="s">
        <v>262</v>
      </c>
      <c r="B49" t="s">
        <v>1060</v>
      </c>
      <c r="C49" s="20">
        <v>87592</v>
      </c>
      <c r="D49" s="20">
        <v>34244</v>
      </c>
      <c r="E49" s="20">
        <v>6467</v>
      </c>
      <c r="F49" s="20">
        <v>46882</v>
      </c>
      <c r="I49" t="s">
        <v>262</v>
      </c>
      <c r="J49" t="s">
        <v>1060</v>
      </c>
      <c r="K49" s="20">
        <v>114002</v>
      </c>
      <c r="L49" s="20">
        <v>39810</v>
      </c>
      <c r="M49" s="20">
        <v>6720</v>
      </c>
      <c r="N49" s="20">
        <v>67472</v>
      </c>
    </row>
    <row r="50" spans="1:14">
      <c r="A50" t="s">
        <v>264</v>
      </c>
      <c r="B50" t="s">
        <v>1061</v>
      </c>
      <c r="C50" s="20">
        <v>426113</v>
      </c>
      <c r="D50" s="20">
        <v>112649</v>
      </c>
      <c r="E50" s="20">
        <v>39472</v>
      </c>
      <c r="F50" s="20">
        <v>273993</v>
      </c>
      <c r="I50" t="s">
        <v>264</v>
      </c>
      <c r="J50" t="s">
        <v>1061</v>
      </c>
      <c r="K50" s="20">
        <v>492982</v>
      </c>
      <c r="L50" s="20">
        <v>122036</v>
      </c>
      <c r="M50" s="20">
        <v>42527</v>
      </c>
      <c r="N50" s="20">
        <v>328419</v>
      </c>
    </row>
    <row r="51" spans="1:14">
      <c r="A51" t="s">
        <v>266</v>
      </c>
      <c r="B51" t="s">
        <v>1062</v>
      </c>
      <c r="C51" s="20">
        <v>169636</v>
      </c>
      <c r="D51" s="20">
        <v>56995</v>
      </c>
      <c r="E51" s="20">
        <v>3888</v>
      </c>
      <c r="F51" s="20">
        <v>108752</v>
      </c>
      <c r="I51" t="s">
        <v>266</v>
      </c>
      <c r="J51" t="s">
        <v>1062</v>
      </c>
      <c r="K51" s="20">
        <v>469423</v>
      </c>
      <c r="L51" s="20">
        <v>203282</v>
      </c>
      <c r="M51" s="20">
        <v>8240</v>
      </c>
      <c r="N51" s="20">
        <v>257901</v>
      </c>
    </row>
    <row r="52" spans="1:14">
      <c r="A52" t="s">
        <v>268</v>
      </c>
      <c r="B52" t="s">
        <v>1063</v>
      </c>
      <c r="C52" s="20">
        <v>3749038</v>
      </c>
      <c r="D52" s="20">
        <v>852412</v>
      </c>
      <c r="E52" s="20">
        <v>319509</v>
      </c>
      <c r="F52" s="20">
        <v>2577118</v>
      </c>
      <c r="I52" t="s">
        <v>268</v>
      </c>
      <c r="J52" t="s">
        <v>1063</v>
      </c>
      <c r="K52" s="20">
        <v>5811618</v>
      </c>
      <c r="L52" s="20">
        <v>1276846</v>
      </c>
      <c r="M52" s="20">
        <v>468014</v>
      </c>
      <c r="N52" s="20">
        <v>4066757</v>
      </c>
    </row>
    <row r="53" spans="1:14">
      <c r="A53" t="s">
        <v>270</v>
      </c>
      <c r="B53" t="s">
        <v>1064</v>
      </c>
      <c r="C53" s="20">
        <v>1363092</v>
      </c>
      <c r="D53" s="20">
        <v>715705</v>
      </c>
      <c r="E53" s="20">
        <v>63497</v>
      </c>
      <c r="F53" s="20">
        <v>583890</v>
      </c>
      <c r="I53" t="s">
        <v>270</v>
      </c>
      <c r="J53" t="s">
        <v>1064</v>
      </c>
      <c r="K53" s="20">
        <v>2015595</v>
      </c>
      <c r="L53" s="20">
        <v>1062182</v>
      </c>
      <c r="M53" s="20">
        <v>78485</v>
      </c>
      <c r="N53" s="20">
        <v>874928</v>
      </c>
    </row>
    <row r="54" spans="1:14">
      <c r="A54" t="s">
        <v>272</v>
      </c>
      <c r="B54" t="s">
        <v>1065</v>
      </c>
      <c r="C54" s="20">
        <v>560763</v>
      </c>
      <c r="D54" s="20">
        <v>236473</v>
      </c>
      <c r="E54" s="20">
        <v>17390</v>
      </c>
      <c r="F54" s="20">
        <v>306900</v>
      </c>
      <c r="I54" t="s">
        <v>272</v>
      </c>
      <c r="J54" t="s">
        <v>1065</v>
      </c>
      <c r="K54" s="20">
        <v>913432</v>
      </c>
      <c r="L54" s="20">
        <v>349473</v>
      </c>
      <c r="M54" s="20">
        <v>24116</v>
      </c>
      <c r="N54" s="20">
        <v>539842</v>
      </c>
    </row>
    <row r="55" spans="1:14">
      <c r="A55" t="s">
        <v>274</v>
      </c>
      <c r="B55" t="s">
        <v>1066</v>
      </c>
      <c r="C55" s="20">
        <v>230878</v>
      </c>
      <c r="D55" s="20">
        <v>227418</v>
      </c>
      <c r="E55" s="20">
        <v>5065</v>
      </c>
      <c r="F55" s="20">
        <v>-1604</v>
      </c>
      <c r="I55" t="s">
        <v>274</v>
      </c>
      <c r="J55" t="s">
        <v>1066</v>
      </c>
      <c r="K55" s="20">
        <v>362221</v>
      </c>
      <c r="L55" s="20">
        <v>337565</v>
      </c>
      <c r="M55" s="20">
        <v>8186</v>
      </c>
      <c r="N55" s="20">
        <v>16470</v>
      </c>
    </row>
    <row r="56" spans="1:14">
      <c r="A56" t="s">
        <v>276</v>
      </c>
      <c r="B56" t="s">
        <v>1067</v>
      </c>
      <c r="C56" s="20">
        <v>554081</v>
      </c>
      <c r="D56" s="20">
        <v>250693</v>
      </c>
      <c r="E56" s="20">
        <v>40312</v>
      </c>
      <c r="F56" s="20">
        <v>263076</v>
      </c>
      <c r="I56" t="s">
        <v>276</v>
      </c>
      <c r="J56" t="s">
        <v>1067</v>
      </c>
      <c r="K56" s="20">
        <v>721127</v>
      </c>
      <c r="L56" s="20">
        <v>368999</v>
      </c>
      <c r="M56" s="20">
        <v>45374</v>
      </c>
      <c r="N56" s="20">
        <v>306754</v>
      </c>
    </row>
    <row r="57" spans="1:14">
      <c r="A57" t="s">
        <v>278</v>
      </c>
      <c r="B57" t="s">
        <v>1068</v>
      </c>
      <c r="C57" s="20">
        <v>17371</v>
      </c>
      <c r="D57" s="20">
        <v>1121</v>
      </c>
      <c r="E57" s="20">
        <v>731</v>
      </c>
      <c r="F57" s="20">
        <v>15519</v>
      </c>
      <c r="I57" t="s">
        <v>278</v>
      </c>
      <c r="J57" t="s">
        <v>1068</v>
      </c>
      <c r="K57" s="20">
        <v>18816</v>
      </c>
      <c r="L57" s="20">
        <v>6146</v>
      </c>
      <c r="M57" s="20">
        <v>809</v>
      </c>
      <c r="N57" s="20">
        <v>11861</v>
      </c>
    </row>
    <row r="58" spans="1:14">
      <c r="A58" t="s">
        <v>280</v>
      </c>
      <c r="B58" t="s">
        <v>1069</v>
      </c>
      <c r="C58" s="20">
        <v>2385946</v>
      </c>
      <c r="D58" s="20">
        <v>136707</v>
      </c>
      <c r="E58" s="20">
        <v>256012</v>
      </c>
      <c r="F58" s="20">
        <v>1993228</v>
      </c>
      <c r="I58" t="s">
        <v>280</v>
      </c>
      <c r="J58" t="s">
        <v>1069</v>
      </c>
      <c r="K58" s="20">
        <v>3796022</v>
      </c>
      <c r="L58" s="20">
        <v>214664</v>
      </c>
      <c r="M58" s="20">
        <v>389529</v>
      </c>
      <c r="N58" s="20">
        <v>3191830</v>
      </c>
    </row>
    <row r="59" spans="1:14">
      <c r="A59" t="s">
        <v>282</v>
      </c>
      <c r="B59" t="s">
        <v>1070</v>
      </c>
      <c r="C59" s="20">
        <v>2180002</v>
      </c>
      <c r="D59" s="20">
        <v>102208</v>
      </c>
      <c r="E59" s="20">
        <v>237200</v>
      </c>
      <c r="F59" s="20">
        <v>1840595</v>
      </c>
      <c r="I59" t="s">
        <v>282</v>
      </c>
      <c r="J59" t="s">
        <v>1070</v>
      </c>
      <c r="K59" s="20">
        <v>3447148</v>
      </c>
      <c r="L59" s="20">
        <v>164568</v>
      </c>
      <c r="M59" s="20">
        <v>360636</v>
      </c>
      <c r="N59" s="20">
        <v>2921944</v>
      </c>
    </row>
    <row r="60" spans="1:14">
      <c r="A60" t="s">
        <v>284</v>
      </c>
      <c r="B60" t="s">
        <v>1071</v>
      </c>
      <c r="C60" s="20">
        <v>205944</v>
      </c>
      <c r="D60" s="20">
        <v>34499</v>
      </c>
      <c r="E60" s="20">
        <v>18812</v>
      </c>
      <c r="F60" s="20">
        <v>152633</v>
      </c>
      <c r="I60" t="s">
        <v>284</v>
      </c>
      <c r="J60" t="s">
        <v>1071</v>
      </c>
      <c r="K60" s="20">
        <v>348875</v>
      </c>
      <c r="L60" s="20">
        <v>50096</v>
      </c>
      <c r="M60" s="20">
        <v>28893</v>
      </c>
      <c r="N60" s="20">
        <v>269886</v>
      </c>
    </row>
    <row r="61" spans="1:14">
      <c r="A61" t="s">
        <v>286</v>
      </c>
      <c r="B61" t="s">
        <v>1072</v>
      </c>
      <c r="C61" s="20">
        <v>2236932</v>
      </c>
      <c r="D61" s="20">
        <v>1609923</v>
      </c>
      <c r="E61" s="20">
        <v>55918</v>
      </c>
      <c r="F61" s="20">
        <v>571091</v>
      </c>
      <c r="I61" t="s">
        <v>286</v>
      </c>
      <c r="J61" t="s">
        <v>1072</v>
      </c>
      <c r="K61" s="20">
        <v>3611702</v>
      </c>
      <c r="L61" s="20">
        <v>2590723</v>
      </c>
      <c r="M61" s="20">
        <v>93115</v>
      </c>
      <c r="N61" s="20">
        <v>927864</v>
      </c>
    </row>
    <row r="62" spans="1:14">
      <c r="A62" t="s">
        <v>288</v>
      </c>
      <c r="B62" t="s">
        <v>1073</v>
      </c>
      <c r="C62" s="20">
        <v>1348595</v>
      </c>
      <c r="D62" s="20">
        <v>909431</v>
      </c>
      <c r="E62" s="20">
        <v>35128</v>
      </c>
      <c r="F62" s="20">
        <v>404035</v>
      </c>
      <c r="I62" t="s">
        <v>288</v>
      </c>
      <c r="J62" t="s">
        <v>1073</v>
      </c>
      <c r="K62" s="20">
        <v>2221972</v>
      </c>
      <c r="L62" s="20">
        <v>1516118</v>
      </c>
      <c r="M62" s="20">
        <v>59115</v>
      </c>
      <c r="N62" s="20">
        <v>646740</v>
      </c>
    </row>
    <row r="63" spans="1:14">
      <c r="A63" t="s">
        <v>290</v>
      </c>
      <c r="B63" t="s">
        <v>1074</v>
      </c>
      <c r="C63" s="20">
        <v>238595</v>
      </c>
      <c r="D63" s="20">
        <v>122863</v>
      </c>
      <c r="E63" s="20">
        <v>15945</v>
      </c>
      <c r="F63" s="20">
        <v>99788</v>
      </c>
      <c r="I63" t="s">
        <v>290</v>
      </c>
      <c r="J63" t="s">
        <v>1074</v>
      </c>
      <c r="K63" s="20">
        <v>362744</v>
      </c>
      <c r="L63" s="20">
        <v>176101</v>
      </c>
      <c r="M63" s="20">
        <v>23759</v>
      </c>
      <c r="N63" s="20">
        <v>162885</v>
      </c>
    </row>
    <row r="64" spans="1:14">
      <c r="A64" t="s">
        <v>292</v>
      </c>
      <c r="B64" t="s">
        <v>1075</v>
      </c>
      <c r="C64" s="20">
        <v>284785</v>
      </c>
      <c r="D64" s="20">
        <v>234630</v>
      </c>
      <c r="E64" s="20">
        <v>5942</v>
      </c>
      <c r="F64" s="20">
        <v>44213</v>
      </c>
      <c r="I64" t="s">
        <v>292</v>
      </c>
      <c r="J64" t="s">
        <v>1075</v>
      </c>
      <c r="K64" s="20">
        <v>489185</v>
      </c>
      <c r="L64" s="20">
        <v>417850</v>
      </c>
      <c r="M64" s="20">
        <v>11971</v>
      </c>
      <c r="N64" s="20">
        <v>59364</v>
      </c>
    </row>
    <row r="65" spans="1:14">
      <c r="A65" t="s">
        <v>294</v>
      </c>
      <c r="B65" t="s">
        <v>1076</v>
      </c>
      <c r="C65" s="20">
        <v>825215</v>
      </c>
      <c r="D65" s="20">
        <v>551939</v>
      </c>
      <c r="E65" s="20">
        <v>13242</v>
      </c>
      <c r="F65" s="20">
        <v>260034</v>
      </c>
      <c r="I65" t="s">
        <v>294</v>
      </c>
      <c r="J65" t="s">
        <v>1076</v>
      </c>
      <c r="K65" s="20">
        <v>1370043</v>
      </c>
      <c r="L65" s="20">
        <v>922167</v>
      </c>
      <c r="M65" s="20">
        <v>23385</v>
      </c>
      <c r="N65" s="20">
        <v>424491</v>
      </c>
    </row>
    <row r="66" spans="1:14">
      <c r="A66" t="s">
        <v>296</v>
      </c>
      <c r="B66" t="s">
        <v>1077</v>
      </c>
      <c r="C66" s="20">
        <v>347961</v>
      </c>
      <c r="D66" s="20">
        <v>302345</v>
      </c>
      <c r="E66" s="20">
        <v>8494</v>
      </c>
      <c r="F66" s="20">
        <v>37122</v>
      </c>
      <c r="I66" t="s">
        <v>296</v>
      </c>
      <c r="J66" t="s">
        <v>1077</v>
      </c>
      <c r="K66" s="20">
        <v>503129</v>
      </c>
      <c r="L66" s="20">
        <v>444212</v>
      </c>
      <c r="M66" s="20">
        <v>12748</v>
      </c>
      <c r="N66" s="20">
        <v>46170</v>
      </c>
    </row>
    <row r="67" spans="1:14">
      <c r="A67" t="s">
        <v>298</v>
      </c>
      <c r="B67" t="s">
        <v>1078</v>
      </c>
      <c r="C67" s="20">
        <v>540376</v>
      </c>
      <c r="D67" s="20">
        <v>398148</v>
      </c>
      <c r="E67" s="20">
        <v>12295</v>
      </c>
      <c r="F67" s="20">
        <v>129933</v>
      </c>
      <c r="I67" t="s">
        <v>298</v>
      </c>
      <c r="J67" t="s">
        <v>1078</v>
      </c>
      <c r="K67" s="20">
        <v>886601</v>
      </c>
      <c r="L67" s="20">
        <v>630394</v>
      </c>
      <c r="M67" s="20">
        <v>21253</v>
      </c>
      <c r="N67" s="20">
        <v>234954</v>
      </c>
    </row>
    <row r="68" spans="1:14">
      <c r="A68" t="s">
        <v>300</v>
      </c>
      <c r="B68" t="s">
        <v>1079</v>
      </c>
      <c r="C68" s="20">
        <v>492465</v>
      </c>
      <c r="D68" s="20">
        <v>371539</v>
      </c>
      <c r="E68" s="20">
        <v>8972</v>
      </c>
      <c r="F68" s="20">
        <v>111954</v>
      </c>
      <c r="I68" t="s">
        <v>300</v>
      </c>
      <c r="J68" t="s">
        <v>1079</v>
      </c>
      <c r="K68" s="20">
        <v>804531</v>
      </c>
      <c r="L68" s="20">
        <v>584803</v>
      </c>
      <c r="M68" s="20">
        <v>16050</v>
      </c>
      <c r="N68" s="20">
        <v>203677</v>
      </c>
    </row>
    <row r="69" spans="1:14">
      <c r="A69" t="s">
        <v>302</v>
      </c>
      <c r="B69" t="s">
        <v>1080</v>
      </c>
      <c r="C69" s="20">
        <v>47911</v>
      </c>
      <c r="D69" s="20">
        <v>26608</v>
      </c>
      <c r="E69" s="20">
        <v>3323</v>
      </c>
      <c r="F69" s="20">
        <v>17979</v>
      </c>
      <c r="I69" t="s">
        <v>302</v>
      </c>
      <c r="J69" t="s">
        <v>1080</v>
      </c>
      <c r="K69" s="20">
        <v>82069</v>
      </c>
      <c r="L69" s="20">
        <v>45590</v>
      </c>
      <c r="M69" s="20">
        <v>5202</v>
      </c>
      <c r="N69" s="20">
        <v>31277</v>
      </c>
    </row>
    <row r="70" spans="1:14">
      <c r="A70" t="s">
        <v>304</v>
      </c>
      <c r="B70" t="s">
        <v>1081</v>
      </c>
      <c r="C70" s="20">
        <v>1571003</v>
      </c>
      <c r="D70" s="20">
        <v>1265582</v>
      </c>
      <c r="E70" s="20">
        <v>35545</v>
      </c>
      <c r="F70" s="20">
        <v>269876</v>
      </c>
      <c r="I70" t="s">
        <v>304</v>
      </c>
      <c r="J70" t="s">
        <v>1081</v>
      </c>
      <c r="K70" s="20">
        <v>2350905</v>
      </c>
      <c r="L70" s="20">
        <v>1903573</v>
      </c>
      <c r="M70" s="20">
        <v>49068</v>
      </c>
      <c r="N70" s="20">
        <v>398264</v>
      </c>
    </row>
    <row r="71" spans="1:14">
      <c r="A71" t="s">
        <v>306</v>
      </c>
      <c r="B71" t="s">
        <v>1082</v>
      </c>
      <c r="C71" s="20">
        <v>233438</v>
      </c>
      <c r="D71" s="20">
        <v>180447</v>
      </c>
      <c r="E71" s="20">
        <v>8387</v>
      </c>
      <c r="F71" s="20">
        <v>44604</v>
      </c>
      <c r="I71" t="s">
        <v>306</v>
      </c>
      <c r="J71" t="s">
        <v>1082</v>
      </c>
      <c r="K71" s="20">
        <v>312038</v>
      </c>
      <c r="L71" s="20">
        <v>252694</v>
      </c>
      <c r="M71" s="20">
        <v>12989</v>
      </c>
      <c r="N71" s="20">
        <v>46356</v>
      </c>
    </row>
    <row r="72" spans="1:14">
      <c r="A72" t="s">
        <v>308</v>
      </c>
      <c r="B72" t="s">
        <v>1083</v>
      </c>
      <c r="C72" s="20">
        <v>1337565</v>
      </c>
      <c r="D72" s="20">
        <v>1085134</v>
      </c>
      <c r="E72" s="20">
        <v>27158</v>
      </c>
      <c r="F72" s="20">
        <v>225272</v>
      </c>
      <c r="I72" t="s">
        <v>308</v>
      </c>
      <c r="J72" t="s">
        <v>1083</v>
      </c>
      <c r="K72" s="20">
        <v>2038867</v>
      </c>
      <c r="L72" s="20">
        <v>1650879</v>
      </c>
      <c r="M72" s="20">
        <v>36079</v>
      </c>
      <c r="N72" s="20">
        <v>351909</v>
      </c>
    </row>
    <row r="73" spans="1:14">
      <c r="A73" t="s">
        <v>310</v>
      </c>
      <c r="B73" t="s">
        <v>1084</v>
      </c>
      <c r="C73" s="20">
        <v>644175</v>
      </c>
      <c r="D73" s="20">
        <v>494895</v>
      </c>
      <c r="E73" s="20">
        <v>8566</v>
      </c>
      <c r="F73" s="20">
        <v>140714</v>
      </c>
      <c r="I73" t="s">
        <v>310</v>
      </c>
      <c r="J73" t="s">
        <v>1084</v>
      </c>
      <c r="K73" s="20">
        <v>1000523</v>
      </c>
      <c r="L73" s="20">
        <v>765615</v>
      </c>
      <c r="M73" s="20">
        <v>12621</v>
      </c>
      <c r="N73" s="20">
        <v>222286</v>
      </c>
    </row>
    <row r="74" spans="1:14">
      <c r="A74" t="s">
        <v>312</v>
      </c>
      <c r="B74" t="s">
        <v>1085</v>
      </c>
      <c r="C74" s="20">
        <v>581331</v>
      </c>
      <c r="D74" s="20">
        <v>489855</v>
      </c>
      <c r="E74" s="20">
        <v>16768</v>
      </c>
      <c r="F74" s="20">
        <v>74709</v>
      </c>
      <c r="I74" t="s">
        <v>312</v>
      </c>
      <c r="J74" t="s">
        <v>1085</v>
      </c>
      <c r="K74" s="20">
        <v>840330</v>
      </c>
      <c r="L74" s="20">
        <v>700336</v>
      </c>
      <c r="M74" s="20">
        <v>28292</v>
      </c>
      <c r="N74" s="20">
        <v>111702</v>
      </c>
    </row>
    <row r="75" spans="1:14">
      <c r="A75" t="s">
        <v>314</v>
      </c>
      <c r="B75" t="s">
        <v>1086</v>
      </c>
      <c r="C75" s="20">
        <v>112058</v>
      </c>
      <c r="D75" s="20">
        <v>100385</v>
      </c>
      <c r="E75" s="20">
        <v>1824</v>
      </c>
      <c r="F75" s="20">
        <v>9849</v>
      </c>
      <c r="I75" t="s">
        <v>314</v>
      </c>
      <c r="J75" t="s">
        <v>1086</v>
      </c>
      <c r="K75" s="20">
        <v>198014</v>
      </c>
      <c r="L75" s="20">
        <v>184927</v>
      </c>
      <c r="M75" s="20">
        <v>-4834</v>
      </c>
      <c r="N75" s="20">
        <v>17920</v>
      </c>
    </row>
    <row r="76" spans="1:14">
      <c r="A76" t="s">
        <v>316</v>
      </c>
      <c r="B76" t="s">
        <v>1087</v>
      </c>
      <c r="C76" s="20">
        <v>746773</v>
      </c>
      <c r="D76" s="20">
        <v>441746</v>
      </c>
      <c r="E76" s="20">
        <v>96713</v>
      </c>
      <c r="F76" s="20">
        <v>208314</v>
      </c>
      <c r="I76" t="s">
        <v>316</v>
      </c>
      <c r="J76" t="s">
        <v>1087</v>
      </c>
      <c r="K76" s="20">
        <v>1211474</v>
      </c>
      <c r="L76" s="20">
        <v>697929</v>
      </c>
      <c r="M76" s="20">
        <v>163548</v>
      </c>
      <c r="N76" s="20">
        <v>349997</v>
      </c>
    </row>
    <row r="77" spans="1:14">
      <c r="A77" t="s">
        <v>318</v>
      </c>
      <c r="B77" t="s">
        <v>1088</v>
      </c>
      <c r="C77" s="20">
        <v>193468</v>
      </c>
      <c r="D77" s="20">
        <v>100888</v>
      </c>
      <c r="E77" s="20">
        <v>19506</v>
      </c>
      <c r="F77" s="20">
        <v>73075</v>
      </c>
      <c r="I77" t="s">
        <v>318</v>
      </c>
      <c r="J77" t="s">
        <v>1088</v>
      </c>
      <c r="K77" s="20">
        <v>299724</v>
      </c>
      <c r="L77" s="20">
        <v>158184</v>
      </c>
      <c r="M77" s="20">
        <v>36485</v>
      </c>
      <c r="N77" s="20">
        <v>105055</v>
      </c>
    </row>
    <row r="78" spans="1:14">
      <c r="A78" t="s">
        <v>320</v>
      </c>
      <c r="B78" t="s">
        <v>1089</v>
      </c>
      <c r="C78" s="20">
        <v>112849</v>
      </c>
      <c r="D78" s="20">
        <v>52218</v>
      </c>
      <c r="E78" s="20">
        <v>8029</v>
      </c>
      <c r="F78" s="20">
        <v>52602</v>
      </c>
      <c r="I78" t="s">
        <v>320</v>
      </c>
      <c r="J78" t="s">
        <v>1089</v>
      </c>
      <c r="K78" s="20">
        <v>171243</v>
      </c>
      <c r="L78" s="20">
        <v>82241</v>
      </c>
      <c r="M78" s="20">
        <v>10044</v>
      </c>
      <c r="N78" s="20">
        <v>78959</v>
      </c>
    </row>
    <row r="79" spans="1:14">
      <c r="A79" t="s">
        <v>322</v>
      </c>
      <c r="B79" t="s">
        <v>1090</v>
      </c>
      <c r="C79" s="20">
        <v>80619</v>
      </c>
      <c r="D79" s="20">
        <v>48669</v>
      </c>
      <c r="E79" s="20">
        <v>11476</v>
      </c>
      <c r="F79" s="20">
        <v>20473</v>
      </c>
      <c r="I79" t="s">
        <v>322</v>
      </c>
      <c r="J79" t="s">
        <v>1090</v>
      </c>
      <c r="K79" s="20">
        <v>128481</v>
      </c>
      <c r="L79" s="20">
        <v>75943</v>
      </c>
      <c r="M79" s="20">
        <v>26441</v>
      </c>
      <c r="N79" s="20">
        <v>26096</v>
      </c>
    </row>
    <row r="80" spans="1:14">
      <c r="A80" t="s">
        <v>324</v>
      </c>
      <c r="B80" t="s">
        <v>1091</v>
      </c>
      <c r="C80" s="20">
        <v>553304</v>
      </c>
      <c r="D80" s="20">
        <v>340858</v>
      </c>
      <c r="E80" s="20">
        <v>77207</v>
      </c>
      <c r="F80" s="20">
        <v>135239</v>
      </c>
      <c r="I80" t="s">
        <v>324</v>
      </c>
      <c r="J80" t="s">
        <v>1091</v>
      </c>
      <c r="K80" s="20">
        <v>911750</v>
      </c>
      <c r="L80" s="20">
        <v>539745</v>
      </c>
      <c r="M80" s="20">
        <v>127063</v>
      </c>
      <c r="N80" s="20">
        <v>244942</v>
      </c>
    </row>
    <row r="81" spans="1:14">
      <c r="A81" t="s">
        <v>326</v>
      </c>
      <c r="B81" t="s">
        <v>1092</v>
      </c>
      <c r="C81" s="20">
        <v>157517</v>
      </c>
      <c r="D81" s="20">
        <v>77673</v>
      </c>
      <c r="E81" s="20">
        <v>26513</v>
      </c>
      <c r="F81" s="20">
        <v>53331</v>
      </c>
      <c r="I81" t="s">
        <v>326</v>
      </c>
      <c r="J81" t="s">
        <v>1092</v>
      </c>
      <c r="K81" s="20">
        <v>245561</v>
      </c>
      <c r="L81" s="20">
        <v>102291</v>
      </c>
      <c r="M81" s="20">
        <v>43204</v>
      </c>
      <c r="N81" s="20">
        <v>100066</v>
      </c>
    </row>
    <row r="82" spans="1:14">
      <c r="A82" t="s">
        <v>328</v>
      </c>
      <c r="B82" t="s">
        <v>1093</v>
      </c>
      <c r="C82" s="20">
        <v>395787</v>
      </c>
      <c r="D82" s="20">
        <v>263185</v>
      </c>
      <c r="E82" s="20">
        <v>50694</v>
      </c>
      <c r="F82" s="20">
        <v>81908</v>
      </c>
      <c r="I82" t="s">
        <v>328</v>
      </c>
      <c r="J82" t="s">
        <v>1093</v>
      </c>
      <c r="K82" s="20">
        <v>666189</v>
      </c>
      <c r="L82" s="20">
        <v>437453</v>
      </c>
      <c r="M82" s="20">
        <v>83859</v>
      </c>
      <c r="N82" s="20">
        <v>144876</v>
      </c>
    </row>
    <row r="83" spans="1:14">
      <c r="A83" t="s">
        <v>330</v>
      </c>
      <c r="B83" t="s">
        <v>1094</v>
      </c>
      <c r="C83" s="20">
        <v>391569</v>
      </c>
      <c r="D83" s="20">
        <v>286397</v>
      </c>
      <c r="E83" s="20">
        <v>21390</v>
      </c>
      <c r="F83" s="20">
        <v>83782</v>
      </c>
      <c r="I83" t="s">
        <v>330</v>
      </c>
      <c r="J83" t="s">
        <v>1094</v>
      </c>
      <c r="K83" s="20">
        <v>589391</v>
      </c>
      <c r="L83" s="20">
        <v>411400</v>
      </c>
      <c r="M83" s="20">
        <v>34318</v>
      </c>
      <c r="N83" s="20">
        <v>143672</v>
      </c>
    </row>
    <row r="84" spans="1:14">
      <c r="A84" t="s">
        <v>332</v>
      </c>
      <c r="B84" t="s">
        <v>1095</v>
      </c>
      <c r="C84" s="20">
        <v>2339442</v>
      </c>
      <c r="D84" s="20">
        <v>1846322</v>
      </c>
      <c r="E84" s="20">
        <v>-24531</v>
      </c>
      <c r="F84" s="20">
        <v>517651</v>
      </c>
      <c r="I84" t="s">
        <v>332</v>
      </c>
      <c r="J84" t="s">
        <v>1095</v>
      </c>
      <c r="K84" s="20">
        <v>3105093</v>
      </c>
      <c r="L84" s="20">
        <v>2408949</v>
      </c>
      <c r="M84" s="20">
        <v>-47937</v>
      </c>
      <c r="N84" s="20">
        <v>744082</v>
      </c>
    </row>
    <row r="85" spans="1:14">
      <c r="A85" t="s">
        <v>334</v>
      </c>
      <c r="B85" t="s">
        <v>1096</v>
      </c>
      <c r="C85" s="20">
        <v>731280</v>
      </c>
      <c r="D85" s="20">
        <v>469030</v>
      </c>
      <c r="E85" s="20">
        <v>-6001</v>
      </c>
      <c r="F85" s="20">
        <v>268250</v>
      </c>
      <c r="I85" t="s">
        <v>334</v>
      </c>
      <c r="J85" t="s">
        <v>1096</v>
      </c>
      <c r="K85" s="20">
        <v>998776</v>
      </c>
      <c r="L85" s="20">
        <v>634932</v>
      </c>
      <c r="M85" s="20">
        <v>-11496</v>
      </c>
      <c r="N85" s="20">
        <v>375341</v>
      </c>
    </row>
    <row r="86" spans="1:14">
      <c r="A86" t="s">
        <v>336</v>
      </c>
      <c r="B86" t="s">
        <v>1097</v>
      </c>
      <c r="C86" s="20">
        <v>673658</v>
      </c>
      <c r="D86" s="20">
        <v>409923</v>
      </c>
      <c r="E86" s="20" t="s">
        <v>1107</v>
      </c>
      <c r="F86" s="20">
        <v>263735</v>
      </c>
      <c r="I86" t="s">
        <v>336</v>
      </c>
      <c r="J86" t="s">
        <v>1097</v>
      </c>
      <c r="K86" s="20">
        <v>929687</v>
      </c>
      <c r="L86" s="20">
        <v>564712</v>
      </c>
      <c r="M86" s="20" t="s">
        <v>1107</v>
      </c>
      <c r="N86" s="20">
        <v>364975</v>
      </c>
    </row>
    <row r="87" spans="1:14">
      <c r="A87" t="s">
        <v>338</v>
      </c>
      <c r="B87" t="s">
        <v>1098</v>
      </c>
      <c r="C87" s="20">
        <v>57621</v>
      </c>
      <c r="D87" s="20">
        <v>59107</v>
      </c>
      <c r="E87" s="20">
        <v>-6001</v>
      </c>
      <c r="F87" s="20">
        <v>4515</v>
      </c>
      <c r="I87" t="s">
        <v>338</v>
      </c>
      <c r="J87" t="s">
        <v>1098</v>
      </c>
      <c r="K87" s="20">
        <v>69089</v>
      </c>
      <c r="L87" s="20">
        <v>70220</v>
      </c>
      <c r="M87" s="20">
        <v>-11496</v>
      </c>
      <c r="N87" s="20">
        <v>10366</v>
      </c>
    </row>
    <row r="88" spans="1:14">
      <c r="A88" t="s">
        <v>340</v>
      </c>
      <c r="B88" t="s">
        <v>1099</v>
      </c>
      <c r="C88" s="20">
        <v>1608162</v>
      </c>
      <c r="D88" s="20">
        <v>1377292</v>
      </c>
      <c r="E88" s="20">
        <v>-18530</v>
      </c>
      <c r="F88" s="20">
        <v>249400</v>
      </c>
      <c r="I88" t="s">
        <v>340</v>
      </c>
      <c r="J88" t="s">
        <v>1099</v>
      </c>
      <c r="K88" s="20">
        <v>2106317</v>
      </c>
      <c r="L88" s="20">
        <v>1774017</v>
      </c>
      <c r="M88" s="20">
        <v>-36441</v>
      </c>
      <c r="N88" s="20">
        <v>368741</v>
      </c>
    </row>
    <row r="89" spans="1:14">
      <c r="A89" t="s">
        <v>342</v>
      </c>
      <c r="B89" t="s">
        <v>1100</v>
      </c>
      <c r="C89" s="20">
        <v>1467317</v>
      </c>
      <c r="D89" s="20">
        <v>1275273</v>
      </c>
      <c r="E89" s="20" t="s">
        <v>1107</v>
      </c>
      <c r="F89" s="20">
        <v>192044</v>
      </c>
      <c r="I89" t="s">
        <v>342</v>
      </c>
      <c r="J89" t="s">
        <v>1100</v>
      </c>
      <c r="K89" s="20">
        <v>1945285</v>
      </c>
      <c r="L89" s="20">
        <v>1642001</v>
      </c>
      <c r="M89" s="20" t="s">
        <v>1107</v>
      </c>
      <c r="N89" s="20">
        <v>303285</v>
      </c>
    </row>
    <row r="90" spans="1:14">
      <c r="A90" t="s">
        <v>344</v>
      </c>
      <c r="B90" t="s">
        <v>1101</v>
      </c>
      <c r="C90" s="20">
        <v>140845</v>
      </c>
      <c r="D90" s="20">
        <v>102019</v>
      </c>
      <c r="E90" s="20">
        <v>-18530</v>
      </c>
      <c r="F90" s="20">
        <v>57356</v>
      </c>
      <c r="I90" t="s">
        <v>344</v>
      </c>
      <c r="J90" t="s">
        <v>1101</v>
      </c>
      <c r="K90" s="20">
        <v>161032</v>
      </c>
      <c r="L90" s="20">
        <v>132016</v>
      </c>
      <c r="M90" s="20">
        <v>-36441</v>
      </c>
      <c r="N90" s="20">
        <v>65456</v>
      </c>
    </row>
    <row r="91" spans="1:14">
      <c r="B91" t="s">
        <v>1102</v>
      </c>
      <c r="C91" s="20"/>
      <c r="J91" t="s">
        <v>1102</v>
      </c>
      <c r="M91" s="20"/>
      <c r="N91" s="20"/>
    </row>
    <row r="92" spans="1:14">
      <c r="A92" t="s">
        <v>346</v>
      </c>
      <c r="B92" t="s">
        <v>1103</v>
      </c>
      <c r="C92" s="20">
        <v>3268592</v>
      </c>
      <c r="I92" t="s">
        <v>346</v>
      </c>
      <c r="J92" t="s">
        <v>1103</v>
      </c>
      <c r="K92" s="20">
        <v>4746943</v>
      </c>
      <c r="L92" s="20">
        <v>2227699</v>
      </c>
      <c r="M92" s="20">
        <v>187699</v>
      </c>
      <c r="N92" s="20">
        <v>2331545</v>
      </c>
    </row>
    <row r="93" spans="1:14">
      <c r="A93" t="s">
        <v>348</v>
      </c>
      <c r="B93" t="s">
        <v>1104</v>
      </c>
      <c r="C93" s="20">
        <v>12630266</v>
      </c>
      <c r="I93" t="s">
        <v>348</v>
      </c>
      <c r="J93" t="s">
        <v>1104</v>
      </c>
      <c r="K93" s="20">
        <v>19868671</v>
      </c>
      <c r="L93" s="20">
        <v>9572920</v>
      </c>
      <c r="M93" s="20">
        <v>1650539</v>
      </c>
      <c r="N93" s="20">
        <v>8645211</v>
      </c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9"/>
  <sheetViews>
    <sheetView workbookViewId="0">
      <selection activeCell="E9" sqref="E9"/>
    </sheetView>
  </sheetViews>
  <sheetFormatPr defaultRowHeight="16.5"/>
  <cols>
    <col min="1" max="1" width="20.125" customWidth="1"/>
    <col min="2" max="26" width="10.125" customWidth="1"/>
    <col min="27" max="27" width="13.875" customWidth="1"/>
    <col min="28" max="28" width="10.75" customWidth="1"/>
    <col min="29" max="43" width="10.125" customWidth="1"/>
  </cols>
  <sheetData>
    <row r="1" spans="1:43" s="4" customFormat="1">
      <c r="A1" s="9" t="s">
        <v>100</v>
      </c>
      <c r="B1" s="4" t="s">
        <v>8</v>
      </c>
      <c r="C1" s="36" t="s">
        <v>112</v>
      </c>
      <c r="D1" s="37" t="s">
        <v>113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36" t="s">
        <v>105</v>
      </c>
      <c r="M1" s="37" t="s">
        <v>106</v>
      </c>
      <c r="N1" s="4" t="s">
        <v>18</v>
      </c>
      <c r="O1" s="36" t="s">
        <v>1113</v>
      </c>
      <c r="P1" s="37" t="s">
        <v>1114</v>
      </c>
      <c r="Q1" s="36" t="s">
        <v>1115</v>
      </c>
      <c r="R1" s="37" t="s">
        <v>1116</v>
      </c>
      <c r="S1" s="4" t="s">
        <v>106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26</v>
      </c>
      <c r="Y1" s="4" t="s">
        <v>27</v>
      </c>
      <c r="Z1" s="36" t="s">
        <v>1117</v>
      </c>
      <c r="AA1" s="38" t="s">
        <v>1118</v>
      </c>
      <c r="AB1" s="37" t="s">
        <v>1119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</row>
    <row r="2" spans="1:43" ht="17.25" thickBot="1">
      <c r="A2" s="214" t="s">
        <v>1416</v>
      </c>
      <c r="B2">
        <f>'Filtered OECD Data'!B22*1000</f>
        <v>903800</v>
      </c>
      <c r="C2" s="144">
        <f>'Summary ISIC Splits'!D29</f>
        <v>1241.27931667654</v>
      </c>
      <c r="D2" s="145">
        <f>'Summary ISIC Splits'!E29</f>
        <v>558.72068332345998</v>
      </c>
      <c r="E2">
        <f>'Filtered OECD Data'!D22*1000</f>
        <v>16800</v>
      </c>
      <c r="F2">
        <f>'Filtered OECD Data'!E22*1000</f>
        <v>1900</v>
      </c>
      <c r="G2">
        <f>'Filtered OECD Data'!F22*1000</f>
        <v>478900</v>
      </c>
      <c r="H2">
        <f>'Filtered OECD Data'!G22*1000</f>
        <v>471100</v>
      </c>
      <c r="I2">
        <f>'Filtered OECD Data'!H22*1000</f>
        <v>98600</v>
      </c>
      <c r="J2">
        <f>'Filtered OECD Data'!I22*1000</f>
        <v>156100</v>
      </c>
      <c r="K2">
        <f>'Filtered OECD Data'!J22*1000</f>
        <v>15400</v>
      </c>
      <c r="L2" s="144">
        <f>'Filtered OECD Data'!K22*1000*('OECD Chem Pharma Split'!M$7/SUM('OECD Chem Pharma Split'!$M$7:$N$7))</f>
        <v>134555.88317959997</v>
      </c>
      <c r="M2" s="145">
        <f>'Filtered OECD Data'!K22*1000*('OECD Chem Pharma Split'!N$7/SUM('OECD Chem Pharma Split'!$M$7:$N$7))</f>
        <v>46944.116820400042</v>
      </c>
      <c r="N2">
        <f>'Filtered OECD Data'!L22*1000</f>
        <v>187000</v>
      </c>
      <c r="O2" s="144">
        <f>'Summary ISIC Splits'!J29</f>
        <v>38660.922449076599</v>
      </c>
      <c r="P2" s="145">
        <f>'Summary ISIC Splits'!K29</f>
        <v>88539.077550923408</v>
      </c>
      <c r="Q2" s="144">
        <f>'Summary ISIC Splits'!M29</f>
        <v>73379.3133757662</v>
      </c>
      <c r="R2" s="145">
        <f>'Summary ISIC Splits'!N29</f>
        <v>102820.68662423379</v>
      </c>
      <c r="S2">
        <f>'Filtered OECD Data'!O22*1000</f>
        <v>580600</v>
      </c>
      <c r="T2">
        <f>'Filtered OECD Data'!P22*1000</f>
        <v>102600</v>
      </c>
      <c r="U2">
        <f>'Filtered OECD Data'!Q22*1000</f>
        <v>158900</v>
      </c>
      <c r="V2">
        <f>'Filtered OECD Data'!R22*1000</f>
        <v>475900</v>
      </c>
      <c r="W2">
        <f>'Filtered OECD Data'!S22*1000</f>
        <v>173900</v>
      </c>
      <c r="X2">
        <f>'Filtered OECD Data'!T22*1000</f>
        <v>96100</v>
      </c>
      <c r="Y2">
        <f>'Filtered OECD Data'!U22*1000</f>
        <v>420400</v>
      </c>
      <c r="Z2" s="144">
        <f>'Summary ISIC Splits'!P29</f>
        <v>52685.732187403664</v>
      </c>
      <c r="AA2" s="146">
        <f>'Summary ISIC Splits'!Q29</f>
        <v>9067.5709262437213</v>
      </c>
      <c r="AB2" s="145">
        <f>'Summary ISIC Splits'!R29</f>
        <v>164346.69688635258</v>
      </c>
      <c r="AC2">
        <f>'Filtered OECD Data'!W22*1000</f>
        <v>1558300</v>
      </c>
      <c r="AD2">
        <f>'Filtered OECD Data'!X22*1000</f>
        <v>3623700</v>
      </c>
      <c r="AE2">
        <f>'Filtered OECD Data'!Y22*1000</f>
        <v>1180200</v>
      </c>
      <c r="AF2">
        <f>'Filtered OECD Data'!Z22*1000</f>
        <v>1498300</v>
      </c>
      <c r="AG2">
        <f>'Filtered OECD Data'!AA22*1000</f>
        <v>92700</v>
      </c>
      <c r="AH2">
        <f>'Filtered OECD Data'!AB22*1000</f>
        <v>83500</v>
      </c>
      <c r="AI2">
        <f>'Filtered OECD Data'!AC22*1000</f>
        <v>456700</v>
      </c>
      <c r="AJ2">
        <f>'Filtered OECD Data'!AD22*1000</f>
        <v>629900</v>
      </c>
      <c r="AK2">
        <f>'Filtered OECD Data'!AE22*1000</f>
        <v>181200</v>
      </c>
      <c r="AL2">
        <f>'Filtered OECD Data'!AF22*1000</f>
        <v>3174300</v>
      </c>
      <c r="AM2">
        <f>'Filtered OECD Data'!AG22*1000</f>
        <v>1193200</v>
      </c>
      <c r="AN2">
        <f>'Filtered OECD Data'!AH22*1000</f>
        <v>1624400</v>
      </c>
      <c r="AO2">
        <f>'Filtered OECD Data'!AI22*1000</f>
        <v>2005900</v>
      </c>
      <c r="AP2">
        <f>'Filtered OECD Data'!AJ22*1000</f>
        <v>1044900.0000000001</v>
      </c>
      <c r="AQ2">
        <f>'Filtered OECD Data'!AK22*1000</f>
        <v>1495400</v>
      </c>
    </row>
    <row r="7" spans="1:43">
      <c r="A7" s="214"/>
      <c r="B7" s="214"/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</row>
    <row r="8" spans="1:43">
      <c r="A8" s="214"/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</row>
    <row r="9" spans="1:43"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  <c r="AA9" s="215"/>
      <c r="AB9" s="215"/>
      <c r="AC9" s="215"/>
      <c r="AD9" s="215"/>
      <c r="AE9" s="215"/>
      <c r="AF9" s="215"/>
      <c r="AG9" s="215"/>
      <c r="AH9" s="215"/>
      <c r="AI9" s="215"/>
      <c r="AJ9" s="215"/>
      <c r="AK9" s="215"/>
      <c r="AL9" s="215"/>
      <c r="AM9" s="215"/>
      <c r="AN9" s="215"/>
      <c r="AO9" s="215"/>
      <c r="AP9" s="215"/>
      <c r="AQ9" s="215"/>
    </row>
  </sheetData>
  <phoneticPr fontId="19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29A076-FC39-4E24-8B77-5EC511F4831A}"/>
</file>

<file path=customXml/itemProps2.xml><?xml version="1.0" encoding="utf-8"?>
<ds:datastoreItem xmlns:ds="http://schemas.openxmlformats.org/officeDocument/2006/customXml" ds:itemID="{F066DEB2-7E9F-472C-835F-EACDEBC7B812}"/>
</file>

<file path=customXml/itemProps3.xml><?xml version="1.0" encoding="utf-8"?>
<ds:datastoreItem xmlns:ds="http://schemas.openxmlformats.org/officeDocument/2006/customXml" ds:itemID="{19B058E5-09D7-49CE-8686-7DFF27CF49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About</vt:lpstr>
      <vt:lpstr>OECD EMPN</vt:lpstr>
      <vt:lpstr>Filtered OECD Data</vt:lpstr>
      <vt:lpstr>Emp Compensation Split</vt:lpstr>
      <vt:lpstr>OECD Chem Pharma Split</vt:lpstr>
      <vt:lpstr>Table</vt:lpstr>
      <vt:lpstr>Summary ISIC Splits</vt:lpstr>
      <vt:lpstr>Gross Output by Industry</vt:lpstr>
      <vt:lpstr>ComponentsofVA</vt:lpstr>
      <vt:lpstr>BEbIC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2019-12-02T22:49:06Z</dcterms:created>
  <dcterms:modified xsi:type="dcterms:W3CDTF">2025-02-10T08:21:13Z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