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o-model\BGDP\"/>
    </mc:Choice>
  </mc:AlternateContent>
  <xr:revisionPtr revIDLastSave="0" documentId="13_ncr:1_{A1F780E9-E69F-434E-ACE0-B9BD40767F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bout" sheetId="1" r:id="rId1"/>
    <sheet name="World Bank_Real" sheetId="4" r:id="rId2"/>
    <sheet name="OECD_PPP" sheetId="3" r:id="rId3"/>
    <sheet name="Calcs" sheetId="5" r:id="rId4"/>
    <sheet name="BGDP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44" i="1"/>
  <c r="C45" i="1"/>
  <c r="C46" i="1"/>
  <c r="C47" i="1"/>
  <c r="C48" i="1"/>
  <c r="C49" i="1"/>
  <c r="C50" i="1"/>
  <c r="C36" i="1"/>
  <c r="C37" i="1"/>
  <c r="C38" i="1"/>
  <c r="D36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41" i="1"/>
  <c r="C66" i="5" l="1"/>
  <c r="C5" i="5"/>
  <c r="C68" i="5"/>
  <c r="C67" i="5"/>
  <c r="B5" i="5" a="1"/>
  <c r="B5" i="5" s="1"/>
  <c r="H6" i="3"/>
  <c r="C65" i="5" l="1"/>
  <c r="C23" i="5"/>
  <c r="A25" i="1"/>
  <c r="H45" i="3" l="1"/>
  <c r="H7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C12" i="5" l="1"/>
  <c r="C20" i="5"/>
  <c r="C28" i="5"/>
  <c r="C36" i="5"/>
  <c r="C44" i="5"/>
  <c r="C52" i="5"/>
  <c r="C60" i="5"/>
  <c r="B2" i="2" s="1"/>
  <c r="C22" i="5"/>
  <c r="C38" i="5"/>
  <c r="C54" i="5"/>
  <c r="C39" i="5"/>
  <c r="C63" i="5"/>
  <c r="B5" i="2" s="1"/>
  <c r="C24" i="5"/>
  <c r="C64" i="5"/>
  <c r="C11" i="5"/>
  <c r="C43" i="5"/>
  <c r="C13" i="5"/>
  <c r="C21" i="5"/>
  <c r="C29" i="5"/>
  <c r="C37" i="5"/>
  <c r="C45" i="5"/>
  <c r="C53" i="5"/>
  <c r="C61" i="5"/>
  <c r="B3" i="2" s="1"/>
  <c r="C14" i="5"/>
  <c r="C30" i="5"/>
  <c r="C46" i="5"/>
  <c r="C62" i="5"/>
  <c r="B4" i="2" s="1"/>
  <c r="C47" i="5"/>
  <c r="C32" i="5"/>
  <c r="C40" i="5"/>
  <c r="C56" i="5"/>
  <c r="C51" i="5"/>
  <c r="C6" i="5"/>
  <c r="C7" i="5"/>
  <c r="C15" i="5"/>
  <c r="C31" i="5"/>
  <c r="C55" i="5"/>
  <c r="C16" i="5"/>
  <c r="C48" i="5"/>
  <c r="C19" i="5"/>
  <c r="C59" i="5"/>
  <c r="C8" i="5"/>
  <c r="C35" i="5"/>
  <c r="C9" i="5"/>
  <c r="C17" i="5"/>
  <c r="C25" i="5"/>
  <c r="C33" i="5"/>
  <c r="C41" i="5"/>
  <c r="C49" i="5"/>
  <c r="C57" i="5"/>
  <c r="C10" i="5"/>
  <c r="C18" i="5"/>
  <c r="C26" i="5"/>
  <c r="C34" i="5"/>
  <c r="C42" i="5"/>
  <c r="C50" i="5"/>
  <c r="C58" i="5"/>
  <c r="C27" i="5"/>
  <c r="B6" i="2" l="1"/>
  <c r="B7" i="2" l="1"/>
  <c r="B8" i="2" l="1"/>
  <c r="B9" i="2" l="1"/>
  <c r="C69" i="5" l="1"/>
  <c r="B10" i="2"/>
  <c r="C70" i="5" l="1"/>
  <c r="B11" i="2"/>
  <c r="C71" i="5" l="1"/>
  <c r="B12" i="2"/>
  <c r="C72" i="5" l="1"/>
  <c r="B13" i="2"/>
  <c r="C73" i="5" l="1"/>
  <c r="B14" i="2"/>
  <c r="C74" i="5" l="1"/>
  <c r="B15" i="2"/>
  <c r="C75" i="5" l="1"/>
  <c r="B16" i="2"/>
  <c r="C76" i="5" l="1"/>
  <c r="B17" i="2"/>
  <c r="C77" i="5" l="1"/>
  <c r="B18" i="2"/>
  <c r="C78" i="5" l="1"/>
  <c r="B19" i="2"/>
  <c r="C79" i="5" l="1"/>
  <c r="B20" i="2"/>
  <c r="C80" i="5" l="1"/>
  <c r="B21" i="2"/>
  <c r="C81" i="5" l="1"/>
  <c r="B22" i="2"/>
  <c r="C82" i="5" l="1"/>
  <c r="B23" i="2"/>
  <c r="C83" i="5" l="1"/>
  <c r="B24" i="2"/>
  <c r="C84" i="5" l="1"/>
  <c r="B25" i="2"/>
  <c r="C85" i="5" l="1"/>
  <c r="B26" i="2"/>
  <c r="C86" i="5" l="1"/>
  <c r="B27" i="2"/>
  <c r="C87" i="5" l="1"/>
  <c r="B28" i="2"/>
  <c r="C88" i="5" l="1"/>
  <c r="B29" i="2"/>
  <c r="C89" i="5" l="1"/>
  <c r="B30" i="2"/>
  <c r="C90" i="5" l="1"/>
  <c r="B31" i="2"/>
  <c r="C91" i="5" l="1"/>
  <c r="B32" i="2"/>
  <c r="C92" i="5" l="1"/>
  <c r="B33" i="2"/>
  <c r="C93" i="5" l="1"/>
  <c r="B34" i="2"/>
  <c r="C94" i="5" l="1"/>
  <c r="B35" i="2"/>
  <c r="C95" i="5" l="1"/>
  <c r="B36" i="2"/>
  <c r="C96" i="5" l="1"/>
  <c r="B37" i="2"/>
  <c r="C97" i="5" l="1"/>
  <c r="B38" i="2"/>
  <c r="C98" i="5" l="1"/>
  <c r="B39" i="2"/>
  <c r="C99" i="5" l="1"/>
  <c r="B40" i="2"/>
  <c r="C100" i="5" l="1"/>
  <c r="B41" i="2"/>
  <c r="C101" i="5" l="1"/>
  <c r="B42" i="2"/>
  <c r="C102" i="5" l="1"/>
  <c r="B43" i="2"/>
  <c r="C103" i="5" l="1"/>
  <c r="B44" i="2"/>
  <c r="C104" i="5" l="1"/>
  <c r="B45" i="2"/>
  <c r="C105" i="5" l="1"/>
  <c r="B47" i="2" s="1"/>
  <c r="B4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<sst xmlns="http://schemas.openxmlformats.org/spreadsheetml/2006/main" count="268" uniqueCount="52">
  <si>
    <t>BGDP BAU Gross Domestic Product</t>
  </si>
  <si>
    <t>Source:</t>
  </si>
  <si>
    <t>OECD</t>
  </si>
  <si>
    <t>Notes</t>
  </si>
  <si>
    <t>LOCATION</t>
  </si>
  <si>
    <t>INDICATOR</t>
  </si>
  <si>
    <t>SUBJECT</t>
  </si>
  <si>
    <t>MEASURE</t>
  </si>
  <si>
    <t>FREQUENCY</t>
  </si>
  <si>
    <t>TIME</t>
  </si>
  <si>
    <t>Value</t>
  </si>
  <si>
    <t>GDPLTFORECAST</t>
  </si>
  <si>
    <t>TOT</t>
  </si>
  <si>
    <t>MLN_USD</t>
  </si>
  <si>
    <t>A</t>
  </si>
  <si>
    <t>GDP</t>
  </si>
  <si>
    <t>dollars per million dollars</t>
  </si>
  <si>
    <t>In the U.S. model, input data are converted to 2012 USD (then converted to the</t>
  </si>
  <si>
    <t>output currency year in web-app/OCCF).  Therefore, we use these conversion factors: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</si>
  <si>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</si>
  <si>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</si>
  <si>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</si>
  <si>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</si>
  <si>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</si>
  <si>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</si>
  <si>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</si>
  <si>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Growth Rate</t>
  </si>
  <si>
    <t>World Bank</t>
  </si>
  <si>
    <t>Forecasted GDP Growth</t>
  </si>
  <si>
    <t>Real GDP - Historical</t>
  </si>
  <si>
    <t>The World Bank</t>
  </si>
  <si>
    <t>NY.GDP.MKTP.KD</t>
  </si>
  <si>
    <t>Korea, Rep.</t>
  </si>
  <si>
    <t>KOR</t>
  </si>
  <si>
    <t>https://data.worldbank.org/indicator/NY.GDP.MKTP.KD?locations=KR</t>
  </si>
  <si>
    <t>GDP (constant 2015 US$)</t>
  </si>
  <si>
    <t>GDP (constant 2015 US$)</t>
    <phoneticPr fontId="5" type="noConversion"/>
  </si>
  <si>
    <t>USD 2015 $</t>
    <phoneticPr fontId="5" type="noConversion"/>
  </si>
  <si>
    <t>https://data-explorer.oecd.org/vis?lc=en&amp;df[ds]=DisseminateArchiveDMZ&amp;df[id]=DF_DP_LIVE&amp;df[ag]=OECD&amp;av=true&amp;pd=2017%2C2075&amp;dq=KOR.GDPLTFORECAST...A&amp;to[TIME_PERIOD]=false&amp;vw=ov&amp;lb=bt</t>
    <phoneticPr fontId="5" type="noConversion"/>
  </si>
  <si>
    <t>(DF_DP_LIVE) OECD Data Archive</t>
  </si>
  <si>
    <t>Real GDP long-term forecast</t>
    <phoneticPr fontId="5" type="noConversion"/>
  </si>
  <si>
    <t>Last updated: January 12, 2024 at 6:54:51 AM</t>
    <phoneticPr fontId="5" type="noConversion"/>
  </si>
  <si>
    <t>The OECD long-term forecast gives GDPs in millions of 2015 USD with Purchasing Power Parity.</t>
    <phoneticPr fontId="5" type="noConversion"/>
  </si>
  <si>
    <t>World Bank_Real</t>
    <phoneticPr fontId="5" type="noConversion"/>
  </si>
  <si>
    <t>OECD_PPP</t>
    <phoneticPr fontId="5" type="noConversion"/>
  </si>
  <si>
    <t>연도</t>
  </si>
  <si>
    <t>평균 CPI (1982-1984=100)</t>
  </si>
  <si>
    <t>to 2012 dollars</t>
    <phoneticPr fontId="5" type="noConversion"/>
  </si>
  <si>
    <t>to 2015 dollars</t>
    <phoneticPr fontId="5" type="noConversion"/>
  </si>
  <si>
    <t>2015 dollars to 2012 dollars</t>
    <phoneticPr fontId="5" type="noConversion"/>
  </si>
  <si>
    <t>USD 2012 $</t>
    <phoneticPr fontId="5" type="noConversion"/>
  </si>
  <si>
    <t>Unit: 2012 USD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</si>
</sst>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9" formatCode="0_);[Red]\(0\)"/>
  </numFmts>
  <fonts count="11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/>
    <xf numFmtId="176" fontId="0" fillId="2" borderId="0" xfId="2" applyNumberFormat="1" applyFont="1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1" fontId="0" fillId="0" borderId="0" xfId="3" applyFont="1" applyAlignment="1"/>
    <xf numFmtId="14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readingOrder="1"/>
    </xf>
    <xf numFmtId="41" fontId="1" fillId="0" borderId="0" xfId="3" applyFont="1" applyAlignment="1"/>
    <xf numFmtId="41" fontId="0" fillId="2" borderId="0" xfId="3" applyFont="1" applyFill="1" applyAlignment="1"/>
    <xf numFmtId="41" fontId="9" fillId="0" borderId="0" xfId="3" applyFont="1" applyAlignment="1"/>
    <xf numFmtId="0" fontId="6" fillId="3" borderId="0" xfId="0" applyFont="1" applyFill="1"/>
    <xf numFmtId="41" fontId="7" fillId="5" borderId="0" xfId="3" applyFont="1" applyFill="1" applyAlignme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1" fontId="0" fillId="0" borderId="0" xfId="3" applyFont="1" applyAlignment="1">
      <alignment horizontal="right"/>
    </xf>
    <xf numFmtId="179" fontId="0" fillId="0" borderId="0" xfId="3" applyNumberFormat="1" applyFont="1" applyAlignment="1"/>
  </cellXfs>
  <cellStyles count="4">
    <cellStyle name="백분율" xfId="2" builtinId="5"/>
    <cellStyle name="쉼표 [0]" xfId="3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Calcs!$C$4</c:f>
              <c:strCache>
                <c:ptCount val="1"/>
                <c:pt idx="0">
                  <c:v> USD 2012 $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Calcs!$A$5:$A$105</c:f>
              <c:numCache>
                <c:formatCode>General</c:formatCode>
                <c:ptCount val="10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  <c:pt idx="75">
                  <c:v>2035</c:v>
                </c:pt>
                <c:pt idx="76">
                  <c:v>2036</c:v>
                </c:pt>
                <c:pt idx="77">
                  <c:v>2037</c:v>
                </c:pt>
                <c:pt idx="78">
                  <c:v>2038</c:v>
                </c:pt>
                <c:pt idx="79">
                  <c:v>2039</c:v>
                </c:pt>
                <c:pt idx="80">
                  <c:v>2040</c:v>
                </c:pt>
                <c:pt idx="81">
                  <c:v>2041</c:v>
                </c:pt>
                <c:pt idx="82">
                  <c:v>2042</c:v>
                </c:pt>
                <c:pt idx="83">
                  <c:v>2043</c:v>
                </c:pt>
                <c:pt idx="84">
                  <c:v>2044</c:v>
                </c:pt>
                <c:pt idx="85">
                  <c:v>2045</c:v>
                </c:pt>
                <c:pt idx="86">
                  <c:v>2046</c:v>
                </c:pt>
                <c:pt idx="87">
                  <c:v>2047</c:v>
                </c:pt>
                <c:pt idx="88">
                  <c:v>2048</c:v>
                </c:pt>
                <c:pt idx="89">
                  <c:v>2049</c:v>
                </c:pt>
                <c:pt idx="90">
                  <c:v>2050</c:v>
                </c:pt>
                <c:pt idx="91">
                  <c:v>2051</c:v>
                </c:pt>
                <c:pt idx="92">
                  <c:v>2052</c:v>
                </c:pt>
                <c:pt idx="93">
                  <c:v>2053</c:v>
                </c:pt>
                <c:pt idx="94">
                  <c:v>2054</c:v>
                </c:pt>
                <c:pt idx="95">
                  <c:v>2055</c:v>
                </c:pt>
                <c:pt idx="96">
                  <c:v>2056</c:v>
                </c:pt>
                <c:pt idx="97">
                  <c:v>2057</c:v>
                </c:pt>
                <c:pt idx="98">
                  <c:v>2058</c:v>
                </c:pt>
                <c:pt idx="99">
                  <c:v>2059</c:v>
                </c:pt>
                <c:pt idx="100">
                  <c:v>2060</c:v>
                </c:pt>
              </c:numCache>
            </c:numRef>
          </c:cat>
          <c:val>
            <c:numRef>
              <c:f>Calcs!$C$5:$C$105</c:f>
              <c:numCache>
                <c:formatCode>_(* #,##0_);_(* \(#,##0\);_(* "-"_);_(@_)</c:formatCode>
                <c:ptCount val="101"/>
                <c:pt idx="0">
                  <c:v>24899074141.231331</c:v>
                </c:pt>
                <c:pt idx="1">
                  <c:v>26626072094.143894</c:v>
                </c:pt>
                <c:pt idx="2">
                  <c:v>27663230166.445637</c:v>
                </c:pt>
                <c:pt idx="3">
                  <c:v>30158610732.837288</c:v>
                </c:pt>
                <c:pt idx="4">
                  <c:v>33015784651.0667</c:v>
                </c:pt>
                <c:pt idx="5">
                  <c:v>35432022921.743927</c:v>
                </c:pt>
                <c:pt idx="6">
                  <c:v>39681724376.473396</c:v>
                </c:pt>
                <c:pt idx="7">
                  <c:v>43284668823.692009</c:v>
                </c:pt>
                <c:pt idx="8">
                  <c:v>48983428026.146355</c:v>
                </c:pt>
                <c:pt idx="9">
                  <c:v>56116084601.497116</c:v>
                </c:pt>
                <c:pt idx="10">
                  <c:v>61757285770.704651</c:v>
                </c:pt>
                <c:pt idx="11">
                  <c:v>68269908711.123367</c:v>
                </c:pt>
                <c:pt idx="12">
                  <c:v>73195146189.987244</c:v>
                </c:pt>
                <c:pt idx="13">
                  <c:v>84099995238.88974</c:v>
                </c:pt>
                <c:pt idx="14">
                  <c:v>92099448386.351578</c:v>
                </c:pt>
                <c:pt idx="15">
                  <c:v>99319983744.606064</c:v>
                </c:pt>
                <c:pt idx="16">
                  <c:v>112451523552.91304</c:v>
                </c:pt>
                <c:pt idx="17">
                  <c:v>126323523476.42766</c:v>
                </c:pt>
                <c:pt idx="18">
                  <c:v>140159720932.83286</c:v>
                </c:pt>
                <c:pt idx="19">
                  <c:v>152313288086.95322</c:v>
                </c:pt>
                <c:pt idx="20">
                  <c:v>149806687130.15158</c:v>
                </c:pt>
                <c:pt idx="21">
                  <c:v>160661943766.48016</c:v>
                </c:pt>
                <c:pt idx="22">
                  <c:v>174058062093.68533</c:v>
                </c:pt>
                <c:pt idx="23">
                  <c:v>197340372193.89145</c:v>
                </c:pt>
                <c:pt idx="24">
                  <c:v>218163018542.98077</c:v>
                </c:pt>
                <c:pt idx="25">
                  <c:v>235264520912.29044</c:v>
                </c:pt>
                <c:pt idx="26">
                  <c:v>261913547698.26489</c:v>
                </c:pt>
                <c:pt idx="27">
                  <c:v>295238621126.19867</c:v>
                </c:pt>
                <c:pt idx="28">
                  <c:v>330630987248.24982</c:v>
                </c:pt>
                <c:pt idx="29">
                  <c:v>354016165202.51843</c:v>
                </c:pt>
                <c:pt idx="30">
                  <c:v>388984297784.87958</c:v>
                </c:pt>
                <c:pt idx="31">
                  <c:v>430909243724.94861</c:v>
                </c:pt>
                <c:pt idx="32">
                  <c:v>457619768528.58899</c:v>
                </c:pt>
                <c:pt idx="33">
                  <c:v>489092449716.89301</c:v>
                </c:pt>
                <c:pt idx="34">
                  <c:v>534424796964.44513</c:v>
                </c:pt>
                <c:pt idx="35">
                  <c:v>585807418546.0658</c:v>
                </c:pt>
                <c:pt idx="36">
                  <c:v>632031744005.27441</c:v>
                </c:pt>
                <c:pt idx="37">
                  <c:v>671031594121.80957</c:v>
                </c:pt>
                <c:pt idx="38">
                  <c:v>636611376329.15137</c:v>
                </c:pt>
                <c:pt idx="39">
                  <c:v>709611236334.90759</c:v>
                </c:pt>
                <c:pt idx="40">
                  <c:v>773907927715.29163</c:v>
                </c:pt>
                <c:pt idx="41">
                  <c:v>811461032683.65161</c:v>
                </c:pt>
                <c:pt idx="42">
                  <c:v>874147555214.32043</c:v>
                </c:pt>
                <c:pt idx="43">
                  <c:v>901659524239.82214</c:v>
                </c:pt>
                <c:pt idx="44">
                  <c:v>948522298478.52844</c:v>
                </c:pt>
                <c:pt idx="45">
                  <c:v>989389786861.35168</c:v>
                </c:pt>
                <c:pt idx="46">
                  <c:v>1041474496536.0165</c:v>
                </c:pt>
                <c:pt idx="47">
                  <c:v>1101875314192.8428</c:v>
                </c:pt>
                <c:pt idx="48">
                  <c:v>1135074650726.7114</c:v>
                </c:pt>
                <c:pt idx="49">
                  <c:v>1144072376013.3022</c:v>
                </c:pt>
                <c:pt idx="50">
                  <c:v>1221924498134.3438</c:v>
                </c:pt>
                <c:pt idx="51">
                  <c:v>1266960575683.9719</c:v>
                </c:pt>
                <c:pt idx="52">
                  <c:v>1297399696177.0569</c:v>
                </c:pt>
                <c:pt idx="53">
                  <c:v>1338458616411.5278</c:v>
                </c:pt>
                <c:pt idx="54">
                  <c:v>1381322135161.5967</c:v>
                </c:pt>
                <c:pt idx="55">
                  <c:v>1420124900405.3679</c:v>
                </c:pt>
                <c:pt idx="56">
                  <c:v>1461974301426.7983</c:v>
                </c:pt>
                <c:pt idx="57">
                  <c:v>1508167363966.1653</c:v>
                </c:pt>
                <c:pt idx="58">
                  <c:v>1552015878820.8989</c:v>
                </c:pt>
                <c:pt idx="59">
                  <c:v>1586842771527.0408</c:v>
                </c:pt>
                <c:pt idx="60">
                  <c:v>1575585465176.3359</c:v>
                </c:pt>
                <c:pt idx="61">
                  <c:v>1643410241299.9807</c:v>
                </c:pt>
                <c:pt idx="62">
                  <c:v>1686347163672.8076</c:v>
                </c:pt>
                <c:pt idx="63">
                  <c:v>1709226396236.6152</c:v>
                </c:pt>
                <c:pt idx="64">
                  <c:v>1747778407582.6704</c:v>
                </c:pt>
                <c:pt idx="65">
                  <c:v>1785060161438.2739</c:v>
                </c:pt>
                <c:pt idx="66">
                  <c:v>1826861359591.96</c:v>
                </c:pt>
                <c:pt idx="67">
                  <c:v>1865700311522.4475</c:v>
                </c:pt>
                <c:pt idx="68">
                  <c:v>1900613874437.7427</c:v>
                </c:pt>
                <c:pt idx="69">
                  <c:v>1932921037799.2646</c:v>
                </c:pt>
                <c:pt idx="70">
                  <c:v>1964065639736.8296</c:v>
                </c:pt>
                <c:pt idx="71">
                  <c:v>1994773271335.0046</c:v>
                </c:pt>
                <c:pt idx="72">
                  <c:v>2025148217952.0977</c:v>
                </c:pt>
                <c:pt idx="73">
                  <c:v>2055106757539.8899</c:v>
                </c:pt>
                <c:pt idx="74">
                  <c:v>2084459413883.9897</c:v>
                </c:pt>
                <c:pt idx="75">
                  <c:v>2113021851597.5291</c:v>
                </c:pt>
                <c:pt idx="76">
                  <c:v>2140636908239.1133</c:v>
                </c:pt>
                <c:pt idx="77">
                  <c:v>2167152562194.8711</c:v>
                </c:pt>
                <c:pt idx="78">
                  <c:v>2192468200126.1526</c:v>
                </c:pt>
                <c:pt idx="79">
                  <c:v>2216569133954.3237</c:v>
                </c:pt>
                <c:pt idx="80">
                  <c:v>2239558914633.7598</c:v>
                </c:pt>
                <c:pt idx="81">
                  <c:v>2261617471127.7397</c:v>
                </c:pt>
                <c:pt idx="82">
                  <c:v>2282887277799.0225</c:v>
                </c:pt>
                <c:pt idx="83">
                  <c:v>2303443243848.646</c:v>
                </c:pt>
                <c:pt idx="84">
                  <c:v>2323310339010.2905</c:v>
                </c:pt>
                <c:pt idx="85">
                  <c:v>2342476812821.0474</c:v>
                </c:pt>
                <c:pt idx="86">
                  <c:v>2360959556571.3467</c:v>
                </c:pt>
                <c:pt idx="87">
                  <c:v>2378828338634.7051</c:v>
                </c:pt>
                <c:pt idx="88">
                  <c:v>2396191116389.0889</c:v>
                </c:pt>
                <c:pt idx="89">
                  <c:v>2413172738502.8955</c:v>
                </c:pt>
                <c:pt idx="90">
                  <c:v>2429843707753.5728</c:v>
                </c:pt>
                <c:pt idx="91">
                  <c:v>2446192273678.2129</c:v>
                </c:pt>
                <c:pt idx="92">
                  <c:v>2462140589460.0503</c:v>
                </c:pt>
                <c:pt idx="93">
                  <c:v>2477550587159.9165</c:v>
                </c:pt>
                <c:pt idx="94">
                  <c:v>2492226915331.9663</c:v>
                </c:pt>
                <c:pt idx="95">
                  <c:v>2505927955082.6553</c:v>
                </c:pt>
                <c:pt idx="96">
                  <c:v>2518408415498.7793</c:v>
                </c:pt>
                <c:pt idx="97">
                  <c:v>2529467069903.0396</c:v>
                </c:pt>
                <c:pt idx="98">
                  <c:v>2538990085686.0142</c:v>
                </c:pt>
                <c:pt idx="99">
                  <c:v>2546960571557.2739</c:v>
                </c:pt>
                <c:pt idx="100">
                  <c:v>2553415982117.3379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E-47EF-A915-AF316987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15888"/>
        <c:axId val="2073515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Calcs!$A$4</c15:sqref>
                        </c15:formulaRef>
                      </c:ext>
                    </c:extLst>
                    <c:strCache>
                      <c:ptCount val="1"/>
                      <c:pt idx="0">
                        <c:v>World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Calcs!$A$5:$A$105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1960</c:v>
                      </c:pt>
                      <c:pt idx="1">
                        <c:v>1961</c:v>
                      </c:pt>
                      <c:pt idx="2">
                        <c:v>1962</c:v>
                      </c:pt>
                      <c:pt idx="3">
                        <c:v>1963</c:v>
                      </c:pt>
                      <c:pt idx="4">
                        <c:v>1964</c:v>
                      </c:pt>
                      <c:pt idx="5">
                        <c:v>1965</c:v>
                      </c:pt>
                      <c:pt idx="6">
                        <c:v>1966</c:v>
                      </c:pt>
                      <c:pt idx="7">
                        <c:v>1967</c:v>
                      </c:pt>
                      <c:pt idx="8">
                        <c:v>1968</c:v>
                      </c:pt>
                      <c:pt idx="9">
                        <c:v>1969</c:v>
                      </c:pt>
                      <c:pt idx="10">
                        <c:v>1970</c:v>
                      </c:pt>
                      <c:pt idx="11">
                        <c:v>1971</c:v>
                      </c:pt>
                      <c:pt idx="12">
                        <c:v>1972</c:v>
                      </c:pt>
                      <c:pt idx="13">
                        <c:v>1973</c:v>
                      </c:pt>
                      <c:pt idx="14">
                        <c:v>1974</c:v>
                      </c:pt>
                      <c:pt idx="15">
                        <c:v>1975</c:v>
                      </c:pt>
                      <c:pt idx="16">
                        <c:v>1976</c:v>
                      </c:pt>
                      <c:pt idx="17">
                        <c:v>1977</c:v>
                      </c:pt>
                      <c:pt idx="18">
                        <c:v>1978</c:v>
                      </c:pt>
                      <c:pt idx="19">
                        <c:v>1979</c:v>
                      </c:pt>
                      <c:pt idx="20">
                        <c:v>1980</c:v>
                      </c:pt>
                      <c:pt idx="21">
                        <c:v>1981</c:v>
                      </c:pt>
                      <c:pt idx="22">
                        <c:v>1982</c:v>
                      </c:pt>
                      <c:pt idx="23">
                        <c:v>1983</c:v>
                      </c:pt>
                      <c:pt idx="24">
                        <c:v>1984</c:v>
                      </c:pt>
                      <c:pt idx="25">
                        <c:v>1985</c:v>
                      </c:pt>
                      <c:pt idx="26">
                        <c:v>1986</c:v>
                      </c:pt>
                      <c:pt idx="27">
                        <c:v>1987</c:v>
                      </c:pt>
                      <c:pt idx="28">
                        <c:v>1988</c:v>
                      </c:pt>
                      <c:pt idx="29">
                        <c:v>1989</c:v>
                      </c:pt>
                      <c:pt idx="30">
                        <c:v>1990</c:v>
                      </c:pt>
                      <c:pt idx="31">
                        <c:v>1991</c:v>
                      </c:pt>
                      <c:pt idx="32">
                        <c:v>1992</c:v>
                      </c:pt>
                      <c:pt idx="33">
                        <c:v>1993</c:v>
                      </c:pt>
                      <c:pt idx="34">
                        <c:v>1994</c:v>
                      </c:pt>
                      <c:pt idx="35">
                        <c:v>1995</c:v>
                      </c:pt>
                      <c:pt idx="36">
                        <c:v>1996</c:v>
                      </c:pt>
                      <c:pt idx="37">
                        <c:v>1997</c:v>
                      </c:pt>
                      <c:pt idx="38">
                        <c:v>1998</c:v>
                      </c:pt>
                      <c:pt idx="39">
                        <c:v>1999</c:v>
                      </c:pt>
                      <c:pt idx="40">
                        <c:v>2000</c:v>
                      </c:pt>
                      <c:pt idx="41">
                        <c:v>2001</c:v>
                      </c:pt>
                      <c:pt idx="42">
                        <c:v>2002</c:v>
                      </c:pt>
                      <c:pt idx="43">
                        <c:v>2003</c:v>
                      </c:pt>
                      <c:pt idx="44">
                        <c:v>2004</c:v>
                      </c:pt>
                      <c:pt idx="45">
                        <c:v>2005</c:v>
                      </c:pt>
                      <c:pt idx="46">
                        <c:v>2006</c:v>
                      </c:pt>
                      <c:pt idx="47">
                        <c:v>2007</c:v>
                      </c:pt>
                      <c:pt idx="48">
                        <c:v>2008</c:v>
                      </c:pt>
                      <c:pt idx="49">
                        <c:v>2009</c:v>
                      </c:pt>
                      <c:pt idx="50">
                        <c:v>2010</c:v>
                      </c:pt>
                      <c:pt idx="51">
                        <c:v>2011</c:v>
                      </c:pt>
                      <c:pt idx="52">
                        <c:v>2012</c:v>
                      </c:pt>
                      <c:pt idx="53">
                        <c:v>2013</c:v>
                      </c:pt>
                      <c:pt idx="54">
                        <c:v>2014</c:v>
                      </c:pt>
                      <c:pt idx="55">
                        <c:v>2015</c:v>
                      </c:pt>
                      <c:pt idx="56">
                        <c:v>2016</c:v>
                      </c:pt>
                      <c:pt idx="57">
                        <c:v>2017</c:v>
                      </c:pt>
                      <c:pt idx="58">
                        <c:v>2018</c:v>
                      </c:pt>
                      <c:pt idx="59">
                        <c:v>2019</c:v>
                      </c:pt>
                      <c:pt idx="60">
                        <c:v>2020</c:v>
                      </c:pt>
                      <c:pt idx="61">
                        <c:v>2021</c:v>
                      </c:pt>
                      <c:pt idx="62">
                        <c:v>2022</c:v>
                      </c:pt>
                      <c:pt idx="63">
                        <c:v>2023</c:v>
                      </c:pt>
                      <c:pt idx="64">
                        <c:v>2024</c:v>
                      </c:pt>
                      <c:pt idx="65">
                        <c:v>2025</c:v>
                      </c:pt>
                      <c:pt idx="66">
                        <c:v>2026</c:v>
                      </c:pt>
                      <c:pt idx="67">
                        <c:v>2027</c:v>
                      </c:pt>
                      <c:pt idx="68">
                        <c:v>2028</c:v>
                      </c:pt>
                      <c:pt idx="69">
                        <c:v>2029</c:v>
                      </c:pt>
                      <c:pt idx="70">
                        <c:v>2030</c:v>
                      </c:pt>
                      <c:pt idx="71">
                        <c:v>2031</c:v>
                      </c:pt>
                      <c:pt idx="72">
                        <c:v>2032</c:v>
                      </c:pt>
                      <c:pt idx="73">
                        <c:v>2033</c:v>
                      </c:pt>
                      <c:pt idx="74">
                        <c:v>2034</c:v>
                      </c:pt>
                      <c:pt idx="75">
                        <c:v>2035</c:v>
                      </c:pt>
                      <c:pt idx="76">
                        <c:v>2036</c:v>
                      </c:pt>
                      <c:pt idx="77">
                        <c:v>2037</c:v>
                      </c:pt>
                      <c:pt idx="78">
                        <c:v>2038</c:v>
                      </c:pt>
                      <c:pt idx="79">
                        <c:v>2039</c:v>
                      </c:pt>
                      <c:pt idx="80">
                        <c:v>2040</c:v>
                      </c:pt>
                      <c:pt idx="81">
                        <c:v>2041</c:v>
                      </c:pt>
                      <c:pt idx="82">
                        <c:v>2042</c:v>
                      </c:pt>
                      <c:pt idx="83">
                        <c:v>2043</c:v>
                      </c:pt>
                      <c:pt idx="84">
                        <c:v>2044</c:v>
                      </c:pt>
                      <c:pt idx="85">
                        <c:v>2045</c:v>
                      </c:pt>
                      <c:pt idx="86">
                        <c:v>2046</c:v>
                      </c:pt>
                      <c:pt idx="87">
                        <c:v>2047</c:v>
                      </c:pt>
                      <c:pt idx="88">
                        <c:v>2048</c:v>
                      </c:pt>
                      <c:pt idx="89">
                        <c:v>2049</c:v>
                      </c:pt>
                      <c:pt idx="90">
                        <c:v>2050</c:v>
                      </c:pt>
                      <c:pt idx="91">
                        <c:v>2051</c:v>
                      </c:pt>
                      <c:pt idx="92">
                        <c:v>2052</c:v>
                      </c:pt>
                      <c:pt idx="93">
                        <c:v>2053</c:v>
                      </c:pt>
                      <c:pt idx="94">
                        <c:v>2054</c:v>
                      </c:pt>
                      <c:pt idx="95">
                        <c:v>2055</c:v>
                      </c:pt>
                      <c:pt idx="96">
                        <c:v>2056</c:v>
                      </c:pt>
                      <c:pt idx="97">
                        <c:v>2057</c:v>
                      </c:pt>
                      <c:pt idx="98">
                        <c:v>2058</c:v>
                      </c:pt>
                      <c:pt idx="99">
                        <c:v>2059</c:v>
                      </c:pt>
                      <c:pt idx="100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Calcs!$A$5:$A$105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1960</c:v>
                      </c:pt>
                      <c:pt idx="1">
                        <c:v>1961</c:v>
                      </c:pt>
                      <c:pt idx="2">
                        <c:v>1962</c:v>
                      </c:pt>
                      <c:pt idx="3">
                        <c:v>1963</c:v>
                      </c:pt>
                      <c:pt idx="4">
                        <c:v>1964</c:v>
                      </c:pt>
                      <c:pt idx="5">
                        <c:v>1965</c:v>
                      </c:pt>
                      <c:pt idx="6">
                        <c:v>1966</c:v>
                      </c:pt>
                      <c:pt idx="7">
                        <c:v>1967</c:v>
                      </c:pt>
                      <c:pt idx="8">
                        <c:v>1968</c:v>
                      </c:pt>
                      <c:pt idx="9">
                        <c:v>1969</c:v>
                      </c:pt>
                      <c:pt idx="10">
                        <c:v>1970</c:v>
                      </c:pt>
                      <c:pt idx="11">
                        <c:v>1971</c:v>
                      </c:pt>
                      <c:pt idx="12">
                        <c:v>1972</c:v>
                      </c:pt>
                      <c:pt idx="13">
                        <c:v>1973</c:v>
                      </c:pt>
                      <c:pt idx="14">
                        <c:v>1974</c:v>
                      </c:pt>
                      <c:pt idx="15">
                        <c:v>1975</c:v>
                      </c:pt>
                      <c:pt idx="16">
                        <c:v>1976</c:v>
                      </c:pt>
                      <c:pt idx="17">
                        <c:v>1977</c:v>
                      </c:pt>
                      <c:pt idx="18">
                        <c:v>1978</c:v>
                      </c:pt>
                      <c:pt idx="19">
                        <c:v>1979</c:v>
                      </c:pt>
                      <c:pt idx="20">
                        <c:v>1980</c:v>
                      </c:pt>
                      <c:pt idx="21">
                        <c:v>1981</c:v>
                      </c:pt>
                      <c:pt idx="22">
                        <c:v>1982</c:v>
                      </c:pt>
                      <c:pt idx="23">
                        <c:v>1983</c:v>
                      </c:pt>
                      <c:pt idx="24">
                        <c:v>1984</c:v>
                      </c:pt>
                      <c:pt idx="25">
                        <c:v>1985</c:v>
                      </c:pt>
                      <c:pt idx="26">
                        <c:v>1986</c:v>
                      </c:pt>
                      <c:pt idx="27">
                        <c:v>1987</c:v>
                      </c:pt>
                      <c:pt idx="28">
                        <c:v>1988</c:v>
                      </c:pt>
                      <c:pt idx="29">
                        <c:v>1989</c:v>
                      </c:pt>
                      <c:pt idx="30">
                        <c:v>1990</c:v>
                      </c:pt>
                      <c:pt idx="31">
                        <c:v>1991</c:v>
                      </c:pt>
                      <c:pt idx="32">
                        <c:v>1992</c:v>
                      </c:pt>
                      <c:pt idx="33">
                        <c:v>1993</c:v>
                      </c:pt>
                      <c:pt idx="34">
                        <c:v>1994</c:v>
                      </c:pt>
                      <c:pt idx="35">
                        <c:v>1995</c:v>
                      </c:pt>
                      <c:pt idx="36">
                        <c:v>1996</c:v>
                      </c:pt>
                      <c:pt idx="37">
                        <c:v>1997</c:v>
                      </c:pt>
                      <c:pt idx="38">
                        <c:v>1998</c:v>
                      </c:pt>
                      <c:pt idx="39">
                        <c:v>1999</c:v>
                      </c:pt>
                      <c:pt idx="40">
                        <c:v>2000</c:v>
                      </c:pt>
                      <c:pt idx="41">
                        <c:v>2001</c:v>
                      </c:pt>
                      <c:pt idx="42">
                        <c:v>2002</c:v>
                      </c:pt>
                      <c:pt idx="43">
                        <c:v>2003</c:v>
                      </c:pt>
                      <c:pt idx="44">
                        <c:v>2004</c:v>
                      </c:pt>
                      <c:pt idx="45">
                        <c:v>2005</c:v>
                      </c:pt>
                      <c:pt idx="46">
                        <c:v>2006</c:v>
                      </c:pt>
                      <c:pt idx="47">
                        <c:v>2007</c:v>
                      </c:pt>
                      <c:pt idx="48">
                        <c:v>2008</c:v>
                      </c:pt>
                      <c:pt idx="49">
                        <c:v>2009</c:v>
                      </c:pt>
                      <c:pt idx="50">
                        <c:v>2010</c:v>
                      </c:pt>
                      <c:pt idx="51">
                        <c:v>2011</c:v>
                      </c:pt>
                      <c:pt idx="52">
                        <c:v>2012</c:v>
                      </c:pt>
                      <c:pt idx="53">
                        <c:v>2013</c:v>
                      </c:pt>
                      <c:pt idx="54">
                        <c:v>2014</c:v>
                      </c:pt>
                      <c:pt idx="55">
                        <c:v>2015</c:v>
                      </c:pt>
                      <c:pt idx="56">
                        <c:v>2016</c:v>
                      </c:pt>
                      <c:pt idx="57">
                        <c:v>2017</c:v>
                      </c:pt>
                      <c:pt idx="58">
                        <c:v>2018</c:v>
                      </c:pt>
                      <c:pt idx="59">
                        <c:v>2019</c:v>
                      </c:pt>
                      <c:pt idx="60">
                        <c:v>2020</c:v>
                      </c:pt>
                      <c:pt idx="61">
                        <c:v>2021</c:v>
                      </c:pt>
                      <c:pt idx="62">
                        <c:v>2022</c:v>
                      </c:pt>
                      <c:pt idx="63">
                        <c:v>2023</c:v>
                      </c:pt>
                      <c:pt idx="64">
                        <c:v>2024</c:v>
                      </c:pt>
                      <c:pt idx="65">
                        <c:v>2025</c:v>
                      </c:pt>
                      <c:pt idx="66">
                        <c:v>2026</c:v>
                      </c:pt>
                      <c:pt idx="67">
                        <c:v>2027</c:v>
                      </c:pt>
                      <c:pt idx="68">
                        <c:v>2028</c:v>
                      </c:pt>
                      <c:pt idx="69">
                        <c:v>2029</c:v>
                      </c:pt>
                      <c:pt idx="70">
                        <c:v>2030</c:v>
                      </c:pt>
                      <c:pt idx="71">
                        <c:v>2031</c:v>
                      </c:pt>
                      <c:pt idx="72">
                        <c:v>2032</c:v>
                      </c:pt>
                      <c:pt idx="73">
                        <c:v>2033</c:v>
                      </c:pt>
                      <c:pt idx="74">
                        <c:v>2034</c:v>
                      </c:pt>
                      <c:pt idx="75">
                        <c:v>2035</c:v>
                      </c:pt>
                      <c:pt idx="76">
                        <c:v>2036</c:v>
                      </c:pt>
                      <c:pt idx="77">
                        <c:v>2037</c:v>
                      </c:pt>
                      <c:pt idx="78">
                        <c:v>2038</c:v>
                      </c:pt>
                      <c:pt idx="79">
                        <c:v>2039</c:v>
                      </c:pt>
                      <c:pt idx="80">
                        <c:v>2040</c:v>
                      </c:pt>
                      <c:pt idx="81">
                        <c:v>2041</c:v>
                      </c:pt>
                      <c:pt idx="82">
                        <c:v>2042</c:v>
                      </c:pt>
                      <c:pt idx="83">
                        <c:v>2043</c:v>
                      </c:pt>
                      <c:pt idx="84">
                        <c:v>2044</c:v>
                      </c:pt>
                      <c:pt idx="85">
                        <c:v>2045</c:v>
                      </c:pt>
                      <c:pt idx="86">
                        <c:v>2046</c:v>
                      </c:pt>
                      <c:pt idx="87">
                        <c:v>2047</c:v>
                      </c:pt>
                      <c:pt idx="88">
                        <c:v>2048</c:v>
                      </c:pt>
                      <c:pt idx="89">
                        <c:v>2049</c:v>
                      </c:pt>
                      <c:pt idx="90">
                        <c:v>2050</c:v>
                      </c:pt>
                      <c:pt idx="91">
                        <c:v>2051</c:v>
                      </c:pt>
                      <c:pt idx="92">
                        <c:v>2052</c:v>
                      </c:pt>
                      <c:pt idx="93">
                        <c:v>2053</c:v>
                      </c:pt>
                      <c:pt idx="94">
                        <c:v>2054</c:v>
                      </c:pt>
                      <c:pt idx="95">
                        <c:v>2055</c:v>
                      </c:pt>
                      <c:pt idx="96">
                        <c:v>2056</c:v>
                      </c:pt>
                      <c:pt idx="97">
                        <c:v>2057</c:v>
                      </c:pt>
                      <c:pt idx="98">
                        <c:v>2058</c:v>
                      </c:pt>
                      <c:pt idx="99">
                        <c:v>2059</c:v>
                      </c:pt>
                      <c:pt idx="100">
                        <c:v>2060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7AE-47EF-A915-AF3169870971}"/>
                  </c:ext>
                </c:extLst>
              </c15:ser>
            </c15:filteredLineSeries>
          </c:ext>
        </c:extLst>
      </c:lineChart>
      <c:catAx>
        <c:axId val="3931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3515360"/>
        <c:crosses val="autoZero"/>
        <c:auto val="1"/>
        <c:lblAlgn val="ctr"/>
        <c:lblOffset val="100"/>
        <c:noMultiLvlLbl val="0"/>
      </c:catAx>
      <c:valAx>
        <c:axId val="20735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3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47625</xdr:rowOff>
    </xdr:from>
    <xdr:to>
      <xdr:col>10</xdr:col>
      <xdr:colOff>314325</xdr:colOff>
      <xdr:row>15</xdr:row>
      <xdr:rowOff>66675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8920695-22FA-5E0E-5437-089BEE2C8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isseminateArchiveDMZ&amp;df%5bid%5d=DF_DP_LIVE&amp;df%5bag%5d=OECD&amp;av=true&amp;pd=2017%2C2075&amp;dq=KOR.GDPLTFORECAST...A&amp;to%5bTIME_PERIOD%5d=false&amp;vw=ov&amp;lb=bt" TargetMode="External"/><Relationship Id="rId1" Type="http://schemas.openxmlformats.org/officeDocument/2006/relationships/hyperlink" Target="https://data.worldbank.org/indicator/NY.GDP.MKTP.KD?locations=K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A8" sqref="A8"/>
    </sheetView>
  </sheetViews>
  <sheetFormatPr defaultRowHeight="16.5" x14ac:dyDescent="0.3"/>
  <cols>
    <col min="1" max="1" width="25.375" customWidth="1"/>
    <col min="2" max="2" width="22.25" customWidth="1"/>
    <col min="3" max="3" width="14.375" customWidth="1"/>
    <col min="4" max="4" width="13.12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9" t="s">
        <v>28</v>
      </c>
    </row>
    <row r="4" spans="1:2" x14ac:dyDescent="0.3">
      <c r="A4" s="1"/>
      <c r="B4" s="11" t="s">
        <v>2</v>
      </c>
    </row>
    <row r="5" spans="1:2" x14ac:dyDescent="0.3">
      <c r="B5" s="12" t="s">
        <v>41</v>
      </c>
    </row>
    <row r="6" spans="1:2" x14ac:dyDescent="0.3">
      <c r="B6" s="18" t="s">
        <v>39</v>
      </c>
    </row>
    <row r="7" spans="1:2" x14ac:dyDescent="0.3">
      <c r="B7" s="2" t="s">
        <v>38</v>
      </c>
    </row>
    <row r="8" spans="1:2" x14ac:dyDescent="0.3">
      <c r="B8" s="13" t="s">
        <v>40</v>
      </c>
    </row>
    <row r="9" spans="1:2" x14ac:dyDescent="0.3">
      <c r="B9" s="2"/>
    </row>
    <row r="10" spans="1:2" x14ac:dyDescent="0.3">
      <c r="B10" s="9" t="s">
        <v>29</v>
      </c>
    </row>
    <row r="11" spans="1:2" x14ac:dyDescent="0.3">
      <c r="B11" t="s">
        <v>30</v>
      </c>
    </row>
    <row r="12" spans="1:2" x14ac:dyDescent="0.3">
      <c r="B12" s="11" t="s">
        <v>36</v>
      </c>
    </row>
    <row r="13" spans="1:2" x14ac:dyDescent="0.3">
      <c r="B13" s="12">
        <v>2023</v>
      </c>
    </row>
    <row r="14" spans="1:2" x14ac:dyDescent="0.3">
      <c r="B14" s="2" t="s">
        <v>34</v>
      </c>
    </row>
    <row r="15" spans="1:2" x14ac:dyDescent="0.3">
      <c r="B15" s="2"/>
    </row>
    <row r="18" spans="1:2" x14ac:dyDescent="0.3">
      <c r="A18" s="1" t="s">
        <v>3</v>
      </c>
    </row>
    <row r="19" spans="1:2" x14ac:dyDescent="0.3">
      <c r="A19" s="10" t="s">
        <v>42</v>
      </c>
    </row>
    <row r="21" spans="1:2" x14ac:dyDescent="0.3">
      <c r="A21" t="s">
        <v>17</v>
      </c>
    </row>
    <row r="22" spans="1:2" x14ac:dyDescent="0.3">
      <c r="A22" t="s">
        <v>18</v>
      </c>
    </row>
    <row r="24" spans="1:2" x14ac:dyDescent="0.3">
      <c r="A24">
        <v>0.9686815713640794</v>
      </c>
      <c r="B24" t="s">
        <v>49</v>
      </c>
    </row>
    <row r="25" spans="1:2" x14ac:dyDescent="0.3">
      <c r="A25">
        <f>10^6</f>
        <v>1000000</v>
      </c>
      <c r="B25" t="s">
        <v>16</v>
      </c>
    </row>
    <row r="35" spans="1:4" ht="33" x14ac:dyDescent="0.3">
      <c r="A35" s="24" t="s">
        <v>45</v>
      </c>
      <c r="B35" s="24" t="s">
        <v>46</v>
      </c>
      <c r="C35" t="s">
        <v>47</v>
      </c>
      <c r="D35" t="s">
        <v>48</v>
      </c>
    </row>
    <row r="36" spans="1:4" x14ac:dyDescent="0.3">
      <c r="A36" s="25">
        <v>2010</v>
      </c>
      <c r="B36" s="25">
        <v>218.1</v>
      </c>
      <c r="C36">
        <f t="shared" ref="C36:C50" si="0">B36/$B$38</f>
        <v>0.94991289198606277</v>
      </c>
      <c r="D36">
        <f t="shared" ref="D36:D40" si="1">B36/$B$41</f>
        <v>0.92025316455696204</v>
      </c>
    </row>
    <row r="37" spans="1:4" x14ac:dyDescent="0.3">
      <c r="A37" s="25">
        <v>2011</v>
      </c>
      <c r="B37" s="25">
        <v>224.9</v>
      </c>
      <c r="C37">
        <f t="shared" si="0"/>
        <v>0.97952961672473871</v>
      </c>
      <c r="D37">
        <f t="shared" si="1"/>
        <v>0.94894514767932492</v>
      </c>
    </row>
    <row r="38" spans="1:4" x14ac:dyDescent="0.3">
      <c r="A38" s="25">
        <v>2012</v>
      </c>
      <c r="B38" s="25">
        <v>229.6</v>
      </c>
      <c r="C38">
        <f>B38/$B$38</f>
        <v>1</v>
      </c>
      <c r="D38">
        <f t="shared" si="1"/>
        <v>0.96877637130801686</v>
      </c>
    </row>
    <row r="39" spans="1:4" x14ac:dyDescent="0.3">
      <c r="A39" s="25">
        <v>2013</v>
      </c>
      <c r="B39" s="25">
        <v>232.9</v>
      </c>
      <c r="C39">
        <f t="shared" si="0"/>
        <v>1.0143728222996515</v>
      </c>
      <c r="D39">
        <f t="shared" si="1"/>
        <v>0.98270042194092833</v>
      </c>
    </row>
    <row r="40" spans="1:4" x14ac:dyDescent="0.3">
      <c r="A40" s="25">
        <v>2014</v>
      </c>
      <c r="B40" s="25">
        <v>236.7</v>
      </c>
      <c r="C40">
        <f t="shared" si="0"/>
        <v>1.0309233449477351</v>
      </c>
      <c r="D40">
        <f t="shared" si="1"/>
        <v>0.99873417721518987</v>
      </c>
    </row>
    <row r="41" spans="1:4" x14ac:dyDescent="0.3">
      <c r="A41" s="25">
        <v>2015</v>
      </c>
      <c r="B41" s="25">
        <v>237</v>
      </c>
      <c r="C41">
        <f t="shared" si="0"/>
        <v>1.0322299651567945</v>
      </c>
      <c r="D41">
        <f>B41/$B$41</f>
        <v>1</v>
      </c>
    </row>
    <row r="42" spans="1:4" x14ac:dyDescent="0.3">
      <c r="A42" s="25">
        <v>2016</v>
      </c>
      <c r="B42" s="25">
        <v>240</v>
      </c>
      <c r="C42">
        <f t="shared" si="0"/>
        <v>1.0452961672473868</v>
      </c>
      <c r="D42">
        <f t="shared" ref="D42:D50" si="2">B42/$B$41</f>
        <v>1.0126582278481013</v>
      </c>
    </row>
    <row r="43" spans="1:4" x14ac:dyDescent="0.3">
      <c r="A43" s="25">
        <v>2017</v>
      </c>
      <c r="B43" s="25">
        <v>245.1</v>
      </c>
      <c r="C43">
        <f t="shared" si="0"/>
        <v>1.0675087108013936</v>
      </c>
      <c r="D43">
        <f t="shared" si="2"/>
        <v>1.0341772151898734</v>
      </c>
    </row>
    <row r="44" spans="1:4" x14ac:dyDescent="0.3">
      <c r="A44" s="25">
        <v>2018</v>
      </c>
      <c r="B44" s="25">
        <v>251.1</v>
      </c>
      <c r="C44">
        <f t="shared" si="0"/>
        <v>1.0936411149825784</v>
      </c>
      <c r="D44">
        <f t="shared" si="2"/>
        <v>1.0594936708860758</v>
      </c>
    </row>
    <row r="45" spans="1:4" x14ac:dyDescent="0.3">
      <c r="A45" s="25">
        <v>2019</v>
      </c>
      <c r="B45" s="25">
        <v>255.7</v>
      </c>
      <c r="C45">
        <f t="shared" si="0"/>
        <v>1.1136759581881532</v>
      </c>
      <c r="D45">
        <f t="shared" si="2"/>
        <v>1.0789029535864978</v>
      </c>
    </row>
    <row r="46" spans="1:4" x14ac:dyDescent="0.3">
      <c r="A46" s="25">
        <v>2020</v>
      </c>
      <c r="B46" s="25">
        <v>258.8</v>
      </c>
      <c r="C46">
        <f t="shared" si="0"/>
        <v>1.1271777003484322</v>
      </c>
      <c r="D46">
        <f t="shared" si="2"/>
        <v>1.0919831223628693</v>
      </c>
    </row>
    <row r="47" spans="1:4" x14ac:dyDescent="0.3">
      <c r="A47" s="25">
        <v>2021</v>
      </c>
      <c r="B47" s="25">
        <v>271</v>
      </c>
      <c r="C47">
        <f t="shared" si="0"/>
        <v>1.1803135888501743</v>
      </c>
      <c r="D47">
        <f t="shared" si="2"/>
        <v>1.1434599156118144</v>
      </c>
    </row>
    <row r="48" spans="1:4" x14ac:dyDescent="0.3">
      <c r="A48" s="25">
        <v>2022</v>
      </c>
      <c r="B48" s="25">
        <v>292.7</v>
      </c>
      <c r="C48">
        <f t="shared" si="0"/>
        <v>1.2748257839721253</v>
      </c>
      <c r="D48">
        <f t="shared" si="2"/>
        <v>1.2350210970464135</v>
      </c>
    </row>
    <row r="49" spans="1:4" x14ac:dyDescent="0.3">
      <c r="A49" s="25">
        <v>2023</v>
      </c>
      <c r="B49" s="25">
        <v>303.5</v>
      </c>
      <c r="C49">
        <f t="shared" si="0"/>
        <v>1.3218641114982579</v>
      </c>
      <c r="D49" s="10">
        <f t="shared" si="2"/>
        <v>1.2805907172995781</v>
      </c>
    </row>
    <row r="50" spans="1:4" x14ac:dyDescent="0.3">
      <c r="A50" s="25">
        <v>2024</v>
      </c>
      <c r="B50" s="25">
        <v>315</v>
      </c>
      <c r="C50">
        <f t="shared" si="0"/>
        <v>1.3719512195121952</v>
      </c>
      <c r="D50">
        <f t="shared" si="2"/>
        <v>1.3291139240506329</v>
      </c>
    </row>
  </sheetData>
  <phoneticPr fontId="5" type="noConversion"/>
  <hyperlinks>
    <hyperlink ref="B14" r:id="rId1" xr:uid="{30CCE06E-0235-4C4D-8DDC-8EAC57B974B5}"/>
    <hyperlink ref="B7" r:id="rId2" xr:uid="{1DE98FCD-57DC-4B9C-8EC2-A62954F5C25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CD54-9067-41FE-B5FE-54291E0C53BA}">
  <dimension ref="A1:BP19"/>
  <sheetViews>
    <sheetView workbookViewId="0">
      <selection activeCell="E5" sqref="E5"/>
    </sheetView>
  </sheetViews>
  <sheetFormatPr defaultRowHeight="16.5" x14ac:dyDescent="0.3"/>
  <cols>
    <col min="1" max="1" width="24.5" customWidth="1"/>
    <col min="2" max="2" width="14.5" customWidth="1"/>
    <col min="3" max="3" width="24.5" bestFit="1" customWidth="1"/>
    <col min="4" max="4" width="17.125" bestFit="1" customWidth="1"/>
    <col min="5" max="5" width="12.875" bestFit="1" customWidth="1"/>
    <col min="6" max="19" width="12.75" bestFit="1" customWidth="1"/>
    <col min="20" max="24" width="13.125" bestFit="1" customWidth="1"/>
    <col min="25" max="25" width="12.125" bestFit="1" customWidth="1"/>
    <col min="26" max="63" width="13.125" bestFit="1" customWidth="1"/>
    <col min="64" max="64" width="15.125" customWidth="1"/>
    <col min="65" max="65" width="14.75" bestFit="1" customWidth="1"/>
    <col min="66" max="68" width="18.5" bestFit="1" customWidth="1"/>
  </cols>
  <sheetData>
    <row r="1" spans="1:68" x14ac:dyDescent="0.3">
      <c r="A1" s="10" t="s">
        <v>19</v>
      </c>
      <c r="B1" s="10" t="s">
        <v>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</row>
    <row r="2" spans="1:68" x14ac:dyDescent="0.3">
      <c r="A2" s="10" t="s">
        <v>21</v>
      </c>
      <c r="B2" s="17">
        <v>45642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</row>
    <row r="3" spans="1:68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</row>
    <row r="4" spans="1:68" x14ac:dyDescent="0.3">
      <c r="A4" s="10" t="s">
        <v>22</v>
      </c>
      <c r="B4" s="10" t="s">
        <v>23</v>
      </c>
      <c r="C4" s="10" t="s">
        <v>24</v>
      </c>
      <c r="D4" s="10" t="s">
        <v>25</v>
      </c>
      <c r="E4" s="10">
        <v>1960</v>
      </c>
      <c r="F4" s="10">
        <v>1961</v>
      </c>
      <c r="G4" s="10">
        <v>1962</v>
      </c>
      <c r="H4" s="10">
        <v>1963</v>
      </c>
      <c r="I4" s="10">
        <v>1964</v>
      </c>
      <c r="J4" s="10">
        <v>1965</v>
      </c>
      <c r="K4" s="10">
        <v>1966</v>
      </c>
      <c r="L4" s="10">
        <v>1967</v>
      </c>
      <c r="M4" s="10">
        <v>1968</v>
      </c>
      <c r="N4" s="10">
        <v>1969</v>
      </c>
      <c r="O4" s="10">
        <v>1970</v>
      </c>
      <c r="P4" s="10">
        <v>1971</v>
      </c>
      <c r="Q4" s="10">
        <v>1972</v>
      </c>
      <c r="R4" s="10">
        <v>1973</v>
      </c>
      <c r="S4" s="10">
        <v>1974</v>
      </c>
      <c r="T4" s="10">
        <v>1975</v>
      </c>
      <c r="U4" s="10">
        <v>1976</v>
      </c>
      <c r="V4" s="10">
        <v>1977</v>
      </c>
      <c r="W4" s="10">
        <v>1978</v>
      </c>
      <c r="X4" s="10">
        <v>1979</v>
      </c>
      <c r="Y4" s="10">
        <v>1980</v>
      </c>
      <c r="Z4" s="10">
        <v>1981</v>
      </c>
      <c r="AA4" s="10">
        <v>1982</v>
      </c>
      <c r="AB4" s="10">
        <v>1983</v>
      </c>
      <c r="AC4" s="10">
        <v>1984</v>
      </c>
      <c r="AD4" s="10">
        <v>1985</v>
      </c>
      <c r="AE4" s="10">
        <v>1986</v>
      </c>
      <c r="AF4" s="10">
        <v>1987</v>
      </c>
      <c r="AG4" s="10">
        <v>1988</v>
      </c>
      <c r="AH4" s="10">
        <v>1989</v>
      </c>
      <c r="AI4" s="10">
        <v>1990</v>
      </c>
      <c r="AJ4" s="10">
        <v>1991</v>
      </c>
      <c r="AK4" s="10">
        <v>1992</v>
      </c>
      <c r="AL4" s="10">
        <v>1993</v>
      </c>
      <c r="AM4" s="10">
        <v>1994</v>
      </c>
      <c r="AN4" s="10">
        <v>1995</v>
      </c>
      <c r="AO4" s="10">
        <v>1996</v>
      </c>
      <c r="AP4" s="10">
        <v>1997</v>
      </c>
      <c r="AQ4" s="10">
        <v>1998</v>
      </c>
      <c r="AR4" s="10">
        <v>1999</v>
      </c>
      <c r="AS4" s="10">
        <v>2000</v>
      </c>
      <c r="AT4" s="10">
        <v>2001</v>
      </c>
      <c r="AU4" s="10">
        <v>2002</v>
      </c>
      <c r="AV4" s="10">
        <v>2003</v>
      </c>
      <c r="AW4" s="10">
        <v>2004</v>
      </c>
      <c r="AX4" s="10">
        <v>2005</v>
      </c>
      <c r="AY4" s="10">
        <v>2006</v>
      </c>
      <c r="AZ4" s="10">
        <v>2007</v>
      </c>
      <c r="BA4" s="10">
        <v>2008</v>
      </c>
      <c r="BB4" s="10">
        <v>2009</v>
      </c>
      <c r="BC4" s="10">
        <v>2010</v>
      </c>
      <c r="BD4" s="10">
        <v>2011</v>
      </c>
      <c r="BE4" s="10">
        <v>2012</v>
      </c>
      <c r="BF4" s="10">
        <v>2013</v>
      </c>
      <c r="BG4" s="10">
        <v>2014</v>
      </c>
      <c r="BH4" s="10">
        <v>2015</v>
      </c>
      <c r="BI4" s="10">
        <v>2016</v>
      </c>
      <c r="BJ4" s="10">
        <v>2017</v>
      </c>
      <c r="BK4" s="10">
        <v>2018</v>
      </c>
      <c r="BL4" s="10">
        <v>2019</v>
      </c>
      <c r="BM4" s="10">
        <v>2020</v>
      </c>
      <c r="BN4" s="10">
        <v>2021</v>
      </c>
      <c r="BO4" s="10">
        <v>2022</v>
      </c>
      <c r="BP4" s="10">
        <v>2023</v>
      </c>
    </row>
    <row r="5" spans="1:68" x14ac:dyDescent="0.3">
      <c r="A5" s="10" t="s">
        <v>32</v>
      </c>
      <c r="B5" s="10" t="s">
        <v>33</v>
      </c>
      <c r="C5" s="10" t="s">
        <v>35</v>
      </c>
      <c r="D5" s="10" t="s">
        <v>31</v>
      </c>
      <c r="E5" s="10">
        <v>25704085715.359402</v>
      </c>
      <c r="F5" s="10">
        <v>27486919211.903198</v>
      </c>
      <c r="G5" s="10">
        <v>28557609625.514801</v>
      </c>
      <c r="H5" s="10">
        <v>31133668301.719101</v>
      </c>
      <c r="I5" s="10">
        <v>34083217464.9245</v>
      </c>
      <c r="J5" s="10">
        <v>36577575097.097397</v>
      </c>
      <c r="K5" s="10">
        <v>40964673582.665901</v>
      </c>
      <c r="L5" s="10">
        <v>44684104770.0942</v>
      </c>
      <c r="M5" s="10">
        <v>50567110466.619904</v>
      </c>
      <c r="N5" s="10">
        <v>57930372849.434402</v>
      </c>
      <c r="O5" s="10">
        <v>63753959604.846397</v>
      </c>
      <c r="P5" s="10">
        <v>70477142055.037704</v>
      </c>
      <c r="Q5" s="10">
        <v>75561617309.303406</v>
      </c>
      <c r="R5" s="10">
        <v>86819030861.154602</v>
      </c>
      <c r="S5" s="10">
        <v>95077114202.408997</v>
      </c>
      <c r="T5" s="10">
        <v>102531096575.674</v>
      </c>
      <c r="U5" s="10">
        <v>116087191990.82201</v>
      </c>
      <c r="V5" s="10">
        <v>130407687325.507</v>
      </c>
      <c r="W5" s="10">
        <v>144691222664.082</v>
      </c>
      <c r="X5" s="10">
        <v>157237726606.55499</v>
      </c>
      <c r="Y5" s="10">
        <v>154650084773.67499</v>
      </c>
      <c r="Z5" s="10">
        <v>165856302541.44199</v>
      </c>
      <c r="AA5" s="10">
        <v>179685530559.418</v>
      </c>
      <c r="AB5" s="10">
        <v>203720580660.991</v>
      </c>
      <c r="AC5" s="10">
        <v>225216443661.427</v>
      </c>
      <c r="AD5" s="10">
        <v>242870854434.647</v>
      </c>
      <c r="AE5" s="10">
        <v>270381470486.16101</v>
      </c>
      <c r="AF5" s="10">
        <v>304783976338.52899</v>
      </c>
      <c r="AG5" s="10">
        <v>341320612492.56702</v>
      </c>
      <c r="AH5" s="10">
        <v>365461856267.17297</v>
      </c>
      <c r="AI5" s="10">
        <v>401560542993.62701</v>
      </c>
      <c r="AJ5" s="10">
        <v>444840963700.95099</v>
      </c>
      <c r="AK5" s="10">
        <v>472415066061.57202</v>
      </c>
      <c r="AL5" s="10">
        <v>504905290009.96899</v>
      </c>
      <c r="AM5" s="10">
        <v>551703276662.81299</v>
      </c>
      <c r="AN5" s="10">
        <v>604747148973.98401</v>
      </c>
      <c r="AO5" s="10">
        <v>652465952372.005</v>
      </c>
      <c r="AP5" s="10">
        <v>692726706028.76794</v>
      </c>
      <c r="AQ5" s="10">
        <v>657193648716.45801</v>
      </c>
      <c r="AR5" s="10">
        <v>732553666046.98206</v>
      </c>
      <c r="AS5" s="10">
        <v>798929132744.302</v>
      </c>
      <c r="AT5" s="10">
        <v>837696366558.27698</v>
      </c>
      <c r="AU5" s="10">
        <v>902409606062.14697</v>
      </c>
      <c r="AV5" s="10">
        <v>930811064125.151</v>
      </c>
      <c r="AW5" s="10">
        <v>979188957980.10999</v>
      </c>
      <c r="AX5" s="10">
        <v>1021377732486.55</v>
      </c>
      <c r="AY5" s="10">
        <v>1075146392089.85</v>
      </c>
      <c r="AZ5" s="10">
        <v>1137500027631.5801</v>
      </c>
      <c r="BA5" s="10">
        <v>1171772731392.3401</v>
      </c>
      <c r="BB5" s="10">
        <v>1181061361993.54</v>
      </c>
      <c r="BC5" s="10">
        <v>1261430519849.4199</v>
      </c>
      <c r="BD5" s="10">
        <v>1307922658113.3999</v>
      </c>
      <c r="BE5" s="10">
        <v>1339345905332.01</v>
      </c>
      <c r="BF5" s="10">
        <v>1381732300870.28</v>
      </c>
      <c r="BG5" s="10">
        <v>1425981639370.3501</v>
      </c>
      <c r="BH5" s="10">
        <v>1466038936206.4299</v>
      </c>
      <c r="BI5" s="10">
        <v>1509241369553.54</v>
      </c>
      <c r="BJ5" s="10">
        <v>1556927899270.75</v>
      </c>
      <c r="BK5" s="10">
        <v>1602194079769.04</v>
      </c>
      <c r="BL5" s="10">
        <v>1638146960195.0601</v>
      </c>
      <c r="BM5" s="10">
        <v>1626525694049.9299</v>
      </c>
      <c r="BN5" s="10">
        <v>1696543311942.8101</v>
      </c>
      <c r="BO5" s="10">
        <v>1740868427277.01</v>
      </c>
      <c r="BP5" s="10">
        <v>1764487367948.7</v>
      </c>
    </row>
    <row r="13" spans="1:68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68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8" x14ac:dyDescent="0.3">
      <c r="A15" s="14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8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 x14ac:dyDescent="0.3"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workbookViewId="0">
      <selection activeCell="L5" sqref="L5"/>
    </sheetView>
  </sheetViews>
  <sheetFormatPr defaultRowHeight="16.5" x14ac:dyDescent="0.3"/>
  <cols>
    <col min="1" max="1" width="5.5" bestFit="1" customWidth="1"/>
    <col min="2" max="2" width="16.875" bestFit="1" customWidth="1"/>
    <col min="3" max="3" width="4.5" bestFit="1" customWidth="1"/>
    <col min="4" max="4" width="5.125" bestFit="1" customWidth="1"/>
    <col min="5" max="5" width="6.25" bestFit="1" customWidth="1"/>
    <col min="6" max="6" width="13.375" customWidth="1"/>
    <col min="7" max="7" width="12.75" bestFit="1" customWidth="1"/>
    <col min="8" max="8" width="21.25" style="5" customWidth="1"/>
    <col min="10" max="10" width="9.25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s="3" t="s">
        <v>9</v>
      </c>
      <c r="G1" s="3" t="s">
        <v>10</v>
      </c>
      <c r="H1" s="5" t="s">
        <v>26</v>
      </c>
    </row>
    <row r="2" spans="1:8" x14ac:dyDescent="0.3">
      <c r="A2" t="s">
        <v>33</v>
      </c>
      <c r="B2" t="s">
        <v>11</v>
      </c>
      <c r="C2" t="s">
        <v>12</v>
      </c>
      <c r="D2" t="s">
        <v>13</v>
      </c>
      <c r="E2" t="s">
        <v>14</v>
      </c>
      <c r="F2">
        <v>2017</v>
      </c>
      <c r="G2" s="10">
        <v>2053454.8765499</v>
      </c>
    </row>
    <row r="3" spans="1:8" x14ac:dyDescent="0.3">
      <c r="A3" t="s">
        <v>33</v>
      </c>
      <c r="B3" t="s">
        <v>11</v>
      </c>
      <c r="C3" t="s">
        <v>12</v>
      </c>
      <c r="D3" t="s">
        <v>13</v>
      </c>
      <c r="E3" t="s">
        <v>14</v>
      </c>
      <c r="F3">
        <v>2018</v>
      </c>
      <c r="G3" s="10">
        <v>2113156.9845035998</v>
      </c>
    </row>
    <row r="4" spans="1:8" x14ac:dyDescent="0.3">
      <c r="A4" t="s">
        <v>33</v>
      </c>
      <c r="B4" t="s">
        <v>11</v>
      </c>
      <c r="C4" t="s">
        <v>12</v>
      </c>
      <c r="D4" t="s">
        <v>13</v>
      </c>
      <c r="E4" t="s">
        <v>14</v>
      </c>
      <c r="F4">
        <v>2019</v>
      </c>
      <c r="G4" s="10">
        <v>2160575.8786219498</v>
      </c>
    </row>
    <row r="5" spans="1:8" x14ac:dyDescent="0.3">
      <c r="A5" t="s">
        <v>33</v>
      </c>
      <c r="B5" t="s">
        <v>11</v>
      </c>
      <c r="C5" t="s">
        <v>12</v>
      </c>
      <c r="D5" t="s">
        <v>13</v>
      </c>
      <c r="E5" t="s">
        <v>14</v>
      </c>
      <c r="F5">
        <v>2020</v>
      </c>
      <c r="G5" s="10">
        <v>2145248.4214875698</v>
      </c>
      <c r="H5" s="6"/>
    </row>
    <row r="6" spans="1:8" x14ac:dyDescent="0.3">
      <c r="A6" t="s">
        <v>33</v>
      </c>
      <c r="B6" t="s">
        <v>11</v>
      </c>
      <c r="C6" t="s">
        <v>12</v>
      </c>
      <c r="D6" t="s">
        <v>13</v>
      </c>
      <c r="E6" t="s">
        <v>14</v>
      </c>
      <c r="F6">
        <v>2021</v>
      </c>
      <c r="G6" s="10">
        <v>2237595.67724289</v>
      </c>
      <c r="H6" s="6">
        <f>(G6-G5)/G5</f>
        <v>4.3047348190697776E-2</v>
      </c>
    </row>
    <row r="7" spans="1:8" x14ac:dyDescent="0.3">
      <c r="A7" t="s">
        <v>33</v>
      </c>
      <c r="B7" t="s">
        <v>11</v>
      </c>
      <c r="C7" t="s">
        <v>12</v>
      </c>
      <c r="D7" t="s">
        <v>13</v>
      </c>
      <c r="E7" t="s">
        <v>14</v>
      </c>
      <c r="F7">
        <v>2022</v>
      </c>
      <c r="G7" s="10">
        <v>2296056.8338885498</v>
      </c>
      <c r="H7" s="6">
        <f>(G7-G6)/G6</f>
        <v>2.6126774037074568E-2</v>
      </c>
    </row>
    <row r="8" spans="1:8" x14ac:dyDescent="0.3">
      <c r="A8" t="s">
        <v>33</v>
      </c>
      <c r="B8" t="s">
        <v>11</v>
      </c>
      <c r="C8" t="s">
        <v>12</v>
      </c>
      <c r="D8" t="s">
        <v>13</v>
      </c>
      <c r="E8" t="s">
        <v>14</v>
      </c>
      <c r="F8">
        <v>2023</v>
      </c>
      <c r="G8" s="10">
        <v>2327365.5305311601</v>
      </c>
      <c r="H8" s="6">
        <f t="shared" ref="H8:H44" si="0">(G8-G7)/G7</f>
        <v>1.3635854383267398E-2</v>
      </c>
    </row>
    <row r="9" spans="1:8" x14ac:dyDescent="0.3">
      <c r="A9" t="s">
        <v>33</v>
      </c>
      <c r="B9" t="s">
        <v>11</v>
      </c>
      <c r="C9" t="s">
        <v>12</v>
      </c>
      <c r="D9" t="s">
        <v>13</v>
      </c>
      <c r="E9" t="s">
        <v>14</v>
      </c>
      <c r="F9">
        <v>2024</v>
      </c>
      <c r="G9" s="10">
        <v>2379859.8183194902</v>
      </c>
      <c r="H9" s="6">
        <f t="shared" si="0"/>
        <v>2.2555239862278819E-2</v>
      </c>
    </row>
    <row r="10" spans="1:8" x14ac:dyDescent="0.3">
      <c r="A10" t="s">
        <v>33</v>
      </c>
      <c r="B10" t="s">
        <v>11</v>
      </c>
      <c r="C10" t="s">
        <v>12</v>
      </c>
      <c r="D10" t="s">
        <v>13</v>
      </c>
      <c r="E10" t="s">
        <v>14</v>
      </c>
      <c r="F10">
        <v>2025</v>
      </c>
      <c r="G10" s="10">
        <v>2430624.4619221902</v>
      </c>
      <c r="H10" s="6">
        <f t="shared" si="0"/>
        <v>2.133093857542703E-2</v>
      </c>
    </row>
    <row r="11" spans="1:8" x14ac:dyDescent="0.3">
      <c r="A11" t="s">
        <v>33</v>
      </c>
      <c r="B11" t="s">
        <v>11</v>
      </c>
      <c r="C11" t="s">
        <v>12</v>
      </c>
      <c r="D11" t="s">
        <v>13</v>
      </c>
      <c r="E11" t="s">
        <v>14</v>
      </c>
      <c r="F11">
        <v>2026</v>
      </c>
      <c r="G11" s="10">
        <v>2487543</v>
      </c>
      <c r="H11" s="6">
        <f t="shared" si="0"/>
        <v>2.3417248929025195E-2</v>
      </c>
    </row>
    <row r="12" spans="1:8" x14ac:dyDescent="0.3">
      <c r="A12" t="s">
        <v>33</v>
      </c>
      <c r="B12" t="s">
        <v>11</v>
      </c>
      <c r="C12" t="s">
        <v>12</v>
      </c>
      <c r="D12" t="s">
        <v>13</v>
      </c>
      <c r="E12" t="s">
        <v>14</v>
      </c>
      <c r="F12">
        <v>2027</v>
      </c>
      <c r="G12" s="10">
        <v>2540428</v>
      </c>
      <c r="H12" s="6">
        <f t="shared" si="0"/>
        <v>2.125993399913087E-2</v>
      </c>
    </row>
    <row r="13" spans="1:8" x14ac:dyDescent="0.3">
      <c r="A13" t="s">
        <v>33</v>
      </c>
      <c r="B13" t="s">
        <v>11</v>
      </c>
      <c r="C13" t="s">
        <v>12</v>
      </c>
      <c r="D13" t="s">
        <v>13</v>
      </c>
      <c r="E13" t="s">
        <v>14</v>
      </c>
      <c r="F13">
        <v>2028</v>
      </c>
      <c r="G13" s="10">
        <v>2587968</v>
      </c>
      <c r="H13" s="6">
        <f t="shared" si="0"/>
        <v>1.8713382154503098E-2</v>
      </c>
    </row>
    <row r="14" spans="1:8" x14ac:dyDescent="0.3">
      <c r="A14" t="s">
        <v>33</v>
      </c>
      <c r="B14" t="s">
        <v>11</v>
      </c>
      <c r="C14" t="s">
        <v>12</v>
      </c>
      <c r="D14" t="s">
        <v>13</v>
      </c>
      <c r="E14" t="s">
        <v>14</v>
      </c>
      <c r="F14">
        <v>2029</v>
      </c>
      <c r="G14" s="10">
        <v>2631959</v>
      </c>
      <c r="H14" s="6">
        <f t="shared" si="0"/>
        <v>1.6998278185819917E-2</v>
      </c>
    </row>
    <row r="15" spans="1:8" x14ac:dyDescent="0.3">
      <c r="A15" t="s">
        <v>33</v>
      </c>
      <c r="B15" t="s">
        <v>11</v>
      </c>
      <c r="C15" t="s">
        <v>12</v>
      </c>
      <c r="D15" t="s">
        <v>13</v>
      </c>
      <c r="E15" t="s">
        <v>14</v>
      </c>
      <c r="F15">
        <v>2030</v>
      </c>
      <c r="G15" s="10">
        <v>2674367</v>
      </c>
      <c r="H15" s="6">
        <f t="shared" si="0"/>
        <v>1.6112713001988254E-2</v>
      </c>
    </row>
    <row r="16" spans="1:8" x14ac:dyDescent="0.3">
      <c r="A16" t="s">
        <v>33</v>
      </c>
      <c r="B16" t="s">
        <v>11</v>
      </c>
      <c r="C16" t="s">
        <v>12</v>
      </c>
      <c r="D16" t="s">
        <v>13</v>
      </c>
      <c r="E16" t="s">
        <v>14</v>
      </c>
      <c r="F16">
        <v>2031</v>
      </c>
      <c r="G16" s="10">
        <v>2716180</v>
      </c>
      <c r="H16" s="6">
        <f t="shared" si="0"/>
        <v>1.5634727769225389E-2</v>
      </c>
    </row>
    <row r="17" spans="1:8" x14ac:dyDescent="0.3">
      <c r="A17" t="s">
        <v>33</v>
      </c>
      <c r="B17" t="s">
        <v>11</v>
      </c>
      <c r="C17" t="s">
        <v>12</v>
      </c>
      <c r="D17" t="s">
        <v>13</v>
      </c>
      <c r="E17" t="s">
        <v>14</v>
      </c>
      <c r="F17">
        <v>2032</v>
      </c>
      <c r="G17" s="10">
        <v>2757540</v>
      </c>
      <c r="H17" s="6">
        <f t="shared" si="0"/>
        <v>1.5227267706853008E-2</v>
      </c>
    </row>
    <row r="18" spans="1:8" x14ac:dyDescent="0.3">
      <c r="A18" t="s">
        <v>33</v>
      </c>
      <c r="B18" t="s">
        <v>11</v>
      </c>
      <c r="C18" t="s">
        <v>12</v>
      </c>
      <c r="D18" t="s">
        <v>13</v>
      </c>
      <c r="E18" t="s">
        <v>14</v>
      </c>
      <c r="F18">
        <v>2033</v>
      </c>
      <c r="G18" s="10">
        <v>2798333</v>
      </c>
      <c r="H18" s="6">
        <f t="shared" si="0"/>
        <v>1.4793257758726981E-2</v>
      </c>
    </row>
    <row r="19" spans="1:8" x14ac:dyDescent="0.3">
      <c r="A19" t="s">
        <v>33</v>
      </c>
      <c r="B19" t="s">
        <v>11</v>
      </c>
      <c r="C19" t="s">
        <v>12</v>
      </c>
      <c r="D19" t="s">
        <v>13</v>
      </c>
      <c r="E19" t="s">
        <v>14</v>
      </c>
      <c r="F19">
        <v>2034</v>
      </c>
      <c r="G19" s="10">
        <v>2838301</v>
      </c>
      <c r="H19" s="6">
        <f t="shared" si="0"/>
        <v>1.4282789074781307E-2</v>
      </c>
    </row>
    <row r="20" spans="1:8" x14ac:dyDescent="0.3">
      <c r="A20" t="s">
        <v>33</v>
      </c>
      <c r="B20" t="s">
        <v>11</v>
      </c>
      <c r="C20" t="s">
        <v>12</v>
      </c>
      <c r="D20" t="s">
        <v>13</v>
      </c>
      <c r="E20" t="s">
        <v>14</v>
      </c>
      <c r="F20">
        <v>2035</v>
      </c>
      <c r="G20" s="10">
        <v>2877193</v>
      </c>
      <c r="H20" s="6">
        <f t="shared" si="0"/>
        <v>1.370256361111806E-2</v>
      </c>
    </row>
    <row r="21" spans="1:8" x14ac:dyDescent="0.3">
      <c r="A21" t="s">
        <v>33</v>
      </c>
      <c r="B21" t="s">
        <v>11</v>
      </c>
      <c r="C21" t="s">
        <v>12</v>
      </c>
      <c r="D21" t="s">
        <v>13</v>
      </c>
      <c r="E21" t="s">
        <v>14</v>
      </c>
      <c r="F21">
        <v>2036</v>
      </c>
      <c r="G21" s="10">
        <v>2914795</v>
      </c>
      <c r="H21" s="6">
        <f t="shared" si="0"/>
        <v>1.3068987725189099E-2</v>
      </c>
    </row>
    <row r="22" spans="1:8" x14ac:dyDescent="0.3">
      <c r="A22" t="s">
        <v>33</v>
      </c>
      <c r="B22" t="s">
        <v>11</v>
      </c>
      <c r="C22" t="s">
        <v>12</v>
      </c>
      <c r="D22" t="s">
        <v>13</v>
      </c>
      <c r="E22" t="s">
        <v>14</v>
      </c>
      <c r="F22">
        <v>2037</v>
      </c>
      <c r="G22" s="10">
        <v>2950900</v>
      </c>
      <c r="H22" s="6">
        <f t="shared" si="0"/>
        <v>1.2386805933178834E-2</v>
      </c>
    </row>
    <row r="23" spans="1:8" x14ac:dyDescent="0.3">
      <c r="A23" t="s">
        <v>33</v>
      </c>
      <c r="B23" t="s">
        <v>11</v>
      </c>
      <c r="C23" t="s">
        <v>12</v>
      </c>
      <c r="D23" t="s">
        <v>13</v>
      </c>
      <c r="E23" t="s">
        <v>14</v>
      </c>
      <c r="F23">
        <v>2038</v>
      </c>
      <c r="G23" s="10">
        <v>2985371</v>
      </c>
      <c r="H23" s="6">
        <f t="shared" si="0"/>
        <v>1.1681520891931274E-2</v>
      </c>
    </row>
    <row r="24" spans="1:8" x14ac:dyDescent="0.3">
      <c r="A24" t="s">
        <v>33</v>
      </c>
      <c r="B24" t="s">
        <v>11</v>
      </c>
      <c r="C24" t="s">
        <v>12</v>
      </c>
      <c r="D24" t="s">
        <v>13</v>
      </c>
      <c r="E24" t="s">
        <v>14</v>
      </c>
      <c r="F24">
        <v>2039</v>
      </c>
      <c r="G24" s="10">
        <v>3018188</v>
      </c>
      <c r="H24" s="6">
        <f t="shared" si="0"/>
        <v>1.0992603599351638E-2</v>
      </c>
    </row>
    <row r="25" spans="1:8" x14ac:dyDescent="0.3">
      <c r="A25" t="s">
        <v>33</v>
      </c>
      <c r="B25" t="s">
        <v>11</v>
      </c>
      <c r="C25" t="s">
        <v>12</v>
      </c>
      <c r="D25" t="s">
        <v>13</v>
      </c>
      <c r="E25" t="s">
        <v>14</v>
      </c>
      <c r="F25">
        <v>2040</v>
      </c>
      <c r="G25" s="10">
        <v>3049492</v>
      </c>
      <c r="H25" s="6">
        <f t="shared" si="0"/>
        <v>1.0371785985498583E-2</v>
      </c>
    </row>
    <row r="26" spans="1:8" x14ac:dyDescent="0.3">
      <c r="A26" t="s">
        <v>33</v>
      </c>
      <c r="B26" t="s">
        <v>11</v>
      </c>
      <c r="C26" t="s">
        <v>12</v>
      </c>
      <c r="D26" t="s">
        <v>13</v>
      </c>
      <c r="E26" t="s">
        <v>14</v>
      </c>
      <c r="F26">
        <v>2041</v>
      </c>
      <c r="G26" s="10">
        <v>3079528</v>
      </c>
      <c r="H26" s="6">
        <f t="shared" si="0"/>
        <v>9.8495093609033899E-3</v>
      </c>
    </row>
    <row r="27" spans="1:8" x14ac:dyDescent="0.3">
      <c r="A27" t="s">
        <v>33</v>
      </c>
      <c r="B27" t="s">
        <v>11</v>
      </c>
      <c r="C27" t="s">
        <v>12</v>
      </c>
      <c r="D27" t="s">
        <v>13</v>
      </c>
      <c r="E27" t="s">
        <v>14</v>
      </c>
      <c r="F27">
        <v>2042</v>
      </c>
      <c r="G27" s="10">
        <v>3108490</v>
      </c>
      <c r="H27" s="6">
        <f t="shared" si="0"/>
        <v>9.4046879911466943E-3</v>
      </c>
    </row>
    <row r="28" spans="1:8" x14ac:dyDescent="0.3">
      <c r="A28" t="s">
        <v>33</v>
      </c>
      <c r="B28" t="s">
        <v>11</v>
      </c>
      <c r="C28" t="s">
        <v>12</v>
      </c>
      <c r="D28" t="s">
        <v>13</v>
      </c>
      <c r="E28" t="s">
        <v>14</v>
      </c>
      <c r="F28">
        <v>2043</v>
      </c>
      <c r="G28" s="10">
        <v>3136480</v>
      </c>
      <c r="H28" s="6">
        <f t="shared" si="0"/>
        <v>9.0043718976094509E-3</v>
      </c>
    </row>
    <row r="29" spans="1:8" x14ac:dyDescent="0.3">
      <c r="A29" t="s">
        <v>33</v>
      </c>
      <c r="B29" t="s">
        <v>11</v>
      </c>
      <c r="C29" t="s">
        <v>12</v>
      </c>
      <c r="D29" t="s">
        <v>13</v>
      </c>
      <c r="E29" t="s">
        <v>14</v>
      </c>
      <c r="F29">
        <v>2044</v>
      </c>
      <c r="G29" s="10">
        <v>3163532</v>
      </c>
      <c r="H29" s="6">
        <f t="shared" si="0"/>
        <v>8.6249553639749024E-3</v>
      </c>
    </row>
    <row r="30" spans="1:8" x14ac:dyDescent="0.3">
      <c r="A30" t="s">
        <v>33</v>
      </c>
      <c r="B30" t="s">
        <v>11</v>
      </c>
      <c r="C30" t="s">
        <v>12</v>
      </c>
      <c r="D30" t="s">
        <v>13</v>
      </c>
      <c r="E30" t="s">
        <v>14</v>
      </c>
      <c r="F30">
        <v>2045</v>
      </c>
      <c r="G30" s="10">
        <v>3189630</v>
      </c>
      <c r="H30" s="6">
        <f t="shared" si="0"/>
        <v>8.2496399593871665E-3</v>
      </c>
    </row>
    <row r="31" spans="1:8" x14ac:dyDescent="0.3">
      <c r="A31" t="s">
        <v>33</v>
      </c>
      <c r="B31" t="s">
        <v>11</v>
      </c>
      <c r="C31" t="s">
        <v>12</v>
      </c>
      <c r="D31" t="s">
        <v>13</v>
      </c>
      <c r="E31" t="s">
        <v>14</v>
      </c>
      <c r="F31">
        <v>2046</v>
      </c>
      <c r="G31" s="10">
        <v>3214797</v>
      </c>
      <c r="H31" s="6">
        <f t="shared" si="0"/>
        <v>7.8902568636487619E-3</v>
      </c>
    </row>
    <row r="32" spans="1:8" x14ac:dyDescent="0.3">
      <c r="A32" t="s">
        <v>33</v>
      </c>
      <c r="B32" t="s">
        <v>11</v>
      </c>
      <c r="C32" t="s">
        <v>12</v>
      </c>
      <c r="D32" t="s">
        <v>13</v>
      </c>
      <c r="E32" t="s">
        <v>14</v>
      </c>
      <c r="F32">
        <v>2047</v>
      </c>
      <c r="G32" s="10">
        <v>3239128</v>
      </c>
      <c r="H32" s="6">
        <f t="shared" si="0"/>
        <v>7.5684405578330454E-3</v>
      </c>
    </row>
    <row r="33" spans="1:8" x14ac:dyDescent="0.3">
      <c r="A33" t="s">
        <v>33</v>
      </c>
      <c r="B33" t="s">
        <v>11</v>
      </c>
      <c r="C33" t="s">
        <v>12</v>
      </c>
      <c r="D33" t="s">
        <v>13</v>
      </c>
      <c r="E33" t="s">
        <v>14</v>
      </c>
      <c r="F33">
        <v>2048</v>
      </c>
      <c r="G33" s="10">
        <v>3262770</v>
      </c>
      <c r="H33" s="6">
        <f t="shared" si="0"/>
        <v>7.2988779696263936E-3</v>
      </c>
    </row>
    <row r="34" spans="1:8" x14ac:dyDescent="0.3">
      <c r="A34" t="s">
        <v>33</v>
      </c>
      <c r="B34" t="s">
        <v>11</v>
      </c>
      <c r="C34" t="s">
        <v>12</v>
      </c>
      <c r="D34" t="s">
        <v>13</v>
      </c>
      <c r="E34" t="s">
        <v>14</v>
      </c>
      <c r="F34">
        <v>2049</v>
      </c>
      <c r="G34" s="10">
        <v>3285893</v>
      </c>
      <c r="H34" s="6">
        <f t="shared" si="0"/>
        <v>7.0869230745654764E-3</v>
      </c>
    </row>
    <row r="35" spans="1:8" x14ac:dyDescent="0.3">
      <c r="A35" t="s">
        <v>33</v>
      </c>
      <c r="B35" t="s">
        <v>11</v>
      </c>
      <c r="C35" t="s">
        <v>12</v>
      </c>
      <c r="D35" t="s">
        <v>13</v>
      </c>
      <c r="E35" t="s">
        <v>14</v>
      </c>
      <c r="F35">
        <v>2050</v>
      </c>
      <c r="G35" s="10">
        <v>3308593</v>
      </c>
      <c r="H35" s="6">
        <f t="shared" si="0"/>
        <v>6.9083198996437193E-3</v>
      </c>
    </row>
    <row r="36" spans="1:8" x14ac:dyDescent="0.3">
      <c r="A36" t="s">
        <v>33</v>
      </c>
      <c r="B36" t="s">
        <v>11</v>
      </c>
      <c r="C36" t="s">
        <v>12</v>
      </c>
      <c r="D36" t="s">
        <v>13</v>
      </c>
      <c r="E36" t="s">
        <v>14</v>
      </c>
      <c r="F36">
        <v>2051</v>
      </c>
      <c r="G36" s="10">
        <v>3330854</v>
      </c>
      <c r="H36" s="6">
        <f t="shared" si="0"/>
        <v>6.7282376526819707E-3</v>
      </c>
    </row>
    <row r="37" spans="1:8" x14ac:dyDescent="0.3">
      <c r="A37" t="s">
        <v>33</v>
      </c>
      <c r="B37" t="s">
        <v>11</v>
      </c>
      <c r="C37" t="s">
        <v>12</v>
      </c>
      <c r="D37" t="s">
        <v>13</v>
      </c>
      <c r="E37" t="s">
        <v>14</v>
      </c>
      <c r="F37">
        <v>2052</v>
      </c>
      <c r="G37" s="10">
        <v>3352570</v>
      </c>
      <c r="H37" s="6">
        <f t="shared" si="0"/>
        <v>6.5196493151606161E-3</v>
      </c>
    </row>
    <row r="38" spans="1:8" x14ac:dyDescent="0.3">
      <c r="A38" t="s">
        <v>33</v>
      </c>
      <c r="B38" t="s">
        <v>11</v>
      </c>
      <c r="C38" t="s">
        <v>12</v>
      </c>
      <c r="D38" t="s">
        <v>13</v>
      </c>
      <c r="E38" t="s">
        <v>14</v>
      </c>
      <c r="F38">
        <v>2053</v>
      </c>
      <c r="G38" s="10">
        <v>3373553</v>
      </c>
      <c r="H38" s="6">
        <f t="shared" si="0"/>
        <v>6.2587805772884681E-3</v>
      </c>
    </row>
    <row r="39" spans="1:8" x14ac:dyDescent="0.3">
      <c r="A39" t="s">
        <v>33</v>
      </c>
      <c r="B39" t="s">
        <v>11</v>
      </c>
      <c r="C39" t="s">
        <v>12</v>
      </c>
      <c r="D39" t="s">
        <v>13</v>
      </c>
      <c r="E39" t="s">
        <v>14</v>
      </c>
      <c r="F39">
        <v>2054</v>
      </c>
      <c r="G39" s="10">
        <v>3393537</v>
      </c>
      <c r="H39" s="6">
        <f t="shared" si="0"/>
        <v>5.9237249273985026E-3</v>
      </c>
    </row>
    <row r="40" spans="1:8" x14ac:dyDescent="0.3">
      <c r="A40" t="s">
        <v>33</v>
      </c>
      <c r="B40" t="s">
        <v>11</v>
      </c>
      <c r="C40" t="s">
        <v>12</v>
      </c>
      <c r="D40" t="s">
        <v>13</v>
      </c>
      <c r="E40" t="s">
        <v>14</v>
      </c>
      <c r="F40">
        <v>2055</v>
      </c>
      <c r="G40" s="10">
        <v>3412193</v>
      </c>
      <c r="H40" s="6">
        <f t="shared" si="0"/>
        <v>5.4975089412609909E-3</v>
      </c>
    </row>
    <row r="41" spans="1:8" x14ac:dyDescent="0.3">
      <c r="A41" t="s">
        <v>33</v>
      </c>
      <c r="B41" t="s">
        <v>11</v>
      </c>
      <c r="C41" t="s">
        <v>12</v>
      </c>
      <c r="D41" t="s">
        <v>13</v>
      </c>
      <c r="E41" t="s">
        <v>14</v>
      </c>
      <c r="F41">
        <v>2056</v>
      </c>
      <c r="G41" s="10">
        <v>3429187</v>
      </c>
      <c r="H41" s="6">
        <f t="shared" si="0"/>
        <v>4.980374791226639E-3</v>
      </c>
    </row>
    <row r="42" spans="1:8" x14ac:dyDescent="0.3">
      <c r="A42" t="s">
        <v>33</v>
      </c>
      <c r="B42" t="s">
        <v>11</v>
      </c>
      <c r="C42" t="s">
        <v>12</v>
      </c>
      <c r="D42" t="s">
        <v>13</v>
      </c>
      <c r="E42" t="s">
        <v>14</v>
      </c>
      <c r="F42">
        <v>2057</v>
      </c>
      <c r="G42" s="10">
        <v>3444245</v>
      </c>
      <c r="H42" s="6">
        <f t="shared" si="0"/>
        <v>4.3911282761774145E-3</v>
      </c>
    </row>
    <row r="43" spans="1:8" x14ac:dyDescent="0.3">
      <c r="A43" t="s">
        <v>33</v>
      </c>
      <c r="B43" t="s">
        <v>11</v>
      </c>
      <c r="C43" t="s">
        <v>12</v>
      </c>
      <c r="D43" t="s">
        <v>13</v>
      </c>
      <c r="E43" t="s">
        <v>14</v>
      </c>
      <c r="F43">
        <v>2058</v>
      </c>
      <c r="G43" s="10">
        <v>3457212</v>
      </c>
      <c r="H43" s="6">
        <f t="shared" si="0"/>
        <v>3.7648308990794791E-3</v>
      </c>
    </row>
    <row r="44" spans="1:8" x14ac:dyDescent="0.3">
      <c r="A44" t="s">
        <v>33</v>
      </c>
      <c r="B44" t="s">
        <v>11</v>
      </c>
      <c r="C44" t="s">
        <v>12</v>
      </c>
      <c r="D44" t="s">
        <v>13</v>
      </c>
      <c r="E44" t="s">
        <v>14</v>
      </c>
      <c r="F44">
        <v>2059</v>
      </c>
      <c r="G44" s="10">
        <v>3468065</v>
      </c>
      <c r="H44" s="6">
        <f t="shared" si="0"/>
        <v>3.1392347359664378E-3</v>
      </c>
    </row>
    <row r="45" spans="1:8" x14ac:dyDescent="0.3">
      <c r="A45" t="s">
        <v>33</v>
      </c>
      <c r="B45" t="s">
        <v>11</v>
      </c>
      <c r="C45" t="s">
        <v>12</v>
      </c>
      <c r="D45" t="s">
        <v>13</v>
      </c>
      <c r="E45" t="s">
        <v>14</v>
      </c>
      <c r="F45">
        <v>2060</v>
      </c>
      <c r="G45" s="10">
        <v>3476855</v>
      </c>
      <c r="H45" s="6">
        <f>(G45-G44)/G44</f>
        <v>2.5345545714973625E-3</v>
      </c>
    </row>
    <row r="46" spans="1:8" x14ac:dyDescent="0.3">
      <c r="H46" s="6"/>
    </row>
    <row r="47" spans="1:8" x14ac:dyDescent="0.3">
      <c r="H47" s="6"/>
    </row>
    <row r="48" spans="1:8" x14ac:dyDescent="0.3">
      <c r="H48" s="6"/>
    </row>
    <row r="49" spans="8:8" x14ac:dyDescent="0.3">
      <c r="H49" s="6"/>
    </row>
    <row r="50" spans="8:8" x14ac:dyDescent="0.3">
      <c r="H50" s="6"/>
    </row>
    <row r="51" spans="8:8" x14ac:dyDescent="0.3">
      <c r="H51" s="6"/>
    </row>
    <row r="52" spans="8:8" x14ac:dyDescent="0.3">
      <c r="H52" s="6"/>
    </row>
    <row r="53" spans="8:8" x14ac:dyDescent="0.3">
      <c r="H53" s="6"/>
    </row>
    <row r="54" spans="8:8" x14ac:dyDescent="0.3">
      <c r="H54" s="6"/>
    </row>
    <row r="55" spans="8:8" x14ac:dyDescent="0.3">
      <c r="H55" s="6"/>
    </row>
    <row r="56" spans="8:8" x14ac:dyDescent="0.3">
      <c r="H56" s="6"/>
    </row>
    <row r="57" spans="8:8" x14ac:dyDescent="0.3">
      <c r="H57" s="6"/>
    </row>
    <row r="58" spans="8:8" x14ac:dyDescent="0.3">
      <c r="H58" s="6"/>
    </row>
    <row r="59" spans="8:8" x14ac:dyDescent="0.3">
      <c r="H59" s="6"/>
    </row>
    <row r="60" spans="8:8" x14ac:dyDescent="0.3">
      <c r="H60" s="6"/>
    </row>
    <row r="61" spans="8:8" x14ac:dyDescent="0.3">
      <c r="H61" s="6"/>
    </row>
    <row r="62" spans="8:8" x14ac:dyDescent="0.3">
      <c r="H62" s="6"/>
    </row>
    <row r="63" spans="8:8" x14ac:dyDescent="0.3">
      <c r="H63" s="6"/>
    </row>
    <row r="64" spans="8:8" x14ac:dyDescent="0.3">
      <c r="H64" s="6"/>
    </row>
    <row r="65" spans="8:8" x14ac:dyDescent="0.3">
      <c r="H65" s="6"/>
    </row>
    <row r="66" spans="8:8" x14ac:dyDescent="0.3">
      <c r="H66" s="6"/>
    </row>
    <row r="67" spans="8:8" x14ac:dyDescent="0.3">
      <c r="H67" s="6"/>
    </row>
    <row r="68" spans="8:8" x14ac:dyDescent="0.3">
      <c r="H68" s="6"/>
    </row>
    <row r="69" spans="8:8" x14ac:dyDescent="0.3">
      <c r="H69" s="6"/>
    </row>
    <row r="70" spans="8:8" x14ac:dyDescent="0.3">
      <c r="H70" s="6"/>
    </row>
    <row r="71" spans="8:8" x14ac:dyDescent="0.3">
      <c r="H71" s="6"/>
    </row>
    <row r="72" spans="8:8" x14ac:dyDescent="0.3">
      <c r="H72" s="6"/>
    </row>
    <row r="73" spans="8:8" x14ac:dyDescent="0.3">
      <c r="H73" s="6"/>
    </row>
    <row r="74" spans="8:8" x14ac:dyDescent="0.3">
      <c r="H74" s="6"/>
    </row>
    <row r="75" spans="8:8" x14ac:dyDescent="0.3">
      <c r="H75" s="6"/>
    </row>
    <row r="76" spans="8:8" x14ac:dyDescent="0.3">
      <c r="H76" s="6"/>
    </row>
    <row r="77" spans="8:8" x14ac:dyDescent="0.3">
      <c r="H77" s="6"/>
    </row>
    <row r="78" spans="8:8" x14ac:dyDescent="0.3">
      <c r="H78" s="6"/>
    </row>
    <row r="79" spans="8:8" x14ac:dyDescent="0.3">
      <c r="H79" s="6"/>
    </row>
    <row r="80" spans="8:8" x14ac:dyDescent="0.3">
      <c r="H80" s="6"/>
    </row>
    <row r="81" spans="8:8" x14ac:dyDescent="0.3">
      <c r="H81" s="6"/>
    </row>
    <row r="82" spans="8:8" x14ac:dyDescent="0.3">
      <c r="H82" s="6"/>
    </row>
    <row r="83" spans="8:8" x14ac:dyDescent="0.3">
      <c r="H83" s="6"/>
    </row>
    <row r="84" spans="8:8" x14ac:dyDescent="0.3">
      <c r="H84" s="6"/>
    </row>
    <row r="85" spans="8:8" x14ac:dyDescent="0.3">
      <c r="H85" s="6"/>
    </row>
    <row r="86" spans="8:8" x14ac:dyDescent="0.3">
      <c r="H86" s="6"/>
    </row>
    <row r="87" spans="8:8" x14ac:dyDescent="0.3">
      <c r="H87" s="6"/>
    </row>
    <row r="88" spans="8:8" x14ac:dyDescent="0.3">
      <c r="H88" s="6"/>
    </row>
    <row r="89" spans="8:8" x14ac:dyDescent="0.3">
      <c r="H89" s="6"/>
    </row>
    <row r="90" spans="8:8" x14ac:dyDescent="0.3">
      <c r="H90" s="6"/>
    </row>
    <row r="91" spans="8:8" x14ac:dyDescent="0.3">
      <c r="H91" s="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4F8A-B1B1-4C7D-93B4-1EEED3490945}">
  <dimension ref="A3:C105"/>
  <sheetViews>
    <sheetView workbookViewId="0">
      <selection activeCell="J56" sqref="J56"/>
    </sheetView>
  </sheetViews>
  <sheetFormatPr defaultRowHeight="16.5" x14ac:dyDescent="0.3"/>
  <cols>
    <col min="1" max="1" width="19" customWidth="1"/>
    <col min="2" max="3" width="18.375" style="16" bestFit="1" customWidth="1"/>
  </cols>
  <sheetData>
    <row r="3" spans="1:3" x14ac:dyDescent="0.3">
      <c r="B3" s="16" t="s">
        <v>43</v>
      </c>
      <c r="C3" s="16" t="s">
        <v>44</v>
      </c>
    </row>
    <row r="4" spans="1:3" x14ac:dyDescent="0.3">
      <c r="A4" s="1" t="s">
        <v>27</v>
      </c>
      <c r="B4" s="21" t="s">
        <v>37</v>
      </c>
      <c r="C4" s="19" t="s">
        <v>50</v>
      </c>
    </row>
    <row r="5" spans="1:3" x14ac:dyDescent="0.3">
      <c r="A5" s="7">
        <v>1960</v>
      </c>
      <c r="B5" s="23" cm="1">
        <f t="array" ref="B5:B68">TRANSPOSE('World Bank_Real'!E5:BP5)</f>
        <v>25704085715.359402</v>
      </c>
      <c r="C5" s="16">
        <f>B5*About!$A$24</f>
        <v>24899074141.231331</v>
      </c>
    </row>
    <row r="6" spans="1:3" x14ac:dyDescent="0.3">
      <c r="A6" s="7">
        <v>1961</v>
      </c>
      <c r="B6" s="23">
        <v>27486919211.903198</v>
      </c>
      <c r="C6" s="16">
        <f>B6*About!$A$24</f>
        <v>26626072094.143894</v>
      </c>
    </row>
    <row r="7" spans="1:3" x14ac:dyDescent="0.3">
      <c r="A7" s="7">
        <v>1962</v>
      </c>
      <c r="B7" s="23">
        <v>28557609625.514801</v>
      </c>
      <c r="C7" s="16">
        <f>B7*About!$A$24</f>
        <v>27663230166.445637</v>
      </c>
    </row>
    <row r="8" spans="1:3" x14ac:dyDescent="0.3">
      <c r="A8" s="7">
        <v>1963</v>
      </c>
      <c r="B8" s="23">
        <v>31133668301.719101</v>
      </c>
      <c r="C8" s="16">
        <f>B8*About!$A$24</f>
        <v>30158610732.837288</v>
      </c>
    </row>
    <row r="9" spans="1:3" x14ac:dyDescent="0.3">
      <c r="A9" s="7">
        <v>1964</v>
      </c>
      <c r="B9" s="23">
        <v>34083217464.9245</v>
      </c>
      <c r="C9" s="16">
        <f>B9*About!$A$24</f>
        <v>33015784651.0667</v>
      </c>
    </row>
    <row r="10" spans="1:3" x14ac:dyDescent="0.3">
      <c r="A10" s="7">
        <v>1965</v>
      </c>
      <c r="B10" s="23">
        <v>36577575097.097397</v>
      </c>
      <c r="C10" s="16">
        <f>B10*About!$A$24</f>
        <v>35432022921.743927</v>
      </c>
    </row>
    <row r="11" spans="1:3" x14ac:dyDescent="0.3">
      <c r="A11" s="7">
        <v>1966</v>
      </c>
      <c r="B11" s="23">
        <v>40964673582.665901</v>
      </c>
      <c r="C11" s="16">
        <f>B11*About!$A$24</f>
        <v>39681724376.473396</v>
      </c>
    </row>
    <row r="12" spans="1:3" x14ac:dyDescent="0.3">
      <c r="A12" s="7">
        <v>1967</v>
      </c>
      <c r="B12" s="23">
        <v>44684104770.0942</v>
      </c>
      <c r="C12" s="16">
        <f>B12*About!$A$24</f>
        <v>43284668823.692009</v>
      </c>
    </row>
    <row r="13" spans="1:3" x14ac:dyDescent="0.3">
      <c r="A13" s="7">
        <v>1968</v>
      </c>
      <c r="B13" s="23">
        <v>50567110466.619904</v>
      </c>
      <c r="C13" s="16">
        <f>B13*About!$A$24</f>
        <v>48983428026.146355</v>
      </c>
    </row>
    <row r="14" spans="1:3" x14ac:dyDescent="0.3">
      <c r="A14" s="7">
        <v>1969</v>
      </c>
      <c r="B14" s="23">
        <v>57930372849.434402</v>
      </c>
      <c r="C14" s="16">
        <f>B14*About!$A$24</f>
        <v>56116084601.497116</v>
      </c>
    </row>
    <row r="15" spans="1:3" x14ac:dyDescent="0.3">
      <c r="A15" s="7">
        <v>1970</v>
      </c>
      <c r="B15" s="23">
        <v>63753959604.846397</v>
      </c>
      <c r="C15" s="16">
        <f>B15*About!$A$24</f>
        <v>61757285770.704651</v>
      </c>
    </row>
    <row r="16" spans="1:3" x14ac:dyDescent="0.3">
      <c r="A16" s="7">
        <v>1971</v>
      </c>
      <c r="B16" s="23">
        <v>70477142055.037704</v>
      </c>
      <c r="C16" s="16">
        <f>B16*About!$A$24</f>
        <v>68269908711.123367</v>
      </c>
    </row>
    <row r="17" spans="1:3" x14ac:dyDescent="0.3">
      <c r="A17" s="7">
        <v>1972</v>
      </c>
      <c r="B17" s="23">
        <v>75561617309.303406</v>
      </c>
      <c r="C17" s="16">
        <f>B17*About!$A$24</f>
        <v>73195146189.987244</v>
      </c>
    </row>
    <row r="18" spans="1:3" x14ac:dyDescent="0.3">
      <c r="A18" s="7">
        <v>1973</v>
      </c>
      <c r="B18" s="23">
        <v>86819030861.154602</v>
      </c>
      <c r="C18" s="16">
        <f>B18*About!$A$24</f>
        <v>84099995238.88974</v>
      </c>
    </row>
    <row r="19" spans="1:3" x14ac:dyDescent="0.3">
      <c r="A19" s="7">
        <v>1974</v>
      </c>
      <c r="B19" s="23">
        <v>95077114202.408997</v>
      </c>
      <c r="C19" s="16">
        <f>B19*About!$A$24</f>
        <v>92099448386.351578</v>
      </c>
    </row>
    <row r="20" spans="1:3" x14ac:dyDescent="0.3">
      <c r="A20" s="7">
        <v>1975</v>
      </c>
      <c r="B20" s="23">
        <v>102531096575.674</v>
      </c>
      <c r="C20" s="16">
        <f>B20*About!$A$24</f>
        <v>99319983744.606064</v>
      </c>
    </row>
    <row r="21" spans="1:3" x14ac:dyDescent="0.3">
      <c r="A21" s="7">
        <v>1976</v>
      </c>
      <c r="B21" s="23">
        <v>116087191990.82201</v>
      </c>
      <c r="C21" s="16">
        <f>B21*About!$A$24</f>
        <v>112451523552.91304</v>
      </c>
    </row>
    <row r="22" spans="1:3" x14ac:dyDescent="0.3">
      <c r="A22" s="7">
        <v>1977</v>
      </c>
      <c r="B22" s="23">
        <v>130407687325.507</v>
      </c>
      <c r="C22" s="16">
        <f>B22*About!$A$24</f>
        <v>126323523476.42766</v>
      </c>
    </row>
    <row r="23" spans="1:3" x14ac:dyDescent="0.3">
      <c r="A23" s="7">
        <v>1978</v>
      </c>
      <c r="B23" s="23">
        <v>144691222664.082</v>
      </c>
      <c r="C23" s="16">
        <f>B23*About!$A$24</f>
        <v>140159720932.83286</v>
      </c>
    </row>
    <row r="24" spans="1:3" x14ac:dyDescent="0.3">
      <c r="A24" s="7">
        <v>1979</v>
      </c>
      <c r="B24" s="23">
        <v>157237726606.55499</v>
      </c>
      <c r="C24" s="16">
        <f>B24*About!$A$24</f>
        <v>152313288086.95322</v>
      </c>
    </row>
    <row r="25" spans="1:3" x14ac:dyDescent="0.3">
      <c r="A25" s="7">
        <v>1980</v>
      </c>
      <c r="B25" s="23">
        <v>154650084773.67499</v>
      </c>
      <c r="C25" s="16">
        <f>B25*About!$A$24</f>
        <v>149806687130.15158</v>
      </c>
    </row>
    <row r="26" spans="1:3" x14ac:dyDescent="0.3">
      <c r="A26" s="7">
        <v>1981</v>
      </c>
      <c r="B26" s="23">
        <v>165856302541.44199</v>
      </c>
      <c r="C26" s="16">
        <f>B26*About!$A$24</f>
        <v>160661943766.48016</v>
      </c>
    </row>
    <row r="27" spans="1:3" x14ac:dyDescent="0.3">
      <c r="A27" s="7">
        <v>1982</v>
      </c>
      <c r="B27" s="23">
        <v>179685530559.418</v>
      </c>
      <c r="C27" s="16">
        <f>B27*About!$A$24</f>
        <v>174058062093.68533</v>
      </c>
    </row>
    <row r="28" spans="1:3" x14ac:dyDescent="0.3">
      <c r="A28" s="7">
        <v>1983</v>
      </c>
      <c r="B28" s="23">
        <v>203720580660.991</v>
      </c>
      <c r="C28" s="16">
        <f>B28*About!$A$24</f>
        <v>197340372193.89145</v>
      </c>
    </row>
    <row r="29" spans="1:3" x14ac:dyDescent="0.3">
      <c r="A29" s="7">
        <v>1984</v>
      </c>
      <c r="B29" s="23">
        <v>225216443661.427</v>
      </c>
      <c r="C29" s="16">
        <f>B29*About!$A$24</f>
        <v>218163018542.98077</v>
      </c>
    </row>
    <row r="30" spans="1:3" x14ac:dyDescent="0.3">
      <c r="A30" s="7">
        <v>1985</v>
      </c>
      <c r="B30" s="23">
        <v>242870854434.647</v>
      </c>
      <c r="C30" s="16">
        <f>B30*About!$A$24</f>
        <v>235264520912.29044</v>
      </c>
    </row>
    <row r="31" spans="1:3" x14ac:dyDescent="0.3">
      <c r="A31" s="7">
        <v>1986</v>
      </c>
      <c r="B31" s="23">
        <v>270381470486.16101</v>
      </c>
      <c r="C31" s="16">
        <f>B31*About!$A$24</f>
        <v>261913547698.26489</v>
      </c>
    </row>
    <row r="32" spans="1:3" x14ac:dyDescent="0.3">
      <c r="A32" s="7">
        <v>1987</v>
      </c>
      <c r="B32" s="23">
        <v>304783976338.52899</v>
      </c>
      <c r="C32" s="16">
        <f>B32*About!$A$24</f>
        <v>295238621126.19867</v>
      </c>
    </row>
    <row r="33" spans="1:3" x14ac:dyDescent="0.3">
      <c r="A33" s="7">
        <v>1988</v>
      </c>
      <c r="B33" s="23">
        <v>341320612492.56702</v>
      </c>
      <c r="C33" s="16">
        <f>B33*About!$A$24</f>
        <v>330630987248.24982</v>
      </c>
    </row>
    <row r="34" spans="1:3" x14ac:dyDescent="0.3">
      <c r="A34" s="7">
        <v>1989</v>
      </c>
      <c r="B34" s="23">
        <v>365461856267.17297</v>
      </c>
      <c r="C34" s="16">
        <f>B34*About!$A$24</f>
        <v>354016165202.51843</v>
      </c>
    </row>
    <row r="35" spans="1:3" x14ac:dyDescent="0.3">
      <c r="A35" s="7">
        <v>1990</v>
      </c>
      <c r="B35" s="23">
        <v>401560542993.62701</v>
      </c>
      <c r="C35" s="16">
        <f>B35*About!$A$24</f>
        <v>388984297784.87958</v>
      </c>
    </row>
    <row r="36" spans="1:3" x14ac:dyDescent="0.3">
      <c r="A36" s="7">
        <v>1991</v>
      </c>
      <c r="B36" s="23">
        <v>444840963700.95099</v>
      </c>
      <c r="C36" s="16">
        <f>B36*About!$A$24</f>
        <v>430909243724.94861</v>
      </c>
    </row>
    <row r="37" spans="1:3" x14ac:dyDescent="0.3">
      <c r="A37" s="7">
        <v>1992</v>
      </c>
      <c r="B37" s="23">
        <v>472415066061.57202</v>
      </c>
      <c r="C37" s="16">
        <f>B37*About!$A$24</f>
        <v>457619768528.58899</v>
      </c>
    </row>
    <row r="38" spans="1:3" x14ac:dyDescent="0.3">
      <c r="A38" s="7">
        <v>1993</v>
      </c>
      <c r="B38" s="23">
        <v>504905290009.96899</v>
      </c>
      <c r="C38" s="16">
        <f>B38*About!$A$24</f>
        <v>489092449716.89301</v>
      </c>
    </row>
    <row r="39" spans="1:3" x14ac:dyDescent="0.3">
      <c r="A39" s="7">
        <v>1994</v>
      </c>
      <c r="B39" s="23">
        <v>551703276662.81299</v>
      </c>
      <c r="C39" s="16">
        <f>B39*About!$A$24</f>
        <v>534424796964.44513</v>
      </c>
    </row>
    <row r="40" spans="1:3" x14ac:dyDescent="0.3">
      <c r="A40" s="7">
        <v>1995</v>
      </c>
      <c r="B40" s="23">
        <v>604747148973.98401</v>
      </c>
      <c r="C40" s="16">
        <f>B40*About!$A$24</f>
        <v>585807418546.0658</v>
      </c>
    </row>
    <row r="41" spans="1:3" x14ac:dyDescent="0.3">
      <c r="A41" s="7">
        <v>1996</v>
      </c>
      <c r="B41" s="23">
        <v>652465952372.005</v>
      </c>
      <c r="C41" s="16">
        <f>B41*About!$A$24</f>
        <v>632031744005.27441</v>
      </c>
    </row>
    <row r="42" spans="1:3" x14ac:dyDescent="0.3">
      <c r="A42" s="7">
        <v>1997</v>
      </c>
      <c r="B42" s="23">
        <v>692726706028.76794</v>
      </c>
      <c r="C42" s="16">
        <f>B42*About!$A$24</f>
        <v>671031594121.80957</v>
      </c>
    </row>
    <row r="43" spans="1:3" x14ac:dyDescent="0.3">
      <c r="A43" s="7">
        <v>1998</v>
      </c>
      <c r="B43" s="23">
        <v>657193648716.45801</v>
      </c>
      <c r="C43" s="16">
        <f>B43*About!$A$24</f>
        <v>636611376329.15137</v>
      </c>
    </row>
    <row r="44" spans="1:3" x14ac:dyDescent="0.3">
      <c r="A44" s="7">
        <v>1999</v>
      </c>
      <c r="B44" s="23">
        <v>732553666046.98206</v>
      </c>
      <c r="C44" s="16">
        <f>B44*About!$A$24</f>
        <v>709611236334.90759</v>
      </c>
    </row>
    <row r="45" spans="1:3" x14ac:dyDescent="0.3">
      <c r="A45" s="7">
        <v>2000</v>
      </c>
      <c r="B45" s="23">
        <v>798929132744.302</v>
      </c>
      <c r="C45" s="16">
        <f>B45*About!$A$24</f>
        <v>773907927715.29163</v>
      </c>
    </row>
    <row r="46" spans="1:3" x14ac:dyDescent="0.3">
      <c r="A46" s="7">
        <v>2001</v>
      </c>
      <c r="B46" s="23">
        <v>837696366558.27698</v>
      </c>
      <c r="C46" s="16">
        <f>B46*About!$A$24</f>
        <v>811461032683.65161</v>
      </c>
    </row>
    <row r="47" spans="1:3" x14ac:dyDescent="0.3">
      <c r="A47" s="7">
        <v>2002</v>
      </c>
      <c r="B47" s="23">
        <v>902409606062.14697</v>
      </c>
      <c r="C47" s="16">
        <f>B47*About!$A$24</f>
        <v>874147555214.32043</v>
      </c>
    </row>
    <row r="48" spans="1:3" x14ac:dyDescent="0.3">
      <c r="A48" s="7">
        <v>2003</v>
      </c>
      <c r="B48" s="23">
        <v>930811064125.151</v>
      </c>
      <c r="C48" s="16">
        <f>B48*About!$A$24</f>
        <v>901659524239.82214</v>
      </c>
    </row>
    <row r="49" spans="1:3" x14ac:dyDescent="0.3">
      <c r="A49" s="7">
        <v>2004</v>
      </c>
      <c r="B49" s="23">
        <v>979188957980.10999</v>
      </c>
      <c r="C49" s="16">
        <f>B49*About!$A$24</f>
        <v>948522298478.52844</v>
      </c>
    </row>
    <row r="50" spans="1:3" x14ac:dyDescent="0.3">
      <c r="A50" s="7">
        <v>2005</v>
      </c>
      <c r="B50" s="23">
        <v>1021377732486.55</v>
      </c>
      <c r="C50" s="16">
        <f>B50*About!$A$24</f>
        <v>989389786861.35168</v>
      </c>
    </row>
    <row r="51" spans="1:3" x14ac:dyDescent="0.3">
      <c r="A51" s="7">
        <v>2006</v>
      </c>
      <c r="B51" s="23">
        <v>1075146392089.85</v>
      </c>
      <c r="C51" s="16">
        <f>B51*About!$A$24</f>
        <v>1041474496536.0165</v>
      </c>
    </row>
    <row r="52" spans="1:3" x14ac:dyDescent="0.3">
      <c r="A52" s="7">
        <v>2007</v>
      </c>
      <c r="B52" s="23">
        <v>1137500027631.5801</v>
      </c>
      <c r="C52" s="16">
        <f>B52*About!$A$24</f>
        <v>1101875314192.8428</v>
      </c>
    </row>
    <row r="53" spans="1:3" x14ac:dyDescent="0.3">
      <c r="A53" s="7">
        <v>2008</v>
      </c>
      <c r="B53" s="23">
        <v>1171772731392.3401</v>
      </c>
      <c r="C53" s="16">
        <f>B53*About!$A$24</f>
        <v>1135074650726.7114</v>
      </c>
    </row>
    <row r="54" spans="1:3" x14ac:dyDescent="0.3">
      <c r="A54" s="7">
        <v>2009</v>
      </c>
      <c r="B54" s="23">
        <v>1181061361993.54</v>
      </c>
      <c r="C54" s="16">
        <f>B54*About!$A$24</f>
        <v>1144072376013.3022</v>
      </c>
    </row>
    <row r="55" spans="1:3" x14ac:dyDescent="0.3">
      <c r="A55" s="7">
        <v>2010</v>
      </c>
      <c r="B55" s="23">
        <v>1261430519849.4199</v>
      </c>
      <c r="C55" s="16">
        <f>B55*About!$A$24</f>
        <v>1221924498134.3438</v>
      </c>
    </row>
    <row r="56" spans="1:3" x14ac:dyDescent="0.3">
      <c r="A56" s="7">
        <v>2011</v>
      </c>
      <c r="B56" s="23">
        <v>1307922658113.3999</v>
      </c>
      <c r="C56" s="16">
        <f>B56*About!$A$24</f>
        <v>1266960575683.9719</v>
      </c>
    </row>
    <row r="57" spans="1:3" x14ac:dyDescent="0.3">
      <c r="A57" s="7">
        <v>2012</v>
      </c>
      <c r="B57" s="23">
        <v>1339345905332.01</v>
      </c>
      <c r="C57" s="16">
        <f>B57*About!$A$24</f>
        <v>1297399696177.0569</v>
      </c>
    </row>
    <row r="58" spans="1:3" x14ac:dyDescent="0.3">
      <c r="A58" s="7">
        <v>2013</v>
      </c>
      <c r="B58" s="23">
        <v>1381732300870.28</v>
      </c>
      <c r="C58" s="16">
        <f>B58*About!$A$24</f>
        <v>1338458616411.5278</v>
      </c>
    </row>
    <row r="59" spans="1:3" x14ac:dyDescent="0.3">
      <c r="A59" s="7">
        <v>2014</v>
      </c>
      <c r="B59" s="23">
        <v>1425981639370.3501</v>
      </c>
      <c r="C59" s="16">
        <f>B59*About!$A$24</f>
        <v>1381322135161.5967</v>
      </c>
    </row>
    <row r="60" spans="1:3" x14ac:dyDescent="0.3">
      <c r="A60" s="7">
        <v>2015</v>
      </c>
      <c r="B60" s="23">
        <v>1466038936206.4299</v>
      </c>
      <c r="C60" s="16">
        <f>B60*About!$A$24</f>
        <v>1420124900405.3679</v>
      </c>
    </row>
    <row r="61" spans="1:3" x14ac:dyDescent="0.3">
      <c r="A61" s="7">
        <v>2016</v>
      </c>
      <c r="B61" s="23">
        <v>1509241369553.54</v>
      </c>
      <c r="C61" s="16">
        <f>B61*About!$A$24</f>
        <v>1461974301426.7983</v>
      </c>
    </row>
    <row r="62" spans="1:3" x14ac:dyDescent="0.3">
      <c r="A62" s="7">
        <v>2017</v>
      </c>
      <c r="B62" s="23">
        <v>1556927899270.75</v>
      </c>
      <c r="C62" s="16">
        <f>B62*About!$A$24</f>
        <v>1508167363966.1653</v>
      </c>
    </row>
    <row r="63" spans="1:3" x14ac:dyDescent="0.3">
      <c r="A63" s="7">
        <v>2018</v>
      </c>
      <c r="B63" s="23">
        <v>1602194079769.04</v>
      </c>
      <c r="C63" s="16">
        <f>B63*About!$A$24</f>
        <v>1552015878820.8989</v>
      </c>
    </row>
    <row r="64" spans="1:3" x14ac:dyDescent="0.3">
      <c r="A64" s="7">
        <v>2019</v>
      </c>
      <c r="B64" s="23">
        <v>1638146960195.0601</v>
      </c>
      <c r="C64" s="16">
        <f>B64*About!$A$24</f>
        <v>1586842771527.0408</v>
      </c>
    </row>
    <row r="65" spans="1:3" x14ac:dyDescent="0.3">
      <c r="A65" s="22">
        <v>2020</v>
      </c>
      <c r="B65" s="23">
        <v>1626525694049.9299</v>
      </c>
      <c r="C65" s="16">
        <f>B65*About!$A$24</f>
        <v>1575585465176.3359</v>
      </c>
    </row>
    <row r="66" spans="1:3" x14ac:dyDescent="0.3">
      <c r="A66" s="22">
        <v>2021</v>
      </c>
      <c r="B66" s="23">
        <v>1696543311942.8101</v>
      </c>
      <c r="C66" s="16">
        <f>B66*About!$A$24</f>
        <v>1643410241299.9807</v>
      </c>
    </row>
    <row r="67" spans="1:3" x14ac:dyDescent="0.3">
      <c r="A67" s="22">
        <v>2022</v>
      </c>
      <c r="B67" s="23">
        <v>1740868427277.01</v>
      </c>
      <c r="C67" s="16">
        <f>B67*About!$A$24</f>
        <v>1686347163672.8076</v>
      </c>
    </row>
    <row r="68" spans="1:3" x14ac:dyDescent="0.3">
      <c r="A68" s="22">
        <v>2023</v>
      </c>
      <c r="B68" s="23">
        <v>1764487367948.7</v>
      </c>
      <c r="C68" s="16">
        <f>B68*About!$A$24</f>
        <v>1709226396236.6152</v>
      </c>
    </row>
    <row r="69" spans="1:3" x14ac:dyDescent="0.3">
      <c r="A69" s="8">
        <v>2024</v>
      </c>
      <c r="C69" s="20">
        <f>C68*(1+OECD_PPP!H9)</f>
        <v>1747778407582.6704</v>
      </c>
    </row>
    <row r="70" spans="1:3" x14ac:dyDescent="0.3">
      <c r="A70" s="8">
        <v>2025</v>
      </c>
      <c r="C70" s="20">
        <f>C69*(1+OECD_PPP!H10)</f>
        <v>1785060161438.2739</v>
      </c>
    </row>
    <row r="71" spans="1:3" x14ac:dyDescent="0.3">
      <c r="A71" s="8">
        <v>2026</v>
      </c>
      <c r="C71" s="20">
        <f>C70*(1+OECD_PPP!H11)</f>
        <v>1826861359591.96</v>
      </c>
    </row>
    <row r="72" spans="1:3" x14ac:dyDescent="0.3">
      <c r="A72" s="8">
        <v>2027</v>
      </c>
      <c r="C72" s="20">
        <f>C71*(1+OECD_PPP!H12)</f>
        <v>1865700311522.4475</v>
      </c>
    </row>
    <row r="73" spans="1:3" x14ac:dyDescent="0.3">
      <c r="A73" s="8">
        <v>2028</v>
      </c>
      <c r="C73" s="20">
        <f>C72*(1+OECD_PPP!H13)</f>
        <v>1900613874437.7427</v>
      </c>
    </row>
    <row r="74" spans="1:3" x14ac:dyDescent="0.3">
      <c r="A74" s="8">
        <v>2029</v>
      </c>
      <c r="C74" s="20">
        <f>C73*(1+OECD_PPP!H14)</f>
        <v>1932921037799.2646</v>
      </c>
    </row>
    <row r="75" spans="1:3" x14ac:dyDescent="0.3">
      <c r="A75" s="8">
        <v>2030</v>
      </c>
      <c r="C75" s="20">
        <f>C74*(1+OECD_PPP!H15)</f>
        <v>1964065639736.8296</v>
      </c>
    </row>
    <row r="76" spans="1:3" x14ac:dyDescent="0.3">
      <c r="A76" s="8">
        <v>2031</v>
      </c>
      <c r="C76" s="20">
        <f>C75*(1+OECD_PPP!H16)</f>
        <v>1994773271335.0046</v>
      </c>
    </row>
    <row r="77" spans="1:3" x14ac:dyDescent="0.3">
      <c r="A77" s="8">
        <v>2032</v>
      </c>
      <c r="C77" s="20">
        <f>C76*(1+OECD_PPP!H17)</f>
        <v>2025148217952.0977</v>
      </c>
    </row>
    <row r="78" spans="1:3" x14ac:dyDescent="0.3">
      <c r="A78" s="8">
        <v>2033</v>
      </c>
      <c r="C78" s="20">
        <f>C77*(1+OECD_PPP!H18)</f>
        <v>2055106757539.8899</v>
      </c>
    </row>
    <row r="79" spans="1:3" x14ac:dyDescent="0.3">
      <c r="A79" s="8">
        <v>2034</v>
      </c>
      <c r="C79" s="20">
        <f>C78*(1+OECD_PPP!H19)</f>
        <v>2084459413883.9897</v>
      </c>
    </row>
    <row r="80" spans="1:3" x14ac:dyDescent="0.3">
      <c r="A80" s="8">
        <v>2035</v>
      </c>
      <c r="C80" s="20">
        <f>C79*(1+OECD_PPP!H20)</f>
        <v>2113021851597.5291</v>
      </c>
    </row>
    <row r="81" spans="1:3" x14ac:dyDescent="0.3">
      <c r="A81" s="8">
        <v>2036</v>
      </c>
      <c r="C81" s="20">
        <f>C80*(1+OECD_PPP!H21)</f>
        <v>2140636908239.1133</v>
      </c>
    </row>
    <row r="82" spans="1:3" x14ac:dyDescent="0.3">
      <c r="A82" s="8">
        <v>2037</v>
      </c>
      <c r="C82" s="20">
        <f>C81*(1+OECD_PPP!H22)</f>
        <v>2167152562194.8711</v>
      </c>
    </row>
    <row r="83" spans="1:3" x14ac:dyDescent="0.3">
      <c r="A83" s="8">
        <v>2038</v>
      </c>
      <c r="C83" s="20">
        <f>C82*(1+OECD_PPP!H23)</f>
        <v>2192468200126.1526</v>
      </c>
    </row>
    <row r="84" spans="1:3" x14ac:dyDescent="0.3">
      <c r="A84" s="8">
        <v>2039</v>
      </c>
      <c r="C84" s="20">
        <f>C83*(1+OECD_PPP!H24)</f>
        <v>2216569133954.3237</v>
      </c>
    </row>
    <row r="85" spans="1:3" x14ac:dyDescent="0.3">
      <c r="A85" s="8">
        <v>2040</v>
      </c>
      <c r="C85" s="20">
        <f>C84*(1+OECD_PPP!H25)</f>
        <v>2239558914633.7598</v>
      </c>
    </row>
    <row r="86" spans="1:3" x14ac:dyDescent="0.3">
      <c r="A86" s="8">
        <v>2041</v>
      </c>
      <c r="C86" s="20">
        <f>C85*(1+OECD_PPP!H26)</f>
        <v>2261617471127.7397</v>
      </c>
    </row>
    <row r="87" spans="1:3" x14ac:dyDescent="0.3">
      <c r="A87" s="8">
        <v>2042</v>
      </c>
      <c r="C87" s="20">
        <f>C86*(1+OECD_PPP!H27)</f>
        <v>2282887277799.0225</v>
      </c>
    </row>
    <row r="88" spans="1:3" x14ac:dyDescent="0.3">
      <c r="A88" s="8">
        <v>2043</v>
      </c>
      <c r="C88" s="20">
        <f>C87*(1+OECD_PPP!H28)</f>
        <v>2303443243848.646</v>
      </c>
    </row>
    <row r="89" spans="1:3" x14ac:dyDescent="0.3">
      <c r="A89" s="8">
        <v>2044</v>
      </c>
      <c r="C89" s="20">
        <f>C88*(1+OECD_PPP!H29)</f>
        <v>2323310339010.2905</v>
      </c>
    </row>
    <row r="90" spans="1:3" x14ac:dyDescent="0.3">
      <c r="A90" s="8">
        <v>2045</v>
      </c>
      <c r="C90" s="20">
        <f>C89*(1+OECD_PPP!H30)</f>
        <v>2342476812821.0474</v>
      </c>
    </row>
    <row r="91" spans="1:3" x14ac:dyDescent="0.3">
      <c r="A91" s="8">
        <v>2046</v>
      </c>
      <c r="C91" s="20">
        <f>C90*(1+OECD_PPP!H31)</f>
        <v>2360959556571.3467</v>
      </c>
    </row>
    <row r="92" spans="1:3" x14ac:dyDescent="0.3">
      <c r="A92" s="8">
        <v>2047</v>
      </c>
      <c r="C92" s="20">
        <f>C91*(1+OECD_PPP!H32)</f>
        <v>2378828338634.7051</v>
      </c>
    </row>
    <row r="93" spans="1:3" x14ac:dyDescent="0.3">
      <c r="A93" s="8">
        <v>2048</v>
      </c>
      <c r="C93" s="20">
        <f>C92*(1+OECD_PPP!H33)</f>
        <v>2396191116389.0889</v>
      </c>
    </row>
    <row r="94" spans="1:3" x14ac:dyDescent="0.3">
      <c r="A94" s="8">
        <v>2049</v>
      </c>
      <c r="C94" s="20">
        <f>C93*(1+OECD_PPP!H34)</f>
        <v>2413172738502.8955</v>
      </c>
    </row>
    <row r="95" spans="1:3" x14ac:dyDescent="0.3">
      <c r="A95" s="8">
        <v>2050</v>
      </c>
      <c r="C95" s="20">
        <f>C94*(1+OECD_PPP!H35)</f>
        <v>2429843707753.5728</v>
      </c>
    </row>
    <row r="96" spans="1:3" x14ac:dyDescent="0.3">
      <c r="A96" s="8">
        <v>2051</v>
      </c>
      <c r="C96" s="20">
        <f>C95*(1+OECD_PPP!H36)</f>
        <v>2446192273678.2129</v>
      </c>
    </row>
    <row r="97" spans="1:3" x14ac:dyDescent="0.3">
      <c r="A97" s="8">
        <v>2052</v>
      </c>
      <c r="C97" s="20">
        <f>C96*(1+OECD_PPP!H37)</f>
        <v>2462140589460.0503</v>
      </c>
    </row>
    <row r="98" spans="1:3" x14ac:dyDescent="0.3">
      <c r="A98" s="8">
        <v>2053</v>
      </c>
      <c r="C98" s="20">
        <f>C97*(1+OECD_PPP!H38)</f>
        <v>2477550587159.9165</v>
      </c>
    </row>
    <row r="99" spans="1:3" x14ac:dyDescent="0.3">
      <c r="A99" s="8">
        <v>2054</v>
      </c>
      <c r="C99" s="20">
        <f>C98*(1+OECD_PPP!H39)</f>
        <v>2492226915331.9663</v>
      </c>
    </row>
    <row r="100" spans="1:3" x14ac:dyDescent="0.3">
      <c r="A100" s="8">
        <v>2055</v>
      </c>
      <c r="C100" s="20">
        <f>C99*(1+OECD_PPP!H40)</f>
        <v>2505927955082.6553</v>
      </c>
    </row>
    <row r="101" spans="1:3" x14ac:dyDescent="0.3">
      <c r="A101" s="8">
        <v>2056</v>
      </c>
      <c r="C101" s="20">
        <f>C100*(1+OECD_PPP!H41)</f>
        <v>2518408415498.7793</v>
      </c>
    </row>
    <row r="102" spans="1:3" x14ac:dyDescent="0.3">
      <c r="A102" s="8">
        <v>2057</v>
      </c>
      <c r="C102" s="20">
        <f>C101*(1+OECD_PPP!H42)</f>
        <v>2529467069903.0396</v>
      </c>
    </row>
    <row r="103" spans="1:3" x14ac:dyDescent="0.3">
      <c r="A103" s="8">
        <v>2058</v>
      </c>
      <c r="C103" s="20">
        <f>C102*(1+OECD_PPP!H43)</f>
        <v>2538990085686.0142</v>
      </c>
    </row>
    <row r="104" spans="1:3" x14ac:dyDescent="0.3">
      <c r="A104" s="8">
        <v>2059</v>
      </c>
      <c r="C104" s="20">
        <f>C103*(1+OECD_PPP!H44)</f>
        <v>2546960571557.2739</v>
      </c>
    </row>
    <row r="105" spans="1:3" x14ac:dyDescent="0.3">
      <c r="A105" s="8">
        <v>2060</v>
      </c>
      <c r="C105" s="20">
        <f>C104*(1+OECD_PPP!H45)</f>
        <v>2553415982117.3379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47"/>
  <sheetViews>
    <sheetView workbookViewId="0">
      <selection activeCell="B8" sqref="B8:B37"/>
    </sheetView>
  </sheetViews>
  <sheetFormatPr defaultRowHeight="16.5" x14ac:dyDescent="0.3"/>
  <cols>
    <col min="1" max="1" width="17.75" customWidth="1"/>
    <col min="2" max="2" width="29" style="16" customWidth="1"/>
  </cols>
  <sheetData>
    <row r="1" spans="1:2" x14ac:dyDescent="0.3">
      <c r="A1" s="4" t="s">
        <v>51</v>
      </c>
      <c r="B1" s="26" t="s">
        <v>15</v>
      </c>
    </row>
    <row r="2" spans="1:2" x14ac:dyDescent="0.3">
      <c r="A2">
        <v>2015</v>
      </c>
      <c r="B2" s="27">
        <f>Calcs!C60</f>
        <v>1420124900405.3679</v>
      </c>
    </row>
    <row r="3" spans="1:2" x14ac:dyDescent="0.3">
      <c r="A3">
        <v>2016</v>
      </c>
      <c r="B3" s="27">
        <f>Calcs!C61</f>
        <v>1461974301426.7983</v>
      </c>
    </row>
    <row r="4" spans="1:2" x14ac:dyDescent="0.3">
      <c r="A4">
        <v>2017</v>
      </c>
      <c r="B4" s="27">
        <f>Calcs!C62</f>
        <v>1508167363966.1653</v>
      </c>
    </row>
    <row r="5" spans="1:2" x14ac:dyDescent="0.3">
      <c r="A5">
        <v>2018</v>
      </c>
      <c r="B5" s="27">
        <f>Calcs!C63</f>
        <v>1552015878820.8989</v>
      </c>
    </row>
    <row r="6" spans="1:2" x14ac:dyDescent="0.3">
      <c r="A6">
        <v>2019</v>
      </c>
      <c r="B6" s="27">
        <f>Calcs!C64</f>
        <v>1586842771527.0408</v>
      </c>
    </row>
    <row r="7" spans="1:2" x14ac:dyDescent="0.3">
      <c r="A7">
        <v>2020</v>
      </c>
      <c r="B7" s="27">
        <f>Calcs!C65</f>
        <v>1575585465176.3359</v>
      </c>
    </row>
    <row r="8" spans="1:2" x14ac:dyDescent="0.3">
      <c r="A8">
        <v>2021</v>
      </c>
      <c r="B8" s="27">
        <f>Calcs!C66</f>
        <v>1643410241299.9807</v>
      </c>
    </row>
    <row r="9" spans="1:2" x14ac:dyDescent="0.3">
      <c r="A9">
        <v>2022</v>
      </c>
      <c r="B9" s="27">
        <f>Calcs!C67</f>
        <v>1686347163672.8076</v>
      </c>
    </row>
    <row r="10" spans="1:2" x14ac:dyDescent="0.3">
      <c r="A10">
        <v>2023</v>
      </c>
      <c r="B10" s="27">
        <f>Calcs!C68</f>
        <v>1709226396236.6152</v>
      </c>
    </row>
    <row r="11" spans="1:2" x14ac:dyDescent="0.3">
      <c r="A11">
        <v>2024</v>
      </c>
      <c r="B11" s="27">
        <f>Calcs!C69</f>
        <v>1747778407582.6704</v>
      </c>
    </row>
    <row r="12" spans="1:2" x14ac:dyDescent="0.3">
      <c r="A12">
        <v>2025</v>
      </c>
      <c r="B12" s="27">
        <f>Calcs!C70</f>
        <v>1785060161438.2739</v>
      </c>
    </row>
    <row r="13" spans="1:2" x14ac:dyDescent="0.3">
      <c r="A13">
        <v>2026</v>
      </c>
      <c r="B13" s="27">
        <f>Calcs!C71</f>
        <v>1826861359591.96</v>
      </c>
    </row>
    <row r="14" spans="1:2" x14ac:dyDescent="0.3">
      <c r="A14">
        <v>2027</v>
      </c>
      <c r="B14" s="27">
        <f>Calcs!C72</f>
        <v>1865700311522.4475</v>
      </c>
    </row>
    <row r="15" spans="1:2" x14ac:dyDescent="0.3">
      <c r="A15">
        <v>2028</v>
      </c>
      <c r="B15" s="27">
        <f>Calcs!C73</f>
        <v>1900613874437.7427</v>
      </c>
    </row>
    <row r="16" spans="1:2" x14ac:dyDescent="0.3">
      <c r="A16">
        <v>2029</v>
      </c>
      <c r="B16" s="27">
        <f>Calcs!C74</f>
        <v>1932921037799.2646</v>
      </c>
    </row>
    <row r="17" spans="1:2" x14ac:dyDescent="0.3">
      <c r="A17">
        <v>2030</v>
      </c>
      <c r="B17" s="27">
        <f>Calcs!C75</f>
        <v>1964065639736.8296</v>
      </c>
    </row>
    <row r="18" spans="1:2" x14ac:dyDescent="0.3">
      <c r="A18">
        <v>2031</v>
      </c>
      <c r="B18" s="27">
        <f>Calcs!C76</f>
        <v>1994773271335.0046</v>
      </c>
    </row>
    <row r="19" spans="1:2" x14ac:dyDescent="0.3">
      <c r="A19">
        <v>2032</v>
      </c>
      <c r="B19" s="27">
        <f>Calcs!C77</f>
        <v>2025148217952.0977</v>
      </c>
    </row>
    <row r="20" spans="1:2" x14ac:dyDescent="0.3">
      <c r="A20">
        <v>2033</v>
      </c>
      <c r="B20" s="27">
        <f>Calcs!C78</f>
        <v>2055106757539.8899</v>
      </c>
    </row>
    <row r="21" spans="1:2" x14ac:dyDescent="0.3">
      <c r="A21">
        <v>2034</v>
      </c>
      <c r="B21" s="27">
        <f>Calcs!C79</f>
        <v>2084459413883.9897</v>
      </c>
    </row>
    <row r="22" spans="1:2" x14ac:dyDescent="0.3">
      <c r="A22">
        <v>2035</v>
      </c>
      <c r="B22" s="27">
        <f>Calcs!C80</f>
        <v>2113021851597.5291</v>
      </c>
    </row>
    <row r="23" spans="1:2" x14ac:dyDescent="0.3">
      <c r="A23">
        <v>2036</v>
      </c>
      <c r="B23" s="27">
        <f>Calcs!C81</f>
        <v>2140636908239.1133</v>
      </c>
    </row>
    <row r="24" spans="1:2" x14ac:dyDescent="0.3">
      <c r="A24">
        <v>2037</v>
      </c>
      <c r="B24" s="27">
        <f>Calcs!C82</f>
        <v>2167152562194.8711</v>
      </c>
    </row>
    <row r="25" spans="1:2" x14ac:dyDescent="0.3">
      <c r="A25">
        <v>2038</v>
      </c>
      <c r="B25" s="27">
        <f>Calcs!C83</f>
        <v>2192468200126.1526</v>
      </c>
    </row>
    <row r="26" spans="1:2" x14ac:dyDescent="0.3">
      <c r="A26">
        <v>2039</v>
      </c>
      <c r="B26" s="27">
        <f>Calcs!C84</f>
        <v>2216569133954.3237</v>
      </c>
    </row>
    <row r="27" spans="1:2" x14ac:dyDescent="0.3">
      <c r="A27">
        <v>2040</v>
      </c>
      <c r="B27" s="27">
        <f>Calcs!C85</f>
        <v>2239558914633.7598</v>
      </c>
    </row>
    <row r="28" spans="1:2" x14ac:dyDescent="0.3">
      <c r="A28">
        <v>2041</v>
      </c>
      <c r="B28" s="27">
        <f>Calcs!C86</f>
        <v>2261617471127.7397</v>
      </c>
    </row>
    <row r="29" spans="1:2" x14ac:dyDescent="0.3">
      <c r="A29">
        <v>2042</v>
      </c>
      <c r="B29" s="27">
        <f>Calcs!C87</f>
        <v>2282887277799.0225</v>
      </c>
    </row>
    <row r="30" spans="1:2" x14ac:dyDescent="0.3">
      <c r="A30">
        <v>2043</v>
      </c>
      <c r="B30" s="27">
        <f>Calcs!C88</f>
        <v>2303443243848.646</v>
      </c>
    </row>
    <row r="31" spans="1:2" x14ac:dyDescent="0.3">
      <c r="A31">
        <v>2044</v>
      </c>
      <c r="B31" s="27">
        <f>Calcs!C89</f>
        <v>2323310339010.2905</v>
      </c>
    </row>
    <row r="32" spans="1:2" x14ac:dyDescent="0.3">
      <c r="A32">
        <v>2045</v>
      </c>
      <c r="B32" s="27">
        <f>Calcs!C90</f>
        <v>2342476812821.0474</v>
      </c>
    </row>
    <row r="33" spans="1:2" x14ac:dyDescent="0.3">
      <c r="A33">
        <v>2046</v>
      </c>
      <c r="B33" s="27">
        <f>Calcs!C91</f>
        <v>2360959556571.3467</v>
      </c>
    </row>
    <row r="34" spans="1:2" x14ac:dyDescent="0.3">
      <c r="A34">
        <v>2047</v>
      </c>
      <c r="B34" s="27">
        <f>Calcs!C92</f>
        <v>2378828338634.7051</v>
      </c>
    </row>
    <row r="35" spans="1:2" x14ac:dyDescent="0.3">
      <c r="A35">
        <v>2048</v>
      </c>
      <c r="B35" s="27">
        <f>Calcs!C93</f>
        <v>2396191116389.0889</v>
      </c>
    </row>
    <row r="36" spans="1:2" x14ac:dyDescent="0.3">
      <c r="A36">
        <v>2049</v>
      </c>
      <c r="B36" s="27">
        <f>Calcs!C94</f>
        <v>2413172738502.8955</v>
      </c>
    </row>
    <row r="37" spans="1:2" x14ac:dyDescent="0.3">
      <c r="A37">
        <v>2050</v>
      </c>
      <c r="B37" s="27">
        <f>Calcs!C95</f>
        <v>2429843707753.5728</v>
      </c>
    </row>
    <row r="38" spans="1:2" x14ac:dyDescent="0.3">
      <c r="A38">
        <v>2051</v>
      </c>
      <c r="B38" s="27">
        <f>Calcs!C96</f>
        <v>2446192273678.2129</v>
      </c>
    </row>
    <row r="39" spans="1:2" x14ac:dyDescent="0.3">
      <c r="A39">
        <v>2052</v>
      </c>
      <c r="B39" s="27">
        <f>Calcs!C97</f>
        <v>2462140589460.0503</v>
      </c>
    </row>
    <row r="40" spans="1:2" x14ac:dyDescent="0.3">
      <c r="A40">
        <v>2053</v>
      </c>
      <c r="B40" s="27">
        <f>Calcs!C98</f>
        <v>2477550587159.9165</v>
      </c>
    </row>
    <row r="41" spans="1:2" x14ac:dyDescent="0.3">
      <c r="A41">
        <v>2054</v>
      </c>
      <c r="B41" s="27">
        <f>Calcs!C99</f>
        <v>2492226915331.9663</v>
      </c>
    </row>
    <row r="42" spans="1:2" x14ac:dyDescent="0.3">
      <c r="A42">
        <v>2055</v>
      </c>
      <c r="B42" s="27">
        <f>Calcs!C100</f>
        <v>2505927955082.6553</v>
      </c>
    </row>
    <row r="43" spans="1:2" x14ac:dyDescent="0.3">
      <c r="A43">
        <v>2056</v>
      </c>
      <c r="B43" s="27">
        <f>Calcs!C101</f>
        <v>2518408415498.7793</v>
      </c>
    </row>
    <row r="44" spans="1:2" x14ac:dyDescent="0.3">
      <c r="A44">
        <v>2057</v>
      </c>
      <c r="B44" s="27">
        <f>Calcs!C102</f>
        <v>2529467069903.0396</v>
      </c>
    </row>
    <row r="45" spans="1:2" x14ac:dyDescent="0.3">
      <c r="A45">
        <v>2058</v>
      </c>
      <c r="B45" s="27">
        <f>Calcs!C103</f>
        <v>2538990085686.0142</v>
      </c>
    </row>
    <row r="46" spans="1:2" x14ac:dyDescent="0.3">
      <c r="A46">
        <v>2059</v>
      </c>
      <c r="B46" s="27">
        <f>Calcs!C104</f>
        <v>2546960571557.2739</v>
      </c>
    </row>
    <row r="47" spans="1:2" x14ac:dyDescent="0.3">
      <c r="A47">
        <v>2060</v>
      </c>
      <c r="B47" s="27">
        <f>Calcs!C105</f>
        <v>2553415982117.3379</v>
      </c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27F31-1716-4CD6-B028-25998EE16579}"/>
</file>

<file path=customXml/itemProps2.xml><?xml version="1.0" encoding="utf-8"?>
<ds:datastoreItem xmlns:ds="http://schemas.openxmlformats.org/officeDocument/2006/customXml" ds:itemID="{7286DD69-E746-4CD9-A011-CFC1B3E2254F}"/>
</file>

<file path=customXml/itemProps3.xml><?xml version="1.0" encoding="utf-8"?>
<ds:datastoreItem xmlns:ds="http://schemas.openxmlformats.org/officeDocument/2006/customXml" ds:itemID="{0FAD41B7-63FA-420A-8CFE-8BD94B492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World Bank_Real</vt:lpstr>
      <vt:lpstr>OECD_PPP</vt:lpstr>
      <vt:lpstr>Calcs</vt:lpstr>
      <vt:lpstr>BGDP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2025-02-27T05:36:18Z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